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BEAU2341894</t>
        </is>
      </c>
      <c r="B2" s="161" t="inlineStr">
        <is>
          <t>2026-10-16</t>
        </is>
      </c>
      <c r="C2" s="96" t="inlineStr">
        <is>
          <t>KMTP</t>
        </is>
      </c>
      <c r="D2" s="96" t="inlineStr">
        <is>
          <t>2612N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CNXMN</t>
        </is>
      </c>
      <c r="J2" s="96" t="inlineStr">
        <is>
          <t>CNXMN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HASLS22260901216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VTS</t>
        </is>
      </c>
      <c r="U2" s="97" t="n"/>
      <c r="V2" s="96" t="inlineStr">
        <is>
          <t>TSN15L03</t>
        </is>
      </c>
      <c r="W2" s="96" t="inlineStr">
        <is>
          <t>THAI POLYCARBONATE CO.,LTD.</t>
        </is>
      </c>
      <c r="X2" s="96" t="inlineStr">
        <is>
          <t>VED</t>
        </is>
      </c>
      <c r="Y2" s="96" t="inlineStr">
        <is>
          <t>KM PLASTICS (GUANGZHOU) LIMITED</t>
        </is>
      </c>
      <c r="Z2" s="96" t="inlineStr">
        <is>
          <t>KM PLASTICS (GUANGZHOU) LIMITED</t>
        </is>
      </c>
      <c r="AA2" s="97" t="n">
        <v>16432</v>
      </c>
      <c r="AB2" s="96" t="inlineStr">
        <is>
          <t>LCH04</t>
        </is>
      </c>
      <c r="AC2" s="96" t="inlineStr">
        <is>
          <t>XMN01</t>
        </is>
      </c>
    </row>
    <row r="3" ht="12" customHeight="1">
      <c r="A3" s="96" t="inlineStr">
        <is>
          <t>FBIU0156054</t>
        </is>
      </c>
      <c r="B3" s="161" t="inlineStr">
        <is>
          <t>2026-10-16</t>
        </is>
      </c>
      <c r="C3" s="96" t="inlineStr">
        <is>
          <t>KMTP</t>
        </is>
      </c>
      <c r="D3" s="96" t="inlineStr">
        <is>
          <t>2612N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KRPUS</t>
        </is>
      </c>
      <c r="J3" s="96" t="inlineStr">
        <is>
          <t>JPAXT</t>
        </is>
      </c>
      <c r="K3" s="96" t="inlineStr">
        <is>
          <t>F</t>
        </is>
      </c>
      <c r="L3" s="96" t="inlineStr">
        <is>
          <t>ONE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HASLS22260900339</t>
        </is>
      </c>
      <c r="R3" s="96" t="inlineStr">
        <is>
          <t>Y</t>
        </is>
      </c>
      <c r="S3" s="96" t="inlineStr">
        <is>
          <t>N</t>
        </is>
      </c>
      <c r="T3" s="96" t="inlineStr">
        <is>
          <t>VTS</t>
        </is>
      </c>
      <c r="U3" s="97" t="n"/>
      <c r="V3" s="96" t="inlineStr">
        <is>
          <t>K0120021</t>
        </is>
      </c>
      <c r="W3" s="96" t="inlineStr">
        <is>
          <t>ALUCON PUBLIC COMPANY LIMITED</t>
        </is>
      </c>
      <c r="X3" s="96" t="inlineStr">
        <is>
          <t>VED</t>
        </is>
      </c>
      <c r="Y3" s="96" t="inlineStr">
        <is>
          <t>HEIWA KINZOKU CO., LTD.</t>
        </is>
      </c>
      <c r="Z3" s="96" t="inlineStr">
        <is>
          <t>FC STANDARD LOGISTICS CO., LTD.</t>
        </is>
      </c>
      <c r="AA3" s="97" t="n">
        <v>20594</v>
      </c>
      <c r="AB3" s="96" t="inlineStr">
        <is>
          <t>LCH04</t>
        </is>
      </c>
      <c r="AC3" s="96" t="inlineStr">
        <is>
          <t>AXT01</t>
        </is>
      </c>
    </row>
    <row r="4" ht="12" customHeight="1">
      <c r="A4" s="96" t="inlineStr">
        <is>
          <t>FCIU7279540</t>
        </is>
      </c>
      <c r="B4" s="161" t="inlineStr">
        <is>
          <t>2026-10-16</t>
        </is>
      </c>
      <c r="C4" s="96" t="inlineStr">
        <is>
          <t>KMTP</t>
        </is>
      </c>
      <c r="D4" s="96" t="inlineStr">
        <is>
          <t>2612N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HKHKG</t>
        </is>
      </c>
      <c r="J4" s="96" t="inlineStr">
        <is>
          <t>CNJUJ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HASLS22261000793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VTS</t>
        </is>
      </c>
      <c r="U4" s="97" t="n"/>
      <c r="V4" s="96" t="inlineStr">
        <is>
          <t>SHA17L10</t>
        </is>
      </c>
      <c r="W4" s="96" t="inlineStr">
        <is>
          <t>TLS STEEL CO.,LTD.</t>
        </is>
      </c>
      <c r="X4" s="96" t="inlineStr">
        <is>
          <t>VFD</t>
        </is>
      </c>
      <c r="Y4" s="96" t="inlineStr">
        <is>
          <t>QINGYUAN CITY DINGCHENG</t>
        </is>
      </c>
      <c r="Z4" s="96" t="inlineStr">
        <is>
          <t>JI YE CHANG QING LIMITED</t>
        </is>
      </c>
      <c r="AA4" s="97" t="n">
        <v>27630</v>
      </c>
      <c r="AB4" s="96" t="inlineStr">
        <is>
          <t>LCH04</t>
        </is>
      </c>
      <c r="AC4" s="96" t="inlineStr">
        <is>
          <t>HKG03</t>
        </is>
      </c>
    </row>
    <row r="5" ht="12" customHeight="1">
      <c r="A5" s="96" t="inlineStr">
        <is>
          <t>GCXU6008721</t>
        </is>
      </c>
      <c r="B5" s="161" t="inlineStr">
        <is>
          <t>2026-10-16</t>
        </is>
      </c>
      <c r="C5" s="96" t="inlineStr">
        <is>
          <t>KMTP</t>
        </is>
      </c>
      <c r="D5" s="96" t="inlineStr">
        <is>
          <t>2612N</t>
        </is>
      </c>
      <c r="E5" s="96" t="inlineStr">
        <is>
          <t>45GP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HKHKG</t>
        </is>
      </c>
      <c r="J5" s="96" t="inlineStr">
        <is>
          <t>CNJUJ</t>
        </is>
      </c>
      <c r="K5" s="96" t="inlineStr">
        <is>
          <t>F</t>
        </is>
      </c>
      <c r="L5" s="96" t="inlineStr">
        <is>
          <t>ONE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HASLS22261000791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VTS</t>
        </is>
      </c>
      <c r="U5" s="97" t="n"/>
      <c r="V5" s="96" t="inlineStr">
        <is>
          <t>K0120023</t>
        </is>
      </c>
      <c r="W5" s="96" t="inlineStr">
        <is>
          <t>TLS STEEL CO.,LTD.</t>
        </is>
      </c>
      <c r="X5" s="96" t="inlineStr">
        <is>
          <t>VED</t>
        </is>
      </c>
      <c r="Y5" s="96" t="inlineStr">
        <is>
          <t>QINGYUAN CITY DINGCHENG</t>
        </is>
      </c>
      <c r="Z5" s="96" t="inlineStr">
        <is>
          <t>JI YE CHANG QING LIMITED</t>
        </is>
      </c>
      <c r="AA5" s="97" t="n">
        <v>27840</v>
      </c>
      <c r="AB5" s="96" t="inlineStr">
        <is>
          <t>LCH04</t>
        </is>
      </c>
      <c r="AC5" s="96" t="inlineStr">
        <is>
          <t>HKG03</t>
        </is>
      </c>
    </row>
    <row r="6" ht="12" customHeight="1">
      <c r="A6" s="96" t="inlineStr">
        <is>
          <t>HALU2039105</t>
        </is>
      </c>
      <c r="B6" s="161" t="inlineStr">
        <is>
          <t>2026-10-16</t>
        </is>
      </c>
      <c r="C6" s="96" t="inlineStr">
        <is>
          <t>KMTP</t>
        </is>
      </c>
      <c r="D6" s="96" t="inlineStr">
        <is>
          <t>2612N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HKHKG</t>
        </is>
      </c>
      <c r="J6" s="96" t="inlineStr">
        <is>
          <t>CNLIH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HASLS22260802613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VTS</t>
        </is>
      </c>
      <c r="U6" s="97" t="n"/>
      <c r="V6" s="96" t="inlineStr">
        <is>
          <t>TXG14011</t>
        </is>
      </c>
      <c r="W6" s="96" t="inlineStr">
        <is>
          <t>PTT GLOBAL CHEMICAL PUBLIC COMPANY</t>
        </is>
      </c>
      <c r="X6" s="96" t="inlineStr">
        <is>
          <t>VFD</t>
        </is>
      </c>
      <c r="Y6" s="96" t="inlineStr">
        <is>
          <t>TO THE ORDER OF THE SHIPPER</t>
        </is>
      </c>
      <c r="Z6" s="96" t="inlineStr">
        <is>
          <t>SECURE (HONG KONG) PACKAGING</t>
        </is>
      </c>
      <c r="AA6" s="97" t="n">
        <v>18108</v>
      </c>
      <c r="AB6" s="96" t="inlineStr">
        <is>
          <t>LCH04</t>
        </is>
      </c>
      <c r="AC6" s="96" t="inlineStr">
        <is>
          <t>HKG03</t>
        </is>
      </c>
    </row>
    <row r="7" ht="12" customHeight="1">
      <c r="A7" s="96" t="inlineStr">
        <is>
          <t>HALU2092049</t>
        </is>
      </c>
      <c r="B7" s="161" t="inlineStr">
        <is>
          <t>2026-10-16</t>
        </is>
      </c>
      <c r="C7" s="96" t="inlineStr">
        <is>
          <t>KMTP</t>
        </is>
      </c>
      <c r="D7" s="96" t="inlineStr">
        <is>
          <t>2612N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CNXMN</t>
        </is>
      </c>
      <c r="J7" s="96" t="inlineStr">
        <is>
          <t>CNXMN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HASLS22260901216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VTS</t>
        </is>
      </c>
      <c r="U7" s="97" t="n"/>
      <c r="V7" s="96" t="inlineStr">
        <is>
          <t>TXG15010</t>
        </is>
      </c>
      <c r="W7" s="96" t="inlineStr">
        <is>
          <t>THAI POLYCARBONATE CO.,LTD.</t>
        </is>
      </c>
      <c r="X7" s="96" t="inlineStr">
        <is>
          <t>VED</t>
        </is>
      </c>
      <c r="Y7" s="96" t="inlineStr">
        <is>
          <t>KM PLASTICS (GUANGZHOU) LIMITED</t>
        </is>
      </c>
      <c r="Z7" s="96" t="inlineStr">
        <is>
          <t>KM PLASTICS (GUANGZHOU) LIMITED</t>
        </is>
      </c>
      <c r="AA7" s="97" t="n">
        <v>16432</v>
      </c>
      <c r="AB7" s="96" t="inlineStr">
        <is>
          <t>LCH04</t>
        </is>
      </c>
      <c r="AC7" s="96" t="inlineStr">
        <is>
          <t>XMN01</t>
        </is>
      </c>
    </row>
    <row r="8" ht="12" customHeight="1">
      <c r="A8" s="96" t="inlineStr">
        <is>
          <t>HLHU8107368</t>
        </is>
      </c>
      <c r="B8" s="161" t="inlineStr">
        <is>
          <t>2026-10-16</t>
        </is>
      </c>
      <c r="C8" s="96" t="inlineStr">
        <is>
          <t>KMTP</t>
        </is>
      </c>
      <c r="D8" s="96" t="inlineStr">
        <is>
          <t>2612N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CNXMN</t>
        </is>
      </c>
      <c r="J8" s="96" t="inlineStr">
        <is>
          <t>CNXMN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HASLS22260902603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VTS</t>
        </is>
      </c>
      <c r="U8" s="97" t="n"/>
      <c r="V8" s="96" t="inlineStr">
        <is>
          <t>C0121003</t>
        </is>
      </c>
      <c r="W8" s="96" t="inlineStr">
        <is>
          <t>SADESA (THAILAND) CO., LTD.</t>
        </is>
      </c>
      <c r="X8" s="96" t="inlineStr">
        <is>
          <t>VFD</t>
        </is>
      </c>
      <c r="Y8" s="96" t="inlineStr">
        <is>
          <t>FUJIAN LIFENG FOOTWEAR INDUSTRIAL</t>
        </is>
      </c>
      <c r="Z8" s="96" t="inlineStr">
        <is>
          <t>PANDA SUPPLY CHAIN SERVICE CO.,LTD.</t>
        </is>
      </c>
      <c r="AA8" s="97" t="n">
        <v>12897</v>
      </c>
      <c r="AB8" s="96" t="inlineStr">
        <is>
          <t>LCH04</t>
        </is>
      </c>
      <c r="AC8" s="96" t="inlineStr">
        <is>
          <t>XMN01</t>
        </is>
      </c>
    </row>
    <row r="9" ht="12" customHeight="1">
      <c r="A9" s="96" t="inlineStr">
        <is>
          <t>HLHU8110696</t>
        </is>
      </c>
      <c r="B9" s="161" t="inlineStr">
        <is>
          <t>2026-10-16</t>
        </is>
      </c>
      <c r="C9" s="96" t="inlineStr">
        <is>
          <t>KMTP</t>
        </is>
      </c>
      <c r="D9" s="96" t="inlineStr">
        <is>
          <t>2612N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CNJUJ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HASLS22261000793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VTS</t>
        </is>
      </c>
      <c r="U9" s="97" t="n"/>
      <c r="V9" s="96" t="inlineStr">
        <is>
          <t>C0521004</t>
        </is>
      </c>
      <c r="W9" s="96" t="inlineStr">
        <is>
          <t>TLS STEEL CO.,LTD.</t>
        </is>
      </c>
      <c r="X9" s="96" t="inlineStr">
        <is>
          <t>VFD</t>
        </is>
      </c>
      <c r="Y9" s="96" t="inlineStr">
        <is>
          <t>QINGYUAN CITY DINGCHENG</t>
        </is>
      </c>
      <c r="Z9" s="96" t="inlineStr">
        <is>
          <t>JI YE CHANG QING LIMITED</t>
        </is>
      </c>
      <c r="AA9" s="97" t="n">
        <v>27690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SKHU6449538</t>
        </is>
      </c>
      <c r="B10" s="161" t="inlineStr">
        <is>
          <t>2026-10-16</t>
        </is>
      </c>
      <c r="C10" s="96" t="inlineStr">
        <is>
          <t>KMTP</t>
        </is>
      </c>
      <c r="D10" s="96" t="inlineStr">
        <is>
          <t>2612N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HASLS22260901361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VTS</t>
        </is>
      </c>
      <c r="U10" s="97" t="n"/>
      <c r="V10" s="96" t="inlineStr">
        <is>
          <t>K0120023</t>
        </is>
      </c>
      <c r="W10" s="96" t="inlineStr">
        <is>
          <t>NIPPON EXPRESS LOGISTICS</t>
        </is>
      </c>
      <c r="X10" s="96" t="inlineStr">
        <is>
          <t>VFD</t>
        </is>
      </c>
      <c r="Y10" s="96" t="inlineStr">
        <is>
          <t>NIPPON EXPRESS (H.K.) CO.,LTD.</t>
        </is>
      </c>
      <c r="Z10" s="96" t="inlineStr">
        <is>
          <t>NIPPON EXPRESS (H.K.) CO.,LTD.</t>
        </is>
      </c>
      <c r="AA10" s="97" t="n">
        <v>5435.9</v>
      </c>
      <c r="AB10" s="96" t="inlineStr">
        <is>
          <t>LCH04</t>
        </is>
      </c>
      <c r="AC10" s="96" t="inlineStr">
        <is>
          <t>HKG03</t>
        </is>
      </c>
    </row>
    <row r="11" ht="12" customHeight="1">
      <c r="A11" s="96" t="inlineStr">
        <is>
          <t>SKHU6621565</t>
        </is>
      </c>
      <c r="B11" s="161" t="inlineStr">
        <is>
          <t>2026-10-16</t>
        </is>
      </c>
      <c r="C11" s="96" t="inlineStr">
        <is>
          <t>KMTP</t>
        </is>
      </c>
      <c r="D11" s="96" t="inlineStr">
        <is>
          <t>2612N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HASLS22260800651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VTS</t>
        </is>
      </c>
      <c r="U11" s="97" t="n"/>
      <c r="V11" s="96" t="inlineStr">
        <is>
          <t>K0120023</t>
        </is>
      </c>
      <c r="W11" s="96" t="inlineStr">
        <is>
          <t>NIPPON EXPRESS LOGISTICS</t>
        </is>
      </c>
      <c r="X11" s="96" t="inlineStr">
        <is>
          <t>VFD</t>
        </is>
      </c>
      <c r="Y11" s="96" t="inlineStr">
        <is>
          <t>NIPPON EXPRESS (H.K.) CO.,LTD.</t>
        </is>
      </c>
      <c r="Z11" s="96" t="inlineStr">
        <is>
          <t>NIPPON EXPRESS (H.K.) CO.,LTD.</t>
        </is>
      </c>
      <c r="AA11" s="97" t="n">
        <v>5957.2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SKHU9302406</t>
        </is>
      </c>
      <c r="B12" s="161" t="inlineStr">
        <is>
          <t>2026-10-16</t>
        </is>
      </c>
      <c r="C12" s="96" t="inlineStr">
        <is>
          <t>KMTP</t>
        </is>
      </c>
      <c r="D12" s="96" t="inlineStr">
        <is>
          <t>2612N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HASLS22260900701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VTS</t>
        </is>
      </c>
      <c r="U12" s="97" t="n"/>
      <c r="V12" s="96" t="inlineStr">
        <is>
          <t>K0120023</t>
        </is>
      </c>
      <c r="W12" s="96" t="inlineStr">
        <is>
          <t>YUSEN LOGISTICS (THAILAND) CO., LTD</t>
        </is>
      </c>
      <c r="X12" s="96" t="inlineStr">
        <is>
          <t>VFD</t>
        </is>
      </c>
      <c r="Y12" s="96" t="inlineStr">
        <is>
          <t>YUSEN LOGISTICS (HONG KONG) LTD.</t>
        </is>
      </c>
      <c r="Z12" s="96" t="inlineStr">
        <is>
          <t>YUSEN LOGISTICS (HONG KONG) LTD.</t>
        </is>
      </c>
      <c r="AA12" s="97" t="n">
        <v>16400</v>
      </c>
      <c r="AB12" s="96" t="inlineStr">
        <is>
          <t>LCH04</t>
        </is>
      </c>
      <c r="AC12" s="96" t="inlineStr">
        <is>
          <t>HKG03</t>
        </is>
      </c>
    </row>
    <row r="13" ht="12" customHeight="1">
      <c r="A13" s="96" t="inlineStr">
        <is>
          <t>SKHU9403870</t>
        </is>
      </c>
      <c r="B13" s="161" t="inlineStr">
        <is>
          <t>2026-10-16</t>
        </is>
      </c>
      <c r="C13" s="96" t="inlineStr">
        <is>
          <t>KMTP</t>
        </is>
      </c>
      <c r="D13" s="96" t="inlineStr">
        <is>
          <t>2612N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HASLS22260900701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VTS</t>
        </is>
      </c>
      <c r="U13" s="97" t="n"/>
      <c r="V13" s="96" t="inlineStr">
        <is>
          <t>K0120023</t>
        </is>
      </c>
      <c r="W13" s="96" t="inlineStr">
        <is>
          <t>YUSEN LOGISTICS (THAILAND) CO., LTD</t>
        </is>
      </c>
      <c r="X13" s="96" t="inlineStr">
        <is>
          <t>VED</t>
        </is>
      </c>
      <c r="Y13" s="96" t="inlineStr">
        <is>
          <t>YUSEN LOGISTICS (HONG KONG) LTD.</t>
        </is>
      </c>
      <c r="Z13" s="96" t="inlineStr">
        <is>
          <t>YUSEN LOGISTICS (HONG KONG) LTD.</t>
        </is>
      </c>
      <c r="AA13" s="97" t="n">
        <v>16400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SKHU9527824</t>
        </is>
      </c>
      <c r="B14" s="161" t="inlineStr">
        <is>
          <t>2026-10-16</t>
        </is>
      </c>
      <c r="C14" s="96" t="inlineStr">
        <is>
          <t>KMTP</t>
        </is>
      </c>
      <c r="D14" s="96" t="inlineStr">
        <is>
          <t>2612N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HASLS22260900701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VTS</t>
        </is>
      </c>
      <c r="U14" s="97" t="n"/>
      <c r="V14" s="96" t="inlineStr">
        <is>
          <t>K0120023</t>
        </is>
      </c>
      <c r="W14" s="96" t="inlineStr">
        <is>
          <t>YUSEN LOGISTICS (THAILAND) CO., LTD</t>
        </is>
      </c>
      <c r="X14" s="96" t="inlineStr">
        <is>
          <t>VED</t>
        </is>
      </c>
      <c r="Y14" s="96" t="inlineStr">
        <is>
          <t>YUSEN LOGISTICS (HONG KONG) LTD.</t>
        </is>
      </c>
      <c r="Z14" s="96" t="inlineStr">
        <is>
          <t>YUSEN LOGISTICS (HONG KONG) LTD.</t>
        </is>
      </c>
      <c r="AA14" s="97" t="n">
        <v>16400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SKHU9543614</t>
        </is>
      </c>
      <c r="B15" s="161" t="inlineStr">
        <is>
          <t>2026-10-16</t>
        </is>
      </c>
      <c r="C15" s="96" t="inlineStr">
        <is>
          <t>KMTP</t>
        </is>
      </c>
      <c r="D15" s="96" t="inlineStr">
        <is>
          <t>2612N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HASLS22260900701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VTS</t>
        </is>
      </c>
      <c r="U15" s="97" t="n"/>
      <c r="V15" s="96" t="inlineStr">
        <is>
          <t>K0120023</t>
        </is>
      </c>
      <c r="W15" s="96" t="inlineStr">
        <is>
          <t>YUSEN LOGISTICS (THAILAND) CO., LTD</t>
        </is>
      </c>
      <c r="X15" s="96" t="inlineStr">
        <is>
          <t>VFD</t>
        </is>
      </c>
      <c r="Y15" s="96" t="inlineStr">
        <is>
          <t>YUSEN LOGISTICS (HONG KONG) LTD.</t>
        </is>
      </c>
      <c r="Z15" s="96" t="inlineStr">
        <is>
          <t>YUSEN LOGISTICS (HONG KONG) LTD.</t>
        </is>
      </c>
      <c r="AA15" s="97" t="n">
        <v>16400</v>
      </c>
      <c r="AB15" s="96" t="inlineStr">
        <is>
          <t>LCH04</t>
        </is>
      </c>
      <c r="AC15" s="96" t="inlineStr">
        <is>
          <t>HKG03</t>
        </is>
      </c>
    </row>
    <row r="16" ht="12" customHeight="1">
      <c r="A16" s="96" t="inlineStr">
        <is>
          <t>SKHU9809983</t>
        </is>
      </c>
      <c r="B16" s="161" t="inlineStr">
        <is>
          <t>2026-10-16</t>
        </is>
      </c>
      <c r="C16" s="96" t="inlineStr">
        <is>
          <t>KMTP</t>
        </is>
      </c>
      <c r="D16" s="96" t="inlineStr">
        <is>
          <t>2612N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HASLS22260900701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VTS</t>
        </is>
      </c>
      <c r="U16" s="97" t="n"/>
      <c r="V16" s="96" t="inlineStr">
        <is>
          <t>K0120023</t>
        </is>
      </c>
      <c r="W16" s="96" t="inlineStr">
        <is>
          <t>YUSEN LOGISTICS (THAILAND) CO., LTD</t>
        </is>
      </c>
      <c r="X16" s="96" t="inlineStr">
        <is>
          <t>VFD</t>
        </is>
      </c>
      <c r="Y16" s="96" t="inlineStr">
        <is>
          <t>YUSEN LOGISTICS (HONG KONG) LTD.</t>
        </is>
      </c>
      <c r="Z16" s="96" t="inlineStr">
        <is>
          <t>YUSEN LOGISTICS (HONG KONG) LTD.</t>
        </is>
      </c>
      <c r="AA16" s="97" t="n">
        <v>16400</v>
      </c>
      <c r="AB16" s="96" t="inlineStr">
        <is>
          <t>LCH04</t>
        </is>
      </c>
      <c r="AC16" s="96" t="inlineStr">
        <is>
          <t>HKG03</t>
        </is>
      </c>
    </row>
    <row r="17" ht="12" customHeight="1">
      <c r="A17" s="96" t="inlineStr">
        <is>
          <t>SKHU9824930</t>
        </is>
      </c>
      <c r="B17" s="161" t="inlineStr">
        <is>
          <t>2026-10-16</t>
        </is>
      </c>
      <c r="C17" s="96" t="inlineStr">
        <is>
          <t>KMTP</t>
        </is>
      </c>
      <c r="D17" s="96" t="inlineStr">
        <is>
          <t>2612N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HASLS22260900701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VTS</t>
        </is>
      </c>
      <c r="U17" s="97" t="n"/>
      <c r="V17" s="96" t="inlineStr">
        <is>
          <t>K0120023</t>
        </is>
      </c>
      <c r="W17" s="96" t="inlineStr">
        <is>
          <t>YUSEN LOGISTICS (THAILAND) CO., LTD</t>
        </is>
      </c>
      <c r="X17" s="96" t="inlineStr">
        <is>
          <t>VFD</t>
        </is>
      </c>
      <c r="Y17" s="96" t="inlineStr">
        <is>
          <t>YUSEN LOGISTICS (HONG KONG) LTD.</t>
        </is>
      </c>
      <c r="Z17" s="96" t="inlineStr">
        <is>
          <t>YUSEN LOGISTICS (HONG KONG) LTD.</t>
        </is>
      </c>
      <c r="AA17" s="97" t="n">
        <v>16400</v>
      </c>
      <c r="AB17" s="96" t="inlineStr">
        <is>
          <t>LCH04</t>
        </is>
      </c>
      <c r="AC17" s="96" t="inlineStr">
        <is>
          <t>HKG03</t>
        </is>
      </c>
    </row>
    <row r="18" ht="12" customHeight="1">
      <c r="A18" s="96" t="inlineStr">
        <is>
          <t>SKHU9938677</t>
        </is>
      </c>
      <c r="B18" s="161" t="inlineStr">
        <is>
          <t>2026-10-16</t>
        </is>
      </c>
      <c r="C18" s="96" t="inlineStr">
        <is>
          <t>KMTP</t>
        </is>
      </c>
      <c r="D18" s="96" t="inlineStr">
        <is>
          <t>2612N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HKHKG</t>
        </is>
      </c>
      <c r="J18" s="96" t="inlineStr">
        <is>
          <t>HKHKG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HASLS22260900701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VTS</t>
        </is>
      </c>
      <c r="U18" s="97" t="n"/>
      <c r="V18" s="96" t="inlineStr">
        <is>
          <t>K0120023</t>
        </is>
      </c>
      <c r="W18" s="96" t="inlineStr">
        <is>
          <t>YUSEN LOGISTICS (THAILAND) CO., LTD</t>
        </is>
      </c>
      <c r="X18" s="96" t="inlineStr">
        <is>
          <t>VFD</t>
        </is>
      </c>
      <c r="Y18" s="96" t="inlineStr">
        <is>
          <t>YUSEN LOGISTICS (HONG KONG) LTD.</t>
        </is>
      </c>
      <c r="Z18" s="96" t="inlineStr">
        <is>
          <t>YUSEN LOGISTICS (HONG KONG) LTD.</t>
        </is>
      </c>
      <c r="AA18" s="97" t="n">
        <v>16400</v>
      </c>
      <c r="AB18" s="96" t="inlineStr">
        <is>
          <t>LCH04</t>
        </is>
      </c>
      <c r="AC18" s="96" t="inlineStr">
        <is>
          <t>HKG03</t>
        </is>
      </c>
    </row>
    <row r="19" ht="12" customHeight="1">
      <c r="A19" s="96" t="inlineStr">
        <is>
          <t>SKLU1113575</t>
        </is>
      </c>
      <c r="B19" s="161" t="inlineStr">
        <is>
          <t>2026-10-16</t>
        </is>
      </c>
      <c r="C19" s="96" t="inlineStr">
        <is>
          <t>KMTP</t>
        </is>
      </c>
      <c r="D19" s="96" t="inlineStr">
        <is>
          <t>2612N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CNXMN</t>
        </is>
      </c>
      <c r="J19" s="96" t="inlineStr">
        <is>
          <t>CNXMN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HASLS22260901216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VTS</t>
        </is>
      </c>
      <c r="U19" s="97" t="n"/>
      <c r="V19" s="96" t="inlineStr">
        <is>
          <t>K0120021</t>
        </is>
      </c>
      <c r="W19" s="96" t="inlineStr">
        <is>
          <t>THAI POLYCARBONATE CO.,LTD.</t>
        </is>
      </c>
      <c r="X19" s="96" t="inlineStr">
        <is>
          <t>VFD</t>
        </is>
      </c>
      <c r="Y19" s="96" t="inlineStr">
        <is>
          <t>KM PLASTICS (GUANGZHOU) LIMITED</t>
        </is>
      </c>
      <c r="Z19" s="96" t="inlineStr">
        <is>
          <t>KM PLASTICS (GUANGZHOU) LIMITED</t>
        </is>
      </c>
      <c r="AA19" s="97" t="n">
        <v>16432</v>
      </c>
      <c r="AB19" s="96" t="inlineStr">
        <is>
          <t>LCH04</t>
        </is>
      </c>
      <c r="AC19" s="96" t="inlineStr">
        <is>
          <t>XMN01</t>
        </is>
      </c>
    </row>
    <row r="20" ht="12" customHeight="1">
      <c r="A20" s="96" t="inlineStr">
        <is>
          <t>SKLU1114397</t>
        </is>
      </c>
      <c r="B20" s="161" t="inlineStr">
        <is>
          <t>2026-10-16</t>
        </is>
      </c>
      <c r="C20" s="96" t="inlineStr">
        <is>
          <t>KMTP</t>
        </is>
      </c>
      <c r="D20" s="96" t="inlineStr">
        <is>
          <t>2612N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HKHKG</t>
        </is>
      </c>
      <c r="J20" s="96" t="inlineStr">
        <is>
          <t>CNLIH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HASLS22260802613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VTS</t>
        </is>
      </c>
      <c r="U20" s="97" t="n"/>
      <c r="V20" s="96" t="inlineStr">
        <is>
          <t>K0120021</t>
        </is>
      </c>
      <c r="W20" s="96" t="inlineStr">
        <is>
          <t>PTT GLOBAL CHEMICAL PUBLIC COMPANY</t>
        </is>
      </c>
      <c r="X20" s="96" t="inlineStr">
        <is>
          <t>VFD</t>
        </is>
      </c>
      <c r="Y20" s="96" t="inlineStr">
        <is>
          <t>TO THE ORDER OF THE SHIPPER</t>
        </is>
      </c>
      <c r="Z20" s="96" t="inlineStr">
        <is>
          <t>SECURE (HONG KONG) PACKAGING</t>
        </is>
      </c>
      <c r="AA20" s="97" t="n">
        <v>18108</v>
      </c>
      <c r="AB20" s="96" t="inlineStr">
        <is>
          <t>LCH04</t>
        </is>
      </c>
      <c r="AC20" s="96" t="inlineStr">
        <is>
          <t>HKG03</t>
        </is>
      </c>
    </row>
    <row r="21" ht="12" customHeight="1">
      <c r="A21" s="96" t="inlineStr">
        <is>
          <t>SKLU1312371</t>
        </is>
      </c>
      <c r="B21" s="161" t="inlineStr">
        <is>
          <t>2026-10-16</t>
        </is>
      </c>
      <c r="C21" s="96" t="inlineStr">
        <is>
          <t>KMTP</t>
        </is>
      </c>
      <c r="D21" s="96" t="inlineStr">
        <is>
          <t>2612N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CNXMN</t>
        </is>
      </c>
      <c r="J21" s="96" t="inlineStr">
        <is>
          <t>CNXMN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HASLS22261000048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VTS</t>
        </is>
      </c>
      <c r="U21" s="97" t="n"/>
      <c r="V21" s="96" t="inlineStr">
        <is>
          <t>K0120021</t>
        </is>
      </c>
      <c r="W21" s="96" t="inlineStr">
        <is>
          <t>EXTRA MARITIME CO.,LTD.</t>
        </is>
      </c>
      <c r="X21" s="96" t="inlineStr">
        <is>
          <t>VED</t>
        </is>
      </c>
      <c r="Y21" s="96" t="inlineStr">
        <is>
          <t>PROTERIAL (CHINA), LTD.</t>
        </is>
      </c>
      <c r="Z21" s="96" t="inlineStr">
        <is>
          <t>UNITEX INTERNATIONAL</t>
        </is>
      </c>
      <c r="AA21" s="97" t="n">
        <v>402.18</v>
      </c>
      <c r="AB21" s="96" t="inlineStr">
        <is>
          <t>LCH04</t>
        </is>
      </c>
      <c r="AC21" s="96" t="inlineStr">
        <is>
          <t>XMN01</t>
        </is>
      </c>
    </row>
    <row r="22" ht="12" customHeight="1">
      <c r="A22" s="96" t="inlineStr">
        <is>
          <t>SKLU1318575</t>
        </is>
      </c>
      <c r="B22" s="161" t="inlineStr">
        <is>
          <t>2026-10-16</t>
        </is>
      </c>
      <c r="C22" s="96" t="inlineStr">
        <is>
          <t>KMTP</t>
        </is>
      </c>
      <c r="D22" s="96" t="inlineStr">
        <is>
          <t>2612N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HKHKG</t>
        </is>
      </c>
      <c r="J22" s="96" t="inlineStr">
        <is>
          <t>HKHKG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LCH04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HASLS22261000346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VTS</t>
        </is>
      </c>
      <c r="U22" s="97" t="n"/>
      <c r="V22" s="96" t="inlineStr">
        <is>
          <t>K0120021</t>
        </is>
      </c>
      <c r="W22" s="96" t="inlineStr">
        <is>
          <t>GALAXY AUTOMOTIVE CO., LTD.</t>
        </is>
      </c>
      <c r="X22" s="96" t="inlineStr">
        <is>
          <t>VED</t>
        </is>
      </c>
      <c r="Y22" s="96" t="inlineStr">
        <is>
          <t>YUK CHEONG HONG CO., LTD.</t>
        </is>
      </c>
      <c r="Z22" s="96" t="inlineStr">
        <is>
          <t>YUK CHEONG HONG CO., LTD.</t>
        </is>
      </c>
      <c r="AA22" s="97" t="n">
        <v>4387.88</v>
      </c>
      <c r="AB22" s="96" t="inlineStr">
        <is>
          <t>LCH04</t>
        </is>
      </c>
      <c r="AC22" s="96" t="inlineStr">
        <is>
          <t>HKG03</t>
        </is>
      </c>
    </row>
    <row r="23" ht="12" customHeight="1">
      <c r="A23" s="96" t="inlineStr">
        <is>
          <t>SKLU1320696</t>
        </is>
      </c>
      <c r="B23" s="161" t="inlineStr">
        <is>
          <t>2026-10-16</t>
        </is>
      </c>
      <c r="C23" s="96" t="inlineStr">
        <is>
          <t>KMTP</t>
        </is>
      </c>
      <c r="D23" s="96" t="inlineStr">
        <is>
          <t>2612N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HKHKG</t>
        </is>
      </c>
      <c r="J23" s="96" t="inlineStr">
        <is>
          <t>HKHKG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LCH04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HASLS22260902371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VTS</t>
        </is>
      </c>
      <c r="U23" s="97" t="n"/>
      <c r="V23" s="96" t="inlineStr">
        <is>
          <t>K0120021</t>
        </is>
      </c>
      <c r="W23" s="96" t="inlineStr">
        <is>
          <t>DOUBLE A (1991) PUBLIC COMPANY</t>
        </is>
      </c>
      <c r="X23" s="96" t="inlineStr">
        <is>
          <t>VFD</t>
        </is>
      </c>
      <c r="Y23" s="96" t="inlineStr">
        <is>
          <t>TO ORDER</t>
        </is>
      </c>
      <c r="Z23" s="96" t="inlineStr">
        <is>
          <t>DOUBLE A INTERNATIONAL TRADING</t>
        </is>
      </c>
      <c r="AA23" s="97" t="n">
        <v>16819</v>
      </c>
      <c r="AB23" s="96" t="inlineStr">
        <is>
          <t>LCH04</t>
        </is>
      </c>
      <c r="AC23" s="96" t="inlineStr">
        <is>
          <t>HKG03</t>
        </is>
      </c>
    </row>
    <row r="24" ht="12" customHeight="1">
      <c r="A24" s="96" t="inlineStr">
        <is>
          <t>SKLU1340584</t>
        </is>
      </c>
      <c r="B24" s="161" t="inlineStr">
        <is>
          <t>2026-10-16</t>
        </is>
      </c>
      <c r="C24" s="96" t="inlineStr">
        <is>
          <t>KMTP</t>
        </is>
      </c>
      <c r="D24" s="96" t="inlineStr">
        <is>
          <t>2612N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HKHKG</t>
        </is>
      </c>
      <c r="J24" s="96" t="inlineStr">
        <is>
          <t>HKHKG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LCH04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HASLS22261000312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VTS</t>
        </is>
      </c>
      <c r="U24" s="97" t="n"/>
      <c r="V24" s="96" t="inlineStr">
        <is>
          <t>K0120021</t>
        </is>
      </c>
      <c r="W24" s="96" t="inlineStr">
        <is>
          <t>AGC VINYTHAI PUBLIC COMPANY LIMITED</t>
        </is>
      </c>
      <c r="X24" s="96" t="inlineStr">
        <is>
          <t>VED</t>
        </is>
      </c>
      <c r="Y24" s="96" t="inlineStr">
        <is>
          <t>G.T.C. CHEMICALS (CHINA) LTD.</t>
        </is>
      </c>
      <c r="Z24" s="96" t="inlineStr">
        <is>
          <t>G.T.C. CHEMICALS (CHINA) LTD.</t>
        </is>
      </c>
      <c r="AA24" s="97" t="n">
        <v>24960</v>
      </c>
      <c r="AB24" s="96" t="inlineStr">
        <is>
          <t>LCH04</t>
        </is>
      </c>
      <c r="AC24" s="96" t="inlineStr">
        <is>
          <t>HKG03</t>
        </is>
      </c>
    </row>
    <row r="25" ht="12" customHeight="1">
      <c r="A25" s="96" t="inlineStr">
        <is>
          <t>SKLU1344208</t>
        </is>
      </c>
      <c r="B25" s="161" t="inlineStr">
        <is>
          <t>2026-10-16</t>
        </is>
      </c>
      <c r="C25" s="96" t="inlineStr">
        <is>
          <t>KMTP</t>
        </is>
      </c>
      <c r="D25" s="96" t="inlineStr">
        <is>
          <t>2612N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CNXMN</t>
        </is>
      </c>
      <c r="J25" s="96" t="inlineStr">
        <is>
          <t>CNXMN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LCH04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HASLS22260901216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VTS</t>
        </is>
      </c>
      <c r="U25" s="97" t="n"/>
      <c r="V25" s="96" t="inlineStr">
        <is>
          <t>K0120021</t>
        </is>
      </c>
      <c r="W25" s="96" t="inlineStr">
        <is>
          <t>THAI POLYCARBONATE CO.,LTD.</t>
        </is>
      </c>
      <c r="X25" s="96" t="inlineStr">
        <is>
          <t>VED</t>
        </is>
      </c>
      <c r="Y25" s="96" t="inlineStr">
        <is>
          <t>KM PLASTICS (GUANGZHOU) LIMITED</t>
        </is>
      </c>
      <c r="Z25" s="96" t="inlineStr">
        <is>
          <t>KM PLASTICS (GUANGZHOU) LIMITED</t>
        </is>
      </c>
      <c r="AA25" s="97" t="n">
        <v>16432</v>
      </c>
      <c r="AB25" s="96" t="inlineStr">
        <is>
          <t>LCH04</t>
        </is>
      </c>
      <c r="AC25" s="96" t="inlineStr">
        <is>
          <t>XMN01</t>
        </is>
      </c>
    </row>
    <row r="26" ht="12" customHeight="1">
      <c r="A26" s="96" t="inlineStr">
        <is>
          <t>SKLU1441384</t>
        </is>
      </c>
      <c r="B26" s="161" t="inlineStr">
        <is>
          <t>2026-10-16</t>
        </is>
      </c>
      <c r="C26" s="96" t="inlineStr">
        <is>
          <t>KMTP</t>
        </is>
      </c>
      <c r="D26" s="96" t="inlineStr">
        <is>
          <t>2612N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HKHKG</t>
        </is>
      </c>
      <c r="J26" s="96" t="inlineStr">
        <is>
          <t>HKHKG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LCH04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HASLS22261000750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VTS</t>
        </is>
      </c>
      <c r="U26" s="97" t="n"/>
      <c r="V26" s="96" t="inlineStr">
        <is>
          <t>K0120021</t>
        </is>
      </c>
      <c r="W26" s="96" t="inlineStr">
        <is>
          <t>IRPC PUBLIC COMPANY LIMITED</t>
        </is>
      </c>
      <c r="X26" s="96" t="inlineStr">
        <is>
          <t>VFD</t>
        </is>
      </c>
      <c r="Y26" s="96" t="inlineStr">
        <is>
          <t>TO ORDER OF SOLID GOLD INDUSTRIES</t>
        </is>
      </c>
      <c r="Z26" s="96" t="inlineStr">
        <is>
          <t>SOLID GOLD INDUSTRIES (HK) LIMITED</t>
        </is>
      </c>
      <c r="AA26" s="97" t="n">
        <v>16599</v>
      </c>
      <c r="AB26" s="96" t="inlineStr">
        <is>
          <t>LCH04</t>
        </is>
      </c>
      <c r="AC26" s="96" t="inlineStr">
        <is>
          <t>HKG03</t>
        </is>
      </c>
    </row>
    <row r="27" ht="12" customHeight="1">
      <c r="A27" s="96" t="inlineStr">
        <is>
          <t>SKLU1935622</t>
        </is>
      </c>
      <c r="B27" s="161" t="inlineStr">
        <is>
          <t>2026-10-16</t>
        </is>
      </c>
      <c r="C27" s="96" t="inlineStr">
        <is>
          <t>KMTP</t>
        </is>
      </c>
      <c r="D27" s="96" t="inlineStr">
        <is>
          <t>2612N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HKHKG</t>
        </is>
      </c>
      <c r="J27" s="96" t="inlineStr">
        <is>
          <t>CNLIH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LCH04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HASLS22260802613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VTS</t>
        </is>
      </c>
      <c r="U27" s="97" t="n"/>
      <c r="V27" s="96" t="inlineStr">
        <is>
          <t>K0120021</t>
        </is>
      </c>
      <c r="W27" s="96" t="inlineStr">
        <is>
          <t>PTT GLOBAL CHEMICAL PUBLIC COMPANY</t>
        </is>
      </c>
      <c r="X27" s="96" t="inlineStr">
        <is>
          <t>VFD</t>
        </is>
      </c>
      <c r="Y27" s="96" t="inlineStr">
        <is>
          <t>TO THE ORDER OF THE SHIPPER</t>
        </is>
      </c>
      <c r="Z27" s="96" t="inlineStr">
        <is>
          <t>SECURE (HONG KONG) PACKAGING</t>
        </is>
      </c>
      <c r="AA27" s="97" t="n">
        <v>18108</v>
      </c>
      <c r="AB27" s="96" t="inlineStr">
        <is>
          <t>LCH04</t>
        </is>
      </c>
      <c r="AC27" s="96" t="inlineStr">
        <is>
          <t>HKG03</t>
        </is>
      </c>
    </row>
    <row r="28" ht="12" customHeight="1">
      <c r="A28" s="96" t="inlineStr">
        <is>
          <t>SKLU2435703</t>
        </is>
      </c>
      <c r="B28" s="161" t="inlineStr">
        <is>
          <t>2026-10-16</t>
        </is>
      </c>
      <c r="C28" s="96" t="inlineStr">
        <is>
          <t>KMTP</t>
        </is>
      </c>
      <c r="D28" s="96" t="inlineStr">
        <is>
          <t>2612N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HKHKG</t>
        </is>
      </c>
      <c r="J28" s="96" t="inlineStr">
        <is>
          <t>CNHUA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LCH04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HASLS22261000759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VTS</t>
        </is>
      </c>
      <c r="U28" s="97" t="n"/>
      <c r="V28" s="96" t="inlineStr">
        <is>
          <t>K0120021</t>
        </is>
      </c>
      <c r="W28" s="96" t="inlineStr">
        <is>
          <t>SIAM I-LOGISTICS LTD.</t>
        </is>
      </c>
      <c r="X28" s="96" t="inlineStr">
        <is>
          <t>VFD</t>
        </is>
      </c>
      <c r="Y28" s="96" t="inlineStr">
        <is>
          <t>ITOCHU LOGISTICS (HK) LTD.,</t>
        </is>
      </c>
      <c r="Z28" s="96" t="inlineStr">
        <is>
          <t>ITOCHU LOGISTICS (HK) LTD.,</t>
        </is>
      </c>
      <c r="AA28" s="97" t="n">
        <v>1579.48</v>
      </c>
      <c r="AB28" s="96" t="inlineStr">
        <is>
          <t>LCH04</t>
        </is>
      </c>
      <c r="AC28" s="96" t="inlineStr">
        <is>
          <t>HKG03</t>
        </is>
      </c>
    </row>
    <row r="29" ht="12" customHeight="1">
      <c r="A29" s="96" t="inlineStr">
        <is>
          <t>SKRU9903460</t>
        </is>
      </c>
      <c r="B29" s="161" t="inlineStr">
        <is>
          <t>2026-10-16</t>
        </is>
      </c>
      <c r="C29" s="96" t="inlineStr">
        <is>
          <t>KMTP</t>
        </is>
      </c>
      <c r="D29" s="96" t="inlineStr">
        <is>
          <t>2612N</t>
        </is>
      </c>
      <c r="E29" s="96" t="inlineStr">
        <is>
          <t>45RE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HKHKG</t>
        </is>
      </c>
      <c r="J29" s="96" t="inlineStr">
        <is>
          <t>HKHKG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LCH04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HASLS22261000830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VTS</t>
        </is>
      </c>
      <c r="U29" s="97" t="n"/>
      <c r="V29" s="96" t="inlineStr">
        <is>
          <t>K0120025</t>
        </is>
      </c>
      <c r="W29" s="96" t="inlineStr">
        <is>
          <t>SIAM PRESTIGE FRUIT CO.,LTD.</t>
        </is>
      </c>
      <c r="X29" s="96" t="inlineStr">
        <is>
          <t>VFD</t>
        </is>
      </c>
      <c r="Y29" s="96" t="inlineStr">
        <is>
          <t>GOLD JOIN TRADING LIMITED</t>
        </is>
      </c>
      <c r="Z29" s="96" t="inlineStr">
        <is>
          <t>GOLD JOIN TRADING LIMITED</t>
        </is>
      </c>
      <c r="AA29" s="97" t="n">
        <v>26395.95</v>
      </c>
      <c r="AB29" s="96" t="inlineStr">
        <is>
          <t>LCH04</t>
        </is>
      </c>
      <c r="AC29" s="96" t="inlineStr">
        <is>
          <t>HKG03</t>
        </is>
      </c>
    </row>
    <row r="30" ht="12" customHeight="1">
      <c r="A30" s="96" t="inlineStr">
        <is>
          <t>SZLU2021833</t>
        </is>
      </c>
      <c r="B30" s="161" t="inlineStr">
        <is>
          <t>2026-10-16</t>
        </is>
      </c>
      <c r="C30" s="96" t="inlineStr">
        <is>
          <t>KMTP</t>
        </is>
      </c>
      <c r="D30" s="96" t="inlineStr">
        <is>
          <t>2612N</t>
        </is>
      </c>
      <c r="E30" s="96" t="inlineStr">
        <is>
          <t>22RE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HKHKG</t>
        </is>
      </c>
      <c r="J30" s="96" t="inlineStr">
        <is>
          <t>HKHKG</t>
        </is>
      </c>
      <c r="K30" s="96" t="inlineStr">
        <is>
          <t>F</t>
        </is>
      </c>
      <c r="L30" s="96" t="inlineStr">
        <is>
          <t>L/T</t>
        </is>
      </c>
      <c r="M30" s="96" t="inlineStr">
        <is>
          <t>VFL</t>
        </is>
      </c>
      <c r="N30" s="96" t="inlineStr">
        <is>
          <t>LCH04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HASLS22261000788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VTS</t>
        </is>
      </c>
      <c r="U30" s="97" t="n"/>
      <c r="V30" s="96" t="inlineStr">
        <is>
          <t>TAO17L05</t>
        </is>
      </c>
      <c r="W30" s="96" t="inlineStr">
        <is>
          <t>PRO WELL INTERNATIONAL EXPRESS</t>
        </is>
      </c>
      <c r="X30" s="96" t="inlineStr">
        <is>
          <t>VFD</t>
        </is>
      </c>
      <c r="Y30" s="96" t="inlineStr">
        <is>
          <t>KING POWER IMPORT AND EXPORT CO LTD</t>
        </is>
      </c>
      <c r="Z30" s="96" t="inlineStr">
        <is>
          <t>KING POWER IMPORT AND EXPORT CO LTD</t>
        </is>
      </c>
      <c r="AA30" s="97" t="n">
        <v>8050</v>
      </c>
      <c r="AB30" s="96" t="inlineStr">
        <is>
          <t>LCH04</t>
        </is>
      </c>
      <c r="AC30" s="96" t="inlineStr">
        <is>
          <t>HKG03</t>
        </is>
      </c>
    </row>
    <row r="31" ht="12" customHeight="1">
      <c r="A31" s="96" t="inlineStr">
        <is>
          <t>TCNU8405248</t>
        </is>
      </c>
      <c r="B31" s="161" t="inlineStr">
        <is>
          <t>2026-10-16</t>
        </is>
      </c>
      <c r="C31" s="96" t="inlineStr">
        <is>
          <t>KMTP</t>
        </is>
      </c>
      <c r="D31" s="96" t="inlineStr">
        <is>
          <t>2612N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HKHKG</t>
        </is>
      </c>
      <c r="J31" s="96" t="inlineStr">
        <is>
          <t>CNJUJ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LCH04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HASLS22261000791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VTS</t>
        </is>
      </c>
      <c r="U31" s="97" t="n"/>
      <c r="V31" s="96" t="inlineStr">
        <is>
          <t>K0120023</t>
        </is>
      </c>
      <c r="W31" s="96" t="inlineStr">
        <is>
          <t>TLS STEEL CO.,LTD.</t>
        </is>
      </c>
      <c r="X31" s="96" t="inlineStr">
        <is>
          <t>ONL</t>
        </is>
      </c>
      <c r="Y31" s="96" t="inlineStr">
        <is>
          <t>QINGYUAN CITY DINGCHENG</t>
        </is>
      </c>
      <c r="Z31" s="96" t="inlineStr">
        <is>
          <t>JI YE CHANG QING LIMITED</t>
        </is>
      </c>
      <c r="AA31" s="97" t="n">
        <v>27860</v>
      </c>
      <c r="AB31" s="96" t="inlineStr">
        <is>
          <t>LCH04</t>
        </is>
      </c>
      <c r="AC31" s="96" t="inlineStr">
        <is>
          <t>HKG03</t>
        </is>
      </c>
    </row>
    <row r="32" ht="12" customHeight="1">
      <c r="A32" s="96" t="inlineStr">
        <is>
          <t>TGCU2381327</t>
        </is>
      </c>
      <c r="B32" s="161" t="inlineStr">
        <is>
          <t>2026-10-16</t>
        </is>
      </c>
      <c r="C32" s="96" t="inlineStr">
        <is>
          <t>KMTP</t>
        </is>
      </c>
      <c r="D32" s="96" t="inlineStr">
        <is>
          <t>2612N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HKHKG</t>
        </is>
      </c>
      <c r="J32" s="96" t="inlineStr">
        <is>
          <t>CNLIH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LCH04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HASLS22260802613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VTS</t>
        </is>
      </c>
      <c r="U32" s="97" t="n"/>
      <c r="V32" s="96" t="inlineStr">
        <is>
          <t>K0120021</t>
        </is>
      </c>
      <c r="W32" s="96" t="inlineStr">
        <is>
          <t>PTT GLOBAL CHEMICAL PUBLIC COMPANY</t>
        </is>
      </c>
      <c r="X32" s="96" t="inlineStr">
        <is>
          <t>VFD</t>
        </is>
      </c>
      <c r="Y32" s="96" t="inlineStr">
        <is>
          <t>TO THE ORDER OF THE SHIPPER</t>
        </is>
      </c>
      <c r="Z32" s="96" t="inlineStr">
        <is>
          <t>SECURE (HONG KONG) PACKAGING</t>
        </is>
      </c>
      <c r="AA32" s="97" t="n">
        <v>18108</v>
      </c>
      <c r="AB32" s="96" t="inlineStr">
        <is>
          <t>LCH04</t>
        </is>
      </c>
      <c r="AC32" s="96" t="inlineStr">
        <is>
          <t>HKG03</t>
        </is>
      </c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HASLS22260901216</t>
        </is>
      </c>
      <c r="B2" s="96" t="inlineStr">
        <is>
          <t>20'x4</t>
        </is>
      </c>
      <c r="C2" s="97" t="n">
        <v>4</v>
      </c>
      <c r="D2" s="97" t="n">
        <v>4</v>
      </c>
      <c r="E2" s="97" t="n"/>
      <c r="F2" s="97" t="n">
        <v>0</v>
      </c>
      <c r="G2" s="97" t="n">
        <v>4</v>
      </c>
      <c r="H2" s="97" t="n">
        <v>0</v>
      </c>
      <c r="I2" s="97" t="n">
        <v>0</v>
      </c>
      <c r="J2" s="97" t="n">
        <v>4</v>
      </c>
      <c r="K2" s="96" t="inlineStr">
        <is>
          <t>N</t>
        </is>
      </c>
      <c r="L2" s="96" t="inlineStr">
        <is>
          <t>VTS</t>
        </is>
      </c>
      <c r="M2" s="96" t="inlineStr">
        <is>
          <t>KMTP</t>
        </is>
      </c>
      <c r="N2" s="96" t="inlineStr">
        <is>
          <t>2612N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CNXMN</t>
        </is>
      </c>
      <c r="T2" s="96" t="inlineStr">
        <is>
          <t>XMN01</t>
        </is>
      </c>
      <c r="U2" s="96" t="inlineStr">
        <is>
          <t>CNXMN</t>
        </is>
      </c>
      <c r="V2" s="161" t="inlineStr">
        <is>
          <t>2026-10-21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THAI POLYCARBONATE CO., LTD.</t>
        </is>
      </c>
      <c r="AB2" s="96" t="inlineStr">
        <is>
          <t>THAI POLYCARBONATE CO., LTD.</t>
        </is>
      </c>
      <c r="AC2" s="163" t="n">
        <v>65728</v>
      </c>
      <c r="AD2" s="163" t="n">
        <v>74528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TBKK55</t>
        </is>
      </c>
      <c r="AN2" s="96" t="inlineStr">
        <is>
          <t>Vilaiporn</t>
        </is>
      </c>
      <c r="AO2" s="96" t="inlineStr">
        <is>
          <t>POLYCARBONATE RESIN IUPILON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>Pickup : 2026-10-02, Return : 2026-10-05
**CHECK OPENGATE BEFORE RETURN CNTR**</t>
        </is>
      </c>
      <c r="BA2" s="97" t="inlineStr">
        <is>
          <t>ROLL OVER FROM PREVIOUS VSL SWSR 2611N BY ALLOCATION TEAM MS.TARN APPROVED COST IS UNDER HAL DD.09/10
SI DD.18/9/26
FM KMGY 2610N BY K.BEAU 21/09</t>
        </is>
      </c>
      <c r="BB2" s="96" t="inlineStr">
        <is>
          <t>P</t>
        </is>
      </c>
      <c r="BC2" s="161" t="inlineStr">
        <is>
          <t>2026-09-15</t>
        </is>
      </c>
      <c r="BD2" s="161" t="inlineStr">
        <is>
          <t>2026-10-09</t>
        </is>
      </c>
      <c r="BE2" s="96" t="inlineStr">
        <is>
          <t>Y</t>
        </is>
      </c>
      <c r="BF2" s="96" t="inlineStr">
        <is>
          <t>POLYCARBONATE RESIN (HS CODE. 3907.40)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2026-10-02</t>
        </is>
      </c>
      <c r="BM2" s="127" t="n"/>
      <c r="BN2" s="127" t="n">
        <v>4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supaporn.fako@th.tpcc-tpac.com</t>
        </is>
      </c>
      <c r="CJ2" s="96" t="inlineStr">
        <is>
          <t>THAI POLYCARBONATE CO.,LTD.</t>
        </is>
      </c>
      <c r="CK2" s="96" t="inlineStr">
        <is>
          <t>KM PLASTICS (GUANGZHOU) LIMITED</t>
        </is>
      </c>
      <c r="CL2" s="96" t="inlineStr">
        <is>
          <t>KM PLASTICS (GUANGZHOU) LIMITED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202610131800</t>
        </is>
      </c>
      <c r="CP2" s="97" t="n"/>
      <c r="CQ2" s="96" t="inlineStr">
        <is>
          <t>S19-2112039</t>
        </is>
      </c>
      <c r="CR2" s="96" t="inlineStr">
        <is>
          <t>THTKNC</t>
        </is>
      </c>
      <c r="CS2" s="96" t="inlineStr">
        <is>
          <t>THAI POLYCARBONATE CO.,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inlineStr">
        <is>
          <t>390740</t>
        </is>
      </c>
      <c r="CY2" s="156" t="inlineStr">
        <is>
          <t>ROLL OVER FROM PREVIOUS VSL SWSR 2611N BY ALLOCATION TEAM MS.TARN APPROVED COST IS UNDER HAL DD.09/10</t>
        </is>
      </c>
    </row>
    <row r="3" ht="12" customHeight="1">
      <c r="A3" s="116" t="inlineStr">
        <is>
          <t>HASLS22260900339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VTS</t>
        </is>
      </c>
      <c r="M3" s="96" t="inlineStr">
        <is>
          <t>KMTP</t>
        </is>
      </c>
      <c r="N3" s="96" t="inlineStr">
        <is>
          <t>2612N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JPAXT</t>
        </is>
      </c>
      <c r="T3" s="96" t="inlineStr">
        <is>
          <t>AXT01</t>
        </is>
      </c>
      <c r="U3" s="96" t="inlineStr">
        <is>
          <t>JPAXT</t>
        </is>
      </c>
      <c r="V3" s="161" t="inlineStr">
        <is>
          <t>2026-11-04</t>
        </is>
      </c>
      <c r="W3" s="96" t="inlineStr">
        <is>
          <t>JP</t>
        </is>
      </c>
      <c r="X3" s="97" t="n"/>
      <c r="Y3" s="97" t="inlineStr">
        <is>
          <t>PUSH4</t>
        </is>
      </c>
      <c r="Z3" s="97" t="inlineStr">
        <is>
          <t>KRPUS</t>
        </is>
      </c>
      <c r="AA3" s="96" t="inlineStr">
        <is>
          <t>ACCORD PILOT LOGISTICS (THAILAND) CO., LTD.</t>
        </is>
      </c>
      <c r="AB3" s="96" t="inlineStr">
        <is>
          <t>ALUCON PUBLIC COMPANY LIMITED</t>
        </is>
      </c>
      <c r="AC3" s="163" t="n">
        <v>20594</v>
      </c>
      <c r="AD3" s="163" t="n">
        <v>22794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TBKK19</t>
        </is>
      </c>
      <c r="AN3" s="96" t="inlineStr">
        <is>
          <t>Kanokporn</t>
        </is>
      </c>
      <c r="AO3" s="96" t="inlineStr">
        <is>
          <t>ALUMINIUM SLUG</t>
        </is>
      </c>
      <c r="AP3" s="96" t="inlineStr">
        <is>
          <t>T/S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Pickup : 2026-10-08, Return : 2026-10-09 
 ** PLEASE CHECK OPEN GATE BEFORE RETURN CNTR **
</t>
        </is>
      </c>
      <c r="BA3" s="97" t="n"/>
      <c r="BB3" s="96" t="inlineStr">
        <is>
          <t>P</t>
        </is>
      </c>
      <c r="BC3" s="161" t="inlineStr">
        <is>
          <t>2026-09-03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ALUMINIUM SLUG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2026-10-08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>
        <v>7</v>
      </c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inlineStr">
        <is>
          <t>POL: THLCH [KMTP/2612N]; T/S(1st): KRPUS [ATSH/2643E]; POD: JPAXT [/]</t>
        </is>
      </c>
      <c r="CI3" s="96" t="inlineStr">
        <is>
          <t>araya@pilot.co.th</t>
        </is>
      </c>
      <c r="CJ3" s="96" t="inlineStr">
        <is>
          <t>ALUCON PUBLIC COMPANY LIMITED</t>
        </is>
      </c>
      <c r="CK3" s="96" t="inlineStr">
        <is>
          <t>HEIWA KINZOKU CO., LTD.</t>
        </is>
      </c>
      <c r="CL3" s="96" t="inlineStr">
        <is>
          <t>FC STANDARD LOGISTICS CO., LTD.</t>
        </is>
      </c>
      <c r="CM3" s="97" t="inlineStr">
        <is>
          <t>CLOSED</t>
        </is>
      </c>
      <c r="CN3" s="96" t="inlineStr">
        <is>
          <t>202610121700</t>
        </is>
      </c>
      <c r="CO3" s="96" t="inlineStr">
        <is>
          <t>202610131800</t>
        </is>
      </c>
      <c r="CP3" s="97" t="n"/>
      <c r="CQ3" s="96" t="inlineStr">
        <is>
          <t>S19-2308036</t>
        </is>
      </c>
      <c r="CR3" s="96" t="inlineStr">
        <is>
          <t>THTIPI</t>
        </is>
      </c>
      <c r="CS3" s="96" t="inlineStr">
        <is>
          <t>ACCORD PILOT LOGISTICS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2026-10-13</t>
        </is>
      </c>
      <c r="CX3" s="97" t="inlineStr">
        <is>
          <t>761699</t>
        </is>
      </c>
      <c r="CY3" s="183" t="n"/>
    </row>
    <row r="4" ht="12" customHeight="1">
      <c r="A4" s="116" t="inlineStr">
        <is>
          <t>HASLS22261000793</t>
        </is>
      </c>
      <c r="B4" s="96" t="inlineStr">
        <is>
          <t>40Hx2</t>
        </is>
      </c>
      <c r="C4" s="97" t="n">
        <v>2</v>
      </c>
      <c r="D4" s="97" t="n">
        <v>2</v>
      </c>
      <c r="E4" s="97" t="n"/>
      <c r="F4" s="97" t="n">
        <v>0</v>
      </c>
      <c r="G4" s="97" t="n">
        <v>0</v>
      </c>
      <c r="H4" s="97" t="n">
        <v>0</v>
      </c>
      <c r="I4" s="97" t="n">
        <v>2</v>
      </c>
      <c r="J4" s="97" t="n">
        <v>4</v>
      </c>
      <c r="K4" s="96" t="inlineStr">
        <is>
          <t>N</t>
        </is>
      </c>
      <c r="L4" s="96" t="inlineStr">
        <is>
          <t>VTS</t>
        </is>
      </c>
      <c r="M4" s="96" t="inlineStr">
        <is>
          <t>KMTP</t>
        </is>
      </c>
      <c r="N4" s="96" t="inlineStr">
        <is>
          <t>2612N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HKHKG</t>
        </is>
      </c>
      <c r="T4" s="96" t="inlineStr">
        <is>
          <t>HKG03</t>
        </is>
      </c>
      <c r="U4" s="96" t="inlineStr">
        <is>
          <t>CNJUJ</t>
        </is>
      </c>
      <c r="V4" s="161" t="inlineStr">
        <is>
          <t>2026-10-20</t>
        </is>
      </c>
      <c r="W4" s="96" t="inlineStr">
        <is>
          <t>IA</t>
        </is>
      </c>
      <c r="X4" s="97" t="inlineStr">
        <is>
          <t>Barge</t>
        </is>
      </c>
      <c r="Y4" s="97" t="n"/>
      <c r="Z4" s="97" t="n"/>
      <c r="AA4" s="96" t="inlineStr">
        <is>
          <t>ORIENTAL LOGISTICS GROUP (THAILAND) CO., LTD.</t>
        </is>
      </c>
      <c r="AB4" s="96" t="inlineStr">
        <is>
          <t>ANDAMAN METAL CO., LTD.</t>
        </is>
      </c>
      <c r="AC4" s="163" t="n">
        <v>55320</v>
      </c>
      <c r="AD4" s="163" t="n">
        <v>63320</v>
      </c>
      <c r="AE4" s="96" t="inlineStr">
        <is>
          <t>OK</t>
        </is>
      </c>
      <c r="AF4" s="96" t="n"/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TH0011</t>
        </is>
      </c>
      <c r="AN4" s="96" t="inlineStr">
        <is>
          <t>Nannaapust Sukporntaweewat</t>
        </is>
      </c>
      <c r="AO4" s="96" t="inlineStr">
        <is>
          <t>RECYCLED ALUMINIUM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2026-10-10, Return : 2026-10-12
**CHECK OPENGATE BEFORE RETURN CNTR**</t>
        </is>
      </c>
      <c r="BA4" s="97" t="n"/>
      <c r="BB4" s="96" t="inlineStr">
        <is>
          <t>P</t>
        </is>
      </c>
      <c r="BC4" s="161" t="inlineStr">
        <is>
          <t>2026-10-09</t>
        </is>
      </c>
      <c r="BD4" s="161" t="inlineStr">
        <is>
          <t>2026-10-14</t>
        </is>
      </c>
      <c r="BE4" s="96" t="inlineStr">
        <is>
          <t>Y</t>
        </is>
      </c>
      <c r="BF4" s="96" t="inlineStr">
        <is>
          <t>COPPER RECYCLE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LCHY5</t>
        </is>
      </c>
      <c r="BL4" s="161" t="inlineStr">
        <is>
          <t>2026-10-10</t>
        </is>
      </c>
      <c r="BM4" s="127" t="n"/>
      <c r="BN4" s="127" t="n"/>
      <c r="BO4" s="127" t="n"/>
      <c r="BP4" s="127" t="n">
        <v>2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bkkexp@bkk.olc-group.com</t>
        </is>
      </c>
      <c r="CJ4" s="96" t="inlineStr">
        <is>
          <t>TLS STEEL CO.,LTD.</t>
        </is>
      </c>
      <c r="CK4" s="96" t="inlineStr">
        <is>
          <t>QINGYUAN CITY DINGCHENG</t>
        </is>
      </c>
      <c r="CL4" s="96" t="inlineStr">
        <is>
          <t>JI YE CHANG QING LIMITED</t>
        </is>
      </c>
      <c r="CM4" s="97" t="inlineStr">
        <is>
          <t>CLOSED</t>
        </is>
      </c>
      <c r="CN4" s="96" t="inlineStr">
        <is>
          <t>202610121700</t>
        </is>
      </c>
      <c r="CO4" s="96" t="inlineStr">
        <is>
          <t>202610131800</t>
        </is>
      </c>
      <c r="CP4" s="97" t="n"/>
      <c r="CQ4" s="96" t="inlineStr">
        <is>
          <t>S22-2510023</t>
        </is>
      </c>
      <c r="CR4" s="96" t="inlineStr">
        <is>
          <t>THTHCD</t>
        </is>
      </c>
      <c r="CS4" s="96" t="inlineStr">
        <is>
          <t>ORIENTAL LOGISTICS GROUP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7" t="n"/>
      <c r="CY4" s="183" t="n"/>
    </row>
    <row r="5" ht="12" customHeight="1">
      <c r="A5" s="116" t="inlineStr">
        <is>
          <t>HASLS22261000791</t>
        </is>
      </c>
      <c r="B5" s="96" t="inlineStr">
        <is>
          <t>40Hx2</t>
        </is>
      </c>
      <c r="C5" s="97" t="n">
        <v>2</v>
      </c>
      <c r="D5" s="97" t="n">
        <v>2</v>
      </c>
      <c r="E5" s="97" t="n"/>
      <c r="F5" s="97" t="n">
        <v>0</v>
      </c>
      <c r="G5" s="97" t="n">
        <v>0</v>
      </c>
      <c r="H5" s="97" t="n">
        <v>0</v>
      </c>
      <c r="I5" s="97" t="n">
        <v>2</v>
      </c>
      <c r="J5" s="97" t="n">
        <v>4</v>
      </c>
      <c r="K5" s="96" t="inlineStr">
        <is>
          <t>N</t>
        </is>
      </c>
      <c r="L5" s="96" t="inlineStr">
        <is>
          <t>VTS</t>
        </is>
      </c>
      <c r="M5" s="96" t="inlineStr">
        <is>
          <t>KMTP</t>
        </is>
      </c>
      <c r="N5" s="96" t="inlineStr">
        <is>
          <t>2612N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CNJUJ</t>
        </is>
      </c>
      <c r="V5" s="161" t="inlineStr">
        <is>
          <t>2026-10-20</t>
        </is>
      </c>
      <c r="W5" s="96" t="inlineStr">
        <is>
          <t>IA</t>
        </is>
      </c>
      <c r="X5" s="97" t="inlineStr">
        <is>
          <t>Barge</t>
        </is>
      </c>
      <c r="Y5" s="97" t="n"/>
      <c r="Z5" s="97" t="n"/>
      <c r="AA5" s="96" t="inlineStr">
        <is>
          <t>ORIENTAL LOGISTICS GROUP (THAILAND) CO., LTD.</t>
        </is>
      </c>
      <c r="AB5" s="96" t="inlineStr">
        <is>
          <t>ANDAMAN METAL CO., LTD.</t>
        </is>
      </c>
      <c r="AC5" s="163" t="n">
        <v>55700</v>
      </c>
      <c r="AD5" s="163" t="n">
        <v>63700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TH0011</t>
        </is>
      </c>
      <c r="AN5" s="96" t="inlineStr">
        <is>
          <t>Nannaapust Sukporntaweewat</t>
        </is>
      </c>
      <c r="AO5" s="96" t="inlineStr">
        <is>
          <t>RECYCLED ALUMINIUM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2026-10-10, Return : 2026-10-12
**CHECK OPENGATE BEFORE RETURN CNTR**</t>
        </is>
      </c>
      <c r="BA5" s="97" t="n"/>
      <c r="BB5" s="96" t="inlineStr">
        <is>
          <t>P</t>
        </is>
      </c>
      <c r="BC5" s="161" t="inlineStr">
        <is>
          <t>2026-10-09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>COPPER RECYCLE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2026-10-10</t>
        </is>
      </c>
      <c r="BM5" s="127" t="n"/>
      <c r="BN5" s="127" t="n"/>
      <c r="BO5" s="127" t="n"/>
      <c r="BP5" s="127" t="n">
        <v>2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bkkexp@bkk.olc-group.com</t>
        </is>
      </c>
      <c r="CJ5" s="96" t="inlineStr">
        <is>
          <t>TLS STEEL CO.,LTD.</t>
        </is>
      </c>
      <c r="CK5" s="96" t="inlineStr">
        <is>
          <t>QINGYUAN CITY DINGCHENG</t>
        </is>
      </c>
      <c r="CL5" s="96" t="inlineStr">
        <is>
          <t>JI YE CHANG QING LIMITED</t>
        </is>
      </c>
      <c r="CM5" s="97" t="inlineStr">
        <is>
          <t>CLOSED</t>
        </is>
      </c>
      <c r="CN5" s="96" t="inlineStr">
        <is>
          <t>202610121700</t>
        </is>
      </c>
      <c r="CO5" s="96" t="inlineStr">
        <is>
          <t>202610131800</t>
        </is>
      </c>
      <c r="CP5" s="97" t="n"/>
      <c r="CQ5" s="96" t="inlineStr">
        <is>
          <t>S22-2510023</t>
        </is>
      </c>
      <c r="CR5" s="96" t="inlineStr">
        <is>
          <t>THTHCD</t>
        </is>
      </c>
      <c r="CS5" s="96" t="inlineStr">
        <is>
          <t>ORIENTAL LOGISTICS GROUP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7" t="n"/>
      <c r="CY5" s="183" t="n"/>
    </row>
    <row r="6" ht="12" customHeight="1">
      <c r="A6" s="116" t="inlineStr">
        <is>
          <t>HASLS22260802613</t>
        </is>
      </c>
      <c r="B6" s="96" t="inlineStr">
        <is>
          <t>20'x4</t>
        </is>
      </c>
      <c r="C6" s="97" t="n">
        <v>4</v>
      </c>
      <c r="D6" s="97" t="n">
        <v>4</v>
      </c>
      <c r="E6" s="97" t="n"/>
      <c r="F6" s="97" t="n">
        <v>0</v>
      </c>
      <c r="G6" s="97" t="n">
        <v>4</v>
      </c>
      <c r="H6" s="97" t="n">
        <v>0</v>
      </c>
      <c r="I6" s="97" t="n">
        <v>0</v>
      </c>
      <c r="J6" s="97" t="n">
        <v>4</v>
      </c>
      <c r="K6" s="96" t="inlineStr">
        <is>
          <t>N</t>
        </is>
      </c>
      <c r="L6" s="96" t="inlineStr">
        <is>
          <t>VTS</t>
        </is>
      </c>
      <c r="M6" s="96" t="inlineStr">
        <is>
          <t>KMTP</t>
        </is>
      </c>
      <c r="N6" s="96" t="inlineStr">
        <is>
          <t>2612N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CNLIH</t>
        </is>
      </c>
      <c r="V6" s="161" t="inlineStr">
        <is>
          <t>2026-10-20</t>
        </is>
      </c>
      <c r="W6" s="96" t="inlineStr">
        <is>
          <t>IA</t>
        </is>
      </c>
      <c r="X6" s="97" t="inlineStr">
        <is>
          <t>Barge</t>
        </is>
      </c>
      <c r="Y6" s="97" t="n"/>
      <c r="Z6" s="97" t="n"/>
      <c r="AA6" s="96" t="inlineStr">
        <is>
          <t>WHA GC LOGISTICS COMPANY LIMITED</t>
        </is>
      </c>
      <c r="AB6" s="96" t="inlineStr">
        <is>
          <t>PTT GLOBAL CHEMICAL PUBLIC COMPANY LIMITED</t>
        </is>
      </c>
      <c r="AC6" s="163" t="n">
        <v>72432</v>
      </c>
      <c r="AD6" s="163" t="n">
        <v>81232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TBKK13</t>
        </is>
      </c>
      <c r="AN6" s="96" t="inlineStr">
        <is>
          <t>Dharaporn</t>
        </is>
      </c>
      <c r="AO6" s="96" t="inlineStr">
        <is>
          <t>HDPE INNOPLUS HD1010J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CY-RTN 23-25/09/26
*PLS CHECK OPEN GATE BEFORE RETURN CTNR*</t>
        </is>
      </c>
      <c r="BA6" s="97" t="inlineStr">
        <is>
          <t>ROLL OVER FROM PREVIOUS VSL SWAT 2610N BY ALLOCATION TEAM MS.TARN APPROVED COST IS UNDER HA DD.8/10
SI DD.23/9/26
FM SKOR 2611N BY K'NUI DD.10/09/2026
FM 7X20'GP DD.18/09</t>
        </is>
      </c>
      <c r="BB6" s="96" t="inlineStr">
        <is>
          <t>P</t>
        </is>
      </c>
      <c r="BC6" s="161" t="inlineStr">
        <is>
          <t>2026-08-31</t>
        </is>
      </c>
      <c r="BD6" s="161" t="inlineStr">
        <is>
          <t>2026-10-08</t>
        </is>
      </c>
      <c r="BE6" s="96" t="inlineStr">
        <is>
          <t>Y</t>
        </is>
      </c>
      <c r="BF6" s="96" t="inlineStr">
        <is>
          <t>RESIN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LCH28</t>
        </is>
      </c>
      <c r="BL6" s="161" t="inlineStr">
        <is>
          <t>2026-09-23</t>
        </is>
      </c>
      <c r="BM6" s="127" t="n"/>
      <c r="BN6" s="127" t="n">
        <v>4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n"/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jariya.c@wha-gc.com</t>
        </is>
      </c>
      <c r="CJ6" s="96" t="inlineStr">
        <is>
          <t>PTT GLOBAL CHEMICAL PUBLIC COMPANY</t>
        </is>
      </c>
      <c r="CK6" s="96" t="inlineStr">
        <is>
          <t>TO THE ORDER OF THE SHIPPER</t>
        </is>
      </c>
      <c r="CL6" s="96" t="inlineStr">
        <is>
          <t>SECURE (HONG KONG) PACKAGING</t>
        </is>
      </c>
      <c r="CM6" s="97" t="inlineStr">
        <is>
          <t>CLOSED</t>
        </is>
      </c>
      <c r="CN6" s="96" t="inlineStr">
        <is>
          <t>202610121700</t>
        </is>
      </c>
      <c r="CO6" s="96" t="inlineStr">
        <is>
          <t>202610131800</t>
        </is>
      </c>
      <c r="CP6" s="97" t="n"/>
      <c r="CQ6" s="96" t="inlineStr">
        <is>
          <t>S22-2309036</t>
        </is>
      </c>
      <c r="CR6" s="96" t="inlineStr">
        <is>
          <t>TH02GR</t>
        </is>
      </c>
      <c r="CS6" s="96" t="inlineStr">
        <is>
          <t>WHA GC LOGISTICS COMPANY LIMITED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inlineStr">
        <is>
          <t>390120</t>
        </is>
      </c>
      <c r="CY6" s="183" t="inlineStr">
        <is>
          <t>ROLL OVER FROM PREVIOUS VSL SWAT 2610N BY ALLOCATION TEAM MS.TARN APPROVED COST IS UNDER HA DD.8/10</t>
        </is>
      </c>
    </row>
    <row r="7" ht="12" customHeight="1">
      <c r="A7" s="116" t="inlineStr">
        <is>
          <t>HASLS22260902603</t>
        </is>
      </c>
      <c r="B7" s="96" t="inlineStr">
        <is>
          <t>40Hx1</t>
        </is>
      </c>
      <c r="C7" s="97" t="n">
        <v>1</v>
      </c>
      <c r="D7" s="97" t="n">
        <v>1</v>
      </c>
      <c r="E7" s="97" t="n"/>
      <c r="F7" s="97" t="n">
        <v>0</v>
      </c>
      <c r="G7" s="97" t="n">
        <v>0</v>
      </c>
      <c r="H7" s="97" t="n">
        <v>0</v>
      </c>
      <c r="I7" s="97" t="n">
        <v>1</v>
      </c>
      <c r="J7" s="97" t="n">
        <v>2</v>
      </c>
      <c r="K7" s="96" t="inlineStr">
        <is>
          <t>N</t>
        </is>
      </c>
      <c r="L7" s="96" t="inlineStr">
        <is>
          <t>VTS</t>
        </is>
      </c>
      <c r="M7" s="96" t="inlineStr">
        <is>
          <t>KMTP</t>
        </is>
      </c>
      <c r="N7" s="96" t="inlineStr">
        <is>
          <t>2612N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CNXMN</t>
        </is>
      </c>
      <c r="T7" s="96" t="inlineStr">
        <is>
          <t>XMN01</t>
        </is>
      </c>
      <c r="U7" s="96" t="inlineStr">
        <is>
          <t>CNXMN</t>
        </is>
      </c>
      <c r="V7" s="161" t="inlineStr">
        <is>
          <t>2026-10-21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KARGOSMART GLOBAL CO., LTD.</t>
        </is>
      </c>
      <c r="AB7" s="96" t="inlineStr">
        <is>
          <t>SADESA (THAILAND) CO., LTD.</t>
        </is>
      </c>
      <c r="AC7" s="163" t="n">
        <v>12897</v>
      </c>
      <c r="AD7" s="163" t="n">
        <v>16897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TBKK97</t>
        </is>
      </c>
      <c r="AN7" s="96" t="inlineStr">
        <is>
          <t>Arunphat W. (Aiw)</t>
        </is>
      </c>
      <c r="AO7" s="96" t="inlineStr">
        <is>
          <t>COW LEATHER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Pickup : 2026-10-07, Return : 2026-10-08 
 ** PLEASE CHECK OPEN GATE BEFORE RETURN CNTR **
</t>
        </is>
      </c>
      <c r="BA7" s="97" t="inlineStr">
        <is>
          <t>SI DD.8/10/26
FM 1X20'GP
FM LCHY5</t>
        </is>
      </c>
      <c r="BB7" s="96" t="inlineStr">
        <is>
          <t>P</t>
        </is>
      </c>
      <c r="BC7" s="161" t="inlineStr">
        <is>
          <t>2026-09-28</t>
        </is>
      </c>
      <c r="BD7" s="161" t="inlineStr">
        <is>
          <t>2026-10-08</t>
        </is>
      </c>
      <c r="BE7" s="96" t="inlineStr">
        <is>
          <t>Y</t>
        </is>
      </c>
      <c r="BF7" s="96" t="inlineStr">
        <is>
          <t>COW LEATHER (DRY SKIN)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LCH28</t>
        </is>
      </c>
      <c r="BL7" s="161" t="inlineStr">
        <is>
          <t>2026-10-07</t>
        </is>
      </c>
      <c r="BM7" s="127" t="n"/>
      <c r="BN7" s="127" t="n"/>
      <c r="BO7" s="127" t="n"/>
      <c r="BP7" s="127" t="n">
        <v>1</v>
      </c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sornsawanp-th@kargosmart.net</t>
        </is>
      </c>
      <c r="CJ7" s="96" t="inlineStr">
        <is>
          <t>SADESA (THAILAND) CO., LTD.</t>
        </is>
      </c>
      <c r="CK7" s="96" t="inlineStr">
        <is>
          <t>FUJIAN LIFENG FOOTWEAR INDUSTRIAL</t>
        </is>
      </c>
      <c r="CL7" s="96" t="inlineStr">
        <is>
          <t>PANDA SUPPLY CHAIN SERVICE CO.,LTD.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202610131800</t>
        </is>
      </c>
      <c r="CP7" s="97" t="n"/>
      <c r="CQ7" s="96" t="inlineStr">
        <is>
          <t>S22-2308045</t>
        </is>
      </c>
      <c r="CR7" s="96" t="inlineStr">
        <is>
          <t>THTOTT</t>
        </is>
      </c>
      <c r="CS7" s="96" t="inlineStr">
        <is>
          <t>KARGOSMART GLOBAL CO., LTD.</t>
        </is>
      </c>
      <c r="CT7" s="96" t="inlineStr">
        <is>
          <t>N</t>
        </is>
      </c>
      <c r="CU7" s="97" t="n"/>
      <c r="CV7" s="97" t="n"/>
      <c r="CW7" s="161" t="inlineStr">
        <is>
          <t>2026-10-12</t>
        </is>
      </c>
      <c r="CX7" s="97" t="n"/>
      <c r="CY7" s="183" t="n"/>
    </row>
    <row r="8" ht="12" customHeight="1">
      <c r="A8" s="116" t="inlineStr">
        <is>
          <t>HASLS22260901361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VTS</t>
        </is>
      </c>
      <c r="M8" s="96" t="inlineStr">
        <is>
          <t>KMTP</t>
        </is>
      </c>
      <c r="N8" s="96" t="inlineStr">
        <is>
          <t>2612N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HKHKG</t>
        </is>
      </c>
      <c r="V8" s="161" t="inlineStr">
        <is>
          <t>2026-10-20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NIPPON EXPRESS LOGISTICS (THAILAND) CO., LTD.</t>
        </is>
      </c>
      <c r="AB8" s="96" t="inlineStr">
        <is>
          <t>SYNERGY HEALTH (THAILAND) CO., LTD.</t>
        </is>
      </c>
      <c r="AC8" s="163" t="n">
        <v>5435.9</v>
      </c>
      <c r="AD8" s="163" t="n">
        <v>9435.9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TBKK55</t>
        </is>
      </c>
      <c r="AN8" s="96" t="inlineStr">
        <is>
          <t>Vilaiporn</t>
        </is>
      </c>
      <c r="AO8" s="96" t="inlineStr">
        <is>
          <t>PART AND ACCESSORIES OF OLYMPUS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n"/>
      <c r="AZ8" s="96" t="inlineStr">
        <is>
          <t>Pickup : 2026-10-08, Return : 2026-10-08</t>
        </is>
      </c>
      <c r="BA8" s="97" t="inlineStr">
        <is>
          <t>REQUEST CONTAINER GRADE AThe containers are in Clean, Good Panel condition,Good Floor Board Condition, Not Rusty, GoodDoor Condition.</t>
        </is>
      </c>
      <c r="BB8" s="96" t="inlineStr">
        <is>
          <t>P</t>
        </is>
      </c>
      <c r="BC8" s="161" t="inlineStr">
        <is>
          <t>2026-09-16</t>
        </is>
      </c>
      <c r="BD8" s="161" t="inlineStr">
        <is>
          <t>2026-10-08</t>
        </is>
      </c>
      <c r="BE8" s="96" t="inlineStr">
        <is>
          <t>Y</t>
        </is>
      </c>
      <c r="BF8" s="96" t="inlineStr">
        <is>
          <t>OTHER INSTRUMENTS IN MEDICAL, SURGICAL,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2026-10-08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NELT-aclc-exp@nipponexpress.com</t>
        </is>
      </c>
      <c r="CJ8" s="96" t="inlineStr">
        <is>
          <t>NIPPON EXPRESS LOGISTICS</t>
        </is>
      </c>
      <c r="CK8" s="96" t="inlineStr">
        <is>
          <t>NIPPON EXPRESS (H.K.) CO.,LTD.</t>
        </is>
      </c>
      <c r="CL8" s="96" t="inlineStr">
        <is>
          <t>NIPPON EXPRESS (H.K.) CO.,LTD.</t>
        </is>
      </c>
      <c r="CM8" s="97" t="n"/>
      <c r="CN8" s="96" t="inlineStr">
        <is>
          <t>202610121700</t>
        </is>
      </c>
      <c r="CO8" s="96" t="inlineStr">
        <is>
          <t>202610131800</t>
        </is>
      </c>
      <c r="CP8" s="97" t="n"/>
      <c r="CQ8" s="96" t="inlineStr">
        <is>
          <t>S19-2308033</t>
        </is>
      </c>
      <c r="CR8" s="96" t="inlineStr">
        <is>
          <t>THTSOT</t>
        </is>
      </c>
      <c r="CS8" s="96" t="inlineStr">
        <is>
          <t>NIPPON EXPRESS LOGISTICS (THAILAND) CO., LTD.</t>
        </is>
      </c>
      <c r="CT8" s="96" t="inlineStr">
        <is>
          <t>N</t>
        </is>
      </c>
      <c r="CU8" s="97" t="n"/>
      <c r="CV8" s="97" t="n"/>
      <c r="CW8" s="161" t="inlineStr">
        <is>
          <t>2026-10-11</t>
        </is>
      </c>
      <c r="CX8" s="97" t="n"/>
      <c r="CY8" s="183" t="n"/>
    </row>
    <row r="9" ht="12" customHeight="1">
      <c r="A9" s="116" t="inlineStr">
        <is>
          <t>HASLS22260800651</t>
        </is>
      </c>
      <c r="B9" s="96" t="inlineStr">
        <is>
          <t>40Hx1</t>
        </is>
      </c>
      <c r="C9" s="97" t="n">
        <v>1</v>
      </c>
      <c r="D9" s="97" t="n">
        <v>1</v>
      </c>
      <c r="E9" s="97" t="n"/>
      <c r="F9" s="97" t="n">
        <v>0</v>
      </c>
      <c r="G9" s="97" t="n">
        <v>0</v>
      </c>
      <c r="H9" s="97" t="n">
        <v>0</v>
      </c>
      <c r="I9" s="97" t="n">
        <v>1</v>
      </c>
      <c r="J9" s="97" t="n">
        <v>2</v>
      </c>
      <c r="K9" s="96" t="inlineStr">
        <is>
          <t>N</t>
        </is>
      </c>
      <c r="L9" s="96" t="inlineStr">
        <is>
          <t>VTS</t>
        </is>
      </c>
      <c r="M9" s="96" t="inlineStr">
        <is>
          <t>KMTP</t>
        </is>
      </c>
      <c r="N9" s="96" t="inlineStr">
        <is>
          <t>2612N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2026-10-20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NIPPON EXPRESS LOGISTICS (THAILAND) CO., LTD.</t>
        </is>
      </c>
      <c r="AB9" s="96" t="inlineStr">
        <is>
          <t>STERIS TOMOE (THAILAND) LTD.</t>
        </is>
      </c>
      <c r="AC9" s="163" t="n">
        <v>5957.2</v>
      </c>
      <c r="AD9" s="163" t="n">
        <v>9957.200000000001</v>
      </c>
      <c r="AE9" s="96" t="inlineStr">
        <is>
          <t>OK</t>
        </is>
      </c>
      <c r="AF9" s="96" t="inlineStr">
        <is>
          <t>SR</t>
        </is>
      </c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>PART AND ACCESSORIES OF OLYMPUS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>Pickup : 2026-10-09, Return : 2026-10-09
**CHECK OPENGATE BEFORE RETURN CNTR**</t>
        </is>
      </c>
      <c r="BA9" s="97" t="inlineStr">
        <is>
          <t>FM SHPR: OLYMPUS(THAILAND) CO., LTD. / SKOR 2612N 21/09REQUEST CONTAINER GRADE AThe containers are in Clean, Good Panel condition,Good Floor Board Condition, Not Rusty, GoodDoor Condition.</t>
        </is>
      </c>
      <c r="BB9" s="96" t="inlineStr">
        <is>
          <t>P</t>
        </is>
      </c>
      <c r="BC9" s="161" t="inlineStr">
        <is>
          <t>2026-08-07</t>
        </is>
      </c>
      <c r="BD9" s="161" t="inlineStr">
        <is>
          <t>2026-10-09</t>
        </is>
      </c>
      <c r="BE9" s="96" t="inlineStr">
        <is>
          <t>Y</t>
        </is>
      </c>
      <c r="BF9" s="96" t="inlineStr">
        <is>
          <t>OTHER INSTRUMENTS IN MEDICAL, SURGICAL,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2026-10-09</t>
        </is>
      </c>
      <c r="BM9" s="127" t="n"/>
      <c r="BN9" s="127" t="n"/>
      <c r="BO9" s="127" t="n"/>
      <c r="BP9" s="127" t="n">
        <v>1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NELT-aclc-exp@nipponexpress.com</t>
        </is>
      </c>
      <c r="CJ9" s="96" t="inlineStr">
        <is>
          <t>NIPPON EXPRESS LOGISTICS</t>
        </is>
      </c>
      <c r="CK9" s="96" t="inlineStr">
        <is>
          <t>NIPPON EXPRESS (H.K.) CO.,LTD.</t>
        </is>
      </c>
      <c r="CL9" s="96" t="inlineStr">
        <is>
          <t>NIPPON EXPRESS (H.K.) CO.,LTD.</t>
        </is>
      </c>
      <c r="CM9" s="97" t="n"/>
      <c r="CN9" s="96" t="inlineStr">
        <is>
          <t>202610121700</t>
        </is>
      </c>
      <c r="CO9" s="96" t="inlineStr">
        <is>
          <t>202610131800</t>
        </is>
      </c>
      <c r="CP9" s="97" t="n"/>
      <c r="CQ9" s="96" t="inlineStr">
        <is>
          <t>S19-2308033</t>
        </is>
      </c>
      <c r="CR9" s="96" t="inlineStr">
        <is>
          <t>THTSOT</t>
        </is>
      </c>
      <c r="CS9" s="96" t="inlineStr">
        <is>
          <t>NIPPON EXPRESS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2026-10-12</t>
        </is>
      </c>
      <c r="CX9" s="97" t="n"/>
      <c r="CY9" s="183" t="n"/>
    </row>
    <row r="10" ht="12" customHeight="1">
      <c r="A10" s="116" t="inlineStr">
        <is>
          <t>HASLS22260900701</t>
        </is>
      </c>
      <c r="B10" s="96" t="inlineStr">
        <is>
          <t>40Hx7</t>
        </is>
      </c>
      <c r="C10" s="97" t="n">
        <v>7</v>
      </c>
      <c r="D10" s="97" t="n">
        <v>7</v>
      </c>
      <c r="E10" s="97" t="n"/>
      <c r="F10" s="97" t="n">
        <v>0</v>
      </c>
      <c r="G10" s="97" t="n">
        <v>0</v>
      </c>
      <c r="H10" s="97" t="n">
        <v>0</v>
      </c>
      <c r="I10" s="97" t="n">
        <v>7</v>
      </c>
      <c r="J10" s="97" t="n">
        <v>14</v>
      </c>
      <c r="K10" s="96" t="inlineStr">
        <is>
          <t>N</t>
        </is>
      </c>
      <c r="L10" s="96" t="inlineStr">
        <is>
          <t>VTS</t>
        </is>
      </c>
      <c r="M10" s="96" t="inlineStr">
        <is>
          <t>KMTP</t>
        </is>
      </c>
      <c r="N10" s="96" t="inlineStr">
        <is>
          <t>2612N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2026-10-20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YUSEN LOGISTICS (THAILAND) CO., LTD.</t>
        </is>
      </c>
      <c r="AB10" s="96" t="inlineStr">
        <is>
          <t>KURARAY GC ADVANCED MATERIALS CO.,LTD.</t>
        </is>
      </c>
      <c r="AC10" s="163" t="n">
        <v>114800</v>
      </c>
      <c r="AD10" s="163" t="n">
        <v>142800</v>
      </c>
      <c r="AE10" s="96" t="inlineStr">
        <is>
          <t>OK</t>
        </is>
      </c>
      <c r="AF10" s="96" t="n"/>
      <c r="AG10" s="97" t="n"/>
      <c r="AH10" s="96" t="inlineStr">
        <is>
          <t>CHK</t>
        </is>
      </c>
      <c r="AI10" s="97" t="n"/>
      <c r="AJ10" s="97" t="n"/>
      <c r="AK10" s="97" t="n"/>
      <c r="AL10" s="97" t="n"/>
      <c r="AM10" s="96" t="inlineStr">
        <is>
          <t>TBKK55</t>
        </is>
      </c>
      <c r="AN10" s="96" t="inlineStr">
        <is>
          <t>Vilaiporn</t>
        </is>
      </c>
      <c r="AO10" s="96" t="inlineStr">
        <is>
          <t>GENESTAR (PA9T)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n"/>
      <c r="AZ10" s="96" t="inlineStr">
        <is>
          <t>Pickup : 2026-10-06, Return : 2026-10-07 (1ST RTN 09/10  W/O RENT) 
 ** PLEASE CHECK OPEN GATE BEFORE RETURN CNTR **</t>
        </is>
      </c>
      <c r="BA10" s="97" t="inlineStr">
        <is>
          <t xml:space="preserve">ROLL OVER FROM PREVIOUS VSL SWSR 2611N BY ALLOCATION TEAM MS.TARN APPROVED COST IS UNDER HAL DD.09/10
FM SWDN 2610N DD 09/09 </t>
        </is>
      </c>
      <c r="BB10" s="96" t="inlineStr">
        <is>
          <t>P</t>
        </is>
      </c>
      <c r="BC10" s="161" t="inlineStr">
        <is>
          <t>2026-09-08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GENESTAR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2026-10-06</t>
        </is>
      </c>
      <c r="BM10" s="127" t="n"/>
      <c r="BN10" s="127" t="n"/>
      <c r="BO10" s="127" t="n"/>
      <c r="BP10" s="127" t="n">
        <v>7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benjawan.s@th.yusen-logistics.com</t>
        </is>
      </c>
      <c r="CJ10" s="96" t="inlineStr">
        <is>
          <t>YUSEN LOGISTICS (THAILAND) CO., LTD</t>
        </is>
      </c>
      <c r="CK10" s="96" t="inlineStr">
        <is>
          <t>YUSEN LOGISTICS (HONG KONG) LTD.</t>
        </is>
      </c>
      <c r="CL10" s="96" t="inlineStr">
        <is>
          <t>YUSEN LOGISTICS (HONG KONG) LTD.</t>
        </is>
      </c>
      <c r="CM10" s="97" t="n"/>
      <c r="CN10" s="96" t="inlineStr">
        <is>
          <t>202610121700</t>
        </is>
      </c>
      <c r="CO10" s="96" t="inlineStr">
        <is>
          <t>202610131800</t>
        </is>
      </c>
      <c r="CP10" s="97" t="n"/>
      <c r="CQ10" s="96" t="inlineStr">
        <is>
          <t>S19-2112038</t>
        </is>
      </c>
      <c r="CR10" s="96" t="inlineStr">
        <is>
          <t>TH03TL</t>
        </is>
      </c>
      <c r="CS10" s="96" t="inlineStr">
        <is>
          <t>YUSEN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n"/>
      <c r="CY10" s="183" t="inlineStr">
        <is>
          <t>ROLL OVER FROM PREVIOUS VSL SWSR 2611N BY ALLOCATION TEAM MS.TARN APPROVED COST IS UNDER HAL DD.09/10</t>
        </is>
      </c>
    </row>
    <row r="11" ht="12" customHeight="1">
      <c r="A11" s="116" t="inlineStr">
        <is>
          <t>HASLS22261000048</t>
        </is>
      </c>
      <c r="B11" s="96" t="inlineStr">
        <is>
          <t>20'x1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VTS</t>
        </is>
      </c>
      <c r="M11" s="96" t="inlineStr">
        <is>
          <t>KMTP</t>
        </is>
      </c>
      <c r="N11" s="96" t="inlineStr">
        <is>
          <t>2612N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CNXMN</t>
        </is>
      </c>
      <c r="T11" s="96" t="inlineStr">
        <is>
          <t>XMN01</t>
        </is>
      </c>
      <c r="U11" s="96" t="inlineStr">
        <is>
          <t>CNXMN</t>
        </is>
      </c>
      <c r="V11" s="161" t="inlineStr">
        <is>
          <t>2026-10-21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EXTRA MARITIME CO., LTD.</t>
        </is>
      </c>
      <c r="AB11" s="96" t="inlineStr">
        <is>
          <t>PROTERIAL (THAILAND) LTD.</t>
        </is>
      </c>
      <c r="AC11" s="163" t="n">
        <v>402.18</v>
      </c>
      <c r="AD11" s="163" t="n">
        <v>2602.18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TBKK19</t>
        </is>
      </c>
      <c r="AN11" s="96" t="inlineStr">
        <is>
          <t>Kanokporn</t>
        </is>
      </c>
      <c r="AO11" s="96" t="inlineStr">
        <is>
          <t>TORQUE SENSOR ASSY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>Pickup : 2026-10-08, Return : 2026-10-09 (1ST RTN DD: 10/10/26 WO/RENT)
**CHECK OPENGATE BEFORE RETURN CNTR**</t>
        </is>
      </c>
      <c r="BA11" s="97" t="n"/>
      <c r="BB11" s="96" t="inlineStr">
        <is>
          <t>P</t>
        </is>
      </c>
      <c r="BC11" s="161" t="inlineStr">
        <is>
          <t>2026-10-01</t>
        </is>
      </c>
      <c r="BD11" s="161" t="inlineStr">
        <is>
          <t>2026-10-12</t>
        </is>
      </c>
      <c r="BE11" s="96" t="inlineStr">
        <is>
          <t>Y</t>
        </is>
      </c>
      <c r="BF11" s="96" t="inlineStr">
        <is>
          <t>TORQUE SENSOR ASSY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2026-10-08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SRISUDA@EXTRAMARITIME.CO.TH</t>
        </is>
      </c>
      <c r="CJ11" s="96" t="inlineStr">
        <is>
          <t>EXTRA MARITIME CO.,LTD.</t>
        </is>
      </c>
      <c r="CK11" s="96" t="inlineStr">
        <is>
          <t>PROTERIAL (CHINA), LTD.</t>
        </is>
      </c>
      <c r="CL11" s="96" t="inlineStr">
        <is>
          <t>UNITEX INTERNATIONAL</t>
        </is>
      </c>
      <c r="CM11" s="97" t="inlineStr">
        <is>
          <t>CLOSED</t>
        </is>
      </c>
      <c r="CN11" s="96" t="inlineStr">
        <is>
          <t>202610121700</t>
        </is>
      </c>
      <c r="CO11" s="96" t="inlineStr">
        <is>
          <t>202610131800</t>
        </is>
      </c>
      <c r="CP11" s="97" t="n"/>
      <c r="CQ11" s="96" t="inlineStr">
        <is>
          <t>S19-2211003</t>
        </is>
      </c>
      <c r="CR11" s="96" t="inlineStr">
        <is>
          <t>BB0528</t>
        </is>
      </c>
      <c r="CS11" s="96" t="inlineStr">
        <is>
          <t>EXTRA MARITIME CO., LTD.</t>
        </is>
      </c>
      <c r="CT11" s="96" t="inlineStr">
        <is>
          <t>N</t>
        </is>
      </c>
      <c r="CU11" s="97" t="n"/>
      <c r="CV11" s="97" t="n"/>
      <c r="CW11" s="161" t="inlineStr">
        <is>
          <t>2026-10-14</t>
        </is>
      </c>
      <c r="CX11" s="97" t="n"/>
      <c r="CY11" s="183" t="n"/>
    </row>
    <row r="12" ht="12" customHeight="1">
      <c r="A12" s="116" t="inlineStr">
        <is>
          <t>HASLS22261000346</t>
        </is>
      </c>
      <c r="B12" s="96" t="inlineStr">
        <is>
          <t>20'x1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1</v>
      </c>
      <c r="H12" s="97" t="n">
        <v>0</v>
      </c>
      <c r="I12" s="97" t="n">
        <v>0</v>
      </c>
      <c r="J12" s="97" t="n">
        <v>1</v>
      </c>
      <c r="K12" s="96" t="inlineStr">
        <is>
          <t>N</t>
        </is>
      </c>
      <c r="L12" s="96" t="inlineStr">
        <is>
          <t>VTS</t>
        </is>
      </c>
      <c r="M12" s="96" t="inlineStr">
        <is>
          <t>KMTP</t>
        </is>
      </c>
      <c r="N12" s="96" t="inlineStr">
        <is>
          <t>2612N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HKHKG</t>
        </is>
      </c>
      <c r="T12" s="96" t="inlineStr">
        <is>
          <t>HKG03</t>
        </is>
      </c>
      <c r="U12" s="96" t="inlineStr">
        <is>
          <t>HKHKG</t>
        </is>
      </c>
      <c r="V12" s="161" t="inlineStr">
        <is>
          <t>2026-10-20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PACIFIC FORWARDER INTERNATIONAL CO., LTD.</t>
        </is>
      </c>
      <c r="AB12" s="96" t="inlineStr">
        <is>
          <t>GENERAL RUBBER (THAILAND) CO., LTD.</t>
        </is>
      </c>
      <c r="AC12" s="163" t="n">
        <v>4387.88</v>
      </c>
      <c r="AD12" s="163" t="n">
        <v>6587.88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TH0042</t>
        </is>
      </c>
      <c r="AN12" s="96" t="inlineStr">
        <is>
          <t>Sukunpoj Damrongying</t>
        </is>
      </c>
      <c r="AO12" s="96" t="inlineStr">
        <is>
          <t>NEW TYRES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2026-10-09, Return : 2026-10-10 [1ST RTN 11/10/2026 W/O RENT]
** PLEASE CHECK OPEN GATE BEFORE RETURN CONTAINER **</t>
        </is>
      </c>
      <c r="BA12" s="97" t="n"/>
      <c r="BB12" s="96" t="inlineStr">
        <is>
          <t>P</t>
        </is>
      </c>
      <c r="BC12" s="161" t="inlineStr">
        <is>
          <t>2026-10-05</t>
        </is>
      </c>
      <c r="BD12" s="161" t="inlineStr">
        <is>
          <t>2026-10-09</t>
        </is>
      </c>
      <c r="BE12" s="96" t="inlineStr">
        <is>
          <t>Y</t>
        </is>
      </c>
      <c r="BF12" s="96" t="inlineStr">
        <is>
          <t>NEW TYRES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2026-10-09</t>
        </is>
      </c>
      <c r="BM12" s="127" t="n"/>
      <c r="BN12" s="127" t="n">
        <v>1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cs_exp@pfi-forwarder.co.th</t>
        </is>
      </c>
      <c r="CJ12" s="96" t="inlineStr">
        <is>
          <t>GALAXY AUTOMOTIVE CO., LTD.</t>
        </is>
      </c>
      <c r="CK12" s="96" t="inlineStr">
        <is>
          <t>YUK CHEONG HONG CO., LTD.</t>
        </is>
      </c>
      <c r="CL12" s="96" t="inlineStr">
        <is>
          <t>YUK CHEONG HONG CO., LTD.</t>
        </is>
      </c>
      <c r="CM12" s="97" t="inlineStr">
        <is>
          <t>CLOSED</t>
        </is>
      </c>
      <c r="CN12" s="96" t="inlineStr">
        <is>
          <t>202610121700</t>
        </is>
      </c>
      <c r="CO12" s="96" t="inlineStr">
        <is>
          <t>202610131800</t>
        </is>
      </c>
      <c r="CP12" s="97" t="n"/>
      <c r="CQ12" s="96" t="inlineStr">
        <is>
          <t>S22-2601010</t>
        </is>
      </c>
      <c r="CR12" s="96" t="inlineStr">
        <is>
          <t>TH04DU</t>
        </is>
      </c>
      <c r="CS12" s="96" t="inlineStr">
        <is>
          <t>PACIFIC FORWARDER INTERNATIONAL CO., LTD.</t>
        </is>
      </c>
      <c r="CT12" s="96" t="inlineStr">
        <is>
          <t>N</t>
        </is>
      </c>
      <c r="CU12" s="97" t="n"/>
      <c r="CV12" s="97" t="n"/>
      <c r="CW12" s="161" t="inlineStr">
        <is>
          <t>2026-10-15</t>
        </is>
      </c>
      <c r="CX12" s="97" t="inlineStr">
        <is>
          <t>401110</t>
        </is>
      </c>
      <c r="CY12" s="183" t="n"/>
    </row>
    <row r="13" ht="12" customHeight="1">
      <c r="A13" s="116" t="inlineStr">
        <is>
          <t>HASLS22260902371</t>
        </is>
      </c>
      <c r="B13" s="96" t="inlineStr">
        <is>
          <t>20'x1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1</v>
      </c>
      <c r="H13" s="97" t="n">
        <v>0</v>
      </c>
      <c r="I13" s="97" t="n">
        <v>0</v>
      </c>
      <c r="J13" s="97" t="n">
        <v>1</v>
      </c>
      <c r="K13" s="96" t="inlineStr">
        <is>
          <t>N</t>
        </is>
      </c>
      <c r="L13" s="96" t="inlineStr">
        <is>
          <t>VTS</t>
        </is>
      </c>
      <c r="M13" s="96" t="inlineStr">
        <is>
          <t>KMTP</t>
        </is>
      </c>
      <c r="N13" s="96" t="inlineStr">
        <is>
          <t>2612N</t>
        </is>
      </c>
      <c r="O13" s="96" t="inlineStr">
        <is>
          <t>THLCH</t>
        </is>
      </c>
      <c r="P13" s="96" t="inlineStr">
        <is>
          <t>LCH04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HKHKG</t>
        </is>
      </c>
      <c r="T13" s="96" t="inlineStr">
        <is>
          <t>HKG03</t>
        </is>
      </c>
      <c r="U13" s="96" t="inlineStr">
        <is>
          <t>HKHKG</t>
        </is>
      </c>
      <c r="V13" s="161" t="inlineStr">
        <is>
          <t>2026-10-20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DOUBLE A (1991) PUBLIC COMPANY LIMITED</t>
        </is>
      </c>
      <c r="AB13" s="96" t="inlineStr">
        <is>
          <t>DOUBLE A (1991) PUBLIC COMPANY LIMITED</t>
        </is>
      </c>
      <c r="AC13" s="163" t="n">
        <v>16819</v>
      </c>
      <c r="AD13" s="163" t="n">
        <v>19019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TBKK19</t>
        </is>
      </c>
      <c r="AN13" s="96" t="inlineStr">
        <is>
          <t>Kanokporn</t>
        </is>
      </c>
      <c r="AO13" s="96" t="inlineStr">
        <is>
          <t>PAPER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CY-RTN : 06-08/10/2026
REF : PI-HK-TH-DA-26100008
FRT $35, FREE TIME 14/14, DTHC(HKD)2000</t>
        </is>
      </c>
      <c r="BA13" s="97" t="n"/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2026-10-08</t>
        </is>
      </c>
      <c r="BE13" s="96" t="inlineStr">
        <is>
          <t>Y</t>
        </is>
      </c>
      <c r="BF13" s="96" t="inlineStr">
        <is>
          <t>PAPER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2026-10-06</t>
        </is>
      </c>
      <c r="BM13" s="127" t="n"/>
      <c r="BN13" s="127" t="n">
        <v>1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n"/>
      <c r="CB13" s="97" t="n"/>
      <c r="CC13" s="96" t="inlineStr">
        <is>
          <t>LCH04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kan_b@doublea1991.com</t>
        </is>
      </c>
      <c r="CJ13" s="96" t="inlineStr">
        <is>
          <t>DOUBLE A (1991) PUBLIC COMPANY</t>
        </is>
      </c>
      <c r="CK13" s="96" t="inlineStr">
        <is>
          <t>TO ORDER</t>
        </is>
      </c>
      <c r="CL13" s="96" t="inlineStr">
        <is>
          <t>DOUBLE A INTERNATIONAL TRADING</t>
        </is>
      </c>
      <c r="CM13" s="97" t="inlineStr">
        <is>
          <t>CLOSED</t>
        </is>
      </c>
      <c r="CN13" s="96" t="inlineStr">
        <is>
          <t>202610121700</t>
        </is>
      </c>
      <c r="CO13" s="96" t="inlineStr">
        <is>
          <t>202610131800</t>
        </is>
      </c>
      <c r="CP13" s="97" t="n"/>
      <c r="CQ13" s="96" t="inlineStr">
        <is>
          <t>S19-2312005</t>
        </is>
      </c>
      <c r="CR13" s="96" t="inlineStr">
        <is>
          <t>TH0382</t>
        </is>
      </c>
      <c r="CS13" s="96" t="inlineStr">
        <is>
          <t>DOUBLE A (1991) PUBLIC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2026-10-12</t>
        </is>
      </c>
      <c r="CX13" s="97" t="n"/>
      <c r="CY13" s="183" t="n"/>
    </row>
    <row r="14" ht="12" customHeight="1">
      <c r="A14" s="116" t="inlineStr">
        <is>
          <t>HASLS22261000312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VTS</t>
        </is>
      </c>
      <c r="M14" s="96" t="inlineStr">
        <is>
          <t>KMTP</t>
        </is>
      </c>
      <c r="N14" s="96" t="inlineStr">
        <is>
          <t>2612N</t>
        </is>
      </c>
      <c r="O14" s="96" t="inlineStr">
        <is>
          <t>THLCH</t>
        </is>
      </c>
      <c r="P14" s="96" t="inlineStr">
        <is>
          <t>LCH04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HKHKG</t>
        </is>
      </c>
      <c r="T14" s="96" t="inlineStr">
        <is>
          <t>HKG03</t>
        </is>
      </c>
      <c r="U14" s="96" t="inlineStr">
        <is>
          <t>HKHKG</t>
        </is>
      </c>
      <c r="V14" s="161" t="inlineStr">
        <is>
          <t>2026-10-20</t>
        </is>
      </c>
      <c r="W14" s="96" t="inlineStr">
        <is>
          <t>IA</t>
        </is>
      </c>
      <c r="X14" s="97" t="n"/>
      <c r="Y14" s="97" t="n"/>
      <c r="Z14" s="97" t="n"/>
      <c r="AA14" s="96" t="inlineStr">
        <is>
          <t>AGC VINYTHAI PUBLIC COMPANY LIMITED</t>
        </is>
      </c>
      <c r="AB14" s="96" t="inlineStr">
        <is>
          <t>AGC VINYTHAI PUBLIC COMPANY LIMITED</t>
        </is>
      </c>
      <c r="AC14" s="163" t="n">
        <v>24960</v>
      </c>
      <c r="AD14" s="163" t="n">
        <v>27160</v>
      </c>
      <c r="AE14" s="96" t="inlineStr">
        <is>
          <t>OK</t>
        </is>
      </c>
      <c r="AF14" s="96" t="inlineStr">
        <is>
          <t>SR</t>
        </is>
      </c>
      <c r="AG14" s="97" t="n"/>
      <c r="AH14" s="96" t="inlineStr">
        <is>
          <t>CHK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TH0011</t>
        </is>
      </c>
      <c r="AN14" s="96" t="inlineStr">
        <is>
          <t>Nannaapust Sukporntaweewat</t>
        </is>
      </c>
      <c r="AO14" s="96" t="inlineStr">
        <is>
          <t>POTASSIUM CARBONATE 99% MIN. (NON-DG)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2026-10-10, Return : 2026-10-11 [1ST RTN 11/10/2026 W/O RENT]
** PLEASE CHECK OPEN GATE BEFORE RETURN CONTAINER ** </t>
        </is>
      </c>
      <c r="BA14" s="97" t="inlineStr">
        <is>
          <t>CFM BY P'KUNG DD 06/10 SEND DRAFT  nannagamphat.n@agc.com,KANOKPHON@FTS.CO.TH , LALIDA@FTS.CO.TH , wanissa@fts.co.th</t>
        </is>
      </c>
      <c r="BB14" s="96" t="inlineStr">
        <is>
          <t>P</t>
        </is>
      </c>
      <c r="BC14" s="161" t="inlineStr">
        <is>
          <t>2026-10-05</t>
        </is>
      </c>
      <c r="BD14" s="161" t="inlineStr">
        <is>
          <t>2026-10-12</t>
        </is>
      </c>
      <c r="BE14" s="96" t="inlineStr">
        <is>
          <t>Y</t>
        </is>
      </c>
      <c r="BF14" s="96" t="inlineStr">
        <is>
          <t>POTASSIUM CARBONATE 99% MIN. (NON-DG)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LCHY5</t>
        </is>
      </c>
      <c r="BL14" s="161" t="inlineStr">
        <is>
          <t>2026-10-10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/>
      <c r="CA14" s="96" t="inlineStr">
        <is>
          <t>Y</t>
        </is>
      </c>
      <c r="CB14" s="97" t="n"/>
      <c r="CC14" s="96" t="inlineStr">
        <is>
          <t>LCH04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n"/>
      <c r="CI14" s="96" t="inlineStr">
        <is>
          <t>rawinnipha.sawa@agc.com</t>
        </is>
      </c>
      <c r="CJ14" s="96" t="inlineStr">
        <is>
          <t>AGC VINYTHAI PUBLIC COMPANY LIMITED</t>
        </is>
      </c>
      <c r="CK14" s="96" t="inlineStr">
        <is>
          <t>G.T.C. CHEMICALS (CHINA) LTD.</t>
        </is>
      </c>
      <c r="CL14" s="96" t="inlineStr">
        <is>
          <t>G.T.C. CHEMICALS (CHINA) LTD.</t>
        </is>
      </c>
      <c r="CM14" s="97" t="inlineStr">
        <is>
          <t>CLOSED</t>
        </is>
      </c>
      <c r="CN14" s="96" t="inlineStr">
        <is>
          <t>202610121700</t>
        </is>
      </c>
      <c r="CO14" s="96" t="inlineStr">
        <is>
          <t>202610131800</t>
        </is>
      </c>
      <c r="CP14" s="97" t="n"/>
      <c r="CQ14" s="96" t="inlineStr">
        <is>
          <t>S22-2310025</t>
        </is>
      </c>
      <c r="CR14" s="96" t="inlineStr">
        <is>
          <t>TH04MG</t>
        </is>
      </c>
      <c r="CS14" s="96" t="inlineStr">
        <is>
          <t>AGC VINYTHAI PUBLIC COMPANY LIMITED</t>
        </is>
      </c>
      <c r="CT14" s="96" t="inlineStr">
        <is>
          <t>N</t>
        </is>
      </c>
      <c r="CU14" s="97" t="n"/>
      <c r="CV14" s="97" t="n"/>
      <c r="CW14" s="161" t="inlineStr">
        <is>
          <t>2026-10-15</t>
        </is>
      </c>
      <c r="CX14" s="97" t="inlineStr">
        <is>
          <t>283640</t>
        </is>
      </c>
      <c r="CY14" s="183" t="n"/>
    </row>
    <row r="15" ht="12" customHeight="1">
      <c r="A15" s="116" t="inlineStr">
        <is>
          <t>HASLS22261000750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VTS</t>
        </is>
      </c>
      <c r="M15" s="96" t="inlineStr">
        <is>
          <t>KMTP</t>
        </is>
      </c>
      <c r="N15" s="96" t="inlineStr">
        <is>
          <t>2612N</t>
        </is>
      </c>
      <c r="O15" s="96" t="inlineStr">
        <is>
          <t>THLCH</t>
        </is>
      </c>
      <c r="P15" s="96" t="inlineStr">
        <is>
          <t>LCH04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HKHKG</t>
        </is>
      </c>
      <c r="T15" s="96" t="inlineStr">
        <is>
          <t>HKG03</t>
        </is>
      </c>
      <c r="U15" s="96" t="inlineStr">
        <is>
          <t>HKHKG</t>
        </is>
      </c>
      <c r="V15" s="161" t="inlineStr">
        <is>
          <t>2026-10-20</t>
        </is>
      </c>
      <c r="W15" s="96" t="inlineStr">
        <is>
          <t>IA</t>
        </is>
      </c>
      <c r="X15" s="97" t="n"/>
      <c r="Y15" s="97" t="n"/>
      <c r="Z15" s="97" t="n"/>
      <c r="AA15" s="96" t="inlineStr">
        <is>
          <t>IRPC PUBLIC COMPANY LIMITED</t>
        </is>
      </c>
      <c r="AB15" s="96" t="inlineStr">
        <is>
          <t>IRPC PUBLIC COMPANY LIMITED</t>
        </is>
      </c>
      <c r="AC15" s="163" t="n">
        <v>16599</v>
      </c>
      <c r="AD15" s="163" t="n">
        <v>18799</v>
      </c>
      <c r="AE15" s="96" t="inlineStr">
        <is>
          <t>OK</t>
        </is>
      </c>
      <c r="AF15" s="96" t="inlineStr">
        <is>
          <t>SR</t>
        </is>
      </c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TBKK13</t>
        </is>
      </c>
      <c r="AN15" s="96" t="inlineStr">
        <is>
          <t>Dharaporn</t>
        </is>
      </c>
      <c r="AO15" s="96" t="inlineStr">
        <is>
          <t>POLYPROPYLENE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 xml:space="preserve">CY-RTN 10-13/10/26 </t>
        </is>
      </c>
      <c r="BA15" s="97" t="n"/>
      <c r="BB15" s="96" t="inlineStr">
        <is>
          <t>P</t>
        </is>
      </c>
      <c r="BC15" s="161" t="inlineStr">
        <is>
          <t>2026-10-09</t>
        </is>
      </c>
      <c r="BD15" s="161" t="inlineStr">
        <is>
          <t>2026-10-09</t>
        </is>
      </c>
      <c r="BE15" s="96" t="inlineStr">
        <is>
          <t>Y</t>
        </is>
      </c>
      <c r="BF15" s="96" t="inlineStr">
        <is>
          <t>RESIN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2026-10-10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n"/>
      <c r="CB15" s="97" t="n"/>
      <c r="CC15" s="96" t="inlineStr">
        <is>
          <t>LCH04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n"/>
      <c r="CI15" s="96" t="inlineStr">
        <is>
          <t>kamonrat.bo@irpc.co.th</t>
        </is>
      </c>
      <c r="CJ15" s="96" t="inlineStr">
        <is>
          <t>IRPC PUBLIC COMPANY LIMITED</t>
        </is>
      </c>
      <c r="CK15" s="96" t="inlineStr">
        <is>
          <t>TO ORDER OF SOLID GOLD INDUSTRIES</t>
        </is>
      </c>
      <c r="CL15" s="96" t="inlineStr">
        <is>
          <t>SOLID GOLD INDUSTRIES (HK) LIMITED</t>
        </is>
      </c>
      <c r="CM15" s="97" t="inlineStr">
        <is>
          <t>CLOSED</t>
        </is>
      </c>
      <c r="CN15" s="96" t="inlineStr">
        <is>
          <t>202610121700</t>
        </is>
      </c>
      <c r="CO15" s="96" t="inlineStr">
        <is>
          <t>202610131800</t>
        </is>
      </c>
      <c r="CP15" s="97" t="n"/>
      <c r="CQ15" s="96" t="inlineStr">
        <is>
          <t>S22-2603014</t>
        </is>
      </c>
      <c r="CR15" s="96" t="inlineStr">
        <is>
          <t>BB0062</t>
        </is>
      </c>
      <c r="CS15" s="96" t="inlineStr">
        <is>
          <t>IRPC PUBLIC COMPANY LIMITED</t>
        </is>
      </c>
      <c r="CT15" s="96" t="inlineStr">
        <is>
          <t>N</t>
        </is>
      </c>
      <c r="CU15" s="97" t="n"/>
      <c r="CV15" s="97" t="n"/>
      <c r="CW15" s="161" t="inlineStr">
        <is>
          <t>2026-10-15</t>
        </is>
      </c>
      <c r="CX15" s="97" t="n"/>
      <c r="CY15" s="183" t="n"/>
    </row>
    <row r="16" ht="12" customHeight="1">
      <c r="A16" s="116" t="inlineStr">
        <is>
          <t>HASLS22261000759</t>
        </is>
      </c>
      <c r="B16" s="96" t="inlineStr">
        <is>
          <t>20'x1</t>
        </is>
      </c>
      <c r="C16" s="97" t="n">
        <v>1</v>
      </c>
      <c r="D16" s="97" t="n">
        <v>1</v>
      </c>
      <c r="E16" s="97" t="n"/>
      <c r="F16" s="97" t="n">
        <v>0</v>
      </c>
      <c r="G16" s="97" t="n">
        <v>1</v>
      </c>
      <c r="H16" s="97" t="n">
        <v>0</v>
      </c>
      <c r="I16" s="97" t="n">
        <v>0</v>
      </c>
      <c r="J16" s="97" t="n">
        <v>1</v>
      </c>
      <c r="K16" s="96" t="inlineStr">
        <is>
          <t>N</t>
        </is>
      </c>
      <c r="L16" s="96" t="inlineStr">
        <is>
          <t>VTS</t>
        </is>
      </c>
      <c r="M16" s="96" t="inlineStr">
        <is>
          <t>KMTP</t>
        </is>
      </c>
      <c r="N16" s="96" t="inlineStr">
        <is>
          <t>2612N</t>
        </is>
      </c>
      <c r="O16" s="96" t="inlineStr">
        <is>
          <t>THLCH</t>
        </is>
      </c>
      <c r="P16" s="96" t="inlineStr">
        <is>
          <t>LCH04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HKHKG</t>
        </is>
      </c>
      <c r="T16" s="96" t="inlineStr">
        <is>
          <t>HKG03</t>
        </is>
      </c>
      <c r="U16" s="96" t="inlineStr">
        <is>
          <t>CNHUA</t>
        </is>
      </c>
      <c r="V16" s="161" t="inlineStr">
        <is>
          <t>2026-10-20</t>
        </is>
      </c>
      <c r="W16" s="96" t="inlineStr">
        <is>
          <t>IA</t>
        </is>
      </c>
      <c r="X16" s="97" t="inlineStr">
        <is>
          <t>Barge</t>
        </is>
      </c>
      <c r="Y16" s="97" t="n"/>
      <c r="Z16" s="97" t="n"/>
      <c r="AA16" s="96" t="inlineStr">
        <is>
          <t>SIAM I-LOGISTICS LTD.</t>
        </is>
      </c>
      <c r="AB16" s="96" t="inlineStr">
        <is>
          <t>UNION NIFCO CO.,LTD.</t>
        </is>
      </c>
      <c r="AC16" s="163" t="n">
        <v>1579.48</v>
      </c>
      <c r="AD16" s="163" t="n">
        <v>3779.48</v>
      </c>
      <c r="AE16" s="96" t="inlineStr">
        <is>
          <t>OK</t>
        </is>
      </c>
      <c r="AF16" s="96" t="inlineStr">
        <is>
          <t>SR</t>
        </is>
      </c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TH0011</t>
        </is>
      </c>
      <c r="AN16" s="96" t="inlineStr">
        <is>
          <t>Nannaapust Sukporntaweewat</t>
        </is>
      </c>
      <c r="AO16" s="96" t="inlineStr">
        <is>
          <t>PLASTIC PART FOR MOTORCYCLE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 xml:space="preserve">Pickup : 2026-10-10, Return : 2026-10-12 
 ** PLEASE CHECK OPEN GATE BEFORE RETURN CNTR **
 </t>
        </is>
      </c>
      <c r="BA16" s="97" t="n"/>
      <c r="BB16" s="96" t="inlineStr">
        <is>
          <t>P</t>
        </is>
      </c>
      <c r="BC16" s="161" t="inlineStr">
        <is>
          <t>2026-10-09</t>
        </is>
      </c>
      <c r="BD16" s="161" t="inlineStr">
        <is>
          <t>2026-10-14</t>
        </is>
      </c>
      <c r="BE16" s="96" t="inlineStr">
        <is>
          <t>Y</t>
        </is>
      </c>
      <c r="BF16" s="96" t="inlineStr">
        <is>
          <t>AUTO PART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LCH27</t>
        </is>
      </c>
      <c r="BL16" s="161" t="inlineStr">
        <is>
          <t>2026-10-10</t>
        </is>
      </c>
      <c r="BM16" s="127" t="n"/>
      <c r="BN16" s="127" t="n">
        <v>1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n"/>
      <c r="CB16" s="97" t="n"/>
      <c r="CC16" s="96" t="inlineStr">
        <is>
          <t>LCH04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lcb-sil@th.itclogi.com;pathamavadee_c@th.itclogi.com</t>
        </is>
      </c>
      <c r="CJ16" s="96" t="inlineStr">
        <is>
          <t>SIAM I-LOGISTICS LTD.</t>
        </is>
      </c>
      <c r="CK16" s="96" t="inlineStr">
        <is>
          <t>ITOCHU LOGISTICS (HK) LTD.,</t>
        </is>
      </c>
      <c r="CL16" s="96" t="inlineStr">
        <is>
          <t>ITOCHU LOGISTICS (HK) LTD.,</t>
        </is>
      </c>
      <c r="CM16" s="97" t="inlineStr">
        <is>
          <t>CLOSED</t>
        </is>
      </c>
      <c r="CN16" s="96" t="inlineStr">
        <is>
          <t>202610121700</t>
        </is>
      </c>
      <c r="CO16" s="96" t="inlineStr">
        <is>
          <t>202610131800</t>
        </is>
      </c>
      <c r="CP16" s="97" t="n"/>
      <c r="CQ16" s="96" t="inlineStr">
        <is>
          <t>S22-2507010</t>
        </is>
      </c>
      <c r="CR16" s="96" t="inlineStr">
        <is>
          <t>BB0941</t>
        </is>
      </c>
      <c r="CS16" s="96" t="inlineStr">
        <is>
          <t>SIAM I-LOGISTICS LTD.</t>
        </is>
      </c>
      <c r="CT16" s="96" t="inlineStr">
        <is>
          <t>N</t>
        </is>
      </c>
      <c r="CU16" s="97" t="n"/>
      <c r="CV16" s="97" t="n"/>
      <c r="CW16" s="161" t="inlineStr">
        <is>
          <t>2026-10-15</t>
        </is>
      </c>
      <c r="CX16" s="97" t="n"/>
      <c r="CY16" s="183" t="n"/>
    </row>
    <row r="17" ht="12" customHeight="1">
      <c r="A17" s="116" t="inlineStr">
        <is>
          <t>HASLS22261000830</t>
        </is>
      </c>
      <c r="B17" s="96" t="inlineStr">
        <is>
          <t>R40Hx1</t>
        </is>
      </c>
      <c r="C17" s="97" t="n">
        <v>1</v>
      </c>
      <c r="D17" s="97" t="n">
        <v>1</v>
      </c>
      <c r="E17" s="97" t="n"/>
      <c r="F17" s="97" t="n">
        <v>0</v>
      </c>
      <c r="G17" s="97" t="n">
        <v>0</v>
      </c>
      <c r="H17" s="97" t="n">
        <v>0</v>
      </c>
      <c r="I17" s="97" t="n">
        <v>1</v>
      </c>
      <c r="J17" s="97" t="n">
        <v>2</v>
      </c>
      <c r="K17" s="96" t="inlineStr">
        <is>
          <t>N</t>
        </is>
      </c>
      <c r="L17" s="96" t="inlineStr">
        <is>
          <t>VTS</t>
        </is>
      </c>
      <c r="M17" s="96" t="inlineStr">
        <is>
          <t>KMTP</t>
        </is>
      </c>
      <c r="N17" s="96" t="inlineStr">
        <is>
          <t>2612N</t>
        </is>
      </c>
      <c r="O17" s="96" t="inlineStr">
        <is>
          <t>THLCH</t>
        </is>
      </c>
      <c r="P17" s="96" t="inlineStr">
        <is>
          <t>LCH04</t>
        </is>
      </c>
      <c r="Q17" s="96" t="inlineStr">
        <is>
          <t>IA</t>
        </is>
      </c>
      <c r="R17" s="161" t="inlineStr">
        <is>
          <t>2026-10-16</t>
        </is>
      </c>
      <c r="S17" s="96" t="inlineStr">
        <is>
          <t>HKHKG</t>
        </is>
      </c>
      <c r="T17" s="96" t="inlineStr">
        <is>
          <t>HKG03</t>
        </is>
      </c>
      <c r="U17" s="96" t="inlineStr">
        <is>
          <t>HKHKG</t>
        </is>
      </c>
      <c r="V17" s="161" t="inlineStr">
        <is>
          <t>2026-10-20</t>
        </is>
      </c>
      <c r="W17" s="96" t="inlineStr">
        <is>
          <t>IA</t>
        </is>
      </c>
      <c r="X17" s="97" t="n"/>
      <c r="Y17" s="97" t="n"/>
      <c r="Z17" s="97" t="n"/>
      <c r="AA17" s="96" t="inlineStr">
        <is>
          <t>POSTMAN (THAILAND) CO.,LTD.</t>
        </is>
      </c>
      <c r="AB17" s="96" t="inlineStr">
        <is>
          <t>POSTMAN (THAILAND) CO.,LTD.</t>
        </is>
      </c>
      <c r="AC17" s="163" t="n">
        <v>26395.95</v>
      </c>
      <c r="AD17" s="163" t="n">
        <v>30395.95</v>
      </c>
      <c r="AE17" s="96" t="inlineStr">
        <is>
          <t>OK</t>
        </is>
      </c>
      <c r="AF17" s="96" t="n"/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TH0031</t>
        </is>
      </c>
      <c r="AN17" s="96" t="inlineStr">
        <is>
          <t>Pattarapong Saengthong</t>
        </is>
      </c>
      <c r="AO17" s="96" t="inlineStr">
        <is>
          <t>FRESH COCONUT</t>
        </is>
      </c>
      <c r="AP17" s="96" t="inlineStr">
        <is>
          <t>Normal</t>
        </is>
      </c>
      <c r="AQ17" s="97" t="n"/>
      <c r="AR17" s="97" t="n"/>
      <c r="AS17" s="97" t="inlineStr">
        <is>
          <t>RF// MIN:+2.0 MAX:+2.0 [COVER:10% OPEN]</t>
        </is>
      </c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 xml:space="preserve">Pickup : 2026-10-12, Return : 2026-10-13 RF45REx1 (Temp +2.0 / Vent 10% Open) 
CLS TIME : 15/10/2026 @ 21.00  </t>
        </is>
      </c>
      <c r="BA17" s="97" t="n"/>
      <c r="BB17" s="96" t="inlineStr">
        <is>
          <t>P</t>
        </is>
      </c>
      <c r="BC17" s="161" t="inlineStr">
        <is>
          <t>2026-10-11</t>
        </is>
      </c>
      <c r="BD17" s="161" t="inlineStr">
        <is>
          <t>2026-10-14</t>
        </is>
      </c>
      <c r="BE17" s="96" t="inlineStr">
        <is>
          <t>Y</t>
        </is>
      </c>
      <c r="BF17" s="96" t="inlineStr">
        <is>
          <t>FRESH COCONUT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LCH27</t>
        </is>
      </c>
      <c r="BL17" s="161" t="inlineStr">
        <is>
          <t>2026-10-12</t>
        </is>
      </c>
      <c r="BM17" s="127" t="n"/>
      <c r="BN17" s="127" t="n"/>
      <c r="BO17" s="127" t="n"/>
      <c r="BP17" s="127" t="n"/>
      <c r="BQ17" s="127" t="n"/>
      <c r="BR17" s="127" t="n">
        <v>1</v>
      </c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/>
      <c r="CA17" s="96" t="inlineStr">
        <is>
          <t>Y</t>
        </is>
      </c>
      <c r="CB17" s="97" t="n"/>
      <c r="CC17" s="96" t="inlineStr">
        <is>
          <t>LCH04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n"/>
      <c r="CI17" s="96" t="inlineStr">
        <is>
          <t>sukanya@ohengthai.com;nuttawut@ohengthai.com</t>
        </is>
      </c>
      <c r="CJ17" s="96" t="inlineStr">
        <is>
          <t>SIAM PRESTIGE FRUIT CO.,LTD.</t>
        </is>
      </c>
      <c r="CK17" s="96" t="inlineStr">
        <is>
          <t>GOLD JOIN TRADING LIMITED</t>
        </is>
      </c>
      <c r="CL17" s="96" t="inlineStr">
        <is>
          <t>GOLD JOIN TRADING LIMITED</t>
        </is>
      </c>
      <c r="CM17" s="97" t="inlineStr">
        <is>
          <t>CLOSED</t>
        </is>
      </c>
      <c r="CN17" s="96" t="inlineStr">
        <is>
          <t>202610121700</t>
        </is>
      </c>
      <c r="CO17" s="96" t="inlineStr">
        <is>
          <t>202610131800</t>
        </is>
      </c>
      <c r="CP17" s="97" t="inlineStr">
        <is>
          <t>45RE x1: RF(Temp:+2.0' / Cover:10% OPEN)</t>
        </is>
      </c>
      <c r="CQ17" s="96" t="inlineStr">
        <is>
          <t>S22-2512017</t>
        </is>
      </c>
      <c r="CR17" s="96" t="inlineStr">
        <is>
          <t>THTWMS</t>
        </is>
      </c>
      <c r="CS17" s="96" t="inlineStr">
        <is>
          <t>POSTMAN (THAILAND) CO.,LTD.</t>
        </is>
      </c>
      <c r="CT17" s="96" t="inlineStr">
        <is>
          <t>N</t>
        </is>
      </c>
      <c r="CU17" s="97" t="n"/>
      <c r="CV17" s="97" t="n"/>
      <c r="CW17" s="161" t="inlineStr">
        <is>
          <t>2026-10-15</t>
        </is>
      </c>
      <c r="CX17" s="97" t="n"/>
      <c r="CY17" s="183" t="n"/>
    </row>
    <row r="18" ht="12" customHeight="1">
      <c r="A18" s="116" t="inlineStr">
        <is>
          <t>HASLS22261000788</t>
        </is>
      </c>
      <c r="B18" s="96" t="inlineStr">
        <is>
          <t>20RFx1</t>
        </is>
      </c>
      <c r="C18" s="97" t="n">
        <v>1</v>
      </c>
      <c r="D18" s="97" t="n">
        <v>1</v>
      </c>
      <c r="E18" s="97" t="n"/>
      <c r="F18" s="97" t="n">
        <v>0</v>
      </c>
      <c r="G18" s="97" t="n">
        <v>1</v>
      </c>
      <c r="H18" s="97" t="n">
        <v>0</v>
      </c>
      <c r="I18" s="97" t="n">
        <v>0</v>
      </c>
      <c r="J18" s="97" t="n">
        <v>1</v>
      </c>
      <c r="K18" s="96" t="inlineStr">
        <is>
          <t>N</t>
        </is>
      </c>
      <c r="L18" s="96" t="inlineStr">
        <is>
          <t>VTS</t>
        </is>
      </c>
      <c r="M18" s="96" t="inlineStr">
        <is>
          <t>KMTP</t>
        </is>
      </c>
      <c r="N18" s="96" t="inlineStr">
        <is>
          <t>2612N</t>
        </is>
      </c>
      <c r="O18" s="96" t="inlineStr">
        <is>
          <t>THLCH</t>
        </is>
      </c>
      <c r="P18" s="96" t="inlineStr">
        <is>
          <t>LCH04</t>
        </is>
      </c>
      <c r="Q18" s="96" t="inlineStr">
        <is>
          <t>IA</t>
        </is>
      </c>
      <c r="R18" s="161" t="inlineStr">
        <is>
          <t>2026-10-16</t>
        </is>
      </c>
      <c r="S18" s="96" t="inlineStr">
        <is>
          <t>HKHKG</t>
        </is>
      </c>
      <c r="T18" s="96" t="inlineStr">
        <is>
          <t>HKG03</t>
        </is>
      </c>
      <c r="U18" s="96" t="inlineStr">
        <is>
          <t>HKHKG</t>
        </is>
      </c>
      <c r="V18" s="161" t="inlineStr">
        <is>
          <t>2026-10-20</t>
        </is>
      </c>
      <c r="W18" s="96" t="inlineStr">
        <is>
          <t>IA</t>
        </is>
      </c>
      <c r="X18" s="97" t="n"/>
      <c r="Y18" s="97" t="n"/>
      <c r="Z18" s="97" t="n"/>
      <c r="AA18" s="96" t="inlineStr">
        <is>
          <t>AIR WELL TRANSPORTATION CO., LTD.</t>
        </is>
      </c>
      <c r="AB18" s="96" t="inlineStr">
        <is>
          <t>PROWELL INTERNATIONAL EXPRESS CO., LTD.</t>
        </is>
      </c>
      <c r="AC18" s="163" t="n">
        <v>8050</v>
      </c>
      <c r="AD18" s="163" t="n">
        <v>10250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CHK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TBKK47</t>
        </is>
      </c>
      <c r="AN18" s="96" t="inlineStr">
        <is>
          <t>Tarn(Supaporn)</t>
        </is>
      </c>
      <c r="AO18" s="96" t="inlineStr">
        <is>
          <t>FRESH POMELO</t>
        </is>
      </c>
      <c r="AP18" s="96" t="inlineStr">
        <is>
          <t>Normal</t>
        </is>
      </c>
      <c r="AQ18" s="97" t="n"/>
      <c r="AR18" s="97" t="n"/>
      <c r="AS18" s="97" t="inlineStr">
        <is>
          <t>RF// MIN:+10.0 MAX:+10.0 [COVER:30% OPEN]</t>
        </is>
      </c>
      <c r="AT18" s="97" t="inlineStr">
        <is>
          <t xml:space="preserve">22REx1 </t>
        </is>
      </c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2026-10-09, Return : 2026-10-14 (Temp +10.0 / Vent 30% Open) 
CLS TIME DD.14/10/2026 @ 17.00
ON DECK, REQUEST NEW AND CLEAN CONTAINER CARRIER BRAND (NOT OVER 3 YEAR)</t>
        </is>
      </c>
      <c r="BA18" s="97" t="inlineStr">
        <is>
          <t>SURRENDERED B/L IN BANGKOK FREIGHT PAYER : PRO WELL INTERNATIONAL EXPRESS CO.,LTD. 6FL.,CHAMNAN PHENJATI BUSSINESS CENTER 65/63 RAMA 9 ROAD.,HUAYKWANG,HUAYKWANG, BANGKOK 10320 THAILAND TEL: 02-2454555 FAX: 02-6438453 TAX ID : 0105531001630</t>
        </is>
      </c>
      <c r="BB18" s="96" t="inlineStr">
        <is>
          <t>P</t>
        </is>
      </c>
      <c r="BC18" s="161" t="inlineStr">
        <is>
          <t>2026-10-09</t>
        </is>
      </c>
      <c r="BD18" s="161" t="inlineStr">
        <is>
          <t>2026-10-14</t>
        </is>
      </c>
      <c r="BE18" s="96" t="inlineStr">
        <is>
          <t>Y</t>
        </is>
      </c>
      <c r="BF18" s="96" t="inlineStr">
        <is>
          <t>FRESH POMELO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LCH27</t>
        </is>
      </c>
      <c r="BL18" s="161" t="inlineStr">
        <is>
          <t>2026-10-09</t>
        </is>
      </c>
      <c r="BM18" s="127" t="n"/>
      <c r="BN18" s="127" t="n"/>
      <c r="BO18" s="127" t="n"/>
      <c r="BP18" s="127" t="n"/>
      <c r="BQ18" s="127" t="n">
        <v>1</v>
      </c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LCH04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reefer3@safco.co.th;reefercs@safco.co.th;maggi.maggi.safco@gmail.com</t>
        </is>
      </c>
      <c r="CJ18" s="96" t="inlineStr">
        <is>
          <t>PRO WELL INTERNATIONAL EXPRESS</t>
        </is>
      </c>
      <c r="CK18" s="96" t="inlineStr">
        <is>
          <t>KING POWER IMPORT AND EXPORT CO LTD</t>
        </is>
      </c>
      <c r="CL18" s="96" t="inlineStr">
        <is>
          <t>KING POWER IMPORT AND EXPORT CO LTD</t>
        </is>
      </c>
      <c r="CM18" s="97" t="inlineStr">
        <is>
          <t>CLOSED</t>
        </is>
      </c>
      <c r="CN18" s="96" t="inlineStr">
        <is>
          <t>202610121700</t>
        </is>
      </c>
      <c r="CO18" s="96" t="inlineStr">
        <is>
          <t>202610131800</t>
        </is>
      </c>
      <c r="CP18" s="97" t="inlineStr">
        <is>
          <t>22RE x1: RF(Temp:+10.0' / Cover:30% OPEN)</t>
        </is>
      </c>
      <c r="CQ18" s="96" t="inlineStr">
        <is>
          <t>BKK16A0033-1</t>
        </is>
      </c>
      <c r="CR18" s="96" t="inlineStr">
        <is>
          <t>TH02P7</t>
        </is>
      </c>
      <c r="CS18" s="96" t="inlineStr">
        <is>
          <t>AIR WELL TRANSPORTATION CO., LTD.</t>
        </is>
      </c>
      <c r="CT18" s="96" t="inlineStr">
        <is>
          <t>N</t>
        </is>
      </c>
      <c r="CU18" s="97" t="n"/>
      <c r="CV18" s="97" t="n"/>
      <c r="CW18" s="161" t="inlineStr">
        <is>
          <t>2026-10-15</t>
        </is>
      </c>
      <c r="CX18" s="97" t="n"/>
      <c r="CY18" s="183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BEAU2341894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2026-10-09</t>
        </is>
      </c>
      <c r="E2" s="173" t="inlineStr">
        <is>
          <t>0750</t>
        </is>
      </c>
      <c r="F2" s="96" t="inlineStr">
        <is>
          <t>HASLS22260901216</t>
        </is>
      </c>
      <c r="G2" s="96" t="inlineStr">
        <is>
          <t>THAI POLYCARBONATE CO., LTD.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HASLS22260901216</t>
        </is>
      </c>
      <c r="N2" s="96" t="inlineStr">
        <is>
          <t xml:space="preserve">20'x4 </t>
        </is>
      </c>
      <c r="O2" s="111" t="inlineStr">
        <is>
          <t>2014</t>
        </is>
      </c>
      <c r="P2" s="111" t="n"/>
      <c r="Q2" s="111" t="n"/>
      <c r="R2" s="96" t="inlineStr">
        <is>
          <t>SWSR</t>
        </is>
      </c>
      <c r="S2" s="96" t="inlineStr">
        <is>
          <t>2611N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2026-10-16</t>
        </is>
      </c>
      <c r="W2" s="96" t="inlineStr">
        <is>
          <t>CNXMN</t>
        </is>
      </c>
      <c r="X2" s="161" t="inlineStr">
        <is>
          <t>2026-10-21</t>
        </is>
      </c>
      <c r="Y2" s="97" t="n"/>
      <c r="Z2" s="97" t="n"/>
      <c r="AA2" s="97" t="n"/>
      <c r="AB2" s="97" t="n"/>
      <c r="AC2" s="97" t="n"/>
      <c r="AD2" s="161" t="inlineStr">
        <is>
          <t>2026-10-09</t>
        </is>
      </c>
      <c r="AE2" s="174" t="inlineStr">
        <is>
          <t>1001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KM PLASTICS (GUANGZHOU) LIMITED</t>
        </is>
      </c>
      <c r="AK2" s="130" t="n"/>
    </row>
    <row r="3" ht="12" customHeight="1">
      <c r="A3" s="108" t="inlineStr">
        <is>
          <t>FBIU0156054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2026-10-10</t>
        </is>
      </c>
      <c r="E3" s="173" t="inlineStr">
        <is>
          <t>1716</t>
        </is>
      </c>
      <c r="F3" s="96" t="inlineStr">
        <is>
          <t>HASLS22260900339</t>
        </is>
      </c>
      <c r="G3" s="96" t="inlineStr">
        <is>
          <t>ACCORD PILOT LOGISTICS (THAILAND) CO., LTD.</t>
        </is>
      </c>
      <c r="H3" s="111" t="inlineStr">
        <is>
          <t>22GP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HASLS22260900339</t>
        </is>
      </c>
      <c r="N3" s="96" t="inlineStr">
        <is>
          <t xml:space="preserve">20'x1 </t>
        </is>
      </c>
      <c r="O3" s="111" t="inlineStr">
        <is>
          <t>2018</t>
        </is>
      </c>
      <c r="P3" s="111" t="n"/>
      <c r="Q3" s="111" t="n"/>
      <c r="R3" s="96" t="inlineStr">
        <is>
          <t>KMTP</t>
        </is>
      </c>
      <c r="S3" s="96" t="inlineStr">
        <is>
          <t>2612N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2026-10-16</t>
        </is>
      </c>
      <c r="W3" s="96" t="inlineStr">
        <is>
          <t>JPAXT</t>
        </is>
      </c>
      <c r="X3" s="161" t="inlineStr">
        <is>
          <t>2026-10-24</t>
        </is>
      </c>
      <c r="Y3" s="97" t="n"/>
      <c r="Z3" s="97" t="n"/>
      <c r="AA3" s="97" t="n"/>
      <c r="AB3" s="97" t="n"/>
      <c r="AC3" s="97" t="n"/>
      <c r="AD3" s="161" t="inlineStr">
        <is>
          <t>2026-10-10</t>
        </is>
      </c>
      <c r="AE3" s="174" t="inlineStr">
        <is>
          <t>2000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HEIWA KINZOKU CO., LTD.</t>
        </is>
      </c>
      <c r="AK3" s="130" t="n"/>
    </row>
    <row r="4" ht="12" customHeight="1">
      <c r="A4" s="108" t="inlineStr">
        <is>
          <t>FCIU7279540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2026-10-12</t>
        </is>
      </c>
      <c r="E4" s="173" t="inlineStr">
        <is>
          <t>1911</t>
        </is>
      </c>
      <c r="F4" s="96" t="inlineStr">
        <is>
          <t>HASLS22261000793</t>
        </is>
      </c>
      <c r="G4" s="96" t="inlineStr">
        <is>
          <t>ORIENTAL LOGISTICS GROUP (THAILAND)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HASLS22261000793</t>
        </is>
      </c>
      <c r="N4" s="96" t="inlineStr">
        <is>
          <t xml:space="preserve">40Hx2 </t>
        </is>
      </c>
      <c r="O4" s="111" t="inlineStr">
        <is>
          <t>2017</t>
        </is>
      </c>
      <c r="P4" s="111" t="n"/>
      <c r="Q4" s="111" t="n"/>
      <c r="R4" s="96" t="inlineStr">
        <is>
          <t>KMTP</t>
        </is>
      </c>
      <c r="S4" s="96" t="inlineStr">
        <is>
          <t>2612N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2026-10-16</t>
        </is>
      </c>
      <c r="W4" s="96" t="inlineStr">
        <is>
          <t>HKHKG</t>
        </is>
      </c>
      <c r="X4" s="161" t="inlineStr">
        <is>
          <t>2026-10-20</t>
        </is>
      </c>
      <c r="Y4" s="97" t="n"/>
      <c r="Z4" s="97" t="n"/>
      <c r="AA4" s="97" t="n"/>
      <c r="AB4" s="97" t="n"/>
      <c r="AC4" s="97" t="n"/>
      <c r="AD4" s="161" t="inlineStr">
        <is>
          <t>2026-10-12</t>
        </is>
      </c>
      <c r="AE4" s="174" t="inlineStr">
        <is>
          <t>2200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QINGYUAN CITY DINGCHENG</t>
        </is>
      </c>
      <c r="AK4" s="130" t="n"/>
    </row>
    <row r="5" ht="12" customHeight="1">
      <c r="A5" s="108" t="inlineStr">
        <is>
          <t>GCXU6008721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2026-10-12</t>
        </is>
      </c>
      <c r="E5" s="173" t="inlineStr">
        <is>
          <t>1448</t>
        </is>
      </c>
      <c r="F5" s="96" t="inlineStr">
        <is>
          <t>HASLS22261000791</t>
        </is>
      </c>
      <c r="G5" s="96" t="inlineStr">
        <is>
          <t>ORIENTAL LOGISTICS GROUP (THAILAND) CO., LTD.</t>
        </is>
      </c>
      <c r="H5" s="111" t="inlineStr">
        <is>
          <t>45GP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HASLS22261000791</t>
        </is>
      </c>
      <c r="N5" s="96" t="inlineStr">
        <is>
          <t xml:space="preserve">40Hx2 </t>
        </is>
      </c>
      <c r="O5" s="111" t="inlineStr">
        <is>
          <t>2024</t>
        </is>
      </c>
      <c r="P5" s="111" t="n"/>
      <c r="Q5" s="111" t="n"/>
      <c r="R5" s="96" t="inlineStr">
        <is>
          <t>KMTP</t>
        </is>
      </c>
      <c r="S5" s="96" t="inlineStr">
        <is>
          <t>2612N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2026-10-16</t>
        </is>
      </c>
      <c r="W5" s="96" t="inlineStr">
        <is>
          <t>HKHKG</t>
        </is>
      </c>
      <c r="X5" s="161" t="inlineStr">
        <is>
          <t>2026-10-20</t>
        </is>
      </c>
      <c r="Y5" s="97" t="n"/>
      <c r="Z5" s="97" t="n"/>
      <c r="AA5" s="97" t="n"/>
      <c r="AB5" s="97" t="n"/>
      <c r="AC5" s="97" t="n"/>
      <c r="AD5" s="161" t="inlineStr">
        <is>
          <t>2026-10-12</t>
        </is>
      </c>
      <c r="AE5" s="174" t="inlineStr">
        <is>
          <t>1821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QINGYUAN CITY DINGCHENG</t>
        </is>
      </c>
      <c r="AK5" s="130" t="n"/>
    </row>
    <row r="6" ht="12" customHeight="1">
      <c r="A6" s="108" t="inlineStr">
        <is>
          <t>HALU2039105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2026-10-03</t>
        </is>
      </c>
      <c r="E6" s="173" t="inlineStr">
        <is>
          <t>1732</t>
        </is>
      </c>
      <c r="F6" s="96" t="inlineStr">
        <is>
          <t>HASLS22260802613</t>
        </is>
      </c>
      <c r="G6" s="96" t="inlineStr">
        <is>
          <t>WHA GC LOGISTICS COMPANY LIMITED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HASLS22260802613</t>
        </is>
      </c>
      <c r="N6" s="96" t="inlineStr">
        <is>
          <t xml:space="preserve">20'x4 </t>
        </is>
      </c>
      <c r="O6" s="111" t="inlineStr">
        <is>
          <t>2014</t>
        </is>
      </c>
      <c r="P6" s="111" t="n"/>
      <c r="Q6" s="111" t="n"/>
      <c r="R6" s="96" t="inlineStr">
        <is>
          <t>SWAT</t>
        </is>
      </c>
      <c r="S6" s="96" t="inlineStr">
        <is>
          <t>2610N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2026-10-16</t>
        </is>
      </c>
      <c r="W6" s="96" t="inlineStr">
        <is>
          <t>HKHKG</t>
        </is>
      </c>
      <c r="X6" s="161" t="inlineStr">
        <is>
          <t>2026-10-20</t>
        </is>
      </c>
      <c r="Y6" s="97" t="n"/>
      <c r="Z6" s="97" t="n"/>
      <c r="AA6" s="97" t="n"/>
      <c r="AB6" s="97" t="n"/>
      <c r="AC6" s="97" t="n"/>
      <c r="AD6" s="161" t="inlineStr">
        <is>
          <t>2026-10-03</t>
        </is>
      </c>
      <c r="AE6" s="174" t="inlineStr">
        <is>
          <t>2000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TO THE ORDER OF THE SHIPPER</t>
        </is>
      </c>
      <c r="AK6" s="130" t="n"/>
    </row>
    <row r="7" ht="12" customHeight="1">
      <c r="A7" s="108" t="inlineStr">
        <is>
          <t>HALU2092049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2026-10-09</t>
        </is>
      </c>
      <c r="E7" s="173" t="inlineStr">
        <is>
          <t>0746</t>
        </is>
      </c>
      <c r="F7" s="96" t="inlineStr">
        <is>
          <t>HASLS22260901216</t>
        </is>
      </c>
      <c r="G7" s="96" t="inlineStr">
        <is>
          <t>THAI POLYCARBONATE CO., LTD.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HASLS22260901216</t>
        </is>
      </c>
      <c r="N7" s="96" t="inlineStr">
        <is>
          <t xml:space="preserve">20'x4 </t>
        </is>
      </c>
      <c r="O7" s="111" t="inlineStr">
        <is>
          <t>2015</t>
        </is>
      </c>
      <c r="P7" s="111" t="n"/>
      <c r="Q7" s="111" t="n"/>
      <c r="R7" s="96" t="inlineStr">
        <is>
          <t>SWSR</t>
        </is>
      </c>
      <c r="S7" s="96" t="inlineStr">
        <is>
          <t>2611N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2026-10-16</t>
        </is>
      </c>
      <c r="W7" s="96" t="inlineStr">
        <is>
          <t>CNXMN</t>
        </is>
      </c>
      <c r="X7" s="161" t="inlineStr">
        <is>
          <t>2026-10-21</t>
        </is>
      </c>
      <c r="Y7" s="97" t="n"/>
      <c r="Z7" s="97" t="n"/>
      <c r="AA7" s="97" t="n"/>
      <c r="AB7" s="97" t="n"/>
      <c r="AC7" s="97" t="n"/>
      <c r="AD7" s="161" t="inlineStr">
        <is>
          <t>2026-10-09</t>
        </is>
      </c>
      <c r="AE7" s="174" t="inlineStr">
        <is>
          <t>1001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KM PLASTICS (GUANGZHOU) LIMITED</t>
        </is>
      </c>
      <c r="AK7" s="130" t="n"/>
    </row>
    <row r="8" ht="12" customHeight="1">
      <c r="A8" s="108" t="inlineStr">
        <is>
          <t>HLHU8107368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2026-10-08</t>
        </is>
      </c>
      <c r="E8" s="173" t="inlineStr">
        <is>
          <t>1609</t>
        </is>
      </c>
      <c r="F8" s="96" t="inlineStr">
        <is>
          <t>HASLS22260902603</t>
        </is>
      </c>
      <c r="G8" s="96" t="inlineStr">
        <is>
          <t>KARGOSMART GLOBAL CO., LTD.</t>
        </is>
      </c>
      <c r="H8" s="111" t="inlineStr">
        <is>
          <t>45GP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HASLS22260902603</t>
        </is>
      </c>
      <c r="N8" s="96" t="inlineStr">
        <is>
          <t xml:space="preserve">40Hx1 </t>
        </is>
      </c>
      <c r="O8" s="111" t="inlineStr">
        <is>
          <t>2021</t>
        </is>
      </c>
      <c r="P8" s="111" t="n"/>
      <c r="Q8" s="111" t="n"/>
      <c r="R8" s="96" t="inlineStr">
        <is>
          <t>KMTP</t>
        </is>
      </c>
      <c r="S8" s="96" t="inlineStr">
        <is>
          <t>2612N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2026-10-16</t>
        </is>
      </c>
      <c r="W8" s="96" t="inlineStr">
        <is>
          <t>CNXMN</t>
        </is>
      </c>
      <c r="X8" s="161" t="inlineStr">
        <is>
          <t>2026-10-21</t>
        </is>
      </c>
      <c r="Y8" s="97" t="n"/>
      <c r="Z8" s="97" t="n"/>
      <c r="AA8" s="97" t="n"/>
      <c r="AB8" s="97" t="n"/>
      <c r="AC8" s="97" t="n"/>
      <c r="AD8" s="161" t="inlineStr">
        <is>
          <t>2026-10-08</t>
        </is>
      </c>
      <c r="AE8" s="174" t="inlineStr">
        <is>
          <t>2001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FUJIAN LIFENG FOOTWEAR INDUSTRIAL</t>
        </is>
      </c>
      <c r="AK8" s="130" t="n"/>
    </row>
    <row r="9" ht="12" customHeight="1">
      <c r="A9" s="108" t="inlineStr">
        <is>
          <t>HLHU8110696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2026-10-12</t>
        </is>
      </c>
      <c r="E9" s="173" t="inlineStr">
        <is>
          <t>1658</t>
        </is>
      </c>
      <c r="F9" s="96" t="inlineStr">
        <is>
          <t>HASLS22261000793</t>
        </is>
      </c>
      <c r="G9" s="96" t="inlineStr">
        <is>
          <t>ORIENTAL LOGISTICS GROUP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HASLS22261000793</t>
        </is>
      </c>
      <c r="N9" s="96" t="inlineStr">
        <is>
          <t xml:space="preserve">40Hx2 </t>
        </is>
      </c>
      <c r="O9" s="111" t="inlineStr">
        <is>
          <t>2021</t>
        </is>
      </c>
      <c r="P9" s="111" t="n"/>
      <c r="Q9" s="111" t="n"/>
      <c r="R9" s="96" t="inlineStr">
        <is>
          <t>KMTP</t>
        </is>
      </c>
      <c r="S9" s="96" t="inlineStr">
        <is>
          <t>2612N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2026-10-16</t>
        </is>
      </c>
      <c r="W9" s="96" t="inlineStr">
        <is>
          <t>HKHKG</t>
        </is>
      </c>
      <c r="X9" s="161" t="inlineStr">
        <is>
          <t>2026-10-20</t>
        </is>
      </c>
      <c r="Y9" s="97" t="n"/>
      <c r="Z9" s="97" t="n"/>
      <c r="AA9" s="97" t="n"/>
      <c r="AB9" s="97" t="n"/>
      <c r="AC9" s="97" t="n"/>
      <c r="AD9" s="161" t="inlineStr">
        <is>
          <t>2026-10-12</t>
        </is>
      </c>
      <c r="AE9" s="174" t="inlineStr">
        <is>
          <t>2001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QINGYUAN CITY DINGCHENG</t>
        </is>
      </c>
      <c r="AK9" s="130" t="n"/>
    </row>
    <row r="10" ht="12" customHeight="1">
      <c r="A10" s="108" t="inlineStr">
        <is>
          <t>SKHU6449538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2026-10-09</t>
        </is>
      </c>
      <c r="E10" s="173" t="inlineStr">
        <is>
          <t>0611</t>
        </is>
      </c>
      <c r="F10" s="96" t="inlineStr">
        <is>
          <t>HASLS22260901361</t>
        </is>
      </c>
      <c r="G10" s="96" t="inlineStr">
        <is>
          <t>NIPPON EXPRESS LOGISTICS (THAILAND) CO., LTD.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HASLS22260901361</t>
        </is>
      </c>
      <c r="N10" s="96" t="inlineStr">
        <is>
          <t xml:space="preserve">40Hx1 </t>
        </is>
      </c>
      <c r="O10" s="111" t="inlineStr">
        <is>
          <t>2024</t>
        </is>
      </c>
      <c r="P10" s="111" t="n"/>
      <c r="Q10" s="111" t="n"/>
      <c r="R10" s="96" t="inlineStr">
        <is>
          <t>KMTP</t>
        </is>
      </c>
      <c r="S10" s="96" t="inlineStr">
        <is>
          <t>2612N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2026-10-16</t>
        </is>
      </c>
      <c r="W10" s="96" t="inlineStr">
        <is>
          <t>HKHKG</t>
        </is>
      </c>
      <c r="X10" s="161" t="inlineStr">
        <is>
          <t>2026-10-20</t>
        </is>
      </c>
      <c r="Y10" s="97" t="n"/>
      <c r="Z10" s="97" t="n"/>
      <c r="AA10" s="97" t="n"/>
      <c r="AB10" s="97" t="n"/>
      <c r="AC10" s="97" t="n"/>
      <c r="AD10" s="161" t="inlineStr">
        <is>
          <t>2026-10-09</t>
        </is>
      </c>
      <c r="AE10" s="174" t="inlineStr">
        <is>
          <t>1001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NIPPON EXPRESS (H.K.) CO.,LTD.</t>
        </is>
      </c>
      <c r="AK10" s="130" t="n"/>
    </row>
    <row r="11" ht="12" customHeight="1">
      <c r="A11" s="108" t="inlineStr">
        <is>
          <t>SKHU6621565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2026-10-10</t>
        </is>
      </c>
      <c r="E11" s="173" t="inlineStr">
        <is>
          <t>1442</t>
        </is>
      </c>
      <c r="F11" s="96" t="inlineStr">
        <is>
          <t>HASLS22260800651</t>
        </is>
      </c>
      <c r="G11" s="96" t="inlineStr">
        <is>
          <t>NIPPON EXPRESS LOGISTICS (THAILAND) CO., LTD.</t>
        </is>
      </c>
      <c r="H11" s="111" t="inlineStr">
        <is>
          <t>45GP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HASLS22260800651</t>
        </is>
      </c>
      <c r="N11" s="96" t="inlineStr">
        <is>
          <t xml:space="preserve">40Hx1 </t>
        </is>
      </c>
      <c r="O11" s="111" t="inlineStr">
        <is>
          <t>2026</t>
        </is>
      </c>
      <c r="P11" s="111" t="n"/>
      <c r="Q11" s="111" t="n"/>
      <c r="R11" s="96" t="inlineStr">
        <is>
          <t>KMTP</t>
        </is>
      </c>
      <c r="S11" s="96" t="inlineStr">
        <is>
          <t>2612N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2026-10-16</t>
        </is>
      </c>
      <c r="W11" s="96" t="inlineStr">
        <is>
          <t>HKHKG</t>
        </is>
      </c>
      <c r="X11" s="161" t="inlineStr">
        <is>
          <t>2026-10-20</t>
        </is>
      </c>
      <c r="Y11" s="97" t="n"/>
      <c r="Z11" s="97" t="n"/>
      <c r="AA11" s="97" t="n"/>
      <c r="AB11" s="97" t="n"/>
      <c r="AC11" s="97" t="n"/>
      <c r="AD11" s="161" t="inlineStr">
        <is>
          <t>2026-10-10</t>
        </is>
      </c>
      <c r="AE11" s="174" t="inlineStr">
        <is>
          <t>1800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NIPPON EXPRESS (H.K.) CO.,LTD.</t>
        </is>
      </c>
      <c r="AK11" s="130" t="n"/>
    </row>
    <row r="12" ht="12" customHeight="1">
      <c r="A12" s="108" t="inlineStr">
        <is>
          <t>SKHU9302406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2026-10-09</t>
        </is>
      </c>
      <c r="E12" s="173" t="inlineStr">
        <is>
          <t>2042</t>
        </is>
      </c>
      <c r="F12" s="96" t="inlineStr">
        <is>
          <t>HASLS22260900701</t>
        </is>
      </c>
      <c r="G12" s="96" t="inlineStr">
        <is>
          <t>YUSEN LOGISTICS (THAILAND) CO., LTD.</t>
        </is>
      </c>
      <c r="H12" s="111" t="inlineStr">
        <is>
          <t>45GP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HASLS22260900701</t>
        </is>
      </c>
      <c r="N12" s="96" t="inlineStr">
        <is>
          <t xml:space="preserve">40Hx7 </t>
        </is>
      </c>
      <c r="O12" s="111" t="inlineStr">
        <is>
          <t>2013</t>
        </is>
      </c>
      <c r="P12" s="111" t="n"/>
      <c r="Q12" s="111" t="n"/>
      <c r="R12" s="96" t="inlineStr">
        <is>
          <t>SWSR</t>
        </is>
      </c>
      <c r="S12" s="96" t="inlineStr">
        <is>
          <t>2611N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2026-10-16</t>
        </is>
      </c>
      <c r="W12" s="96" t="inlineStr">
        <is>
          <t>HKHKG</t>
        </is>
      </c>
      <c r="X12" s="161" t="inlineStr">
        <is>
          <t>2026-10-20</t>
        </is>
      </c>
      <c r="Y12" s="97" t="n"/>
      <c r="Z12" s="97" t="n"/>
      <c r="AA12" s="97" t="n"/>
      <c r="AB12" s="97" t="n"/>
      <c r="AC12" s="97" t="n"/>
      <c r="AD12" s="161" t="inlineStr">
        <is>
          <t>2026-10-10</t>
        </is>
      </c>
      <c r="AE12" s="174" t="inlineStr">
        <is>
          <t>0000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YUSEN LOGISTICS (HONG KONG) LTD.</t>
        </is>
      </c>
      <c r="AK12" s="130" t="n"/>
    </row>
    <row r="13" ht="12" customHeight="1">
      <c r="A13" s="108" t="inlineStr">
        <is>
          <t>SKHU9403870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2026-10-09</t>
        </is>
      </c>
      <c r="E13" s="173" t="inlineStr">
        <is>
          <t>1713</t>
        </is>
      </c>
      <c r="F13" s="96" t="inlineStr">
        <is>
          <t>HASLS22260900701</t>
        </is>
      </c>
      <c r="G13" s="96" t="inlineStr">
        <is>
          <t>YUSEN LOGISTICS (THAILAND) CO., LTD.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HASLS22260900701</t>
        </is>
      </c>
      <c r="N13" s="96" t="inlineStr">
        <is>
          <t xml:space="preserve">40Hx7 </t>
        </is>
      </c>
      <c r="O13" s="111" t="inlineStr">
        <is>
          <t>2014</t>
        </is>
      </c>
      <c r="P13" s="111" t="n"/>
      <c r="Q13" s="111" t="n"/>
      <c r="R13" s="96" t="inlineStr">
        <is>
          <t>SWSR</t>
        </is>
      </c>
      <c r="S13" s="96" t="inlineStr">
        <is>
          <t>2611N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2026-10-16</t>
        </is>
      </c>
      <c r="W13" s="96" t="inlineStr">
        <is>
          <t>HKHKG</t>
        </is>
      </c>
      <c r="X13" s="161" t="inlineStr">
        <is>
          <t>2026-10-20</t>
        </is>
      </c>
      <c r="Y13" s="97" t="n"/>
      <c r="Z13" s="97" t="n"/>
      <c r="AA13" s="97" t="n"/>
      <c r="AB13" s="97" t="n"/>
      <c r="AC13" s="97" t="n"/>
      <c r="AD13" s="161" t="inlineStr">
        <is>
          <t>2026-10-09</t>
        </is>
      </c>
      <c r="AE13" s="174" t="inlineStr">
        <is>
          <t>2001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YUSEN LOGISTICS (HONG KONG) LTD.</t>
        </is>
      </c>
      <c r="AK13" s="130" t="n"/>
    </row>
    <row r="14" ht="12" customHeight="1">
      <c r="A14" s="108" t="inlineStr">
        <is>
          <t>SKHU9527824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2026-10-09</t>
        </is>
      </c>
      <c r="E14" s="173" t="inlineStr">
        <is>
          <t>1319</t>
        </is>
      </c>
      <c r="F14" s="96" t="inlineStr">
        <is>
          <t>HASLS22260900701</t>
        </is>
      </c>
      <c r="G14" s="96" t="inlineStr">
        <is>
          <t>YUSEN LOGISTICS (THAILAND)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HASLS22260900701</t>
        </is>
      </c>
      <c r="N14" s="96" t="inlineStr">
        <is>
          <t xml:space="preserve">40Hx7 </t>
        </is>
      </c>
      <c r="O14" s="111" t="inlineStr">
        <is>
          <t>2015</t>
        </is>
      </c>
      <c r="P14" s="111" t="n"/>
      <c r="Q14" s="111" t="n"/>
      <c r="R14" s="96" t="inlineStr">
        <is>
          <t>SWSR</t>
        </is>
      </c>
      <c r="S14" s="96" t="inlineStr">
        <is>
          <t>2611N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2026-10-16</t>
        </is>
      </c>
      <c r="W14" s="96" t="inlineStr">
        <is>
          <t>HKHKG</t>
        </is>
      </c>
      <c r="X14" s="161" t="inlineStr">
        <is>
          <t>2026-10-20</t>
        </is>
      </c>
      <c r="Y14" s="97" t="n"/>
      <c r="Z14" s="97" t="n"/>
      <c r="AA14" s="97" t="n"/>
      <c r="AB14" s="97" t="n"/>
      <c r="AC14" s="97" t="n"/>
      <c r="AD14" s="161" t="inlineStr">
        <is>
          <t>2026-10-09</t>
        </is>
      </c>
      <c r="AE14" s="174" t="inlineStr">
        <is>
          <t>1600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YUSEN LOGISTICS (HONG KONG) LTD.</t>
        </is>
      </c>
      <c r="AK14" s="130" t="n"/>
    </row>
    <row r="15" ht="12" customHeight="1">
      <c r="A15" s="108" t="inlineStr">
        <is>
          <t>SKHU9543614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2026-10-09</t>
        </is>
      </c>
      <c r="E15" s="173" t="inlineStr">
        <is>
          <t>2144</t>
        </is>
      </c>
      <c r="F15" s="96" t="inlineStr">
        <is>
          <t>HASLS22260900701</t>
        </is>
      </c>
      <c r="G15" s="96" t="inlineStr">
        <is>
          <t>YUSEN LOGISTICS (THAILAND) CO., LTD.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HASLS22260900701</t>
        </is>
      </c>
      <c r="N15" s="96" t="inlineStr">
        <is>
          <t xml:space="preserve">40Hx7 </t>
        </is>
      </c>
      <c r="O15" s="111" t="inlineStr">
        <is>
          <t>2015</t>
        </is>
      </c>
      <c r="P15" s="111" t="n"/>
      <c r="Q15" s="111" t="n"/>
      <c r="R15" s="96" t="inlineStr">
        <is>
          <t>SWSR</t>
        </is>
      </c>
      <c r="S15" s="96" t="inlineStr">
        <is>
          <t>2611N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2026-10-16</t>
        </is>
      </c>
      <c r="W15" s="96" t="inlineStr">
        <is>
          <t>HKHKG</t>
        </is>
      </c>
      <c r="X15" s="161" t="inlineStr">
        <is>
          <t>2026-10-20</t>
        </is>
      </c>
      <c r="Y15" s="97" t="n"/>
      <c r="Z15" s="97" t="n"/>
      <c r="AA15" s="97" t="n"/>
      <c r="AB15" s="97" t="n"/>
      <c r="AC15" s="97" t="n"/>
      <c r="AD15" s="161" t="inlineStr">
        <is>
          <t>2026-10-10</t>
        </is>
      </c>
      <c r="AE15" s="174" t="inlineStr">
        <is>
          <t>0000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YUSEN LOGISTICS (HONG KONG) LTD.</t>
        </is>
      </c>
      <c r="AK15" s="130" t="n"/>
    </row>
    <row r="16" ht="12" customHeight="1">
      <c r="A16" s="108" t="inlineStr">
        <is>
          <t>SKHU9809983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2026-10-10</t>
        </is>
      </c>
      <c r="E16" s="173" t="inlineStr">
        <is>
          <t>1206</t>
        </is>
      </c>
      <c r="F16" s="96" t="inlineStr">
        <is>
          <t>HASLS22260900701</t>
        </is>
      </c>
      <c r="G16" s="96" t="inlineStr">
        <is>
          <t>YUSEN LOGISTICS (THAILAND)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HASLS22260900701</t>
        </is>
      </c>
      <c r="N16" s="96" t="inlineStr">
        <is>
          <t xml:space="preserve">40Hx7 </t>
        </is>
      </c>
      <c r="O16" s="111" t="inlineStr">
        <is>
          <t>2018</t>
        </is>
      </c>
      <c r="P16" s="111" t="n"/>
      <c r="Q16" s="111" t="n"/>
      <c r="R16" s="96" t="inlineStr">
        <is>
          <t>SWSR</t>
        </is>
      </c>
      <c r="S16" s="96" t="inlineStr">
        <is>
          <t>2611N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2026-10-16</t>
        </is>
      </c>
      <c r="W16" s="96" t="inlineStr">
        <is>
          <t>HKHKG</t>
        </is>
      </c>
      <c r="X16" s="161" t="inlineStr">
        <is>
          <t>2026-10-20</t>
        </is>
      </c>
      <c r="Y16" s="97" t="n"/>
      <c r="Z16" s="97" t="n"/>
      <c r="AA16" s="97" t="n"/>
      <c r="AB16" s="97" t="n"/>
      <c r="AC16" s="97" t="n"/>
      <c r="AD16" s="161" t="inlineStr">
        <is>
          <t>2026-10-10</t>
        </is>
      </c>
      <c r="AE16" s="174" t="inlineStr">
        <is>
          <t>1600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YUSEN LOGISTICS (HONG KONG) LTD.</t>
        </is>
      </c>
      <c r="AK16" s="130" t="n"/>
    </row>
    <row r="17" ht="12" customHeight="1">
      <c r="A17" s="108" t="inlineStr">
        <is>
          <t>SKHU9824930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2026-10-09</t>
        </is>
      </c>
      <c r="E17" s="173" t="inlineStr">
        <is>
          <t>1817</t>
        </is>
      </c>
      <c r="F17" s="96" t="inlineStr">
        <is>
          <t>HASLS22260900701</t>
        </is>
      </c>
      <c r="G17" s="96" t="inlineStr">
        <is>
          <t>YUSEN LOGISTICS (THAILAND) CO., LTD.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HASLS22260900701</t>
        </is>
      </c>
      <c r="N17" s="96" t="inlineStr">
        <is>
          <t xml:space="preserve">40Hx7 </t>
        </is>
      </c>
      <c r="O17" s="111" t="inlineStr">
        <is>
          <t>2018</t>
        </is>
      </c>
      <c r="P17" s="111" t="n"/>
      <c r="Q17" s="111" t="n"/>
      <c r="R17" s="96" t="inlineStr">
        <is>
          <t>SWSR</t>
        </is>
      </c>
      <c r="S17" s="96" t="inlineStr">
        <is>
          <t>2611N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2026-10-16</t>
        </is>
      </c>
      <c r="W17" s="96" t="inlineStr">
        <is>
          <t>HKHKG</t>
        </is>
      </c>
      <c r="X17" s="161" t="inlineStr">
        <is>
          <t>2026-10-20</t>
        </is>
      </c>
      <c r="Y17" s="97" t="n"/>
      <c r="Z17" s="97" t="n"/>
      <c r="AA17" s="97" t="n"/>
      <c r="AB17" s="97" t="n"/>
      <c r="AC17" s="97" t="n"/>
      <c r="AD17" s="161" t="inlineStr">
        <is>
          <t>2026-10-09</t>
        </is>
      </c>
      <c r="AE17" s="174" t="inlineStr">
        <is>
          <t>2200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YUSEN LOGISTICS (HONG KONG) LTD.</t>
        </is>
      </c>
      <c r="AK17" s="130" t="n"/>
    </row>
    <row r="18" ht="12" customHeight="1">
      <c r="A18" s="108" t="inlineStr">
        <is>
          <t>SKHU9938677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2026-10-10</t>
        </is>
      </c>
      <c r="E18" s="173" t="inlineStr">
        <is>
          <t>0657</t>
        </is>
      </c>
      <c r="F18" s="96" t="inlineStr">
        <is>
          <t>HASLS22260900701</t>
        </is>
      </c>
      <c r="G18" s="96" t="inlineStr">
        <is>
          <t>YUSEN LOGISTICS (THAILAND) CO., LTD.</t>
        </is>
      </c>
      <c r="H18" s="111" t="inlineStr">
        <is>
          <t>45GP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HASLS22260900701</t>
        </is>
      </c>
      <c r="N18" s="96" t="inlineStr">
        <is>
          <t xml:space="preserve">40Hx7 </t>
        </is>
      </c>
      <c r="O18" s="111" t="inlineStr">
        <is>
          <t>2019</t>
        </is>
      </c>
      <c r="P18" s="111" t="n"/>
      <c r="Q18" s="111" t="n"/>
      <c r="R18" s="96" t="inlineStr">
        <is>
          <t>SWSR</t>
        </is>
      </c>
      <c r="S18" s="96" t="inlineStr">
        <is>
          <t>2611N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2026-10-16</t>
        </is>
      </c>
      <c r="W18" s="96" t="inlineStr">
        <is>
          <t>HKHKG</t>
        </is>
      </c>
      <c r="X18" s="161" t="inlineStr">
        <is>
          <t>2026-10-20</t>
        </is>
      </c>
      <c r="Y18" s="97" t="n"/>
      <c r="Z18" s="97" t="n"/>
      <c r="AA18" s="97" t="n"/>
      <c r="AB18" s="97" t="n"/>
      <c r="AC18" s="97" t="n"/>
      <c r="AD18" s="161" t="inlineStr">
        <is>
          <t>2026-10-10</t>
        </is>
      </c>
      <c r="AE18" s="174" t="inlineStr">
        <is>
          <t>1001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YUSEN LOGISTICS (HONG KONG) LTD.</t>
        </is>
      </c>
      <c r="AK18" s="130" t="n"/>
    </row>
    <row r="19" ht="12" customHeight="1">
      <c r="A19" s="108" t="inlineStr">
        <is>
          <t>SKLU1113575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2026-10-09</t>
        </is>
      </c>
      <c r="E19" s="173" t="inlineStr">
        <is>
          <t>2125</t>
        </is>
      </c>
      <c r="F19" s="96" t="inlineStr">
        <is>
          <t>HASLS22260901216</t>
        </is>
      </c>
      <c r="G19" s="96" t="inlineStr">
        <is>
          <t>THAI POLYCARBONATE CO., LTD.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HASLS22260901216</t>
        </is>
      </c>
      <c r="N19" s="96" t="inlineStr">
        <is>
          <t xml:space="preserve">20'x4 </t>
        </is>
      </c>
      <c r="O19" s="111" t="inlineStr">
        <is>
          <t>2011</t>
        </is>
      </c>
      <c r="P19" s="111" t="n"/>
      <c r="Q19" s="111" t="n"/>
      <c r="R19" s="96" t="inlineStr">
        <is>
          <t>SWSR</t>
        </is>
      </c>
      <c r="S19" s="96" t="inlineStr">
        <is>
          <t>2611N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2026-10-16</t>
        </is>
      </c>
      <c r="W19" s="96" t="inlineStr">
        <is>
          <t>CNXMN</t>
        </is>
      </c>
      <c r="X19" s="161" t="inlineStr">
        <is>
          <t>2026-10-21</t>
        </is>
      </c>
      <c r="Y19" s="97" t="n"/>
      <c r="Z19" s="97" t="n"/>
      <c r="AA19" s="97" t="n"/>
      <c r="AB19" s="97" t="n"/>
      <c r="AC19" s="97" t="n"/>
      <c r="AD19" s="161" t="inlineStr">
        <is>
          <t>2026-10-10</t>
        </is>
      </c>
      <c r="AE19" s="174" t="inlineStr">
        <is>
          <t>0000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KM PLASTICS (GUANGZHOU) LIMITED</t>
        </is>
      </c>
      <c r="AK19" s="130" t="n"/>
    </row>
    <row r="20" ht="12" customHeight="1">
      <c r="A20" s="108" t="inlineStr">
        <is>
          <t>SKLU1114397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2026-10-03</t>
        </is>
      </c>
      <c r="E20" s="173" t="inlineStr">
        <is>
          <t>1001</t>
        </is>
      </c>
      <c r="F20" s="96" t="inlineStr">
        <is>
          <t>HASLS22260802613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HASLS22260802613</t>
        </is>
      </c>
      <c r="N20" s="96" t="inlineStr">
        <is>
          <t xml:space="preserve">20'x4 </t>
        </is>
      </c>
      <c r="O20" s="111" t="inlineStr">
        <is>
          <t>2011</t>
        </is>
      </c>
      <c r="P20" s="111" t="n"/>
      <c r="Q20" s="111" t="n"/>
      <c r="R20" s="96" t="inlineStr">
        <is>
          <t>SWAT</t>
        </is>
      </c>
      <c r="S20" s="96" t="inlineStr">
        <is>
          <t>2610N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2026-10-16</t>
        </is>
      </c>
      <c r="W20" s="96" t="inlineStr">
        <is>
          <t>HKHKG</t>
        </is>
      </c>
      <c r="X20" s="161" t="inlineStr">
        <is>
          <t>2026-10-20</t>
        </is>
      </c>
      <c r="Y20" s="97" t="n"/>
      <c r="Z20" s="97" t="n"/>
      <c r="AA20" s="97" t="n"/>
      <c r="AB20" s="97" t="n"/>
      <c r="AC20" s="97" t="n"/>
      <c r="AD20" s="161" t="inlineStr">
        <is>
          <t>2026-10-03</t>
        </is>
      </c>
      <c r="AE20" s="174" t="inlineStr">
        <is>
          <t>1400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THE ORDER OF THE SHIPPER</t>
        </is>
      </c>
      <c r="AK20" s="130" t="n"/>
    </row>
    <row r="21" ht="12" customHeight="1">
      <c r="A21" s="108" t="inlineStr">
        <is>
          <t>SKLU1312371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2026-10-10</t>
        </is>
      </c>
      <c r="E21" s="173" t="inlineStr">
        <is>
          <t>1135</t>
        </is>
      </c>
      <c r="F21" s="96" t="inlineStr">
        <is>
          <t>HASLS22261000048</t>
        </is>
      </c>
      <c r="G21" s="96" t="inlineStr">
        <is>
          <t>EXTRA MARITIME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HASLS22261000048</t>
        </is>
      </c>
      <c r="N21" s="96" t="inlineStr">
        <is>
          <t xml:space="preserve">20'x1 </t>
        </is>
      </c>
      <c r="O21" s="111" t="inlineStr">
        <is>
          <t>2013</t>
        </is>
      </c>
      <c r="P21" s="111" t="n"/>
      <c r="Q21" s="111" t="n"/>
      <c r="R21" s="96" t="inlineStr">
        <is>
          <t>KMTP</t>
        </is>
      </c>
      <c r="S21" s="96" t="inlineStr">
        <is>
          <t>2612N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2026-10-16</t>
        </is>
      </c>
      <c r="W21" s="96" t="inlineStr">
        <is>
          <t>CNXMN</t>
        </is>
      </c>
      <c r="X21" s="161" t="inlineStr">
        <is>
          <t>2026-10-21</t>
        </is>
      </c>
      <c r="Y21" s="97" t="n"/>
      <c r="Z21" s="97" t="n"/>
      <c r="AA21" s="97" t="n"/>
      <c r="AB21" s="97" t="n"/>
      <c r="AC21" s="97" t="n"/>
      <c r="AD21" s="161" t="inlineStr">
        <is>
          <t>2026-10-10</t>
        </is>
      </c>
      <c r="AE21" s="174" t="inlineStr">
        <is>
          <t>1400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PROTERIAL (CHINA), LTD.</t>
        </is>
      </c>
      <c r="AK21" s="130" t="n"/>
    </row>
    <row r="22" ht="12" customHeight="1">
      <c r="A22" s="108" t="inlineStr">
        <is>
          <t>SKLU1318575</t>
        </is>
      </c>
      <c r="B22" s="108" t="inlineStr">
        <is>
          <t>LCH04</t>
        </is>
      </c>
      <c r="C22" s="108" t="inlineStr">
        <is>
          <t>IFV</t>
        </is>
      </c>
      <c r="D22" s="172" t="inlineStr">
        <is>
          <t>2026-10-12</t>
        </is>
      </c>
      <c r="E22" s="173" t="inlineStr">
        <is>
          <t>1556</t>
        </is>
      </c>
      <c r="F22" s="96" t="inlineStr">
        <is>
          <t>HASLS22261000346</t>
        </is>
      </c>
      <c r="G22" s="96" t="inlineStr">
        <is>
          <t>PACIFIC FORWARDER INTERNATIONAL CO., LTD.</t>
        </is>
      </c>
      <c r="H22" s="111" t="inlineStr">
        <is>
          <t>22GP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HASLS22261000346</t>
        </is>
      </c>
      <c r="N22" s="96" t="inlineStr">
        <is>
          <t xml:space="preserve">20'x1 </t>
        </is>
      </c>
      <c r="O22" s="111" t="inlineStr">
        <is>
          <t>2013</t>
        </is>
      </c>
      <c r="P22" s="111" t="n"/>
      <c r="Q22" s="111" t="n"/>
      <c r="R22" s="96" t="inlineStr">
        <is>
          <t>KMTP</t>
        </is>
      </c>
      <c r="S22" s="96" t="inlineStr">
        <is>
          <t>2612N</t>
        </is>
      </c>
      <c r="T22" s="96" t="inlineStr">
        <is>
          <t>LCH04</t>
        </is>
      </c>
      <c r="U22" s="96" t="inlineStr">
        <is>
          <t>THLCH</t>
        </is>
      </c>
      <c r="V22" s="161" t="inlineStr">
        <is>
          <t>2026-10-16</t>
        </is>
      </c>
      <c r="W22" s="96" t="inlineStr">
        <is>
          <t>HKHKG</t>
        </is>
      </c>
      <c r="X22" s="161" t="inlineStr">
        <is>
          <t>2026-10-20</t>
        </is>
      </c>
      <c r="Y22" s="97" t="n"/>
      <c r="Z22" s="97" t="n"/>
      <c r="AA22" s="97" t="n"/>
      <c r="AB22" s="97" t="n"/>
      <c r="AC22" s="97" t="n"/>
      <c r="AD22" s="161" t="inlineStr">
        <is>
          <t>2026-10-12</t>
        </is>
      </c>
      <c r="AE22" s="174" t="inlineStr">
        <is>
          <t>1821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YUK CHEONG HONG CO., LTD.</t>
        </is>
      </c>
      <c r="AK22" s="130" t="n"/>
    </row>
    <row r="23" ht="12" customHeight="1">
      <c r="A23" s="108" t="inlineStr">
        <is>
          <t>SKLU1320696</t>
        </is>
      </c>
      <c r="B23" s="108" t="inlineStr">
        <is>
          <t>LCH04</t>
        </is>
      </c>
      <c r="C23" s="108" t="inlineStr">
        <is>
          <t>IFV</t>
        </is>
      </c>
      <c r="D23" s="172" t="inlineStr">
        <is>
          <t>2026-10-09</t>
        </is>
      </c>
      <c r="E23" s="173" t="inlineStr">
        <is>
          <t>0027</t>
        </is>
      </c>
      <c r="F23" s="96" t="inlineStr">
        <is>
          <t>HASLS22260902371</t>
        </is>
      </c>
      <c r="G23" s="96" t="inlineStr">
        <is>
          <t>DOUBLE A (1991) PUBLIC COMPANY LIMITED</t>
        </is>
      </c>
      <c r="H23" s="111" t="inlineStr">
        <is>
          <t>22GP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HASLS22260902371</t>
        </is>
      </c>
      <c r="N23" s="96" t="inlineStr">
        <is>
          <t xml:space="preserve">20'x1 </t>
        </is>
      </c>
      <c r="O23" s="111" t="inlineStr">
        <is>
          <t>2013</t>
        </is>
      </c>
      <c r="P23" s="111" t="n"/>
      <c r="Q23" s="111" t="n"/>
      <c r="R23" s="96" t="inlineStr">
        <is>
          <t>KMTP</t>
        </is>
      </c>
      <c r="S23" s="96" t="inlineStr">
        <is>
          <t>2612N</t>
        </is>
      </c>
      <c r="T23" s="96" t="inlineStr">
        <is>
          <t>LCH04</t>
        </is>
      </c>
      <c r="U23" s="96" t="inlineStr">
        <is>
          <t>THLCH</t>
        </is>
      </c>
      <c r="V23" s="161" t="inlineStr">
        <is>
          <t>2026-10-16</t>
        </is>
      </c>
      <c r="W23" s="96" t="inlineStr">
        <is>
          <t>HKHKG</t>
        </is>
      </c>
      <c r="X23" s="161" t="inlineStr">
        <is>
          <t>2026-10-20</t>
        </is>
      </c>
      <c r="Y23" s="97" t="n"/>
      <c r="Z23" s="97" t="n"/>
      <c r="AA23" s="97" t="n"/>
      <c r="AB23" s="97" t="n"/>
      <c r="AC23" s="97" t="n"/>
      <c r="AD23" s="161" t="inlineStr">
        <is>
          <t>2026-10-09</t>
        </is>
      </c>
      <c r="AE23" s="174" t="inlineStr">
        <is>
          <t>0400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 ORDER</t>
        </is>
      </c>
      <c r="AK23" s="130" t="n"/>
    </row>
    <row r="24" ht="12" customHeight="1">
      <c r="A24" s="108" t="inlineStr">
        <is>
          <t>SKLU1340584</t>
        </is>
      </c>
      <c r="B24" s="108" t="inlineStr">
        <is>
          <t>LCH04</t>
        </is>
      </c>
      <c r="C24" s="108" t="inlineStr">
        <is>
          <t>IFV</t>
        </is>
      </c>
      <c r="D24" s="172" t="inlineStr">
        <is>
          <t>2026-10-13</t>
        </is>
      </c>
      <c r="E24" s="173" t="inlineStr">
        <is>
          <t>0407</t>
        </is>
      </c>
      <c r="F24" s="96" t="inlineStr">
        <is>
          <t>HASLS22261000312</t>
        </is>
      </c>
      <c r="G24" s="96" t="inlineStr">
        <is>
          <t>AGC VINYTHAI PUBLIC COMPANY LIMITED</t>
        </is>
      </c>
      <c r="H24" s="111" t="inlineStr">
        <is>
          <t>22GP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HASLS22261000312</t>
        </is>
      </c>
      <c r="N24" s="96" t="inlineStr">
        <is>
          <t xml:space="preserve">20'x1 </t>
        </is>
      </c>
      <c r="O24" s="111" t="inlineStr">
        <is>
          <t>2013</t>
        </is>
      </c>
      <c r="P24" s="111" t="n"/>
      <c r="Q24" s="111" t="n"/>
      <c r="R24" s="96" t="inlineStr">
        <is>
          <t>KMTP</t>
        </is>
      </c>
      <c r="S24" s="96" t="inlineStr">
        <is>
          <t>2612N</t>
        </is>
      </c>
      <c r="T24" s="96" t="inlineStr">
        <is>
          <t>LCH04</t>
        </is>
      </c>
      <c r="U24" s="96" t="inlineStr">
        <is>
          <t>THLCH</t>
        </is>
      </c>
      <c r="V24" s="161" t="inlineStr">
        <is>
          <t>2026-10-16</t>
        </is>
      </c>
      <c r="W24" s="96" t="inlineStr">
        <is>
          <t>HKHKG</t>
        </is>
      </c>
      <c r="X24" s="161" t="inlineStr">
        <is>
          <t>2026-10-20</t>
        </is>
      </c>
      <c r="Y24" s="97" t="n"/>
      <c r="Z24" s="97" t="n"/>
      <c r="AA24" s="97" t="n"/>
      <c r="AB24" s="97" t="n"/>
      <c r="AC24" s="97" t="n"/>
      <c r="AD24" s="161" t="inlineStr">
        <is>
          <t>2026-10-13</t>
        </is>
      </c>
      <c r="AE24" s="174" t="inlineStr">
        <is>
          <t>0800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G.T.C. CHEMICALS (CHINA) LTD.</t>
        </is>
      </c>
      <c r="AK24" s="130" t="n"/>
    </row>
    <row r="25" ht="12" customHeight="1">
      <c r="A25" s="108" t="inlineStr">
        <is>
          <t>SKLU1344208</t>
        </is>
      </c>
      <c r="B25" s="108" t="inlineStr">
        <is>
          <t>LCH04</t>
        </is>
      </c>
      <c r="C25" s="108" t="inlineStr">
        <is>
          <t>IFV</t>
        </is>
      </c>
      <c r="D25" s="172" t="inlineStr">
        <is>
          <t>2026-10-09</t>
        </is>
      </c>
      <c r="E25" s="173" t="inlineStr">
        <is>
          <t>2131</t>
        </is>
      </c>
      <c r="F25" s="96" t="inlineStr">
        <is>
          <t>HASLS22260901216</t>
        </is>
      </c>
      <c r="G25" s="96" t="inlineStr">
        <is>
          <t>THAI POLYCARBONATE CO., LTD.</t>
        </is>
      </c>
      <c r="H25" s="111" t="inlineStr">
        <is>
          <t>22GP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HASLS22260901216</t>
        </is>
      </c>
      <c r="N25" s="96" t="inlineStr">
        <is>
          <t xml:space="preserve">20'x4 </t>
        </is>
      </c>
      <c r="O25" s="111" t="inlineStr">
        <is>
          <t>2013</t>
        </is>
      </c>
      <c r="P25" s="111" t="n"/>
      <c r="Q25" s="111" t="n"/>
      <c r="R25" s="96" t="inlineStr">
        <is>
          <t>SWSR</t>
        </is>
      </c>
      <c r="S25" s="96" t="inlineStr">
        <is>
          <t>2611N</t>
        </is>
      </c>
      <c r="T25" s="96" t="inlineStr">
        <is>
          <t>LCH04</t>
        </is>
      </c>
      <c r="U25" s="96" t="inlineStr">
        <is>
          <t>THLCH</t>
        </is>
      </c>
      <c r="V25" s="161" t="inlineStr">
        <is>
          <t>2026-10-16</t>
        </is>
      </c>
      <c r="W25" s="96" t="inlineStr">
        <is>
          <t>CNXMN</t>
        </is>
      </c>
      <c r="X25" s="161" t="inlineStr">
        <is>
          <t>2026-10-21</t>
        </is>
      </c>
      <c r="Y25" s="97" t="n"/>
      <c r="Z25" s="97" t="n"/>
      <c r="AA25" s="97" t="n"/>
      <c r="AB25" s="97" t="n"/>
      <c r="AC25" s="97" t="n"/>
      <c r="AD25" s="161" t="inlineStr">
        <is>
          <t>2026-10-10</t>
        </is>
      </c>
      <c r="AE25" s="174" t="inlineStr">
        <is>
          <t>0000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KM PLASTICS (GUANGZHOU) LIMITED</t>
        </is>
      </c>
      <c r="AK25" s="130" t="n"/>
    </row>
    <row r="26" ht="12" customHeight="1">
      <c r="A26" s="108" t="inlineStr">
        <is>
          <t>SKLU1441384</t>
        </is>
      </c>
      <c r="B26" s="108" t="inlineStr">
        <is>
          <t>LCH04</t>
        </is>
      </c>
      <c r="C26" s="108" t="inlineStr">
        <is>
          <t>IFV</t>
        </is>
      </c>
      <c r="D26" s="172" t="inlineStr">
        <is>
          <t>2026-10-13</t>
        </is>
      </c>
      <c r="E26" s="173" t="inlineStr">
        <is>
          <t>1103</t>
        </is>
      </c>
      <c r="F26" s="96" t="inlineStr">
        <is>
          <t>HASLS22261000750</t>
        </is>
      </c>
      <c r="G26" s="96" t="inlineStr">
        <is>
          <t>IRPC PUBLIC COMPANY LIMITED</t>
        </is>
      </c>
      <c r="H26" s="111" t="inlineStr">
        <is>
          <t>22GP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HASLS22261000750</t>
        </is>
      </c>
      <c r="N26" s="96" t="inlineStr">
        <is>
          <t xml:space="preserve">20'x1 </t>
        </is>
      </c>
      <c r="O26" s="111" t="inlineStr">
        <is>
          <t>2014</t>
        </is>
      </c>
      <c r="P26" s="111" t="n"/>
      <c r="Q26" s="111" t="n"/>
      <c r="R26" s="96" t="inlineStr">
        <is>
          <t>KMTP</t>
        </is>
      </c>
      <c r="S26" s="96" t="inlineStr">
        <is>
          <t>2612N</t>
        </is>
      </c>
      <c r="T26" s="96" t="inlineStr">
        <is>
          <t>LCH04</t>
        </is>
      </c>
      <c r="U26" s="96" t="inlineStr">
        <is>
          <t>THLCH</t>
        </is>
      </c>
      <c r="V26" s="161" t="inlineStr">
        <is>
          <t>2026-10-16</t>
        </is>
      </c>
      <c r="W26" s="96" t="inlineStr">
        <is>
          <t>HKHKG</t>
        </is>
      </c>
      <c r="X26" s="161" t="inlineStr">
        <is>
          <t>2026-10-20</t>
        </is>
      </c>
      <c r="Y26" s="97" t="n"/>
      <c r="Z26" s="97" t="n"/>
      <c r="AA26" s="97" t="n"/>
      <c r="AB26" s="97" t="n"/>
      <c r="AC26" s="97" t="n"/>
      <c r="AD26" s="161" t="inlineStr">
        <is>
          <t>2026-10-13</t>
        </is>
      </c>
      <c r="AE26" s="174" t="inlineStr">
        <is>
          <t>1400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TO ORDER OF SOLID GOLD INDUSTRIES</t>
        </is>
      </c>
      <c r="AK26" s="130" t="n"/>
    </row>
    <row r="27" ht="12" customHeight="1">
      <c r="A27" s="108" t="inlineStr">
        <is>
          <t>SKLU1935622</t>
        </is>
      </c>
      <c r="B27" s="108" t="inlineStr">
        <is>
          <t>LCH04</t>
        </is>
      </c>
      <c r="C27" s="108" t="inlineStr">
        <is>
          <t>IFV</t>
        </is>
      </c>
      <c r="D27" s="172" t="inlineStr">
        <is>
          <t>2026-10-03</t>
        </is>
      </c>
      <c r="E27" s="173" t="inlineStr">
        <is>
          <t>1004</t>
        </is>
      </c>
      <c r="F27" s="96" t="inlineStr">
        <is>
          <t>HASLS22260802613</t>
        </is>
      </c>
      <c r="G27" s="96" t="inlineStr">
        <is>
          <t>WHA GC LOGISTICS COMPANY LIMITED</t>
        </is>
      </c>
      <c r="H27" s="111" t="inlineStr">
        <is>
          <t>22GP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HASLS22260802613</t>
        </is>
      </c>
      <c r="N27" s="96" t="inlineStr">
        <is>
          <t xml:space="preserve">20'x4 </t>
        </is>
      </c>
      <c r="O27" s="111" t="inlineStr">
        <is>
          <t>2019</t>
        </is>
      </c>
      <c r="P27" s="111" t="n"/>
      <c r="Q27" s="111" t="n"/>
      <c r="R27" s="96" t="inlineStr">
        <is>
          <t>SWAT</t>
        </is>
      </c>
      <c r="S27" s="96" t="inlineStr">
        <is>
          <t>2610N</t>
        </is>
      </c>
      <c r="T27" s="96" t="inlineStr">
        <is>
          <t>LCH04</t>
        </is>
      </c>
      <c r="U27" s="96" t="inlineStr">
        <is>
          <t>THLCH</t>
        </is>
      </c>
      <c r="V27" s="161" t="inlineStr">
        <is>
          <t>2026-10-16</t>
        </is>
      </c>
      <c r="W27" s="96" t="inlineStr">
        <is>
          <t>HKHKG</t>
        </is>
      </c>
      <c r="X27" s="161" t="inlineStr">
        <is>
          <t>2026-10-20</t>
        </is>
      </c>
      <c r="Y27" s="97" t="n"/>
      <c r="Z27" s="97" t="n"/>
      <c r="AA27" s="97" t="n"/>
      <c r="AB27" s="97" t="n"/>
      <c r="AC27" s="97" t="n"/>
      <c r="AD27" s="161" t="inlineStr">
        <is>
          <t>2026-10-03</t>
        </is>
      </c>
      <c r="AE27" s="174" t="inlineStr">
        <is>
          <t>1400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TO THE ORDER OF THE SHIPPER</t>
        </is>
      </c>
      <c r="AK27" s="130" t="n"/>
    </row>
    <row r="28" ht="12" customHeight="1">
      <c r="A28" s="108" t="inlineStr">
        <is>
          <t>SKLU2435703</t>
        </is>
      </c>
      <c r="B28" s="108" t="inlineStr">
        <is>
          <t>LCH04</t>
        </is>
      </c>
      <c r="C28" s="108" t="inlineStr">
        <is>
          <t>IFV</t>
        </is>
      </c>
      <c r="D28" s="172" t="inlineStr">
        <is>
          <t>2026-10-13</t>
        </is>
      </c>
      <c r="E28" s="173" t="inlineStr">
        <is>
          <t>0940</t>
        </is>
      </c>
      <c r="F28" s="96" t="inlineStr">
        <is>
          <t>HASLS22261000759</t>
        </is>
      </c>
      <c r="G28" s="96" t="inlineStr">
        <is>
          <t>SIAM I-LOGISTICS LTD.</t>
        </is>
      </c>
      <c r="H28" s="111" t="inlineStr">
        <is>
          <t>22GP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HASLS22261000759</t>
        </is>
      </c>
      <c r="N28" s="96" t="inlineStr">
        <is>
          <t xml:space="preserve">20'x1 </t>
        </is>
      </c>
      <c r="O28" s="111" t="inlineStr">
        <is>
          <t>2024</t>
        </is>
      </c>
      <c r="P28" s="111" t="n"/>
      <c r="Q28" s="111" t="n"/>
      <c r="R28" s="96" t="inlineStr">
        <is>
          <t>KMTP</t>
        </is>
      </c>
      <c r="S28" s="96" t="inlineStr">
        <is>
          <t>2612N</t>
        </is>
      </c>
      <c r="T28" s="96" t="inlineStr">
        <is>
          <t>LCH04</t>
        </is>
      </c>
      <c r="U28" s="96" t="inlineStr">
        <is>
          <t>THLCH</t>
        </is>
      </c>
      <c r="V28" s="161" t="inlineStr">
        <is>
          <t>2026-10-16</t>
        </is>
      </c>
      <c r="W28" s="96" t="inlineStr">
        <is>
          <t>HKHKG</t>
        </is>
      </c>
      <c r="X28" s="161" t="inlineStr">
        <is>
          <t>2026-10-20</t>
        </is>
      </c>
      <c r="Y28" s="97" t="n"/>
      <c r="Z28" s="97" t="n"/>
      <c r="AA28" s="97" t="n"/>
      <c r="AB28" s="97" t="n"/>
      <c r="AC28" s="97" t="n"/>
      <c r="AD28" s="161" t="inlineStr">
        <is>
          <t>2026-10-13</t>
        </is>
      </c>
      <c r="AE28" s="174" t="inlineStr">
        <is>
          <t>1200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ITOCHU LOGISTICS (HK) LTD.,</t>
        </is>
      </c>
      <c r="AK28" s="130" t="n"/>
    </row>
    <row r="29" ht="12" customHeight="1">
      <c r="A29" s="108" t="inlineStr">
        <is>
          <t>SKRU9903460</t>
        </is>
      </c>
      <c r="B29" s="108" t="inlineStr">
        <is>
          <t>LCH04</t>
        </is>
      </c>
      <c r="C29" s="108" t="inlineStr">
        <is>
          <t>IFV</t>
        </is>
      </c>
      <c r="D29" s="172" t="inlineStr">
        <is>
          <t>2026-10-14</t>
        </is>
      </c>
      <c r="E29" s="173" t="inlineStr">
        <is>
          <t>2156</t>
        </is>
      </c>
      <c r="F29" s="96" t="inlineStr">
        <is>
          <t>HASLS22261000830</t>
        </is>
      </c>
      <c r="G29" s="96" t="inlineStr">
        <is>
          <t>POSTMAN (THAILAND) CO.,LTD.</t>
        </is>
      </c>
      <c r="H29" s="111" t="inlineStr">
        <is>
          <t>45RE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HASLS22261000830</t>
        </is>
      </c>
      <c r="N29" s="96" t="inlineStr">
        <is>
          <t xml:space="preserve">R40Hx1 </t>
        </is>
      </c>
      <c r="O29" s="111" t="inlineStr">
        <is>
          <t>2019</t>
        </is>
      </c>
      <c r="P29" s="111" t="inlineStr">
        <is>
          <t>CARRIER</t>
        </is>
      </c>
      <c r="Q29" s="111" t="inlineStr">
        <is>
          <t>Primeline</t>
        </is>
      </c>
      <c r="R29" s="96" t="inlineStr">
        <is>
          <t>KMTP</t>
        </is>
      </c>
      <c r="S29" s="96" t="inlineStr">
        <is>
          <t>2612N</t>
        </is>
      </c>
      <c r="T29" s="96" t="inlineStr">
        <is>
          <t>LCH04</t>
        </is>
      </c>
      <c r="U29" s="96" t="inlineStr">
        <is>
          <t>THLCH</t>
        </is>
      </c>
      <c r="V29" s="161" t="inlineStr">
        <is>
          <t>2026-10-16</t>
        </is>
      </c>
      <c r="W29" s="96" t="inlineStr">
        <is>
          <t>HKHKG</t>
        </is>
      </c>
      <c r="X29" s="161" t="inlineStr">
        <is>
          <t>2026-10-20</t>
        </is>
      </c>
      <c r="Y29" s="97" t="n"/>
      <c r="Z29" s="97" t="n"/>
      <c r="AA29" s="97" t="n"/>
      <c r="AB29" s="97" t="n"/>
      <c r="AC29" s="97" t="n"/>
      <c r="AD29" s="161" t="inlineStr">
        <is>
          <t>2026-10-15</t>
        </is>
      </c>
      <c r="AE29" s="174" t="inlineStr">
        <is>
          <t>0000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GOLD JOIN TRADING LIMITED</t>
        </is>
      </c>
      <c r="AK29" s="130" t="n"/>
    </row>
    <row r="30" ht="12" customHeight="1">
      <c r="A30" s="108" t="inlineStr">
        <is>
          <t>SZLU2021833</t>
        </is>
      </c>
      <c r="B30" s="108" t="inlineStr">
        <is>
          <t>LCH04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1638</t>
        </is>
      </c>
      <c r="F30" s="96" t="inlineStr">
        <is>
          <t>HASLS22261000788</t>
        </is>
      </c>
      <c r="G30" s="96" t="inlineStr">
        <is>
          <t>AIR WELL TRANSPORTATION CO., LTD.</t>
        </is>
      </c>
      <c r="H30" s="111" t="inlineStr">
        <is>
          <t>22RE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HASLS22261000788</t>
        </is>
      </c>
      <c r="N30" s="96" t="inlineStr">
        <is>
          <t xml:space="preserve">20RFx1 </t>
        </is>
      </c>
      <c r="O30" s="111" t="inlineStr">
        <is>
          <t>2017</t>
        </is>
      </c>
      <c r="P30" s="111" t="inlineStr">
        <is>
          <t>CARRIER</t>
        </is>
      </c>
      <c r="Q30" s="111" t="inlineStr">
        <is>
          <t>NT561</t>
        </is>
      </c>
      <c r="R30" s="96" t="inlineStr">
        <is>
          <t>KMTP</t>
        </is>
      </c>
      <c r="S30" s="96" t="inlineStr">
        <is>
          <t>2612N</t>
        </is>
      </c>
      <c r="T30" s="96" t="inlineStr">
        <is>
          <t>LCH04</t>
        </is>
      </c>
      <c r="U30" s="96" t="inlineStr">
        <is>
          <t>THLCH</t>
        </is>
      </c>
      <c r="V30" s="161" t="inlineStr">
        <is>
          <t>2026-10-16</t>
        </is>
      </c>
      <c r="W30" s="96" t="inlineStr">
        <is>
          <t>HKHKG</t>
        </is>
      </c>
      <c r="X30" s="161" t="inlineStr">
        <is>
          <t>2026-10-20</t>
        </is>
      </c>
      <c r="Y30" s="97" t="n"/>
      <c r="Z30" s="97" t="n"/>
      <c r="AA30" s="97" t="n"/>
      <c r="AB30" s="97" t="n"/>
      <c r="AC30" s="97" t="n"/>
      <c r="AD30" s="161" t="inlineStr">
        <is>
          <t>2026-10-13</t>
        </is>
      </c>
      <c r="AE30" s="174" t="inlineStr">
        <is>
          <t>2001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KING POWER IMPORT AND EXPORT CO LTD</t>
        </is>
      </c>
      <c r="AK30" s="130" t="n"/>
    </row>
    <row r="31" ht="12" customHeight="1">
      <c r="A31" s="108" t="inlineStr">
        <is>
          <t>TCNU8405248</t>
        </is>
      </c>
      <c r="B31" s="108" t="inlineStr">
        <is>
          <t>LCH04</t>
        </is>
      </c>
      <c r="C31" s="108" t="inlineStr">
        <is>
          <t>IFV</t>
        </is>
      </c>
      <c r="D31" s="172" t="inlineStr">
        <is>
          <t>2026-10-12</t>
        </is>
      </c>
      <c r="E31" s="173" t="inlineStr">
        <is>
          <t>1907</t>
        </is>
      </c>
      <c r="F31" s="96" t="inlineStr">
        <is>
          <t>HASLS22261000791</t>
        </is>
      </c>
      <c r="G31" s="96" t="inlineStr">
        <is>
          <t>ORIENTAL LOGISTICS GROUP (THAILAND)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HASLS22261000791</t>
        </is>
      </c>
      <c r="N31" s="96" t="inlineStr">
        <is>
          <t xml:space="preserve">40Hx2 </t>
        </is>
      </c>
      <c r="O31" s="111" t="inlineStr">
        <is>
          <t>2010</t>
        </is>
      </c>
      <c r="P31" s="111" t="n"/>
      <c r="Q31" s="111" t="n"/>
      <c r="R31" s="96" t="inlineStr">
        <is>
          <t>KMTP</t>
        </is>
      </c>
      <c r="S31" s="96" t="inlineStr">
        <is>
          <t>2612N</t>
        </is>
      </c>
      <c r="T31" s="96" t="inlineStr">
        <is>
          <t>LCH04</t>
        </is>
      </c>
      <c r="U31" s="96" t="inlineStr">
        <is>
          <t>THLCH</t>
        </is>
      </c>
      <c r="V31" s="161" t="inlineStr">
        <is>
          <t>2026-10-16</t>
        </is>
      </c>
      <c r="W31" s="96" t="inlineStr">
        <is>
          <t>HKHKG</t>
        </is>
      </c>
      <c r="X31" s="161" t="inlineStr">
        <is>
          <t>2026-10-20</t>
        </is>
      </c>
      <c r="Y31" s="97" t="n"/>
      <c r="Z31" s="97" t="n"/>
      <c r="AA31" s="97" t="n"/>
      <c r="AB31" s="97" t="n"/>
      <c r="AC31" s="97" t="n"/>
      <c r="AD31" s="161" t="inlineStr">
        <is>
          <t>2026-10-12</t>
        </is>
      </c>
      <c r="AE31" s="174" t="inlineStr">
        <is>
          <t>2200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QINGYUAN CITY DINGCHENG</t>
        </is>
      </c>
      <c r="AK31" s="130" t="n"/>
    </row>
    <row r="32" ht="12" customHeight="1">
      <c r="A32" s="108" t="inlineStr">
        <is>
          <t>TGCU2381327</t>
        </is>
      </c>
      <c r="B32" s="108" t="inlineStr">
        <is>
          <t>LCH04</t>
        </is>
      </c>
      <c r="C32" s="108" t="inlineStr">
        <is>
          <t>IFV</t>
        </is>
      </c>
      <c r="D32" s="172" t="inlineStr">
        <is>
          <t>2026-10-03</t>
        </is>
      </c>
      <c r="E32" s="173" t="inlineStr">
        <is>
          <t>1729</t>
        </is>
      </c>
      <c r="F32" s="96" t="inlineStr">
        <is>
          <t>HASLS22260802613</t>
        </is>
      </c>
      <c r="G32" s="96" t="inlineStr">
        <is>
          <t>WHA GC LOGISTICS COMPANY LIMITED</t>
        </is>
      </c>
      <c r="H32" s="111" t="inlineStr">
        <is>
          <t>22GP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HASLS22260802613</t>
        </is>
      </c>
      <c r="N32" s="96" t="inlineStr">
        <is>
          <t xml:space="preserve">20'x4 </t>
        </is>
      </c>
      <c r="O32" s="111" t="inlineStr">
        <is>
          <t>2023</t>
        </is>
      </c>
      <c r="P32" s="111" t="n"/>
      <c r="Q32" s="111" t="n"/>
      <c r="R32" s="96" t="inlineStr">
        <is>
          <t>SWAT</t>
        </is>
      </c>
      <c r="S32" s="96" t="inlineStr">
        <is>
          <t>2610N</t>
        </is>
      </c>
      <c r="T32" s="96" t="inlineStr">
        <is>
          <t>LCH04</t>
        </is>
      </c>
      <c r="U32" s="96" t="inlineStr">
        <is>
          <t>THLCH</t>
        </is>
      </c>
      <c r="V32" s="161" t="inlineStr">
        <is>
          <t>2026-10-16</t>
        </is>
      </c>
      <c r="W32" s="96" t="inlineStr">
        <is>
          <t>HKHKG</t>
        </is>
      </c>
      <c r="X32" s="161" t="inlineStr">
        <is>
          <t>2026-10-20</t>
        </is>
      </c>
      <c r="Y32" s="97" t="n"/>
      <c r="Z32" s="97" t="n"/>
      <c r="AA32" s="97" t="n"/>
      <c r="AB32" s="97" t="n"/>
      <c r="AC32" s="97" t="n"/>
      <c r="AD32" s="161" t="inlineStr">
        <is>
          <t>2026-10-03</t>
        </is>
      </c>
      <c r="AE32" s="174" t="inlineStr">
        <is>
          <t>2000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TO THE ORDER OF THE SHIPPER</t>
        </is>
      </c>
      <c r="AK32" s="130" t="n"/>
    </row>
    <row r="33" ht="12" customHeight="1">
      <c r="A33" s="108" t="n"/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8125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8125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BEAU2341894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HASLS22260901216</v>
      </c>
      <c r="E3" s="62" t="str">
        <f>VLOOKUP(D3,'2.Bookinglist'!A:CT,27,FALSE)</f>
        <v>THAI POLYCARBONATE CO., LTD.</v>
      </c>
      <c r="F3" s="62" t="str">
        <f>VLOOKUP(D3,'2.Bookinglist'!A:CT,28,FALSE)</f>
        <v>THAI POLYCARBONATE CO.,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CNXMN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KMTP</v>
      </c>
      <c r="P3" s="61" t="str">
        <f>VLOOKUP(A3,'1.Loading'!A:R,4,FALSE)</f>
        <v>2612N</v>
      </c>
      <c r="Q3" s="61" t="str">
        <f>VLOOKUP(D3,'2.Bookinglist'!A:CT,12,FALSE)</f>
        <v>VTS</v>
      </c>
      <c r="R3" s="60" t="str">
        <f>IF(LEFT(K3,2)="22","20'","40'")</f>
        <v>20'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2026-10-09</v>
      </c>
      <c r="X3" s="63">
        <f>((T3-W3)+1)</f>
        <v>8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125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125</v>
      </c>
      <c r="AJ3" s="70" t="n"/>
      <c r="AK3" s="62" t="str">
        <f>VLOOKUP(D3,'2.Bookinglist'!A:CT,40,FALSE)</f>
        <v>Vilaiporn</v>
      </c>
      <c r="AL3" s="60" t="str">
        <f>VLOOKUP(D3,'2.Bookinglist'!A:CW,101,FALSE)</f>
        <v>2026-10-15</v>
      </c>
      <c r="AM3" s="60" t="str">
        <f>VLOOKUP(D3,'2.Bookinglist'!A:BK,63,FALSE)</f>
        <v>LCHY5</v>
      </c>
      <c r="AN3" s="62" t="str">
        <f>VLOOKUP(D3,'2.Bookinglist'!A:AZ,52,FALSE)</f>
        <v>Pickup : 2026-10-02, Return : 2026-10-05
**CHECK OPENGATE BEFORE RETURN CNTR**</v>
      </c>
      <c r="AO3" s="62" t="str">
        <f>VLOOKUP(D3,'2.Bookinglist'!A:CY,103,FALSE)</f>
        <v>ROLL OVER FROM PREVIOUS VSL SWSR 2611N BY ALLOCATION TEAM MS.TARN APPROVED COST IS UNDER HAL DD.09/10</v>
      </c>
    </row>
    <row r="4" ht="12.95" customHeight="1">
      <c r="A4" s="96" t="inlineStr">
        <is>
          <t>FBIU0156054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HASLS22260900339</v>
      </c>
      <c r="E4" s="62" t="str">
        <f>VLOOKUP(D4,'2.Bookinglist'!A:CT,27,FALSE)</f>
        <v>ACCORD PILOT LOGISTICS (THAILAND) CO., LTD.</v>
      </c>
      <c r="F4" s="62" t="str">
        <f>VLOOKUP(D4,'2.Bookinglist'!A:CT,28,FALSE)</f>
        <v>ALUCON PUBLIC COMPANY LIMITED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JPAXT</v>
      </c>
      <c r="J4" s="61" t="str">
        <f>VLOOKUP(D4,'2.Bookinglist'!A:CT,26,FALSE)</f>
        <v>KRPUS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KMTP</v>
      </c>
      <c r="P4" s="61" t="str">
        <f>VLOOKUP(A4,'1.Loading'!A:R,4,FALSE)</f>
        <v>2612N</v>
      </c>
      <c r="Q4" s="61" t="str">
        <f>VLOOKUP(D4,'2.Bookinglist'!A:CT,12,FALSE)</f>
        <v>VTS</v>
      </c>
      <c r="R4" s="60" t="str">
        <f>IF(LEFT(K4,2)="22","20'","40'")</f>
        <v>20'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2026-10-10</v>
      </c>
      <c r="X4" s="63">
        <f>((T4-W4)+1)</f>
        <v>7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Kanokporn</v>
      </c>
      <c r="AL4" s="60" t="str">
        <f>VLOOKUP(D4,'2.Bookinglist'!A:CW,101,FALSE)</f>
        <v>2026-10-13</v>
      </c>
      <c r="AM4" s="60" t="str">
        <f>VLOOKUP(D4,'2.Bookinglist'!A:BK,63,FALSE)</f>
        <v>LCH27</v>
      </c>
      <c r="AN4" s="62" t="str">
        <f>VLOOKUP(D4,'2.Bookinglist'!A:AZ,52,FALSE)</f>
        <v>Pickup : 2026-10-08, Return : 2026-10-09 
 ** PLEASE CHECK OPEN GATE BEFORE RETURN CNTR **
</v>
      </c>
      <c r="AO4" s="62">
        <f>VLOOKUP(D4,'2.Bookinglist'!A:CY,103,FALSE)</f>
        <v>0</v>
      </c>
    </row>
    <row r="5" ht="12.95" customHeight="1">
      <c r="A5" s="96" t="inlineStr">
        <is>
          <t>FCIU7279540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HASLS22261000793</v>
      </c>
      <c r="E5" s="62" t="str">
        <f>VLOOKUP(D5,'2.Bookinglist'!A:CT,27,FALSE)</f>
        <v>ORIENTAL LOGISTICS GROUP (THAILAND) CO., LTD.</v>
      </c>
      <c r="F5" s="62" t="str">
        <f>VLOOKUP(D5,'2.Bookinglist'!A:CT,28,FALSE)</f>
        <v>ANDAMAN METAL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HKHKG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61" t="str">
        <f>VLOOKUP(A5,'1.Loading'!A:R,3,FALSE)</f>
        <v>KMTP</v>
      </c>
      <c r="P5" s="61" t="str">
        <f>VLOOKUP(A5,'1.Loading'!A:R,4,FALSE)</f>
        <v>2612N</v>
      </c>
      <c r="Q5" s="61" t="str">
        <f>VLOOKUP(D5,'2.Bookinglist'!A:CT,12,FALSE)</f>
        <v>VTS</v>
      </c>
      <c r="R5" s="60" t="str">
        <f>IF(LEFT(K5,2)="22","20'","40'")</f>
        <v>40'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2026-10-12</v>
      </c>
      <c r="X5" s="63">
        <f>((T5-W5)+1)</f>
        <v>5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5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Nannaapust Sukporntaweewat</v>
      </c>
      <c r="AL5" s="60" t="str">
        <f>VLOOKUP(D5,'2.Bookinglist'!A:CW,101,FALSE)</f>
        <v>2026-10-15</v>
      </c>
      <c r="AM5" s="60" t="str">
        <f>VLOOKUP(D5,'2.Bookinglist'!A:BK,63,FALSE)</f>
        <v>LCHY5</v>
      </c>
      <c r="AN5" s="62" t="str">
        <f>VLOOKUP(D5,'2.Bookinglist'!A:AZ,52,FALSE)</f>
        <v>Pickup : 2026-10-10, Return : 2026-10-12
**CHECK OPENGATE BEFORE RETURN CNTR**</v>
      </c>
      <c r="AO5" s="62">
        <f>VLOOKUP(D5,'2.Bookinglist'!A:CY,103,FALSE)</f>
        <v>0</v>
      </c>
    </row>
    <row r="6" ht="12.95" customHeight="1">
      <c r="A6" s="96" t="inlineStr">
        <is>
          <t>GCXU6008721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HASLS22261000791</v>
      </c>
      <c r="E6" s="62" t="str">
        <f>VLOOKUP(D6,'2.Bookinglist'!A:CT,27,FALSE)</f>
        <v>ORIENTAL LOGISTICS GROUP (THAILAND) CO., LTD.</v>
      </c>
      <c r="F6" s="62" t="str">
        <f>VLOOKUP(D6,'2.Bookinglist'!A:CT,28,FALSE)</f>
        <v>ANDAMAN METAL CO., LTD.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HKHKG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KMTP</v>
      </c>
      <c r="P6" s="61" t="str">
        <f>VLOOKUP(A6,'1.Loading'!A:R,4,FALSE)</f>
        <v>2612N</v>
      </c>
      <c r="Q6" s="61" t="str">
        <f>VLOOKUP(D6,'2.Bookinglist'!A:CT,12,FALSE)</f>
        <v>VTS</v>
      </c>
      <c r="R6" s="60" t="str">
        <f>IF(LEFT(K6,2)="22","20'","40'")</f>
        <v>40'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2026-10-12</v>
      </c>
      <c r="X6" s="63">
        <f>((T6-W6)+1)</f>
        <v>5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Nannaapust Sukporntaweewat</v>
      </c>
      <c r="AL6" s="60" t="str">
        <f>VLOOKUP(D6,'2.Bookinglist'!A:CW,101,FALSE)</f>
        <v>2026-10-15</v>
      </c>
      <c r="AM6" s="60" t="str">
        <f>VLOOKUP(D6,'2.Bookinglist'!A:BK,63,FALSE)</f>
        <v>LCHY5</v>
      </c>
      <c r="AN6" s="62" t="str">
        <f>VLOOKUP(D6,'2.Bookinglist'!A:AZ,52,FALSE)</f>
        <v>Pickup : 2026-10-10, Return : 2026-10-12
**CHECK OPENGATE BEFORE RETURN CNTR**</v>
      </c>
      <c r="AO6" s="62">
        <f>VLOOKUP(D6,'2.Bookinglist'!A:CY,103,FALSE)</f>
        <v>0</v>
      </c>
    </row>
    <row r="7" ht="12.95" customHeight="1">
      <c r="A7" s="96" t="inlineStr">
        <is>
          <t>HALU2039105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HASLS22260802613</v>
      </c>
      <c r="E7" s="62" t="str">
        <f>VLOOKUP(D7,'2.Bookinglist'!A:CT,27,FALSE)</f>
        <v>WHA GC LOGISTICS COMPANY LIMITED</v>
      </c>
      <c r="F7" s="62" t="str">
        <f>VLOOKUP(D7,'2.Bookinglist'!A:CT,28,FALSE)</f>
        <v>PTT GLOBAL CHEMICAL PUBLIC COMPANY LIMITED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KMTP</v>
      </c>
      <c r="P7" s="61" t="str">
        <f>VLOOKUP(A7,'1.Loading'!A:R,4,FALSE)</f>
        <v>2612N</v>
      </c>
      <c r="Q7" s="61" t="str">
        <f>VLOOKUP(D7,'2.Bookinglist'!A:CT,12,FALSE)</f>
        <v>VTS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2026-10-03</v>
      </c>
      <c r="X7" s="63">
        <f>((T7-W7)+1)</f>
        <v>14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7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1375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1375</v>
      </c>
      <c r="AJ7" s="188" t="n"/>
      <c r="AK7" s="62" t="str">
        <f>VLOOKUP(D7,'2.Bookinglist'!A:CT,40,FALSE)</f>
        <v>Dharaporn</v>
      </c>
      <c r="AL7" s="60" t="str">
        <f>VLOOKUP(D7,'2.Bookinglist'!A:CW,101,FALSE)</f>
        <v>2026-10-15</v>
      </c>
      <c r="AM7" s="60" t="str">
        <f>VLOOKUP(D7,'2.Bookinglist'!A:BK,63,FALSE)</f>
        <v>LCH28</v>
      </c>
      <c r="AN7" s="62" t="str">
        <f>VLOOKUP(D7,'2.Bookinglist'!A:AZ,52,FALSE)</f>
        <v>CY-RTN 23-25/09/26
*PLS CHECK OPEN GATE BEFORE RETURN CTNR*</v>
      </c>
      <c r="AO7" s="62" t="str">
        <f>VLOOKUP(D7,'2.Bookinglist'!A:CY,103,FALSE)</f>
        <v>ROLL OVER FROM PREVIOUS VSL SWAT 2610N BY ALLOCATION TEAM MS.TARN APPROVED COST IS UNDER HA DD.8/10</v>
      </c>
    </row>
    <row r="8" ht="12.95" customHeight="1">
      <c r="A8" s="96" t="inlineStr">
        <is>
          <t>HALU2092049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HASLS22260901216</v>
      </c>
      <c r="E8" s="62" t="str">
        <f>VLOOKUP(D8,'2.Bookinglist'!A:CT,27,FALSE)</f>
        <v>THAI POLYCARBONATE CO., LTD.</v>
      </c>
      <c r="F8" s="62" t="str">
        <f>VLOOKUP(D8,'2.Bookinglist'!A:CT,28,FALSE)</f>
        <v>THAI POLYCARBONATE CO., LTD.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CNXMN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KMTP</v>
      </c>
      <c r="P8" s="61" t="str">
        <f>VLOOKUP(A8,'1.Loading'!A:R,4,FALSE)</f>
        <v>2612N</v>
      </c>
      <c r="Q8" s="61" t="str">
        <f>VLOOKUP(D8,'2.Bookinglist'!A:CT,12,FALSE)</f>
        <v>VTS</v>
      </c>
      <c r="R8" s="60" t="str">
        <f>IF(LEFT(K8,2)="22","20'","40'")</f>
        <v>20'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2026-10-09</v>
      </c>
      <c r="X8" s="63">
        <f>((T8-W8)+1)</f>
        <v>8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1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125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125</v>
      </c>
      <c r="AJ8" s="188" t="n"/>
      <c r="AK8" s="62" t="str">
        <f>VLOOKUP(D8,'2.Bookinglist'!A:CT,40,FALSE)</f>
        <v>Vilaiporn</v>
      </c>
      <c r="AL8" s="60" t="str">
        <f>VLOOKUP(D8,'2.Bookinglist'!A:CW,101,FALSE)</f>
        <v>2026-10-15</v>
      </c>
      <c r="AM8" s="60" t="str">
        <f>VLOOKUP(D8,'2.Bookinglist'!A:BK,63,FALSE)</f>
        <v>LCHY5</v>
      </c>
      <c r="AN8" s="62" t="str">
        <f>VLOOKUP(D8,'2.Bookinglist'!A:AZ,52,FALSE)</f>
        <v>Pickup : 2026-10-02, Return : 2026-10-05
**CHECK OPENGATE BEFORE RETURN CNTR**</v>
      </c>
      <c r="AO8" s="62" t="str">
        <f>VLOOKUP(D8,'2.Bookinglist'!A:CY,103,FALSE)</f>
        <v>ROLL OVER FROM PREVIOUS VSL SWSR 2611N BY ALLOCATION TEAM MS.TARN APPROVED COST IS UNDER HAL DD.09/10</v>
      </c>
    </row>
    <row r="9" ht="12.95" customHeight="1">
      <c r="A9" s="96" t="inlineStr">
        <is>
          <t>HLHU8107368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HASLS22260902603</v>
      </c>
      <c r="E9" s="62" t="str">
        <f>VLOOKUP(D9,'2.Bookinglist'!A:CT,27,FALSE)</f>
        <v>KARGOSMART GLOBAL CO., LTD.</v>
      </c>
      <c r="F9" s="62" t="str">
        <f>VLOOKUP(D9,'2.Bookinglist'!A:CT,28,FALSE)</f>
        <v>SADESA (THAILAND) CO., LTD.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CNXMN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KMTP</v>
      </c>
      <c r="P9" s="61" t="str">
        <f>VLOOKUP(A9,'1.Loading'!A:R,4,FALSE)</f>
        <v>2612N</v>
      </c>
      <c r="Q9" s="61" t="str">
        <f>VLOOKUP(D9,'2.Bookinglist'!A:CT,12,FALSE)</f>
        <v>VTS</v>
      </c>
      <c r="R9" s="60" t="str">
        <f>IF(LEFT(K9,2)="22","20'","40'")</f>
        <v>40'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2026-10-08</v>
      </c>
      <c r="X9" s="63">
        <f>((T9-W9)+1)</f>
        <v>9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500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500</v>
      </c>
      <c r="AJ9" s="188" t="n"/>
      <c r="AK9" s="62" t="str">
        <f>VLOOKUP(D9,'2.Bookinglist'!A:CT,40,FALSE)</f>
        <v>Arunphat W. (Aiw)</v>
      </c>
      <c r="AL9" s="60" t="str">
        <f>VLOOKUP(D9,'2.Bookinglist'!A:CW,101,FALSE)</f>
        <v>2026-10-12</v>
      </c>
      <c r="AM9" s="60" t="str">
        <f>VLOOKUP(D9,'2.Bookinglist'!A:BK,63,FALSE)</f>
        <v>LCH28</v>
      </c>
      <c r="AN9" s="62" t="str">
        <f>VLOOKUP(D9,'2.Bookinglist'!A:AZ,52,FALSE)</f>
        <v>Pickup : 2026-10-07, Return : 2026-10-08 
 ** PLEASE CHECK OPEN GATE BEFORE RETURN CNTR **
</v>
      </c>
      <c r="AO9" s="62">
        <f>VLOOKUP(D9,'2.Bookinglist'!A:CY,103,FALSE)</f>
        <v>0</v>
      </c>
    </row>
    <row r="10" ht="12.95" customHeight="1">
      <c r="A10" s="96" t="inlineStr">
        <is>
          <t>HLHU8110696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HASLS22261000793</v>
      </c>
      <c r="E10" s="62" t="str">
        <f>VLOOKUP(D10,'2.Bookinglist'!A:CT,27,FALSE)</f>
        <v>ORIENTAL LOGISTICS GROUP (THAILAND) CO., LTD.</v>
      </c>
      <c r="F10" s="62" t="str">
        <f>VLOOKUP(D10,'2.Bookinglist'!A:CT,28,FALSE)</f>
        <v>ANDAMAN METAL CO., 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KMTP</v>
      </c>
      <c r="P10" s="61" t="str">
        <f>VLOOKUP(A10,'1.Loading'!A:R,4,FALSE)</f>
        <v>2612N</v>
      </c>
      <c r="Q10" s="61" t="str">
        <f>VLOOKUP(D10,'2.Bookinglist'!A:CT,12,FALSE)</f>
        <v>VTS</v>
      </c>
      <c r="R10" s="60" t="str">
        <f>IF(LEFT(K10,2)="22","20'","40'")</f>
        <v>40'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2026-10-12</v>
      </c>
      <c r="X10" s="63">
        <f>((T10-W10)+1)</f>
        <v>5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Nannaapust Sukporntaweewat</v>
      </c>
      <c r="AL10" s="60" t="str">
        <f>VLOOKUP(D10,'2.Bookinglist'!A:CW,101,FALSE)</f>
        <v>2026-10-15</v>
      </c>
      <c r="AM10" s="60" t="str">
        <f>VLOOKUP(D10,'2.Bookinglist'!A:BK,63,FALSE)</f>
        <v>LCHY5</v>
      </c>
      <c r="AN10" s="62" t="str">
        <f>VLOOKUP(D10,'2.Bookinglist'!A:AZ,52,FALSE)</f>
        <v>Pickup : 2026-10-10, Return : 2026-10-12
**CHECK OPENGATE BEFORE RETURN CNTR**</v>
      </c>
      <c r="AO10" s="62">
        <f>VLOOKUP(D10,'2.Bookinglist'!A:CY,103,FALSE)</f>
        <v>0</v>
      </c>
    </row>
    <row r="11" ht="12.95" customHeight="1">
      <c r="A11" s="96" t="inlineStr">
        <is>
          <t>SKHU6449538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HASLS22260901361</v>
      </c>
      <c r="E11" s="62" t="str">
        <f>VLOOKUP(D11,'2.Bookinglist'!A:CT,27,FALSE)</f>
        <v>NIPPON EXPRESS LOGISTICS (THAILAND) CO., LTD.</v>
      </c>
      <c r="F11" s="62" t="str">
        <f>VLOOKUP(D11,'2.Bookinglist'!A:CT,28,FALSE)</f>
        <v>SYNERGY HEALTH (THAILAND) CO., 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KMTP</v>
      </c>
      <c r="P11" s="61" t="str">
        <f>VLOOKUP(A11,'1.Loading'!A:R,4,FALSE)</f>
        <v>2612N</v>
      </c>
      <c r="Q11" s="61" t="str">
        <f>VLOOKUP(D11,'2.Bookinglist'!A:CT,12,FALSE)</f>
        <v>VTS</v>
      </c>
      <c r="R11" s="60" t="str">
        <f>IF(LEFT(K11,2)="22","20'","40'")</f>
        <v>40'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2026-10-09</v>
      </c>
      <c r="X11" s="63">
        <f>((T11-W11)+1)</f>
        <v>8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1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250</v>
      </c>
      <c r="AJ11" s="188" t="n"/>
      <c r="AK11" s="62" t="str">
        <f>VLOOKUP(D11,'2.Bookinglist'!A:CT,40,FALSE)</f>
        <v>Vilaiporn</v>
      </c>
      <c r="AL11" s="60" t="str">
        <f>VLOOKUP(D11,'2.Bookinglist'!A:CW,101,FALSE)</f>
        <v>2026-10-11</v>
      </c>
      <c r="AM11" s="60" t="str">
        <f>VLOOKUP(D11,'2.Bookinglist'!A:BK,63,FALSE)</f>
        <v>LCHY5</v>
      </c>
      <c r="AN11" s="62" t="str">
        <f>VLOOKUP(D11,'2.Bookinglist'!A:AZ,52,FALSE)</f>
        <v>Pickup : 2026-10-08, Return : 2026-10-08</v>
      </c>
      <c r="AO11" s="62">
        <f>VLOOKUP(D11,'2.Bookinglist'!A:CY,103,FALSE)</f>
        <v>0</v>
      </c>
    </row>
    <row r="12" ht="12.95" customHeight="1">
      <c r="A12" s="96" t="inlineStr">
        <is>
          <t>SKHU6621565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HASLS22260800651</v>
      </c>
      <c r="E12" s="62" t="str">
        <f>VLOOKUP(D12,'2.Bookinglist'!A:CT,27,FALSE)</f>
        <v>NIPPON EXPRESS LOGISTICS (THAILAND) CO., LTD.</v>
      </c>
      <c r="F12" s="62" t="str">
        <f>VLOOKUP(D12,'2.Bookinglist'!A:CT,28,FALSE)</f>
        <v>STERIS TOMOE (THAILAND) 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KMTP</v>
      </c>
      <c r="P12" s="61" t="str">
        <f>VLOOKUP(A12,'1.Loading'!A:R,4,FALSE)</f>
        <v>2612N</v>
      </c>
      <c r="Q12" s="61" t="str">
        <f>VLOOKUP(D12,'2.Bookinglist'!A:CT,12,FALSE)</f>
        <v>VTS</v>
      </c>
      <c r="R12" s="60" t="str">
        <f>IF(LEFT(K12,2)="22","20'","40'")</f>
        <v>40'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2026-10-10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Vilaiporn</v>
      </c>
      <c r="AL12" s="60" t="str">
        <f>VLOOKUP(D12,'2.Bookinglist'!A:CW,101,FALSE)</f>
        <v>2026-10-12</v>
      </c>
      <c r="AM12" s="60" t="str">
        <f>VLOOKUP(D12,'2.Bookinglist'!A:BK,63,FALSE)</f>
        <v>LCHY5</v>
      </c>
      <c r="AN12" s="62" t="str">
        <f>VLOOKUP(D12,'2.Bookinglist'!A:AZ,52,FALSE)</f>
        <v>Pickup : 2026-10-09, Return : 2026-10-09
**CHECK OPENGATE BEFORE RETURN CNTR**</v>
      </c>
      <c r="AO12" s="62">
        <f>VLOOKUP(D12,'2.Bookinglist'!A:CY,103,FALSE)</f>
        <v>0</v>
      </c>
    </row>
    <row r="13" ht="12.95" customHeight="1">
      <c r="A13" s="96" t="inlineStr">
        <is>
          <t>SKHU9302406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HASLS22260900701</v>
      </c>
      <c r="E13" s="62" t="str">
        <f>VLOOKUP(D13,'2.Bookinglist'!A:CT,27,FALSE)</f>
        <v>YUSEN LOGISTICS (THAILAND) CO., LTD.</v>
      </c>
      <c r="F13" s="62" t="str">
        <f>VLOOKUP(D13,'2.Bookinglist'!A:CT,28,FALSE)</f>
        <v>KURARAY GC ADVANCED MATERIALS CO.,LTD.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KMTP</v>
      </c>
      <c r="P13" s="61" t="str">
        <f>VLOOKUP(A13,'1.Loading'!A:R,4,FALSE)</f>
        <v>2612N</v>
      </c>
      <c r="Q13" s="61" t="str">
        <f>VLOOKUP(D13,'2.Bookinglist'!A:CT,12,FALSE)</f>
        <v>VTS</v>
      </c>
      <c r="R13" s="60" t="str">
        <f>IF(LEFT(K13,2)="22","20'","40'")</f>
        <v>40'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2026-10-09</v>
      </c>
      <c r="X13" s="63">
        <f>((T13-W13)+1)</f>
        <v>8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1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250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2026-10-15</v>
      </c>
      <c r="AM13" s="60" t="str">
        <f>VLOOKUP(D13,'2.Bookinglist'!A:BK,63,FALSE)</f>
        <v>LCH27</v>
      </c>
      <c r="AN13" s="62" t="str">
        <f>VLOOKUP(D13,'2.Bookinglist'!A:AZ,52,FALSE)</f>
        <v>Pickup : 2026-10-06, Return : 2026-10-07 (1ST RTN 09/10  W/O RENT) 
 ** PLEASE CHECK OPEN GATE BEFORE RETURN CNTR **</v>
      </c>
      <c r="AO13" s="62" t="str">
        <f>VLOOKUP(D13,'2.Bookinglist'!A:CY,103,FALSE)</f>
        <v>ROLL OVER FROM PREVIOUS VSL SWSR 2611N BY ALLOCATION TEAM MS.TARN APPROVED COST IS UNDER HAL DD.09/10</v>
      </c>
    </row>
    <row r="14" ht="12.95" customHeight="1">
      <c r="A14" s="96" t="inlineStr">
        <is>
          <t>SKHU9403870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HASLS22260900701</v>
      </c>
      <c r="E14" s="62" t="str">
        <f>VLOOKUP(D14,'2.Bookinglist'!A:CT,27,FALSE)</f>
        <v>YUSEN LOGISTICS (THAILAND) CO., LTD.</v>
      </c>
      <c r="F14" s="62" t="str">
        <f>VLOOKUP(D14,'2.Bookinglist'!A:CT,28,FALSE)</f>
        <v>KURARAY GC ADVANCED MATERIALS CO.,LTD.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KMTP</v>
      </c>
      <c r="P14" s="61" t="str">
        <f>VLOOKUP(A14,'1.Loading'!A:R,4,FALSE)</f>
        <v>2612N</v>
      </c>
      <c r="Q14" s="61" t="str">
        <f>VLOOKUP(D14,'2.Bookinglist'!A:CT,12,FALSE)</f>
        <v>VTS</v>
      </c>
      <c r="R14" s="60" t="str">
        <f>IF(LEFT(K14,2)="22","20'","40'")</f>
        <v>40'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2026-10-09</v>
      </c>
      <c r="X14" s="63">
        <f>((T14-W14)+1)</f>
        <v>8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1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250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250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2026-10-15</v>
      </c>
      <c r="AM14" s="60" t="str">
        <f>VLOOKUP(D14,'2.Bookinglist'!A:BK,63,FALSE)</f>
        <v>LCH27</v>
      </c>
      <c r="AN14" s="62" t="str">
        <f>VLOOKUP(D14,'2.Bookinglist'!A:AZ,52,FALSE)</f>
        <v>Pickup : 2026-10-06, Return : 2026-10-07 (1ST RTN 09/10  W/O RENT) 
 ** PLEASE CHECK OPEN GATE BEFORE RETURN CNTR **</v>
      </c>
      <c r="AO14" s="62" t="str">
        <f>VLOOKUP(D14,'2.Bookinglist'!A:CY,103,FALSE)</f>
        <v>ROLL OVER FROM PREVIOUS VSL SWSR 2611N BY ALLOCATION TEAM MS.TARN APPROVED COST IS UNDER HAL DD.09/10</v>
      </c>
    </row>
    <row r="15" ht="12.95" customHeight="1">
      <c r="A15" s="96" t="inlineStr">
        <is>
          <t>SKHU9527824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HASLS22260900701</v>
      </c>
      <c r="E15" s="62" t="str">
        <f>VLOOKUP(D15,'2.Bookinglist'!A:CT,27,FALSE)</f>
        <v>YUSEN LOGISTICS (THAILAND) CO., LTD.</v>
      </c>
      <c r="F15" s="62" t="str">
        <f>VLOOKUP(D15,'2.Bookinglist'!A:CT,28,FALSE)</f>
        <v>KURARAY GC ADVANCED MATERIALS CO.,LTD.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KMTP</v>
      </c>
      <c r="P15" s="61" t="str">
        <f>VLOOKUP(A15,'1.Loading'!A:R,4,FALSE)</f>
        <v>2612N</v>
      </c>
      <c r="Q15" s="61" t="str">
        <f>VLOOKUP(D15,'2.Bookinglist'!A:CT,12,FALSE)</f>
        <v>VTS</v>
      </c>
      <c r="R15" s="60" t="str">
        <f>IF(LEFT(K15,2)="22","20'","40'")</f>
        <v>40'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2026-10-09</v>
      </c>
      <c r="X15" s="63">
        <f>((T15-W15)+1)</f>
        <v>8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1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250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250</v>
      </c>
      <c r="AJ15" s="188" t="n"/>
      <c r="AK15" s="62" t="str">
        <f>VLOOKUP(D15,'2.Bookinglist'!A:CT,40,FALSE)</f>
        <v>Vilaiporn</v>
      </c>
      <c r="AL15" s="60" t="str">
        <f>VLOOKUP(D15,'2.Bookinglist'!A:CW,101,FALSE)</f>
        <v>2026-10-15</v>
      </c>
      <c r="AM15" s="60" t="str">
        <f>VLOOKUP(D15,'2.Bookinglist'!A:BK,63,FALSE)</f>
        <v>LCH27</v>
      </c>
      <c r="AN15" s="62" t="str">
        <f>VLOOKUP(D15,'2.Bookinglist'!A:AZ,52,FALSE)</f>
        <v>Pickup : 2026-10-06, Return : 2026-10-07 (1ST RTN 09/10  W/O RENT) 
 ** PLEASE CHECK OPEN GATE BEFORE RETURN CNTR **</v>
      </c>
      <c r="AO15" s="62" t="str">
        <f>VLOOKUP(D15,'2.Bookinglist'!A:CY,103,FALSE)</f>
        <v>ROLL OVER FROM PREVIOUS VSL SWSR 2611N BY ALLOCATION TEAM MS.TARN APPROVED COST IS UNDER HAL DD.09/10</v>
      </c>
    </row>
    <row r="16" ht="12.95" customHeight="1">
      <c r="A16" s="96" t="inlineStr">
        <is>
          <t>SKHU9543614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HASLS22260900701</v>
      </c>
      <c r="E16" s="62" t="str">
        <f>VLOOKUP(D16,'2.Bookinglist'!A:CT,27,FALSE)</f>
        <v>YUSEN LOGISTICS (THAILAND) CO., LTD.</v>
      </c>
      <c r="F16" s="62" t="str">
        <f>VLOOKUP(D16,'2.Bookinglist'!A:CT,28,FALSE)</f>
        <v>KURARAY GC ADVANCED MATERIALS CO.,LTD.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KMTP</v>
      </c>
      <c r="P16" s="61" t="str">
        <f>VLOOKUP(A16,'1.Loading'!A:R,4,FALSE)</f>
        <v>2612N</v>
      </c>
      <c r="Q16" s="61" t="str">
        <f>VLOOKUP(D16,'2.Bookinglist'!A:CT,12,FALSE)</f>
        <v>VTS</v>
      </c>
      <c r="R16" s="60" t="str">
        <f>IF(LEFT(K16,2)="22","20'","40'")</f>
        <v>40'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2026-10-09</v>
      </c>
      <c r="X16" s="63">
        <f>((T16-W16)+1)</f>
        <v>8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1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250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250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2026-10-15</v>
      </c>
      <c r="AM16" s="60" t="str">
        <f>VLOOKUP(D16,'2.Bookinglist'!A:BK,63,FALSE)</f>
        <v>LCH27</v>
      </c>
      <c r="AN16" s="62" t="str">
        <f>VLOOKUP(D16,'2.Bookinglist'!A:AZ,52,FALSE)</f>
        <v>Pickup : 2026-10-06, Return : 2026-10-07 (1ST RTN 09/10  W/O RENT) 
 ** PLEASE CHECK OPEN GATE BEFORE RETURN CNTR **</v>
      </c>
      <c r="AO16" s="62" t="str">
        <f>VLOOKUP(D16,'2.Bookinglist'!A:CY,103,FALSE)</f>
        <v>ROLL OVER FROM PREVIOUS VSL SWSR 2611N BY ALLOCATION TEAM MS.TARN APPROVED COST IS UNDER HAL DD.09/10</v>
      </c>
    </row>
    <row r="17" ht="12.95" customHeight="1">
      <c r="A17" s="96" t="inlineStr">
        <is>
          <t>SKHU9809983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HASLS22260900701</v>
      </c>
      <c r="E17" s="62" t="str">
        <f>VLOOKUP(D17,'2.Bookinglist'!A:CT,27,FALSE)</f>
        <v>YUSEN LOGISTICS (THAILAND) CO., LTD.</v>
      </c>
      <c r="F17" s="62" t="str">
        <f>VLOOKUP(D17,'2.Bookinglist'!A:CT,28,FALSE)</f>
        <v>KURARAY GC ADVANCED MATERIALS CO.,LTD.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KMTP</v>
      </c>
      <c r="P17" s="61" t="str">
        <f>VLOOKUP(A17,'1.Loading'!A:R,4,FALSE)</f>
        <v>2612N</v>
      </c>
      <c r="Q17" s="61" t="str">
        <f>VLOOKUP(D17,'2.Bookinglist'!A:CT,12,FALSE)</f>
        <v>VTS</v>
      </c>
      <c r="R17" s="60" t="str">
        <f>IF(LEFT(K17,2)="22","20'","40'")</f>
        <v>40'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2026-10-10</v>
      </c>
      <c r="X17" s="63">
        <f>((T17-W17)+1)</f>
        <v>7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2026-10-15</v>
      </c>
      <c r="AM17" s="60" t="str">
        <f>VLOOKUP(D17,'2.Bookinglist'!A:BK,63,FALSE)</f>
        <v>LCH27</v>
      </c>
      <c r="AN17" s="62" t="str">
        <f>VLOOKUP(D17,'2.Bookinglist'!A:AZ,52,FALSE)</f>
        <v>Pickup : 2026-10-06, Return : 2026-10-07 (1ST RTN 09/10  W/O RENT) 
 ** PLEASE CHECK OPEN GATE BEFORE RETURN CNTR **</v>
      </c>
      <c r="AO17" s="62" t="str">
        <f>VLOOKUP(D17,'2.Bookinglist'!A:CY,103,FALSE)</f>
        <v>ROLL OVER FROM PREVIOUS VSL SWSR 2611N BY ALLOCATION TEAM MS.TARN APPROVED COST IS UNDER HAL DD.09/10</v>
      </c>
    </row>
    <row r="18" ht="12.95" customHeight="1">
      <c r="A18" s="96" t="inlineStr">
        <is>
          <t>SKHU9824930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HASLS22260900701</v>
      </c>
      <c r="E18" s="62" t="str">
        <f>VLOOKUP(D18,'2.Bookinglist'!A:CT,27,FALSE)</f>
        <v>YUSEN LOGISTICS (THAILAND) CO., LTD.</v>
      </c>
      <c r="F18" s="62" t="str">
        <f>VLOOKUP(D18,'2.Bookinglist'!A:CT,28,FALSE)</f>
        <v>KURARAY GC ADVANCED MATERIALS CO.,LTD.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KMTP</v>
      </c>
      <c r="P18" s="61" t="str">
        <f>VLOOKUP(A18,'1.Loading'!A:R,4,FALSE)</f>
        <v>2612N</v>
      </c>
      <c r="Q18" s="61" t="str">
        <f>VLOOKUP(D18,'2.Bookinglist'!A:CT,12,FALSE)</f>
        <v>VTS</v>
      </c>
      <c r="R18" s="60" t="str">
        <f>IF(LEFT(K18,2)="22","20'","40'")</f>
        <v>40'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2026-10-09</v>
      </c>
      <c r="X18" s="63">
        <f>((T18-W18)+1)</f>
        <v>8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1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250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2026-10-15</v>
      </c>
      <c r="AM18" s="60" t="str">
        <f>VLOOKUP(D18,'2.Bookinglist'!A:BK,63,FALSE)</f>
        <v>LCH27</v>
      </c>
      <c r="AN18" s="62" t="str">
        <f>VLOOKUP(D18,'2.Bookinglist'!A:AZ,52,FALSE)</f>
        <v>Pickup : 2026-10-06, Return : 2026-10-07 (1ST RTN 09/10  W/O RENT) 
 ** PLEASE CHECK OPEN GATE BEFORE RETURN CNTR **</v>
      </c>
      <c r="AO18" s="62" t="str">
        <f>VLOOKUP(D18,'2.Bookinglist'!A:CY,103,FALSE)</f>
        <v>ROLL OVER FROM PREVIOUS VSL SWSR 2611N BY ALLOCATION TEAM MS.TARN APPROVED COST IS UNDER HAL DD.09/10</v>
      </c>
    </row>
    <row r="19" ht="12.95" customHeight="1">
      <c r="A19" s="96" t="inlineStr">
        <is>
          <t>SKHU9938677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HASLS22260900701</v>
      </c>
      <c r="E19" s="62" t="str">
        <f>VLOOKUP(D19,'2.Bookinglist'!A:CT,27,FALSE)</f>
        <v>YUSEN LOGISTICS (THAILAND) CO., LTD.</v>
      </c>
      <c r="F19" s="62" t="str">
        <f>VLOOKUP(D19,'2.Bookinglist'!A:CT,28,FALSE)</f>
        <v>KURARAY GC ADVANCED MATERIALS CO.,LTD.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HKHKG</v>
      </c>
      <c r="J19" s="61">
        <f>VLOOKUP(D19,'2.Bookinglist'!A:CT,26,FALSE)</f>
        <v>0</v>
      </c>
      <c r="K19" s="61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KMTP</v>
      </c>
      <c r="P19" s="61" t="str">
        <f>VLOOKUP(A19,'1.Loading'!A:R,4,FALSE)</f>
        <v>2612N</v>
      </c>
      <c r="Q19" s="61" t="str">
        <f>VLOOKUP(D19,'2.Bookinglist'!A:CT,12,FALSE)</f>
        <v>VTS</v>
      </c>
      <c r="R19" s="60" t="str">
        <f>IF(LEFT(K19,2)="22","20'","40'")</f>
        <v>40'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2026-10-10</v>
      </c>
      <c r="X19" s="63">
        <f>((T19-W19)+1)</f>
        <v>7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Vilaiporn</v>
      </c>
      <c r="AL19" s="60" t="str">
        <f>VLOOKUP(D19,'2.Bookinglist'!A:CW,101,FALSE)</f>
        <v>2026-10-15</v>
      </c>
      <c r="AM19" s="60" t="str">
        <f>VLOOKUP(D19,'2.Bookinglist'!A:BK,63,FALSE)</f>
        <v>LCH27</v>
      </c>
      <c r="AN19" s="62" t="str">
        <f>VLOOKUP(D19,'2.Bookinglist'!A:AZ,52,FALSE)</f>
        <v>Pickup : 2026-10-06, Return : 2026-10-07 (1ST RTN 09/10  W/O RENT) 
 ** PLEASE CHECK OPEN GATE BEFORE RETURN CNTR **</v>
      </c>
      <c r="AO19" s="62" t="str">
        <f>VLOOKUP(D19,'2.Bookinglist'!A:CY,103,FALSE)</f>
        <v>ROLL OVER FROM PREVIOUS VSL SWSR 2611N BY ALLOCATION TEAM MS.TARN APPROVED COST IS UNDER HAL DD.09/10</v>
      </c>
    </row>
    <row r="20" ht="12.95" customHeight="1">
      <c r="A20" s="96" t="inlineStr">
        <is>
          <t>SKLU1113575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HASLS22260901216</v>
      </c>
      <c r="E20" s="62" t="str">
        <f>VLOOKUP(D20,'2.Bookinglist'!A:CT,27,FALSE)</f>
        <v>THAI POLYCARBONATE CO., LTD.</v>
      </c>
      <c r="F20" s="62" t="str">
        <f>VLOOKUP(D20,'2.Bookinglist'!A:CT,28,FALSE)</f>
        <v>THAI POLYCARBONATE CO., LTD.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CNXMN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KMTP</v>
      </c>
      <c r="P20" s="61" t="str">
        <f>VLOOKUP(A20,'1.Loading'!A:R,4,FALSE)</f>
        <v>2612N</v>
      </c>
      <c r="Q20" s="61" t="str">
        <f>VLOOKUP(D20,'2.Bookinglist'!A:CT,12,FALSE)</f>
        <v>VTS</v>
      </c>
      <c r="R20" s="60" t="str">
        <f>IF(LEFT(K20,2)="22","20'","40'")</f>
        <v>20'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2026-10-09</v>
      </c>
      <c r="X20" s="63">
        <f>((T20-W20)+1)</f>
        <v>8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1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125</v>
      </c>
      <c r="AJ20" s="188" t="n"/>
      <c r="AK20" s="62" t="str">
        <f>VLOOKUP(D20,'2.Bookinglist'!A:CT,40,FALSE)</f>
        <v>Vilaiporn</v>
      </c>
      <c r="AL20" s="60" t="str">
        <f>VLOOKUP(D20,'2.Bookinglist'!A:CW,101,FALSE)</f>
        <v>2026-10-15</v>
      </c>
      <c r="AM20" s="60" t="str">
        <f>VLOOKUP(D20,'2.Bookinglist'!A:BK,63,FALSE)</f>
        <v>LCHY5</v>
      </c>
      <c r="AN20" s="62" t="str">
        <f>VLOOKUP(D20,'2.Bookinglist'!A:AZ,52,FALSE)</f>
        <v>Pickup : 2026-10-02, Return : 2026-10-05
**CHECK OPENGATE BEFORE RETURN CNTR**</v>
      </c>
      <c r="AO20" s="62" t="str">
        <f>VLOOKUP(D20,'2.Bookinglist'!A:CY,103,FALSE)</f>
        <v>ROLL OVER FROM PREVIOUS VSL SWSR 2611N BY ALLOCATION TEAM MS.TARN APPROVED COST IS UNDER HAL DD.09/10</v>
      </c>
    </row>
    <row r="21" ht="12.95" customHeight="1">
      <c r="A21" s="96" t="inlineStr">
        <is>
          <t>SKLU1114397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HASLS22260802613</v>
      </c>
      <c r="E21" s="62" t="str">
        <f>VLOOKUP(D21,'2.Bookinglist'!A:CT,27,FALSE)</f>
        <v>WHA GC LOGISTICS COMPANY LIMITED</v>
      </c>
      <c r="F21" s="62" t="str">
        <f>VLOOKUP(D21,'2.Bookinglist'!A:CT,28,FALSE)</f>
        <v>PTT GLOBAL CHEMICAL PUBLIC COMPANY LIMITED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KMTP</v>
      </c>
      <c r="P21" s="61" t="str">
        <f>VLOOKUP(A21,'1.Loading'!A:R,4,FALSE)</f>
        <v>2612N</v>
      </c>
      <c r="Q21" s="61" t="str">
        <f>VLOOKUP(D21,'2.Bookinglist'!A:CT,12,FALSE)</f>
        <v>VTS</v>
      </c>
      <c r="R21" s="60" t="str">
        <f>IF(LEFT(K21,2)="22","20'","40'")</f>
        <v>20'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2026-10-03</v>
      </c>
      <c r="X21" s="63">
        <f>((T21-W21)+1)</f>
        <v>14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7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1375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1375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2026-10-15</v>
      </c>
      <c r="AM21" s="60" t="str">
        <f>VLOOKUP(D21,'2.Bookinglist'!A:BK,63,FALSE)</f>
        <v>LCH28</v>
      </c>
      <c r="AN21" s="62" t="str">
        <f>VLOOKUP(D21,'2.Bookinglist'!A:AZ,52,FALSE)</f>
        <v>CY-RTN 23-25/09/26
*PLS CHECK OPEN GATE BEFORE RETURN CTNR*</v>
      </c>
      <c r="AO21" s="62" t="str">
        <f>VLOOKUP(D21,'2.Bookinglist'!A:CY,103,FALSE)</f>
        <v>ROLL OVER FROM PREVIOUS VSL SWAT 2610N BY ALLOCATION TEAM MS.TARN APPROVED COST IS UNDER HA DD.8/10</v>
      </c>
    </row>
    <row r="22" ht="12.95" customHeight="1">
      <c r="A22" s="96" t="inlineStr">
        <is>
          <t>SKLU1312371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HASLS22261000048</v>
      </c>
      <c r="E22" s="62" t="str">
        <f>VLOOKUP(D22,'2.Bookinglist'!A:CT,27,FALSE)</f>
        <v>EXTRA MARITIME CO., LTD.</v>
      </c>
      <c r="F22" s="62" t="str">
        <f>VLOOKUP(D22,'2.Bookinglist'!A:CT,28,FALSE)</f>
        <v>PROTERIAL (THAILAND)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CNXMN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KMTP</v>
      </c>
      <c r="P22" s="61" t="str">
        <f>VLOOKUP(A22,'1.Loading'!A:R,4,FALSE)</f>
        <v>2612N</v>
      </c>
      <c r="Q22" s="61" t="str">
        <f>VLOOKUP(D22,'2.Bookinglist'!A:CT,12,FALSE)</f>
        <v>VTS</v>
      </c>
      <c r="R22" s="60" t="str">
        <f>IF(LEFT(K22,2)="22","20'","40'")</f>
        <v>20'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2026-10-10</v>
      </c>
      <c r="X22" s="63">
        <f>((T22-W22)+1)</f>
        <v>7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Kanokporn</v>
      </c>
      <c r="AL22" s="60" t="str">
        <f>VLOOKUP(D22,'2.Bookinglist'!A:CW,101,FALSE)</f>
        <v>2026-10-14</v>
      </c>
      <c r="AM22" s="60" t="str">
        <f>VLOOKUP(D22,'2.Bookinglist'!A:BK,63,FALSE)</f>
        <v>LCHY5</v>
      </c>
      <c r="AN22" s="62" t="str">
        <f>VLOOKUP(D22,'2.Bookinglist'!A:AZ,52,FALSE)</f>
        <v>Pickup : 2026-10-08, Return : 2026-10-09 (1ST RTN DD: 10/10/26 WO/RENT)
**CHECK OPENGATE BEFORE RETURN CNTR**</v>
      </c>
      <c r="AO22" s="62">
        <f>VLOOKUP(D22,'2.Bookinglist'!A:CY,103,FALSE)</f>
        <v>0</v>
      </c>
    </row>
    <row r="23" ht="12.95" customHeight="1">
      <c r="A23" s="96" t="inlineStr">
        <is>
          <t>SKLU1318575</t>
        </is>
      </c>
      <c r="B23" s="184" t="str">
        <f>IF(C23=Charge!$M$1,Charge!$J$1,IF(C23=Charge!$M$23,Charge!$J$23,IF(C23=Charge!$M$17,Charge!$J$17,IF(C23=Charge!$N$17,Charge!$J$17,Charge!$J$7))))</f>
        <v>G1</v>
      </c>
      <c r="C23" s="61" t="str">
        <f>VLOOKUP(A23,'1.Loading'!A:R,14,FALSE)</f>
        <v>LCH04</v>
      </c>
      <c r="D23" s="61" t="str">
        <f>VLOOKUP(A23,'1.Loading'!A:R,17,FALSE)</f>
        <v>HASLS22261000346</v>
      </c>
      <c r="E23" s="62" t="str">
        <f>VLOOKUP(D23,'2.Bookinglist'!A:CT,27,FALSE)</f>
        <v>PACIFIC FORWARDER INTERNATIONAL CO., LTD.</v>
      </c>
      <c r="F23" s="62" t="str">
        <f>VLOOKUP(D23,'2.Bookinglist'!A:CT,28,FALSE)</f>
        <v>GENERAL RUBBER (THAILAND) CO., LTD.</v>
      </c>
      <c r="G23" s="60">
        <f>VLOOKUP(D23,'2.Bookinglist'!A:E,5,FALSE)</f>
        <v>0</v>
      </c>
      <c r="H23" s="61" t="str">
        <f>VLOOKUP(D23,'2.Bookinglist'!A:CT,15,FALSE)</f>
        <v>THLCH</v>
      </c>
      <c r="I23" s="61" t="str">
        <f>VLOOKUP(D23,'2.Bookinglist'!A:CT,19,FALSE)</f>
        <v>HKHKG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KMTP</v>
      </c>
      <c r="P23" s="61" t="str">
        <f>VLOOKUP(A23,'1.Loading'!A:R,4,FALSE)</f>
        <v>2612N</v>
      </c>
      <c r="Q23" s="61" t="str">
        <f>VLOOKUP(D23,'2.Bookinglist'!A:CT,12,FALSE)</f>
        <v>VTS</v>
      </c>
      <c r="R23" s="60" t="str">
        <f>IF(LEFT(K23,2)="22","20'","40'")</f>
        <v>20'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2026-10-12</v>
      </c>
      <c r="X23" s="63">
        <f>((T23-W23)+1)</f>
        <v>5</v>
      </c>
      <c r="Y23" s="64">
        <f>IF(AND(OR(C23="BKK01",C23="BKK04"),L23="CFS/CY"),0,IF(M23="DG",1,IF(LEFT(C23,3)="LCH",7,IF(C23="BKK02",5,3))))</f>
        <v>7</v>
      </c>
      <c r="Z23" s="63">
        <f>IF(IF(AND(AC23="TML",AB23&gt;0),((T23-W23)+1)-AB23,((T23-W23)+1)-Y23)&gt;0,IF(AND(AC23="TML",AB23&gt;0),((T23-W23)+1)-AB23,((T23-W23)+1)-Y23),0)</f>
        <v>0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0</v>
      </c>
      <c r="AJ23" s="188" t="n"/>
      <c r="AK23" s="62" t="str">
        <f>VLOOKUP(D23,'2.Bookinglist'!A:CT,40,FALSE)</f>
        <v>Sukunpoj Damrongying</v>
      </c>
      <c r="AL23" s="60" t="str">
        <f>VLOOKUP(D23,'2.Bookinglist'!A:CW,101,FALSE)</f>
        <v>2026-10-15</v>
      </c>
      <c r="AM23" s="60" t="str">
        <f>VLOOKUP(D23,'2.Bookinglist'!A:BK,63,FALSE)</f>
        <v>LCHY5</v>
      </c>
      <c r="AN23" s="62" t="str">
        <f>VLOOKUP(D23,'2.Bookinglist'!A:AZ,52,FALSE)</f>
        <v>Pickup : 2026-10-09, Return : 2026-10-10 [1ST RTN 11/10/2026 W/O RENT]
** PLEASE CHECK OPEN GATE BEFORE RETURN CONTAINER **</v>
      </c>
      <c r="AO23" s="62">
        <f>VLOOKUP(D23,'2.Bookinglist'!A:CY,103,FALSE)</f>
        <v>0</v>
      </c>
    </row>
    <row r="24" ht="12.95" customHeight="1">
      <c r="A24" s="96" t="inlineStr">
        <is>
          <t>SKLU1320696</t>
        </is>
      </c>
      <c r="B24" s="184" t="str">
        <f>IF(C24=Charge!$M$1,Charge!$J$1,IF(C24=Charge!$M$23,Charge!$J$23,IF(C24=Charge!$M$17,Charge!$J$17,IF(C24=Charge!$N$17,Charge!$J$17,Charge!$J$7))))</f>
        <v>G1</v>
      </c>
      <c r="C24" s="61" t="str">
        <f>VLOOKUP(A24,'1.Loading'!A:R,14,FALSE)</f>
        <v>LCH04</v>
      </c>
      <c r="D24" s="61" t="str">
        <f>VLOOKUP(A24,'1.Loading'!A:R,17,FALSE)</f>
        <v>HASLS22260902371</v>
      </c>
      <c r="E24" s="62" t="str">
        <f>VLOOKUP(D24,'2.Bookinglist'!A:CT,27,FALSE)</f>
        <v>DOUBLE A (1991) PUBLIC COMPANY LIMITED</v>
      </c>
      <c r="F24" s="62" t="str">
        <f>VLOOKUP(D24,'2.Bookinglist'!A:CT,28,FALSE)</f>
        <v>DOUBLE A (1991) PUBLIC COMPANY LIMITED</v>
      </c>
      <c r="G24" s="60">
        <f>VLOOKUP(D24,'2.Bookinglist'!A:E,5,FALSE)</f>
        <v>0</v>
      </c>
      <c r="H24" s="61" t="str">
        <f>VLOOKUP(D24,'2.Bookinglist'!A:CT,15,FALSE)</f>
        <v>THLCH</v>
      </c>
      <c r="I24" s="61" t="str">
        <f>VLOOKUP(D24,'2.Bookinglist'!A:CT,19,FALSE)</f>
        <v>HKHKG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KMTP</v>
      </c>
      <c r="P24" s="61" t="str">
        <f>VLOOKUP(A24,'1.Loading'!A:R,4,FALSE)</f>
        <v>2612N</v>
      </c>
      <c r="Q24" s="61" t="str">
        <f>VLOOKUP(D24,'2.Bookinglist'!A:CT,12,FALSE)</f>
        <v>VTS</v>
      </c>
      <c r="R24" s="60" t="str">
        <f>IF(LEFT(K24,2)="22","20'","40'")</f>
        <v>20'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2026-10-09</v>
      </c>
      <c r="X24" s="63">
        <f>((T24-W24)+1)</f>
        <v>8</v>
      </c>
      <c r="Y24" s="64">
        <f>IF(AND(OR(C24="BKK01",C24="BKK04"),L24="CFS/CY"),0,IF(M24="DG",1,IF(LEFT(C24,3)="LCH",7,IF(C24="BKK02",5,3))))</f>
        <v>7</v>
      </c>
      <c r="Z24" s="63">
        <f>IF(IF(AND(AC24="TML",AB24&gt;0),((T24-W24)+1)-AB24,((T24-W24)+1)-Y24)&gt;0,IF(AND(AC24="TML",AB24&gt;0),((T24-W24)+1)-AB24,((T24-W24)+1)-Y24),0)</f>
        <v>1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125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125</v>
      </c>
      <c r="AJ24" s="188" t="n"/>
      <c r="AK24" s="62" t="str">
        <f>VLOOKUP(D24,'2.Bookinglist'!A:CT,40,FALSE)</f>
        <v>Kanokporn</v>
      </c>
      <c r="AL24" s="60" t="str">
        <f>VLOOKUP(D24,'2.Bookinglist'!A:CW,101,FALSE)</f>
        <v>2026-10-12</v>
      </c>
      <c r="AM24" s="60" t="str">
        <f>VLOOKUP(D24,'2.Bookinglist'!A:BK,63,FALSE)</f>
        <v>LCHY5</v>
      </c>
      <c r="AN24" s="62" t="str">
        <f>VLOOKUP(D24,'2.Bookinglist'!A:AZ,52,FALSE)</f>
        <v>CY-RTN : 06-08/10/2026
REF : PI-HK-TH-DA-26100008
FRT $35, FREE TIME 14/14, DTHC(HKD)2000</v>
      </c>
      <c r="AO24" s="62">
        <f>VLOOKUP(D24,'2.Bookinglist'!A:CY,103,FALSE)</f>
        <v>0</v>
      </c>
    </row>
    <row r="25" ht="12.95" customHeight="1">
      <c r="A25" s="96" t="inlineStr">
        <is>
          <t>SKLU1340584</t>
        </is>
      </c>
      <c r="B25" s="184" t="str">
        <f>IF(C25=Charge!$M$1,Charge!$J$1,IF(C25=Charge!$M$23,Charge!$J$23,IF(C25=Charge!$M$17,Charge!$J$17,IF(C25=Charge!$N$17,Charge!$J$17,Charge!$J$7))))</f>
        <v>G1</v>
      </c>
      <c r="C25" s="61" t="str">
        <f>VLOOKUP(A25,'1.Loading'!A:R,14,FALSE)</f>
        <v>LCH04</v>
      </c>
      <c r="D25" s="61" t="str">
        <f>VLOOKUP(A25,'1.Loading'!A:R,17,FALSE)</f>
        <v>HASLS22261000312</v>
      </c>
      <c r="E25" s="62" t="str">
        <f>VLOOKUP(D25,'2.Bookinglist'!A:CT,27,FALSE)</f>
        <v>AGC VINYTHAI PUBLIC COMPANY LIMITED</v>
      </c>
      <c r="F25" s="62" t="str">
        <f>VLOOKUP(D25,'2.Bookinglist'!A:CT,28,FALSE)</f>
        <v>AGC VINYTHAI PUBLIC COMPANY LIMITED</v>
      </c>
      <c r="G25" s="60">
        <f>VLOOKUP(D25,'2.Bookinglist'!A:E,5,FALSE)</f>
        <v>0</v>
      </c>
      <c r="H25" s="61" t="str">
        <f>VLOOKUP(D25,'2.Bookinglist'!A:CT,15,FALSE)</f>
        <v>THLCH</v>
      </c>
      <c r="I25" s="61" t="str">
        <f>VLOOKUP(D25,'2.Bookinglist'!A:CT,19,FALSE)</f>
        <v>HKHKG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KMTP</v>
      </c>
      <c r="P25" s="61" t="str">
        <f>VLOOKUP(A25,'1.Loading'!A:R,4,FALSE)</f>
        <v>2612N</v>
      </c>
      <c r="Q25" s="61" t="str">
        <f>VLOOKUP(D25,'2.Bookinglist'!A:CT,12,FALSE)</f>
        <v>VTS</v>
      </c>
      <c r="R25" s="60" t="str">
        <f>IF(LEFT(K25,2)="22","20'","40'")</f>
        <v>20'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2026-10-13</v>
      </c>
      <c r="X25" s="63">
        <f>((T25-W25)+1)</f>
        <v>4</v>
      </c>
      <c r="Y25" s="64">
        <f>IF(AND(OR(C25="BKK01",C25="BKK04"),L25="CFS/CY"),0,IF(M25="DG",1,IF(LEFT(C25,3)="LCH",7,IF(C25="BKK02",5,3))))</f>
        <v>7</v>
      </c>
      <c r="Z25" s="63">
        <f>IF(IF(AND(AC25="TML",AB25&gt;0),((T25-W25)+1)-AB25,((T25-W25)+1)-Y25)&gt;0,IF(AND(AC25="TML",AB25&gt;0),((T25-W25)+1)-AB25,((T25-W25)+1)-Y25),0)</f>
        <v>0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0</v>
      </c>
      <c r="AJ25" s="188" t="n"/>
      <c r="AK25" s="62" t="str">
        <f>VLOOKUP(D25,'2.Bookinglist'!A:CT,40,FALSE)</f>
        <v>Nannaapust Sukporntaweewat</v>
      </c>
      <c r="AL25" s="60" t="str">
        <f>VLOOKUP(D25,'2.Bookinglist'!A:CW,101,FALSE)</f>
        <v>2026-10-15</v>
      </c>
      <c r="AM25" s="60" t="str">
        <f>VLOOKUP(D25,'2.Bookinglist'!A:BK,63,FALSE)</f>
        <v>LCHY5</v>
      </c>
      <c r="AN25" s="62" t="str">
        <f>VLOOKUP(D25,'2.Bookinglist'!A:AZ,52,FALSE)</f>
        <v>Pickup : 2026-10-10, Return : 2026-10-11 [1ST RTN 11/10/2026 W/O RENT]
** PLEASE CHECK OPEN GATE BEFORE RETURN CONTAINER ** </v>
      </c>
      <c r="AO25" s="62">
        <f>VLOOKUP(D25,'2.Bookinglist'!A:CY,103,FALSE)</f>
        <v>0</v>
      </c>
    </row>
    <row r="26" ht="12.95" customHeight="1">
      <c r="A26" s="96" t="inlineStr">
        <is>
          <t>SKLU1344208</t>
        </is>
      </c>
      <c r="B26" s="184" t="str">
        <f>IF(C26=Charge!$M$1,Charge!$J$1,IF(C26=Charge!$M$23,Charge!$J$23,IF(C26=Charge!$M$17,Charge!$J$17,IF(C26=Charge!$N$17,Charge!$J$17,Charge!$J$7))))</f>
        <v>G1</v>
      </c>
      <c r="C26" s="61" t="str">
        <f>VLOOKUP(A26,'1.Loading'!A:R,14,FALSE)</f>
        <v>LCH04</v>
      </c>
      <c r="D26" s="61" t="str">
        <f>VLOOKUP(A26,'1.Loading'!A:R,17,FALSE)</f>
        <v>HASLS22260901216</v>
      </c>
      <c r="E26" s="62" t="str">
        <f>VLOOKUP(D26,'2.Bookinglist'!A:CT,27,FALSE)</f>
        <v>THAI POLYCARBONATE CO., LTD.</v>
      </c>
      <c r="F26" s="62" t="str">
        <f>VLOOKUP(D26,'2.Bookinglist'!A:CT,28,FALSE)</f>
        <v>THAI POLYCARBONATE CO., LTD.</v>
      </c>
      <c r="G26" s="60">
        <f>VLOOKUP(D26,'2.Bookinglist'!A:E,5,FALSE)</f>
        <v>0</v>
      </c>
      <c r="H26" s="61" t="str">
        <f>VLOOKUP(D26,'2.Bookinglist'!A:CT,15,FALSE)</f>
        <v>THLCH</v>
      </c>
      <c r="I26" s="61" t="str">
        <f>VLOOKUP(D26,'2.Bookinglist'!A:CT,19,FALSE)</f>
        <v>CNXMN</v>
      </c>
      <c r="J26" s="61">
        <f>VLOOKUP(D26,'2.Bookinglist'!A:CT,26,FALSE)</f>
        <v>0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KMTP</v>
      </c>
      <c r="P26" s="61" t="str">
        <f>VLOOKUP(A26,'1.Loading'!A:R,4,FALSE)</f>
        <v>2612N</v>
      </c>
      <c r="Q26" s="61" t="str">
        <f>VLOOKUP(D26,'2.Bookinglist'!A:CT,12,FALSE)</f>
        <v>VTS</v>
      </c>
      <c r="R26" s="60" t="str">
        <f>IF(LEFT(K26,2)="22","20'","40'")</f>
        <v>20'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2026-10-09</v>
      </c>
      <c r="X26" s="63">
        <f>((T26-W26)+1)</f>
        <v>8</v>
      </c>
      <c r="Y26" s="64">
        <f>IF(AND(OR(C26="BKK01",C26="BKK04"),L26="CFS/CY"),0,IF(M26="DG",1,IF(LEFT(C26,3)="LCH",7,IF(C26="BKK02",5,3))))</f>
        <v>7</v>
      </c>
      <c r="Z26" s="63">
        <f>IF(IF(AND(AC26="TML",AB26&gt;0),((T26-W26)+1)-AB26,((T26-W26)+1)-Y26)&gt;0,IF(AND(AC26="TML",AB26&gt;0),((T26-W26)+1)-AB26,((T26-W26)+1)-Y26),0)</f>
        <v>1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125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125</v>
      </c>
      <c r="AJ26" s="188" t="n"/>
      <c r="AK26" s="62" t="str">
        <f>VLOOKUP(D26,'2.Bookinglist'!A:CT,40,FALSE)</f>
        <v>Vilaiporn</v>
      </c>
      <c r="AL26" s="60" t="str">
        <f>VLOOKUP(D26,'2.Bookinglist'!A:CW,101,FALSE)</f>
        <v>2026-10-15</v>
      </c>
      <c r="AM26" s="60" t="str">
        <f>VLOOKUP(D26,'2.Bookinglist'!A:BK,63,FALSE)</f>
        <v>LCHY5</v>
      </c>
      <c r="AN26" s="62" t="str">
        <f>VLOOKUP(D26,'2.Bookinglist'!A:AZ,52,FALSE)</f>
        <v>Pickup : 2026-10-02, Return : 2026-10-05
**CHECK OPENGATE BEFORE RETURN CNTR**</v>
      </c>
      <c r="AO26" s="62" t="str">
        <f>VLOOKUP(D26,'2.Bookinglist'!A:CY,103,FALSE)</f>
        <v>ROLL OVER FROM PREVIOUS VSL SWSR 2611N BY ALLOCATION TEAM MS.TARN APPROVED COST IS UNDER HAL DD.09/10</v>
      </c>
    </row>
    <row r="27" ht="12.95" customHeight="1">
      <c r="A27" s="96" t="inlineStr">
        <is>
          <t>SKLU1441384</t>
        </is>
      </c>
      <c r="B27" s="184" t="str">
        <f>IF(C27=Charge!$M$1,Charge!$J$1,IF(C27=Charge!$M$23,Charge!$J$23,IF(C27=Charge!$M$17,Charge!$J$17,IF(C27=Charge!$N$17,Charge!$J$17,Charge!$J$7))))</f>
        <v>G1</v>
      </c>
      <c r="C27" s="61" t="str">
        <f>VLOOKUP(A27,'1.Loading'!A:R,14,FALSE)</f>
        <v>LCH04</v>
      </c>
      <c r="D27" s="61" t="str">
        <f>VLOOKUP(A27,'1.Loading'!A:R,17,FALSE)</f>
        <v>HASLS22261000750</v>
      </c>
      <c r="E27" s="62" t="str">
        <f>VLOOKUP(D27,'2.Bookinglist'!A:CT,27,FALSE)</f>
        <v>IRPC PUBLIC COMPANY LIMITED</v>
      </c>
      <c r="F27" s="62" t="str">
        <f>VLOOKUP(D27,'2.Bookinglist'!A:CT,28,FALSE)</f>
        <v>IRPC PUBLIC COMPANY LIMITED</v>
      </c>
      <c r="G27" s="60">
        <f>VLOOKUP(D27,'2.Bookinglist'!A:E,5,FALSE)</f>
        <v>0</v>
      </c>
      <c r="H27" s="61" t="str">
        <f>VLOOKUP(D27,'2.Bookinglist'!A:CT,15,FALSE)</f>
        <v>THLCH</v>
      </c>
      <c r="I27" s="61" t="str">
        <f>VLOOKUP(D27,'2.Bookinglist'!A:CT,19,FALSE)</f>
        <v>HKHKG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KMTP</v>
      </c>
      <c r="P27" s="61" t="str">
        <f>VLOOKUP(A27,'1.Loading'!A:R,4,FALSE)</f>
        <v>2612N</v>
      </c>
      <c r="Q27" s="61" t="str">
        <f>VLOOKUP(D27,'2.Bookinglist'!A:CT,12,FALSE)</f>
        <v>VTS</v>
      </c>
      <c r="R27" s="60" t="str">
        <f>IF(LEFT(K27,2)="22","20'","40'")</f>
        <v>20'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2026-10-13</v>
      </c>
      <c r="X27" s="63">
        <f>((T27-W27)+1)</f>
        <v>4</v>
      </c>
      <c r="Y27" s="64">
        <f>IF(AND(OR(C27="BKK01",C27="BKK04"),L27="CFS/CY"),0,IF(M27="DG",1,IF(LEFT(C27,3)="LCH",7,IF(C27="BKK02",5,3))))</f>
        <v>7</v>
      </c>
      <c r="Z27" s="63">
        <f>IF(IF(AND(AC27="TML",AB27&gt;0),((T27-W27)+1)-AB27,((T27-W27)+1)-Y27)&gt;0,IF(AND(AC27="TML",AB27&gt;0),((T27-W27)+1)-AB27,((T27-W27)+1)-Y27),0)</f>
        <v>0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0</v>
      </c>
      <c r="AJ27" s="188" t="n"/>
      <c r="AK27" s="62" t="str">
        <f>VLOOKUP(D27,'2.Bookinglist'!A:CT,40,FALSE)</f>
        <v>Dharaporn</v>
      </c>
      <c r="AL27" s="60" t="str">
        <f>VLOOKUP(D27,'2.Bookinglist'!A:CW,101,FALSE)</f>
        <v>2026-10-15</v>
      </c>
      <c r="AM27" s="60" t="str">
        <f>VLOOKUP(D27,'2.Bookinglist'!A:BK,63,FALSE)</f>
        <v>LCHY5</v>
      </c>
      <c r="AN27" s="62" t="str">
        <f>VLOOKUP(D27,'2.Bookinglist'!A:AZ,52,FALSE)</f>
        <v>CY-RTN 10-13/10/26 </v>
      </c>
      <c r="AO27" s="62">
        <f>VLOOKUP(D27,'2.Bookinglist'!A:CY,103,FALSE)</f>
        <v>0</v>
      </c>
    </row>
    <row r="28" ht="12.95" customHeight="1">
      <c r="A28" s="96" t="inlineStr">
        <is>
          <t>SKLU1935622</t>
        </is>
      </c>
      <c r="B28" s="184" t="str">
        <f>IF(C28=Charge!$M$1,Charge!$J$1,IF(C28=Charge!$M$23,Charge!$J$23,IF(C28=Charge!$M$17,Charge!$J$17,IF(C28=Charge!$N$17,Charge!$J$17,Charge!$J$7))))</f>
        <v>G1</v>
      </c>
      <c r="C28" s="61" t="str">
        <f>VLOOKUP(A28,'1.Loading'!A:R,14,FALSE)</f>
        <v>LCH04</v>
      </c>
      <c r="D28" s="61" t="str">
        <f>VLOOKUP(A28,'1.Loading'!A:R,17,FALSE)</f>
        <v>HASLS22260802613</v>
      </c>
      <c r="E28" s="62" t="str">
        <f>VLOOKUP(D28,'2.Bookinglist'!A:CT,27,FALSE)</f>
        <v>WHA GC LOGISTICS COMPANY LIMITED</v>
      </c>
      <c r="F28" s="62" t="str">
        <f>VLOOKUP(D28,'2.Bookinglist'!A:CT,28,FALSE)</f>
        <v>PTT GLOBAL CHEMICAL PUBLIC COMPANY LIMITED</v>
      </c>
      <c r="G28" s="60">
        <f>VLOOKUP(D28,'2.Bookinglist'!A:E,5,FALSE)</f>
        <v>0</v>
      </c>
      <c r="H28" s="61" t="str">
        <f>VLOOKUP(D28,'2.Bookinglist'!A:CT,15,FALSE)</f>
        <v>THLCH</v>
      </c>
      <c r="I28" s="61" t="str">
        <f>VLOOKUP(D28,'2.Bookinglist'!A:CT,19,FALSE)</f>
        <v>HKHKG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KMTP</v>
      </c>
      <c r="P28" s="61" t="str">
        <f>VLOOKUP(A28,'1.Loading'!A:R,4,FALSE)</f>
        <v>2612N</v>
      </c>
      <c r="Q28" s="61" t="str">
        <f>VLOOKUP(D28,'2.Bookinglist'!A:CT,12,FALSE)</f>
        <v>VTS</v>
      </c>
      <c r="R28" s="60" t="str">
        <f>IF(LEFT(K28,2)="22","20'","40'")</f>
        <v>20'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2026-10-03</v>
      </c>
      <c r="X28" s="63">
        <f>((T28-W28)+1)</f>
        <v>14</v>
      </c>
      <c r="Y28" s="64">
        <f>IF(AND(OR(C28="BKK01",C28="BKK04"),L28="CFS/CY"),0,IF(M28="DG",1,IF(LEFT(C28,3)="LCH",7,IF(C28="BKK02",5,3))))</f>
        <v>7</v>
      </c>
      <c r="Z28" s="63">
        <f>IF(IF(AND(AC28="TML",AB28&gt;0),((T28-W28)+1)-AB28,((T28-W28)+1)-Y28)&gt;0,IF(AND(AC28="TML",AB28&gt;0),((T28-W28)+1)-AB28,((T28-W28)+1)-Y28),0)</f>
        <v>7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1375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1375</v>
      </c>
      <c r="AJ28" s="188" t="n"/>
      <c r="AK28" s="62" t="str">
        <f>VLOOKUP(D28,'2.Bookinglist'!A:CT,40,FALSE)</f>
        <v>Dharaporn</v>
      </c>
      <c r="AL28" s="60" t="str">
        <f>VLOOKUP(D28,'2.Bookinglist'!A:CW,101,FALSE)</f>
        <v>2026-10-15</v>
      </c>
      <c r="AM28" s="60" t="str">
        <f>VLOOKUP(D28,'2.Bookinglist'!A:BK,63,FALSE)</f>
        <v>LCH28</v>
      </c>
      <c r="AN28" s="62" t="str">
        <f>VLOOKUP(D28,'2.Bookinglist'!A:AZ,52,FALSE)</f>
        <v>CY-RTN 23-25/09/26
*PLS CHECK OPEN GATE BEFORE RETURN CTNR*</v>
      </c>
      <c r="AO28" s="62" t="str">
        <f>VLOOKUP(D28,'2.Bookinglist'!A:CY,103,FALSE)</f>
        <v>ROLL OVER FROM PREVIOUS VSL SWAT 2610N BY ALLOCATION TEAM MS.TARN APPROVED COST IS UNDER HA DD.8/10</v>
      </c>
    </row>
    <row r="29" ht="12.95" customHeight="1">
      <c r="A29" s="96" t="inlineStr">
        <is>
          <t>SKLU2435703</t>
        </is>
      </c>
      <c r="B29" s="184" t="str">
        <f>IF(C29=Charge!$M$1,Charge!$J$1,IF(C29=Charge!$M$23,Charge!$J$23,IF(C29=Charge!$M$17,Charge!$J$17,IF(C29=Charge!$N$17,Charge!$J$17,Charge!$J$7))))</f>
        <v>G1</v>
      </c>
      <c r="C29" s="61" t="str">
        <f>VLOOKUP(A29,'1.Loading'!A:R,14,FALSE)</f>
        <v>LCH04</v>
      </c>
      <c r="D29" s="61" t="str">
        <f>VLOOKUP(A29,'1.Loading'!A:R,17,FALSE)</f>
        <v>HASLS22261000759</v>
      </c>
      <c r="E29" s="62" t="str">
        <f>VLOOKUP(D29,'2.Bookinglist'!A:CT,27,FALSE)</f>
        <v>SIAM I-LOGISTICS LTD.</v>
      </c>
      <c r="F29" s="62" t="str">
        <f>VLOOKUP(D29,'2.Bookinglist'!A:CT,28,FALSE)</f>
        <v>UNION NIFCO CO.,LTD.</v>
      </c>
      <c r="G29" s="60">
        <f>VLOOKUP(D29,'2.Bookinglist'!A:E,5,FALSE)</f>
        <v>0</v>
      </c>
      <c r="H29" s="61" t="str">
        <f>VLOOKUP(D29,'2.Bookinglist'!A:CT,15,FALSE)</f>
        <v>THLCH</v>
      </c>
      <c r="I29" s="61" t="str">
        <f>VLOOKUP(D29,'2.Bookinglist'!A:CT,19,FALSE)</f>
        <v>HKHKG</v>
      </c>
      <c r="J29" s="61">
        <f>VLOOKUP(D29,'2.Bookinglist'!A:CT,26,FALSE)</f>
        <v>0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KMTP</v>
      </c>
      <c r="P29" s="61" t="str">
        <f>VLOOKUP(A29,'1.Loading'!A:R,4,FALSE)</f>
        <v>2612N</v>
      </c>
      <c r="Q29" s="61" t="str">
        <f>VLOOKUP(D29,'2.Bookinglist'!A:CT,12,FALSE)</f>
        <v>VTS</v>
      </c>
      <c r="R29" s="60" t="str">
        <f>IF(LEFT(K29,2)="22","20'","40'")</f>
        <v>20'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2026-10-13</v>
      </c>
      <c r="X29" s="63">
        <f>((T29-W29)+1)</f>
        <v>4</v>
      </c>
      <c r="Y29" s="64">
        <f>IF(AND(OR(C29="BKK01",C29="BKK04"),L29="CFS/CY"),0,IF(M29="DG",1,IF(LEFT(C29,3)="LCH",7,IF(C29="BKK02",5,3))))</f>
        <v>7</v>
      </c>
      <c r="Z29" s="63">
        <f>IF(IF(AND(AC29="TML",AB29&gt;0),((T29-W29)+1)-AB29,((T29-W29)+1)-Y29)&gt;0,IF(AND(AC29="TML",AB29&gt;0),((T29-W29)+1)-AB29,((T29-W29)+1)-Y29),0)</f>
        <v>0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0</v>
      </c>
      <c r="AJ29" s="188" t="n"/>
      <c r="AK29" s="62" t="str">
        <f>VLOOKUP(D29,'2.Bookinglist'!A:CT,40,FALSE)</f>
        <v>Nannaapust Sukporntaweewat</v>
      </c>
      <c r="AL29" s="60" t="str">
        <f>VLOOKUP(D29,'2.Bookinglist'!A:CW,101,FALSE)</f>
        <v>2026-10-15</v>
      </c>
      <c r="AM29" s="60" t="str">
        <f>VLOOKUP(D29,'2.Bookinglist'!A:BK,63,FALSE)</f>
        <v>LCH27</v>
      </c>
      <c r="AN29" s="62" t="str">
        <f>VLOOKUP(D29,'2.Bookinglist'!A:AZ,52,FALSE)</f>
        <v>Pickup : 2026-10-10, Return : 2026-10-12 
 ** PLEASE CHECK OPEN GATE BEFORE RETURN CNTR **
 </v>
      </c>
      <c r="AO29" s="62">
        <f>VLOOKUP(D29,'2.Bookinglist'!A:CY,103,FALSE)</f>
        <v>0</v>
      </c>
    </row>
    <row r="30" ht="12.95" customHeight="1">
      <c r="A30" s="96" t="inlineStr">
        <is>
          <t>SKRU9903460</t>
        </is>
      </c>
      <c r="B30" s="184" t="str">
        <f>IF(C30=Charge!$M$1,Charge!$J$1,IF(C30=Charge!$M$23,Charge!$J$23,IF(C30=Charge!$M$17,Charge!$J$17,IF(C30=Charge!$N$17,Charge!$J$17,Charge!$J$7))))</f>
        <v>G1</v>
      </c>
      <c r="C30" s="61" t="str">
        <f>VLOOKUP(A30,'1.Loading'!A:R,14,FALSE)</f>
        <v>LCH04</v>
      </c>
      <c r="D30" s="61" t="str">
        <f>VLOOKUP(A30,'1.Loading'!A:R,17,FALSE)</f>
        <v>HASLS22261000830</v>
      </c>
      <c r="E30" s="62" t="str">
        <f>VLOOKUP(D30,'2.Bookinglist'!A:CT,27,FALSE)</f>
        <v>POSTMAN (THAILAND) CO.,LTD.</v>
      </c>
      <c r="F30" s="62" t="str">
        <f>VLOOKUP(D30,'2.Bookinglist'!A:CT,28,FALSE)</f>
        <v>POSTMAN (THAILAND) CO.,LTD.</v>
      </c>
      <c r="G30" s="60">
        <f>VLOOKUP(D30,'2.Bookinglist'!A:E,5,FALSE)</f>
        <v>0</v>
      </c>
      <c r="H30" s="61" t="str">
        <f>VLOOKUP(D30,'2.Bookinglist'!A:CT,15,FALSE)</f>
        <v>THLCH</v>
      </c>
      <c r="I30" s="61" t="str">
        <f>VLOOKUP(D30,'2.Bookinglist'!A:CT,19,FALSE)</f>
        <v>HKHKG</v>
      </c>
      <c r="J30" s="61">
        <f>VLOOKUP(D30,'2.Bookinglist'!A:CT,26,FALSE)</f>
        <v>0</v>
      </c>
      <c r="K30" s="61" t="str">
        <f>VLOOKUP(A30,'1.Loading'!A:R,5,FALSE)</f>
        <v>45RE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>RF</v>
      </c>
      <c r="O30" s="61" t="str">
        <f>VLOOKUP(A30,'1.Loading'!A:R,3,FALSE)</f>
        <v>KMTP</v>
      </c>
      <c r="P30" s="61" t="str">
        <f>VLOOKUP(A30,'1.Loading'!A:R,4,FALSE)</f>
        <v>2612N</v>
      </c>
      <c r="Q30" s="61" t="str">
        <f>VLOOKUP(D30,'2.Bookinglist'!A:CT,12,FALSE)</f>
        <v>VTS</v>
      </c>
      <c r="R30" s="60" t="str">
        <f>IF(LEFT(K30,2)="22","20'","40'")</f>
        <v>40'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2026-10-14</v>
      </c>
      <c r="X30" s="63">
        <f>((T30-W30)+1)</f>
        <v>3</v>
      </c>
      <c r="Y30" s="64">
        <f>IF(AND(OR(C30="BKK01",C30="BKK04"),L30="CFS/CY"),0,IF(M30="DG",1,IF(LEFT(C30,3)="LCH",7,IF(C30="BKK02",5,3))))</f>
        <v>7</v>
      </c>
      <c r="Z30" s="63">
        <f>IF(IF(AND(AC30="TML",AB30&gt;0),((T30-W30)+1)-AB30,((T30-W30)+1)-Y30)&gt;0,IF(AND(AC30="TML",AB30&gt;0),((T30-W30)+1)-AB30,((T30-W30)+1)-Y30),0)</f>
        <v>0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184" t="n"/>
      <c r="AC30" s="184" t="n"/>
      <c r="AD30" s="60">
        <f>IF(M30="DG",3,IF(N30="RF",3,5))+IF(AND(LEFT(C30,3)="BKK",N30="RF",Q30="KTS"),1,0)+IF(Q30="KHS",1,0)</f>
        <v>3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0</v>
      </c>
      <c r="AJ30" s="188" t="n"/>
      <c r="AK30" s="62" t="str">
        <f>VLOOKUP(D30,'2.Bookinglist'!A:CT,40,FALSE)</f>
        <v>Pattarapong Saengthong</v>
      </c>
      <c r="AL30" s="60" t="str">
        <f>VLOOKUP(D30,'2.Bookinglist'!A:CW,101,FALSE)</f>
        <v>2026-10-15</v>
      </c>
      <c r="AM30" s="60" t="str">
        <f>VLOOKUP(D30,'2.Bookinglist'!A:BK,63,FALSE)</f>
        <v>LCH27</v>
      </c>
      <c r="AN30" s="62" t="str">
        <f>VLOOKUP(D30,'2.Bookinglist'!A:AZ,52,FALSE)</f>
        <v>Pickup : 2026-10-12, Return : 2026-10-13 RF45REx1 (Temp +2.0 / Vent 10% Open) 
CLS TIME : 15/10/2026 @ 21.00  </v>
      </c>
      <c r="AO30" s="62">
        <f>VLOOKUP(D30,'2.Bookinglist'!A:CY,103,FALSE)</f>
        <v>0</v>
      </c>
    </row>
    <row r="31" ht="12.95" customHeight="1">
      <c r="A31" s="96" t="inlineStr">
        <is>
          <t>SZLU2021833</t>
        </is>
      </c>
      <c r="B31" s="184" t="str">
        <f>IF(C31=Charge!$M$1,Charge!$J$1,IF(C31=Charge!$M$23,Charge!$J$23,IF(C31=Charge!$M$17,Charge!$J$17,IF(C31=Charge!$N$17,Charge!$J$17,Charge!$J$7))))</f>
        <v>G1</v>
      </c>
      <c r="C31" s="61" t="str">
        <f>VLOOKUP(A31,'1.Loading'!A:R,14,FALSE)</f>
        <v>LCH04</v>
      </c>
      <c r="D31" s="61" t="str">
        <f>VLOOKUP(A31,'1.Loading'!A:R,17,FALSE)</f>
        <v>HASLS22261000788</v>
      </c>
      <c r="E31" s="62" t="str">
        <f>VLOOKUP(D31,'2.Bookinglist'!A:CT,27,FALSE)</f>
        <v>AIR WELL TRANSPORTATION CO., LTD.</v>
      </c>
      <c r="F31" s="62" t="str">
        <f>VLOOKUP(D31,'2.Bookinglist'!A:CT,28,FALSE)</f>
        <v>PROWELL INTERNATIONAL EXPRESS CO., LTD.</v>
      </c>
      <c r="G31" s="60">
        <f>VLOOKUP(D31,'2.Bookinglist'!A:E,5,FALSE)</f>
        <v>0</v>
      </c>
      <c r="H31" s="61" t="str">
        <f>VLOOKUP(D31,'2.Bookinglist'!A:CT,15,FALSE)</f>
        <v>THLCH</v>
      </c>
      <c r="I31" s="61" t="str">
        <f>VLOOKUP(D31,'2.Bookinglist'!A:CT,19,FALSE)</f>
        <v>HKHKG</v>
      </c>
      <c r="J31" s="61">
        <f>VLOOKUP(D31,'2.Bookinglist'!A:CT,26,FALSE)</f>
        <v>0</v>
      </c>
      <c r="K31" s="61" t="str">
        <f>VLOOKUP(A31,'1.Loading'!A:R,5,FALSE)</f>
        <v>22RE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>RF</v>
      </c>
      <c r="O31" s="61" t="str">
        <f>VLOOKUP(A31,'1.Loading'!A:R,3,FALSE)</f>
        <v>KMTP</v>
      </c>
      <c r="P31" s="61" t="str">
        <f>VLOOKUP(A31,'1.Loading'!A:R,4,FALSE)</f>
        <v>2612N</v>
      </c>
      <c r="Q31" s="61" t="str">
        <f>VLOOKUP(D31,'2.Bookinglist'!A:CT,12,FALSE)</f>
        <v>VTS</v>
      </c>
      <c r="R31" s="60" t="str">
        <f>IF(LEFT(K31,2)="22","20'","40'")</f>
        <v>20'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2026-10-13</v>
      </c>
      <c r="X31" s="63">
        <f>((T31-W31)+1)</f>
        <v>4</v>
      </c>
      <c r="Y31" s="64">
        <f>IF(AND(OR(C31="BKK01",C31="BKK04"),L31="CFS/CY"),0,IF(M31="DG",1,IF(LEFT(C31,3)="LCH",7,IF(C31="BKK02",5,3))))</f>
        <v>7</v>
      </c>
      <c r="Z31" s="63">
        <f>IF(IF(AND(AC31="TML",AB31&gt;0),((T31-W31)+1)-AB31,((T31-W31)+1)-Y31)&gt;0,IF(AND(AC31="TML",AB31&gt;0),((T31-W31)+1)-AB31,((T31-W31)+1)-Y31),0)</f>
        <v>0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184" t="n"/>
      <c r="AC31" s="184" t="n"/>
      <c r="AD31" s="60">
        <f>IF(M31="DG",3,IF(N31="RF",3,5))+IF(AND(LEFT(C31,3)="BKK",N31="RF",Q31="KTS"),1,0)+IF(Q31="KHS",1,0)</f>
        <v>3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0</v>
      </c>
      <c r="AJ31" s="188" t="n"/>
      <c r="AK31" s="62" t="str">
        <f>VLOOKUP(D31,'2.Bookinglist'!A:CT,40,FALSE)</f>
        <v>Tarn(Supaporn)</v>
      </c>
      <c r="AL31" s="60" t="str">
        <f>VLOOKUP(D31,'2.Bookinglist'!A:CW,101,FALSE)</f>
        <v>2026-10-15</v>
      </c>
      <c r="AM31" s="60" t="str">
        <f>VLOOKUP(D31,'2.Bookinglist'!A:BK,63,FALSE)</f>
        <v>LCH27</v>
      </c>
      <c r="AN31" s="62" t="str">
        <f>VLOOKUP(D31,'2.Bookinglist'!A:AZ,52,FALSE)</f>
        <v>Pickup : 2026-10-09, Return : 2026-10-14 (Temp +10.0 / Vent 30% Open) 
CLS TIME DD.14/10/2026 @ 17.00
ON DECK, REQUEST NEW AND CLEAN CONTAINER CARRIER BRAND (NOT OVER 3 YEAR)</v>
      </c>
      <c r="AO31" s="62">
        <f>VLOOKUP(D31,'2.Bookinglist'!A:CY,103,FALSE)</f>
        <v>0</v>
      </c>
    </row>
    <row r="32" ht="12.95" customHeight="1">
      <c r="A32" s="96" t="inlineStr">
        <is>
          <t>TCNU8405248</t>
        </is>
      </c>
      <c r="B32" s="184" t="str">
        <f>IF(C32=Charge!$M$1,Charge!$J$1,IF(C32=Charge!$M$23,Charge!$J$23,IF(C32=Charge!$M$17,Charge!$J$17,IF(C32=Charge!$N$17,Charge!$J$17,Charge!$J$7))))</f>
        <v>G1</v>
      </c>
      <c r="C32" s="61" t="str">
        <f>VLOOKUP(A32,'1.Loading'!A:R,14,FALSE)</f>
        <v>LCH04</v>
      </c>
      <c r="D32" s="61" t="str">
        <f>VLOOKUP(A32,'1.Loading'!A:R,17,FALSE)</f>
        <v>HASLS22261000791</v>
      </c>
      <c r="E32" s="62" t="str">
        <f>VLOOKUP(D32,'2.Bookinglist'!A:CT,27,FALSE)</f>
        <v>ORIENTAL LOGISTICS GROUP (THAILAND) CO., LTD.</v>
      </c>
      <c r="F32" s="62" t="str">
        <f>VLOOKUP(D32,'2.Bookinglist'!A:CT,28,FALSE)</f>
        <v>ANDAMAN METAL CO., LTD.</v>
      </c>
      <c r="G32" s="60">
        <f>VLOOKUP(D32,'2.Bookinglist'!A:E,5,FALSE)</f>
        <v>0</v>
      </c>
      <c r="H32" s="61" t="str">
        <f>VLOOKUP(D32,'2.Bookinglist'!A:CT,15,FALSE)</f>
        <v>THLCH</v>
      </c>
      <c r="I32" s="61" t="str">
        <f>VLOOKUP(D32,'2.Bookinglist'!A:CT,19,FALSE)</f>
        <v>HKHKG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KMTP</v>
      </c>
      <c r="P32" s="61" t="str">
        <f>VLOOKUP(A32,'1.Loading'!A:R,4,FALSE)</f>
        <v>2612N</v>
      </c>
      <c r="Q32" s="61" t="str">
        <f>VLOOKUP(D32,'2.Bookinglist'!A:CT,12,FALSE)</f>
        <v>VTS</v>
      </c>
      <c r="R32" s="60" t="str">
        <f>IF(LEFT(K32,2)="22","20'","40'")</f>
        <v>40'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2026-10-12</v>
      </c>
      <c r="X32" s="63">
        <f>((T32-W32)+1)</f>
        <v>5</v>
      </c>
      <c r="Y32" s="64">
        <f>IF(AND(OR(C32="BKK01",C32="BKK04"),L32="CFS/CY"),0,IF(M32="DG",1,IF(LEFT(C32,3)="LCH",7,IF(C32="BKK02",5,3))))</f>
        <v>7</v>
      </c>
      <c r="Z32" s="63">
        <f>IF(IF(AND(AC32="TML",AB32&gt;0),((T32-W32)+1)-AB32,((T32-W32)+1)-Y32)&gt;0,IF(AND(AC32="TML",AB32&gt;0),((T32-W32)+1)-AB32,((T32-W32)+1)-Y32),0)</f>
        <v>0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0</v>
      </c>
      <c r="AJ32" s="188" t="n"/>
      <c r="AK32" s="62" t="str">
        <f>VLOOKUP(D32,'2.Bookinglist'!A:CT,40,FALSE)</f>
        <v>Nannaapust Sukporntaweewat</v>
      </c>
      <c r="AL32" s="60" t="str">
        <f>VLOOKUP(D32,'2.Bookinglist'!A:CW,101,FALSE)</f>
        <v>2026-10-15</v>
      </c>
      <c r="AM32" s="60" t="str">
        <f>VLOOKUP(D32,'2.Bookinglist'!A:BK,63,FALSE)</f>
        <v>LCHY5</v>
      </c>
      <c r="AN32" s="62" t="str">
        <f>VLOOKUP(D32,'2.Bookinglist'!A:AZ,52,FALSE)</f>
        <v>Pickup : 2026-10-10, Return : 2026-10-12
**CHECK OPENGATE BEFORE RETURN CNTR**</v>
      </c>
      <c r="AO32" s="62">
        <f>VLOOKUP(D32,'2.Bookinglist'!A:CY,103,FALSE)</f>
        <v>0</v>
      </c>
    </row>
    <row r="33" ht="12.95" customHeight="1">
      <c r="A33" s="96" t="inlineStr">
        <is>
          <t>TGCU2381327</t>
        </is>
      </c>
      <c r="B33" s="184" t="str">
        <f>IF(C33=Charge!$M$1,Charge!$J$1,IF(C33=Charge!$M$23,Charge!$J$23,IF(C33=Charge!$M$17,Charge!$J$17,IF(C33=Charge!$N$17,Charge!$J$17,Charge!$J$7))))</f>
        <v>G1</v>
      </c>
      <c r="C33" s="61" t="str">
        <f>VLOOKUP(A33,'1.Loading'!A:R,14,FALSE)</f>
        <v>LCH04</v>
      </c>
      <c r="D33" s="61" t="str">
        <f>VLOOKUP(A33,'1.Loading'!A:R,17,FALSE)</f>
        <v>HASLS22260802613</v>
      </c>
      <c r="E33" s="62" t="str">
        <f>VLOOKUP(D33,'2.Bookinglist'!A:CT,27,FALSE)</f>
        <v>WHA GC LOGISTICS COMPANY LIMITED</v>
      </c>
      <c r="F33" s="62" t="str">
        <f>VLOOKUP(D33,'2.Bookinglist'!A:CT,28,FALSE)</f>
        <v>PTT GLOBAL CHEMICAL PUBLIC COMPANY LIMITED</v>
      </c>
      <c r="G33" s="60">
        <f>VLOOKUP(D33,'2.Bookinglist'!A:E,5,FALSE)</f>
        <v>0</v>
      </c>
      <c r="H33" s="61" t="str">
        <f>VLOOKUP(D33,'2.Bookinglist'!A:CT,15,FALSE)</f>
        <v>THLCH</v>
      </c>
      <c r="I33" s="61" t="str">
        <f>VLOOKUP(D33,'2.Bookinglist'!A:CT,19,FALSE)</f>
        <v>HKHKG</v>
      </c>
      <c r="J33" s="61">
        <f>VLOOKUP(D33,'2.Bookinglist'!A:CT,26,FALSE)</f>
        <v>0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KMTP</v>
      </c>
      <c r="P33" s="61" t="str">
        <f>VLOOKUP(A33,'1.Loading'!A:R,4,FALSE)</f>
        <v>2612N</v>
      </c>
      <c r="Q33" s="61" t="str">
        <f>VLOOKUP(D33,'2.Bookinglist'!A:CT,12,FALSE)</f>
        <v>VTS</v>
      </c>
      <c r="R33" s="60" t="str">
        <f>IF(LEFT(K33,2)="22","20'","40'")</f>
        <v>20'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2026-10-03</v>
      </c>
      <c r="X33" s="63">
        <f>((T33-W33)+1)</f>
        <v>14</v>
      </c>
      <c r="Y33" s="64">
        <f>IF(AND(OR(C33="BKK01",C33="BKK04"),L33="CFS/CY"),0,IF(M33="DG",1,IF(LEFT(C33,3)="LCH",7,IF(C33="BKK02",5,3))))</f>
        <v>7</v>
      </c>
      <c r="Z33" s="63">
        <f>IF(IF(AND(AC33="TML",AB33&gt;0),((T33-W33)+1)-AB33,((T33-W33)+1)-Y33)&gt;0,IF(AND(AC33="TML",AB33&gt;0),((T33-W33)+1)-AB33,((T33-W33)+1)-Y33),0)</f>
        <v>7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1375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1375</v>
      </c>
      <c r="AJ33" s="188" t="n"/>
      <c r="AK33" s="62" t="str">
        <f>VLOOKUP(D33,'2.Bookinglist'!A:CT,40,FALSE)</f>
        <v>Dharaporn</v>
      </c>
      <c r="AL33" s="60" t="str">
        <f>VLOOKUP(D33,'2.Bookinglist'!A:CW,101,FALSE)</f>
        <v>2026-10-15</v>
      </c>
      <c r="AM33" s="60" t="str">
        <f>VLOOKUP(D33,'2.Bookinglist'!A:BK,63,FALSE)</f>
        <v>LCH28</v>
      </c>
      <c r="AN33" s="62" t="str">
        <f>VLOOKUP(D33,'2.Bookinglist'!A:AZ,52,FALSE)</f>
        <v>CY-RTN 23-25/09/26
*PLS CHECK OPEN GATE BEFORE RETURN CTNR*</v>
      </c>
      <c r="AO33" s="62" t="str">
        <f>VLOOKUP(D33,'2.Bookinglist'!A:CY,103,FALSE)</f>
        <v>ROLL OVER FROM PREVIOUS VSL SWAT 2610N BY ALLOCATION TEAM MS.TARN APPROVED COST IS UNDER HA DD.8/10</v>
      </c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2026-10-16T01:06:48Z</dcterms:modified>
  <cp:lastModifiedBy>office4</cp:lastModifiedBy>
  <cp:lastPrinted>2019-11-19T03:03:39Z</cp:lastPrinted>
</cp:coreProperties>
</file>