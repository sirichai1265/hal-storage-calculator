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<sst xmlns="http://schemas.openxmlformats.org/spreadsheetml/2006/main" count="4943" uniqueCount="855">
  <si>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</si>
  <si>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</si>
  <si>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</si>
  <si>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</si>
  <si>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</si>
  <si>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</si>
  <si>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</si>
  <si>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</si>
  <si>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</si>
  <si>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</si>
  <si>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</si>
  <si>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</si>
  <si>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</si>
  <si>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</si>
  <si>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</si>
  <si>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</si>
  <si>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</si>
  <si>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</si>
  <si>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</si>
  <si>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</si>
  <si>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</si>
  <si>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</si>
  <si>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</si>
  <si>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</si>
  <si>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</si>
  <si>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</si>
  <si>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</si>
  <si>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</si>
  <si>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</si>
  <si>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HALU5680853</t>
  </si>
  <si>
    <t>2026-10-31</t>
  </si>
  <si>
    <t>SWVG</t>
  </si>
  <si>
    <t>2613N</t>
  </si>
  <si>
    <t>45GP</t>
  </si>
  <si>
    <t>SD</t>
  </si>
  <si>
    <t>THBKK</t>
  </si>
  <si>
    <t>HKHKG</t>
  </si>
  <si>
    <t>F</t>
  </si>
  <si>
    <t>OWN</t>
  </si>
  <si>
    <t>VFL</t>
  </si>
  <si>
    <t>BKK01</t>
  </si>
  <si>
    <t>BKK</t>
  </si>
  <si>
    <t>TH</t>
  </si>
  <si>
    <t>HASLS22261001172</t>
  </si>
  <si>
    <t>N</t>
  </si>
  <si>
    <t>PCI</t>
  </si>
  <si>
    <t>SHK15002</t>
  </si>
  <si>
    <t>JP FREIGHT INTERNATIONAL CO.,LTD.</t>
  </si>
  <si>
    <t>VFD</t>
  </si>
  <si>
    <t>COMBINE INTERNATIONAL LOGISTICS</t>
  </si>
  <si>
    <t>HKG03</t>
  </si>
  <si>
    <t>CXDU2377000</t>
  </si>
  <si>
    <t>22GP</t>
  </si>
  <si>
    <t>L/T</t>
  </si>
  <si>
    <t>HASLS22261000154</t>
  </si>
  <si>
    <t>TAO16L01</t>
  </si>
  <si>
    <t>DSV AIR &amp; SEA LTD.</t>
  </si>
  <si>
    <t>DSV AIR &amp; SEA LIMITED</t>
  </si>
  <si>
    <t>HALU5655315</t>
  </si>
  <si>
    <t>CNGLN</t>
  </si>
  <si>
    <t>HASLS22261000761</t>
  </si>
  <si>
    <t>TXG19007</t>
  </si>
  <si>
    <t>T K WAX COMPANY LIMITED</t>
  </si>
  <si>
    <t>TO ORDER</t>
  </si>
  <si>
    <t>ZHUHAI HUAXIA PAINT CO.,LTD.</t>
  </si>
  <si>
    <t>HALU2025122</t>
  </si>
  <si>
    <t>KRPUS</t>
  </si>
  <si>
    <t>HASLS22260901135</t>
  </si>
  <si>
    <t>TXG13016</t>
  </si>
  <si>
    <t>CARGOPORT (THAILAND) LTD.</t>
  </si>
  <si>
    <t>VED</t>
  </si>
  <si>
    <t>GREEN GLOBE LINE CO.,LTD.</t>
  </si>
  <si>
    <t>PUSH4</t>
  </si>
  <si>
    <t>HALU2031233</t>
  </si>
  <si>
    <t>HASLS22261000900</t>
  </si>
  <si>
    <t>TXG14011</t>
  </si>
  <si>
    <t>CHAITIP CO.,LTD.</t>
  </si>
  <si>
    <t>LS RICE (HK) LIMITED.</t>
  </si>
  <si>
    <t>SEGU9955068</t>
  </si>
  <si>
    <t>22RE</t>
  </si>
  <si>
    <t>ONE</t>
  </si>
  <si>
    <t>HASLS22260900966</t>
  </si>
  <si>
    <t>K0120024</t>
  </si>
  <si>
    <t>YOTSIAM CO.,LTD.</t>
  </si>
  <si>
    <t>JOYSPEED HONG KONG LTD.</t>
  </si>
  <si>
    <t>THAI GROCERY TRADING LIMITED.</t>
  </si>
  <si>
    <t>SKLU1656192</t>
  </si>
  <si>
    <t>CNXMN</t>
  </si>
  <si>
    <t>HASLS22260902619</t>
  </si>
  <si>
    <t>K0119048</t>
  </si>
  <si>
    <t>STARPRO SANWA AYUTTHAYA MODIFIED</t>
  </si>
  <si>
    <t>HANGZHOU STARPRO STARCH CO.,LTD.</t>
  </si>
  <si>
    <t>XMN01</t>
  </si>
  <si>
    <t>SKHU9611149</t>
  </si>
  <si>
    <t>HASLS22261000373</t>
  </si>
  <si>
    <t>K0120023</t>
  </si>
  <si>
    <t>YUSEN LOGISTICS (THAILAND) CO.,LTD.</t>
  </si>
  <si>
    <t>YUSEN LOGISTICS (HONG KONG) LTD.</t>
  </si>
  <si>
    <t>SKHU6509220</t>
  </si>
  <si>
    <t>HASLS22261000762</t>
  </si>
  <si>
    <t>DIMERCO EXPRESS (THAILAND) CO.,LTD.</t>
  </si>
  <si>
    <t>DIVERSIFIED FREIGHT SYSTEM LTD.</t>
  </si>
  <si>
    <t>SKHU9323395</t>
  </si>
  <si>
    <t>SKHU6451936</t>
  </si>
  <si>
    <t>RUVVO</t>
  </si>
  <si>
    <t>HASLS22260901735</t>
  </si>
  <si>
    <t>Y</t>
  </si>
  <si>
    <t>I.P. ONE COMPANY LIMITED.</t>
  </si>
  <si>
    <t>ORGANIC LINE CO.,LTD</t>
  </si>
  <si>
    <t>TRADE HOUSE SOLAR ASIA CO.,LTD.</t>
  </si>
  <si>
    <t>VVO01</t>
  </si>
  <si>
    <t>SKHU6424653</t>
  </si>
  <si>
    <t>HASLS22261000109</t>
  </si>
  <si>
    <t>NIPPON EXPRESS LOGISTICS</t>
  </si>
  <si>
    <t>NIPPON EXPRESS (H.K.) CO.,LTD.</t>
  </si>
  <si>
    <t>SKLU1566490</t>
  </si>
  <si>
    <t>CNNAH</t>
  </si>
  <si>
    <t>HASLS22261001877</t>
  </si>
  <si>
    <t>K0120021</t>
  </si>
  <si>
    <t>OLIVER CO.,LTD.</t>
  </si>
  <si>
    <t>FOSHAN DANZAO TRADING CO., LTD</t>
  </si>
  <si>
    <t>SKLU1963413</t>
  </si>
  <si>
    <t>SKLU1340413</t>
  </si>
  <si>
    <t>HASLS22260902195</t>
  </si>
  <si>
    <t>NORITAKE SCG PLASTER CO,.LTD.</t>
  </si>
  <si>
    <t>TOTO(FUJIAN) CO.,LTD</t>
  </si>
  <si>
    <t>SKLU1938940</t>
  </si>
  <si>
    <t>SKLU2011198</t>
  </si>
  <si>
    <t>SKLU0724780</t>
  </si>
  <si>
    <t>SKLU0501262</t>
  </si>
  <si>
    <t>HASLS22261000661</t>
  </si>
  <si>
    <t>KILIN BRAND BISCUITS</t>
  </si>
  <si>
    <t>K&amp;C TRADING LTD</t>
  </si>
  <si>
    <t>DOUBLE OX LIMITED</t>
  </si>
  <si>
    <t>SKLU2355676</t>
  </si>
  <si>
    <t>HASLS22260902400</t>
  </si>
  <si>
    <t>BANGKOK STARCH INDUSTRIAL CO., LTD.</t>
  </si>
  <si>
    <t>WOO SEUNG KOREA</t>
  </si>
  <si>
    <t>SKLU1937179</t>
  </si>
  <si>
    <t>HASLS22261000219</t>
  </si>
  <si>
    <t>UNICORD PUBLIC COMPANY LIMITED</t>
  </si>
  <si>
    <t>OSP CO., LTD.</t>
  </si>
  <si>
    <t>SKLU2015249</t>
  </si>
  <si>
    <t>FCIU6329499</t>
  </si>
  <si>
    <t>HASLS22261001568</t>
  </si>
  <si>
    <t>SIAM TIN FOOD PRODUCTS CO.,LTD.</t>
  </si>
  <si>
    <t>MARS COMPANY HONG KONG LIMITED</t>
  </si>
  <si>
    <t>WORLD-LINK ROADWAY SYSTEM CO.,LTD.</t>
  </si>
  <si>
    <t>SKLU1617679</t>
  </si>
  <si>
    <t>HASLS22261001566</t>
  </si>
  <si>
    <t>VENTE TRADE CO.,LTD.</t>
  </si>
  <si>
    <t>AIDIGO, LLC</t>
  </si>
  <si>
    <t>RUSSIAN TRANSPORT LINES CO., LTD.</t>
  </si>
  <si>
    <t>SKLU2340613</t>
  </si>
  <si>
    <t>HASLS22261000073</t>
  </si>
  <si>
    <t>THAI OTSUKA PHARMACEUTICAL CO.,LTD.</t>
  </si>
  <si>
    <t>LUEN CHEONG HONG LTD.</t>
  </si>
  <si>
    <t>SKLU2100314</t>
  </si>
  <si>
    <t>HASLS22260901716</t>
  </si>
  <si>
    <t>SOUTHEAST ASIAN PACKAGING AND</t>
  </si>
  <si>
    <t>CMT LOGISTICS (HONG KONG) LIMITED</t>
  </si>
  <si>
    <t>PETS GLOBAL HONG KONG LIMITED</t>
  </si>
  <si>
    <t>SKLU0564342</t>
  </si>
  <si>
    <t>HASLS22261000967</t>
  </si>
  <si>
    <t>GTL OCS (THAILAND) CO.,LTD.</t>
  </si>
  <si>
    <t>UNITEX LOGISTICS (ASIA) LTD</t>
  </si>
  <si>
    <t>SKLU0536783</t>
  </si>
  <si>
    <t>SKLU2414320</t>
  </si>
  <si>
    <t>HASLS22261000617</t>
  </si>
  <si>
    <t>J.C.P. PLASTIC CO.,LTD.</t>
  </si>
  <si>
    <t>MELVIN AND CO. LTD.</t>
  </si>
  <si>
    <t>SKLU3501918</t>
  </si>
  <si>
    <t>HASLS22261000627</t>
  </si>
  <si>
    <t>SPACE GLOBAL FORWARDING CO.,LTD</t>
  </si>
  <si>
    <t>POMELO SHOP C ON G/F COCKLOFT STORE</t>
  </si>
  <si>
    <t>SKLU2490104</t>
  </si>
  <si>
    <t>SKLU1536237</t>
  </si>
  <si>
    <t>SKLU1618649</t>
  </si>
  <si>
    <t>SKLU1929419</t>
  </si>
  <si>
    <t>SKLU2328515</t>
  </si>
  <si>
    <t>SKLU0516555</t>
  </si>
  <si>
    <t>SKLU2063252</t>
  </si>
  <si>
    <t>HASLS22261001727</t>
  </si>
  <si>
    <t>WORLDNET EXPRESS CO.,LTD.</t>
  </si>
  <si>
    <t>MILESTONE CARGO INTERNATIONAL</t>
  </si>
  <si>
    <t>SKLU2477397</t>
  </si>
  <si>
    <t>HALU2312415</t>
  </si>
  <si>
    <t>HASLS22261001097</t>
  </si>
  <si>
    <t>C0223001</t>
  </si>
  <si>
    <t>YUSEN LOGISTICS (THAILAND) CO., LTD</t>
  </si>
  <si>
    <t>HALU2310310</t>
  </si>
  <si>
    <t>HASLS22261000072</t>
  </si>
  <si>
    <t>OTSUKA PHARMACEUTICAL (H.K.) LTD.</t>
  </si>
  <si>
    <t>HALU2356434</t>
  </si>
  <si>
    <t>C0123009</t>
  </si>
  <si>
    <t>HALU2500958</t>
  </si>
  <si>
    <t>HASLS22261000927</t>
  </si>
  <si>
    <t>C0325001</t>
  </si>
  <si>
    <t>PACIFIC HEALTHCARE (THAILAND)</t>
  </si>
  <si>
    <t>HEALTHCARE DIVISION O/B</t>
  </si>
  <si>
    <t>HALU2549979</t>
  </si>
  <si>
    <t>C0125002</t>
  </si>
  <si>
    <t>HALU2508060</t>
  </si>
  <si>
    <t>HALU2526274</t>
  </si>
  <si>
    <t>JPSMZ</t>
  </si>
  <si>
    <t>HASLS22260902471</t>
  </si>
  <si>
    <t>BANGKOK STARCH  INDUSTRIAL</t>
  </si>
  <si>
    <t>TO ORDER OF SHIPPER</t>
  </si>
  <si>
    <t>TOKAI   DENPUN</t>
  </si>
  <si>
    <t>SMZ01</t>
  </si>
  <si>
    <t>HALU2568393</t>
  </si>
  <si>
    <t>HASLS22261001990</t>
  </si>
  <si>
    <t>C0325006</t>
  </si>
  <si>
    <t>HALU2571550</t>
  </si>
  <si>
    <t>HASLS22261000074</t>
  </si>
  <si>
    <t>HALU2574225</t>
  </si>
  <si>
    <t>C0225005</t>
  </si>
  <si>
    <t>HALU2400080</t>
  </si>
  <si>
    <t>HASLS22261000075</t>
  </si>
  <si>
    <t>C0124002</t>
  </si>
  <si>
    <t>HALU2468270</t>
  </si>
  <si>
    <t>HASLS22261000424</t>
  </si>
  <si>
    <t>C0424001</t>
  </si>
  <si>
    <t>CHAI SAN SAN TRADING LIMITED</t>
  </si>
  <si>
    <t>HING LUNG ENTERPRISES CO.</t>
  </si>
  <si>
    <t>HLHU8537184</t>
  </si>
  <si>
    <t>C0125003</t>
  </si>
  <si>
    <t>HLHU8572550</t>
  </si>
  <si>
    <t>C0725001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</si>
  <si>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</si>
  <si>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</si>
  <si>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</si>
  <si>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</si>
  <si>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</si>
  <si>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</si>
  <si>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</si>
  <si>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</si>
  <si>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</si>
  <si>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</si>
  <si>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</si>
  <si>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</si>
  <si>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</si>
  <si>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</si>
  <si>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</si>
  <si>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</si>
  <si>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</si>
  <si>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</si>
  <si>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</si>
  <si>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</si>
  <si>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</si>
  <si>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</si>
  <si>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</si>
  <si>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</si>
  <si>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</si>
  <si>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</si>
  <si>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</si>
  <si>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</si>
  <si>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</si>
  <si>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</si>
  <si>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</si>
  <si>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</si>
  <si>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</si>
  <si>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</si>
  <si>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</si>
  <si>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</si>
  <si>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</si>
  <si>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</si>
  <si>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</si>
  <si>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</si>
  <si>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</si>
  <si>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</si>
  <si>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</si>
  <si>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</si>
  <si>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</si>
  <si>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</si>
  <si>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</si>
  <si>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</si>
  <si>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</si>
  <si>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</si>
  <si>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</si>
  <si>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</si>
  <si>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</si>
  <si>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</si>
  <si>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</si>
  <si>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</si>
  <si>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</si>
  <si>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</si>
  <si>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</si>
  <si>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</si>
  <si>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</si>
  <si>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</si>
  <si>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</si>
  <si>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45RE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</si>
  <si>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</si>
  <si>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</si>
  <si>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</si>
  <si>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</si>
  <si>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</si>
  <si>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</si>
  <si>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</si>
  <si>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</si>
  <si>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</si>
  <si>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</si>
  <si>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</si>
  <si>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</si>
  <si>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</si>
  <si>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</si>
  <si>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</si>
  <si>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</si>
  <si>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</si>
  <si>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</si>
  <si>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</si>
  <si>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</si>
  <si>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</si>
  <si>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</si>
  <si>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</si>
  <si>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</si>
  <si>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</si>
  <si>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</si>
  <si>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</si>
  <si>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</si>
  <si>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</si>
  <si>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</si>
  <si>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</si>
  <si>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VTS</t>
  </si>
  <si>
    <t>IA</t>
  </si>
  <si>
    <t>2026-11-04</t>
  </si>
  <si>
    <t>YUSEN LOGISTICS (THAILAND) CO., LTD.</t>
  </si>
  <si>
    <t>OK</t>
  </si>
  <si>
    <t>CON</t>
  </si>
  <si>
    <t>TH0013</t>
  </si>
  <si>
    <t>Papavadee Chiengchin</t>
  </si>
  <si>
    <t>GENERAL CARGO (CONSOL)</t>
  </si>
  <si>
    <t>Normal</t>
  </si>
  <si>
    <t>Pickup : 2026-10-27, Return : 2026-10-27 CONSOL</t>
  </si>
  <si>
    <t>P'KUNG CFM DD 26/10 OWN CONSOL : CY-IN 27/OCTESTIMATE GROSS WEIGHT 30,000</t>
  </si>
  <si>
    <t>P</t>
  </si>
  <si>
    <t>2026-10-26</t>
  </si>
  <si>
    <t>2026-10-27</t>
  </si>
  <si>
    <t>Line</t>
  </si>
  <si>
    <t>S22</t>
  </si>
  <si>
    <t>FULL</t>
  </si>
  <si>
    <t>0 Teu</t>
  </si>
  <si>
    <t>CY/CY</t>
  </si>
  <si>
    <t>chayachon.s@th.yusen-logistics.com</t>
  </si>
  <si>
    <t>202610302359</t>
  </si>
  <si>
    <t>202610272359</t>
  </si>
  <si>
    <t>S19-2207004</t>
  </si>
  <si>
    <t>TH03TL</t>
  </si>
  <si>
    <t>2026-10-29</t>
  </si>
  <si>
    <t>20'x2</t>
  </si>
  <si>
    <t>Barge</t>
  </si>
  <si>
    <t>SS EXCELLENT NETWORK CO.,LTD</t>
  </si>
  <si>
    <t>TH0011</t>
  </si>
  <si>
    <t>Nannaapust Sukporntaweewat</t>
  </si>
  <si>
    <t>RECYCLING MATERIAL FOR COPPER</t>
  </si>
  <si>
    <t>Pickup : 2026-10-24, Return : 2026-10-24</t>
  </si>
  <si>
    <t>FM 4X20'GP</t>
  </si>
  <si>
    <t>2026-10-22</t>
  </si>
  <si>
    <t>2026-10-28</t>
  </si>
  <si>
    <t>COPPER INGOT</t>
  </si>
  <si>
    <t>BKK27</t>
  </si>
  <si>
    <t>2026-10-24</t>
  </si>
  <si>
    <t>Chunchom2541@gmail.com</t>
  </si>
  <si>
    <t>S22-2408003</t>
  </si>
  <si>
    <t>THTVLD</t>
  </si>
  <si>
    <t>WORLDNET EXPRESS CO., LTD.</t>
  </si>
  <si>
    <t>ROFU (THAILAND) LTD.</t>
  </si>
  <si>
    <t>TBKK19</t>
  </si>
  <si>
    <t>Kanokporn</t>
  </si>
  <si>
    <t>SHOES</t>
  </si>
  <si>
    <t>Pickup : 2026-10-22, Return : 2026-10-24 (1ST RTN DD: 24/10/26 WO/RENT)</t>
  </si>
  <si>
    <t xml:space="preserve">SHIPPER CY:ROFU THAILAND1X20DC / 1300 KGS/ SHOESPOD: HONG KONG </t>
  </si>
  <si>
    <t>2026-10-21</t>
  </si>
  <si>
    <t>EXPORT@WORLDNETEXP.COM</t>
  </si>
  <si>
    <t>S19-2107001</t>
  </si>
  <si>
    <t>TH04EU</t>
  </si>
  <si>
    <t>HASLS22261001684</t>
  </si>
  <si>
    <t>20RFx0</t>
  </si>
  <si>
    <t>SPC GLOBAL LOGISTICS CO., LTD.</t>
  </si>
  <si>
    <t>OSOTH INTER LABORATORIES CO.,LTD.</t>
  </si>
  <si>
    <t>PT</t>
  </si>
  <si>
    <t>TBKK13</t>
  </si>
  <si>
    <t>Dharaporn</t>
  </si>
  <si>
    <t>DRUG (NOPAL CAPLET (800 MG/CAPLET))</t>
  </si>
  <si>
    <t>PARTIAL CHILD</t>
  </si>
  <si>
    <t>RF// MIN:+15.0 MAX:+15.0 [COVER:CLOSE]</t>
  </si>
  <si>
    <t xml:space="preserve">22REx1 </t>
  </si>
  <si>
    <t xml:space="preserve">Pickup : 2026-10-24, Return : 2026-10-26 RF22REx1 (Temp +15.0 / Vent Close) 
CLS TIME 26/10/2026 @20.00 </t>
  </si>
  <si>
    <t>PART OF CNTR TO BKG : HASLS22261000927</t>
  </si>
  <si>
    <t>DRUG</t>
  </si>
  <si>
    <t>seaexport@spcgloballogistics.com</t>
  </si>
  <si>
    <t>OSOTH INTER LABORATORIES</t>
  </si>
  <si>
    <t>22RE x0: RF(Temp:+15.0' / Cover:CLOSE)</t>
  </si>
  <si>
    <t>S22-2207012</t>
  </si>
  <si>
    <t>TH03HW</t>
  </si>
  <si>
    <t>GREATEST FREIGHT CO., LTD.</t>
  </si>
  <si>
    <t>SIAM TIN FOOD PRODUCT CO LTD</t>
  </si>
  <si>
    <t>TH0042</t>
  </si>
  <si>
    <t>Sukunpoj Damrongying</t>
  </si>
  <si>
    <t>CANNED COMPLEMENTARY PET FOOD</t>
  </si>
  <si>
    <t>Pickup : 2026-10-21, Return : 2026-10-27</t>
  </si>
  <si>
    <t>2026-10-20</t>
  </si>
  <si>
    <t>CANNED PET FOODS</t>
  </si>
  <si>
    <t>all-gtf@gtf.co.th</t>
  </si>
  <si>
    <t>S22-2410003</t>
  </si>
  <si>
    <t>THTMXA</t>
  </si>
  <si>
    <t>230910</t>
  </si>
  <si>
    <t>2026-11-11</t>
  </si>
  <si>
    <t>RU</t>
  </si>
  <si>
    <t>E0011</t>
  </si>
  <si>
    <t>KIM JEONG HWAN</t>
  </si>
  <si>
    <t>CANNED PINEAPPLE SLICES IN LIGHT SYRUP, NORMAL LID</t>
  </si>
  <si>
    <t xml:space="preserve">[FIX]SWVG/2613N/11/06[FIX] CY-RTN : 22-24/10/2026 
RQST CNTR FOOD GRADE
</t>
  </si>
  <si>
    <t>SI DD.21/10/26</t>
  </si>
  <si>
    <t>C</t>
  </si>
  <si>
    <t>CANNED PINEAPPLE</t>
  </si>
  <si>
    <t>POL: THBKK [SWVG/2613N]; T/S(1st): KRPUS [QDTR/2610N]; POD: RUVVO [/]</t>
  </si>
  <si>
    <t>document1@vente.co.th</t>
  </si>
  <si>
    <t>K01-ITLP</t>
  </si>
  <si>
    <t>THTI5U</t>
  </si>
  <si>
    <t>200820</t>
  </si>
  <si>
    <t>40Hx1</t>
  </si>
  <si>
    <t>JP FREIGHT INTERNATIONAL CO., LTD.</t>
  </si>
  <si>
    <t>SEOYOUNG RECYCLE CO.LTD.</t>
  </si>
  <si>
    <t>TH0031</t>
  </si>
  <si>
    <t>Pattarapong Saengthong</t>
  </si>
  <si>
    <t>PLASTIC TRAY</t>
  </si>
  <si>
    <t>PARTIAL MASTER</t>
  </si>
  <si>
    <t>Pickup : 2026-10-24, Return : 2026-10-26</t>
  </si>
  <si>
    <t>2026-10-15</t>
  </si>
  <si>
    <t>info@jp-freight.com</t>
  </si>
  <si>
    <t>S22-2311016</t>
  </si>
  <si>
    <t>THTOYP</t>
  </si>
  <si>
    <t>PANASONIC MANUFACTURING (THAILAND) CO.,LTD.</t>
  </si>
  <si>
    <t>TBKK55</t>
  </si>
  <si>
    <t>Vilaiporn</t>
  </si>
  <si>
    <t>MAGNETIC RELAY</t>
  </si>
  <si>
    <t xml:space="preserve">STUFFING DD.26/10/2026  @ PAT (SPORTLIGHT TOWER NO.2)
CLS TIME DD.27/10/2026 @ 17.00Hrs. **1ST CFS DD.26/10/2026**</t>
  </si>
  <si>
    <t>CFS/CY</t>
  </si>
  <si>
    <t>jitsupa.j@th.yusen-logistics.com</t>
  </si>
  <si>
    <t>S19-2112038</t>
  </si>
  <si>
    <t>FIVE PAGODAS PHARMACY CO.,LTD</t>
  </si>
  <si>
    <t>PAT TERMINAL 2 (PORT AUTHORITY OF THAILAND) CFS</t>
  </si>
  <si>
    <t>MEDICINAL HERBS</t>
  </si>
  <si>
    <t xml:space="preserve">STUFFING @PAT (SPORT LIGHT TOWER 2) DD.26/10/26 *CLS TIME CFS DD.26/10/26 - 17:00HRS.*
</t>
  </si>
  <si>
    <t>REQ CTNR: GOOD AND CLEANREQ CFS AT ORIGINAL</t>
  </si>
  <si>
    <t>2026-10-14</t>
  </si>
  <si>
    <t>pongpak@gtlocs-thailand.com</t>
  </si>
  <si>
    <t>S22-2403008</t>
  </si>
  <si>
    <t>TH01NT</t>
  </si>
  <si>
    <t>20RFx1</t>
  </si>
  <si>
    <t>PACIFIC HEALTHCARE (THAILAND) CO.,LTD.</t>
  </si>
  <si>
    <t>DRUG (FLUIFORT SYRUP 120ML)</t>
  </si>
  <si>
    <t xml:space="preserve">Pickup : 2026-10-24, Return : 2026-10-26 (Temp +15.0 / Vent Close) 
 CLS TIME 28/10/2026 @17.00 [1ST RTN 26/10 W/O ELECTRIC] 
 </t>
  </si>
  <si>
    <t>PART OF CNTR FM - HASLS22261001684SHIPPER: PACIFIC HEALTHCARE(THAILAND) CO.,LTD.  VOL: 1X20'REFFER    TEMPERATURE SET AT +15.00  CY BKK  24/10/2026  RETRUN  26/10/2026   REQ  GOOD &amp; CLEAN</t>
  </si>
  <si>
    <t>2026-10-12</t>
  </si>
  <si>
    <t>22RE x1: RF(Temp:+15.0' / Cover:CLOSE)</t>
  </si>
  <si>
    <t>20'x8</t>
  </si>
  <si>
    <t>SINSIMON ENTERPRISE CO., LTD.</t>
  </si>
  <si>
    <t>CHAITIP CO., LTD.</t>
  </si>
  <si>
    <t>RICE</t>
  </si>
  <si>
    <t>Pickup : 2026-10-26, Return : 2026-10-27 EXTEND CLS TIME DD.28/11.00HRS</t>
  </si>
  <si>
    <t xml:space="preserve">FREETIME 14/14 DAYS, DTHC $1500/20'
FM BKK27
</t>
  </si>
  <si>
    <t>BKK25</t>
  </si>
  <si>
    <t>ssmbl@ssmenterprise.com</t>
  </si>
  <si>
    <t>S22-2411020</t>
  </si>
  <si>
    <t>BB0143</t>
  </si>
  <si>
    <t>DIMERCO EXPRESS (THAILAND) CO., LTD.</t>
  </si>
  <si>
    <t>CAL-COMP ELECTRONICS (THAILAND) PUBLIC COMPANY LIMITED</t>
  </si>
  <si>
    <t>TBKK28</t>
  </si>
  <si>
    <t>Nustsireerach</t>
  </si>
  <si>
    <t xml:space="preserve"> LASER PRINTER</t>
  </si>
  <si>
    <t xml:space="preserve">Pickup : 2026-10-24, Return : 2026-10-26 *EXTEND CLS TIME : 26/10/2026 @23.59* </t>
  </si>
  <si>
    <t xml:space="preserve">FM SWDN 2611N DD 15/10 
FM SWAT 2611N DD 09/10 
FM SWVG 2613N DD 09/10 
FM SWDN 2611N 15/10</t>
  </si>
  <si>
    <t>2026-10-09</t>
  </si>
  <si>
    <t>LASER PRINTER</t>
  </si>
  <si>
    <t>oe_dimbkk@dimerco.com</t>
  </si>
  <si>
    <t>S19-2307006</t>
  </si>
  <si>
    <t>BB0164</t>
  </si>
  <si>
    <t>40Hx4</t>
  </si>
  <si>
    <t>TSL NIPPON (THAILAND) CO.,LTD.</t>
  </si>
  <si>
    <t>TK WAX COMPANY LIMITED</t>
  </si>
  <si>
    <t>12-HYDROXY-STEARIC-ACID , REGULAR GRADE</t>
  </si>
  <si>
    <t xml:space="preserve">Pickup : 2026-10-26, Return : 2026-10-27
CLS TIME DD.27/10/2026 @23.59</t>
  </si>
  <si>
    <t>GOOD &amp; CLEAN CONTAINER</t>
  </si>
  <si>
    <t>WAX</t>
  </si>
  <si>
    <t>cstslnp@tslbkk.com</t>
  </si>
  <si>
    <t>S19-2004036</t>
  </si>
  <si>
    <t>THTMUN</t>
  </si>
  <si>
    <t>OASIS LOGISTICS CO., LTD.</t>
  </si>
  <si>
    <t>KILIN BRAND BISCUITS CO., LTD.</t>
  </si>
  <si>
    <t>Pickup : 2026-10-26, Return : 2026-10-26</t>
  </si>
  <si>
    <t>2026-10-08</t>
  </si>
  <si>
    <t>BISCUIT</t>
  </si>
  <si>
    <t>cs2@oasis-logistics.com</t>
  </si>
  <si>
    <t>S22-2212010</t>
  </si>
  <si>
    <t>TH04FE</t>
  </si>
  <si>
    <t>190531</t>
  </si>
  <si>
    <t>FOOD STUFF</t>
  </si>
  <si>
    <t xml:space="preserve">Pickup : 2026-10-26, Return : 2026-10-26 CLS TIME DD.27/1200AM 
 </t>
  </si>
  <si>
    <t>RQST CHANGE VSL NAME FROM SWDN 2611N BY HA DD.21/10</t>
  </si>
  <si>
    <t>panithan@sgfforwarding.com</t>
  </si>
  <si>
    <t>S22-2311010</t>
  </si>
  <si>
    <t>THTTZX</t>
  </si>
  <si>
    <t>SUCCESS INTERTRANS SOLUTIONS CO., LTD.</t>
  </si>
  <si>
    <t>J.C.P. PLASTIC CO., LTD.</t>
  </si>
  <si>
    <t>HOUSEHOLD PLASTIC PRODUCTS</t>
  </si>
  <si>
    <t xml:space="preserve">Pickup : 2026-10-22, Return : 2026-10-24 [1ST RTN 24/10/2026 W/O RENT] // FM SWDN 2611N BY HAL DD.21/10
</t>
  </si>
  <si>
    <t xml:space="preserve">SI DD.22/10/26
FM SWDN 2611N BY HAL DD.21/10</t>
  </si>
  <si>
    <t>PLASTIC HOUSEWARE</t>
  </si>
  <si>
    <t>fon.successinter@gmail.com</t>
  </si>
  <si>
    <t>S22-2412042</t>
  </si>
  <si>
    <t>THTNM2</t>
  </si>
  <si>
    <t>POLAR STAR CO., LTD.</t>
  </si>
  <si>
    <t>NOODLE ( THAI FOODSTUFFS AND CONSUMER PRODUCTS )</t>
  </si>
  <si>
    <t xml:space="preserve">STUFFING @PAT (SPORT LIGHT TOWER 2) DD 26/10/26 CLS TIME 26/10 @17.00HRS 
</t>
  </si>
  <si>
    <t>RQST CHANGE VSL SWDN 2611N BY HA DD.21/10CFS / HL</t>
  </si>
  <si>
    <t>2026-10-06</t>
  </si>
  <si>
    <t>NOODLE</t>
  </si>
  <si>
    <t>SAO@POLARSTAR.CO.TH</t>
  </si>
  <si>
    <t>S22-2210039</t>
  </si>
  <si>
    <t>TH00A3</t>
  </si>
  <si>
    <t>THAI NISSHIN TECHNOMIC CO., LTD.</t>
  </si>
  <si>
    <t>PREPARATION MIXED FLOUR POWDER</t>
  </si>
  <si>
    <t>Pickup : 2026-10-22, Return : 2026-10-22 // FM SWDN 2611N BY HALDD.21/10 (1ST RETURN 22/10 W/O RENT)</t>
  </si>
  <si>
    <t xml:space="preserve">FM SWVG 2613N DD 08/10 
FM SWDN 2611N BY HALDD.21/10</t>
  </si>
  <si>
    <t>2026-10-05</t>
  </si>
  <si>
    <t>aranya.p@th.yusen-logistics.com</t>
  </si>
  <si>
    <t>2026-11-08</t>
  </si>
  <si>
    <t>KR</t>
  </si>
  <si>
    <t>INTERCONNECTIVITY SERVICE CO., LTD.</t>
  </si>
  <si>
    <t>CANNED GOODS</t>
  </si>
  <si>
    <t xml:space="preserve">Pickup : 2026-10-24, Return : 2026-10-26
</t>
  </si>
  <si>
    <t xml:space="preserve">FM SWAT 2611N DD 07/10 
FM SWSP 2610N DD 07/10 </t>
  </si>
  <si>
    <t>2026-10-02</t>
  </si>
  <si>
    <t>CS@ICSBKK.COM</t>
  </si>
  <si>
    <t>S22-2510013</t>
  </si>
  <si>
    <t>THTRH7</t>
  </si>
  <si>
    <t>20'x3</t>
  </si>
  <si>
    <t>CHEVRON (THAILAND) LIMITED</t>
  </si>
  <si>
    <t>LUBE OIL &amp; GREASE</t>
  </si>
  <si>
    <t>Pickup : 2026-10-19, Return : 2026-10-21 (EXTEND CLOSING DD.21/10/26 @15.00)</t>
  </si>
  <si>
    <t>ROLL OVER FROM PREVIOUS VSL CMA 2615N BY ALLOCATION TEAM MS.TARN APPROVED COST IS UNDER HA DD.21/10</t>
  </si>
  <si>
    <t>LUBE OIL</t>
  </si>
  <si>
    <t>2026-10-19</t>
  </si>
  <si>
    <t>wilawan.prasanpim@dbschenker.com</t>
  </si>
  <si>
    <t>S22-2408032</t>
  </si>
  <si>
    <t>TH016T</t>
  </si>
  <si>
    <t>20'x1 40Hx1</t>
  </si>
  <si>
    <t>NIPPON EXPRESS LOGISTICS (THAILAND) CO., LTD.</t>
  </si>
  <si>
    <t>TOYO SEIKAN (THAILAND) CO., LTD.</t>
  </si>
  <si>
    <t>DYDO BLEND</t>
  </si>
  <si>
    <t xml:space="preserve">Pickup : 2026-10-24, Return : 2026-10-26  CLS TIME DD.26/2359HRS
 </t>
  </si>
  <si>
    <t>VARISIKA.TONGLOB@NIPPONEXPRESS.COM</t>
  </si>
  <si>
    <t>S19-2308033</t>
  </si>
  <si>
    <t>THTQV3</t>
  </si>
  <si>
    <t>SONIC INTERFREIGHT PUBLIC COMPANY LIMITED</t>
  </si>
  <si>
    <t>THAI OTSUKA PHARMACEUTICAL CO., LTD.</t>
  </si>
  <si>
    <t>MEDICAL (PARENTERAL SOLUTIONS)</t>
  </si>
  <si>
    <t>Pickup : 2026-10-22, Return : 2026-10-24</t>
  </si>
  <si>
    <t>FM SWDN 2611N 17/10SHPR. THAI OTSUKACY-RTN : 22-24/10GOOD &amp; CLEAN CONT. , NO SMELL</t>
  </si>
  <si>
    <t>2026-10-01</t>
  </si>
  <si>
    <t>MEDICAL</t>
  </si>
  <si>
    <t>sirikul.t@sonic.co.th</t>
  </si>
  <si>
    <t>S22-2308022</t>
  </si>
  <si>
    <t>BB0481</t>
  </si>
  <si>
    <t>20'x4</t>
  </si>
  <si>
    <t>2026-11-05</t>
  </si>
  <si>
    <t>MARCH LOGISTICS CO., LTD.</t>
  </si>
  <si>
    <t>STARPRO SANWA AYUTTHAYA MODIFIED STARCH CO., LTD.</t>
  </si>
  <si>
    <t>MODIFIED STARCH</t>
  </si>
  <si>
    <t xml:space="preserve">Pickup : 2026-10-24, Return : 2026-10-26 </t>
  </si>
  <si>
    <t>FM SWSR 2612N BY HAL DD.08/10/2026 (DUE TO VSL PHASE OUT)</t>
  </si>
  <si>
    <t>2026-09-29</t>
  </si>
  <si>
    <t>STARCH</t>
  </si>
  <si>
    <t>operation@march.co.th</t>
  </si>
  <si>
    <t>S19-2308049</t>
  </si>
  <si>
    <t>THTIS8</t>
  </si>
  <si>
    <t>2026-11-14</t>
  </si>
  <si>
    <t>JP</t>
  </si>
  <si>
    <t>MODIFIED TAPIOCA  STARCH (TS-207) (ALPHA CROSS-LINKED TAPIOCA  STARCH)</t>
  </si>
  <si>
    <t>Pickup : 2026-10-24, Return : 2026-10-26 (EXTEND CLOSING DD.26/10/26 @23.59)</t>
  </si>
  <si>
    <t xml:space="preserve">FM SWSP 2610N 14/10
FM BKK27</t>
  </si>
  <si>
    <t>2026-09-26</t>
  </si>
  <si>
    <t xml:space="preserve">STARCH </t>
  </si>
  <si>
    <t>POL: THBKK [SWVG/2613N]; T/S(1st): KRPUS [PCSS/2637E]; POD: JPSMZ [/]</t>
  </si>
  <si>
    <t>logistic_export@bkkstarch.com</t>
  </si>
  <si>
    <t>S19-2112022</t>
  </si>
  <si>
    <t>BB0406</t>
  </si>
  <si>
    <t>350510</t>
  </si>
  <si>
    <t>HYDROXYPROPYL  STARCH    (FOOD  GRADE)</t>
  </si>
  <si>
    <t xml:space="preserve">FM SWSR 2612N BY HAL DD.08/10/2026 (DUE TO VSL PHASE OUT)
FM BKK27</t>
  </si>
  <si>
    <t>2026-09-25</t>
  </si>
  <si>
    <t>CSS LOGISTICS (THAILAND) CO., LTD.</t>
  </si>
  <si>
    <t>NORITAKE SCG PLASTER CO., LTD.</t>
  </si>
  <si>
    <t>MOULDING PLASTER</t>
  </si>
  <si>
    <t xml:space="preserve">Pickup : 2026-10-26, Return : 2026-10-26
CLS TIME DD.27/10/2026 @ 12.00</t>
  </si>
  <si>
    <t>2026-09-23</t>
  </si>
  <si>
    <t>PLASTER</t>
  </si>
  <si>
    <t>cs4@csslogistics.co.th</t>
  </si>
  <si>
    <t>S22-2212028</t>
  </si>
  <si>
    <t>THTIAM</t>
  </si>
  <si>
    <t>I.P. ONE COMPANY LIMITED</t>
  </si>
  <si>
    <t>HOUSEHOLD CHEMICALS</t>
  </si>
  <si>
    <t xml:space="preserve">[FIX]SWVG/2613N/11/07[FIX] CY-RTN : 28-29/10/2026
Booking No.18715
RQST CNTR GRADE A
</t>
  </si>
  <si>
    <t xml:space="preserve">RQST CHANGE VSL NAME FROM DJCF 0153N BY HA DD.26/10
S/R DD.23/09/2026</t>
  </si>
  <si>
    <t>2026-09-18</t>
  </si>
  <si>
    <t>HYGIENE SOFTENER CONCENTRATE</t>
  </si>
  <si>
    <t>pharada.w@ip-one.com;nannapat.w@ip-one.com;benchamat.p@ip-one.com;wirachat.r@ip-one.com</t>
  </si>
  <si>
    <t>THTU1M</t>
  </si>
  <si>
    <t>380991</t>
  </si>
  <si>
    <t>EVERGREEN LOGISTICS (THAILAND) CO., LTD.</t>
  </si>
  <si>
    <t>SOUTHEAST ASIAN PACKAGING AND CANNING LIMITED</t>
  </si>
  <si>
    <t xml:space="preserve">Pickup : 2026-10-22, Return : 2026-10-23 </t>
  </si>
  <si>
    <t>RQST CHANGE VSL NAME FROM SWAT 2611N BY HA DD.21/10</t>
  </si>
  <si>
    <t>ravee@th.evergreen-logistics.com</t>
  </si>
  <si>
    <t>S22-2607001</t>
  </si>
  <si>
    <t>TH01G9</t>
  </si>
  <si>
    <t xml:space="preserve">CY-RTN :26-27/10/20206 (CONSOL)
</t>
  </si>
  <si>
    <t>FM KMBK 2612N DD.21/10/26</t>
  </si>
  <si>
    <t>2026-09-14</t>
  </si>
  <si>
    <t>'Paninthorn@th.cpworldgroup.com'</t>
  </si>
  <si>
    <t>S22-2501030</t>
  </si>
  <si>
    <t>TH03A8</t>
  </si>
  <si>
    <t>YOTSIAM CO., LTD.</t>
  </si>
  <si>
    <t>TBKK47</t>
  </si>
  <si>
    <t>Tarn(Supaporn)</t>
  </si>
  <si>
    <t>GROCERY  ITEM(LEMONGLASS,FRESH LIME,COOKING ITEM)</t>
  </si>
  <si>
    <t>RF// MIN:+2.0 MAX:+2.0 [COVER:10% OPEN]</t>
  </si>
  <si>
    <t xml:space="preserve">Pickup : 2026-10-22, Return : 2026-10-24 (Temp +2.0 / Vent 10% Open)
 CLS TIME 26/10 @18.00 [1ST RTN 25/10 W/O ELECTRIC] 
3 SHPR LOAD 1 CNEE S/YOTSIAM CO.,LTD.  S/AMLINE SERVICES CO.,LTD  S/NITTAYA THAI CURRY</t>
  </si>
  <si>
    <t>RQST CLEAN N GOOD CONT2 SHPR LOAD 1 CNEE S/YOTSIAM CO.,LTD.  S/AMLINE SERVICES CO.,LTD.TEMP +2C VENT 10%</t>
  </si>
  <si>
    <t>2026-09-11</t>
  </si>
  <si>
    <t>tanayot199@hotmail.com</t>
  </si>
  <si>
    <t>22RE x1: RF(Temp:+2.0' / Cover:10% OPEN)</t>
  </si>
  <si>
    <t>S19-2112006</t>
  </si>
  <si>
    <t>THTRPQ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</si>
  <si>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</si>
  <si>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</si>
  <si>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</si>
  <si>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</si>
  <si>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</si>
  <si>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</si>
  <si>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</si>
  <si>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</si>
  <si>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</si>
  <si>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</si>
  <si>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</si>
  <si>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</si>
  <si>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</si>
  <si>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</si>
  <si>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</si>
  <si>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</si>
  <si>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</si>
  <si>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</si>
  <si>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</si>
  <si>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</si>
  <si>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</si>
  <si>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</si>
  <si>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</si>
  <si>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</si>
  <si>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</si>
  <si>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</si>
  <si>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</si>
  <si>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</si>
  <si>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</si>
  <si>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1420</t>
  </si>
  <si>
    <t>Chuanchuen</t>
  </si>
  <si>
    <t>Full</t>
  </si>
  <si>
    <t xml:space="preserve">20'x3 </t>
  </si>
  <si>
    <t>2015</t>
  </si>
  <si>
    <t>2026-10-30</t>
  </si>
  <si>
    <t>1539</t>
  </si>
  <si>
    <t>TBKK07</t>
  </si>
  <si>
    <t>2026-10-25</t>
  </si>
  <si>
    <t>0916</t>
  </si>
  <si>
    <t>Sirichai Prayochananon</t>
  </si>
  <si>
    <t xml:space="preserve">20'x1 </t>
  </si>
  <si>
    <t>2018</t>
  </si>
  <si>
    <t>2007</t>
  </si>
  <si>
    <t>TBKK42</t>
  </si>
  <si>
    <t>IFW</t>
  </si>
  <si>
    <t>1904</t>
  </si>
  <si>
    <t>2013</t>
  </si>
  <si>
    <t>1103</t>
  </si>
  <si>
    <t>2122</t>
  </si>
  <si>
    <t xml:space="preserve">20'x8 </t>
  </si>
  <si>
    <t>2014</t>
  </si>
  <si>
    <t>1039</t>
  </si>
  <si>
    <t>2026-10-23</t>
  </si>
  <si>
    <t>1251</t>
  </si>
  <si>
    <t>2023</t>
  </si>
  <si>
    <t>1310</t>
  </si>
  <si>
    <t>1100</t>
  </si>
  <si>
    <t>HAL404712</t>
  </si>
  <si>
    <t>Chotika</t>
  </si>
  <si>
    <t>1148</t>
  </si>
  <si>
    <t>TBKK06</t>
  </si>
  <si>
    <t>2149</t>
  </si>
  <si>
    <t xml:space="preserve">20'x4 </t>
  </si>
  <si>
    <t>1819</t>
  </si>
  <si>
    <t>2024</t>
  </si>
  <si>
    <t>HAL404714</t>
  </si>
  <si>
    <t>1447</t>
  </si>
  <si>
    <t xml:space="preserve">20RFx1 </t>
  </si>
  <si>
    <t>2025</t>
  </si>
  <si>
    <t>DAIKIN</t>
  </si>
  <si>
    <t>LX10F11B4A(Zestia)</t>
  </si>
  <si>
    <t>1030</t>
  </si>
  <si>
    <t>2235</t>
  </si>
  <si>
    <t>1248</t>
  </si>
  <si>
    <t xml:space="preserve">20'x2 </t>
  </si>
  <si>
    <t>1958</t>
  </si>
  <si>
    <t>1736</t>
  </si>
  <si>
    <t>2028</t>
  </si>
  <si>
    <t>1701</t>
  </si>
  <si>
    <t>1647</t>
  </si>
  <si>
    <t xml:space="preserve">40Hx4 </t>
  </si>
  <si>
    <t>1207</t>
  </si>
  <si>
    <t xml:space="preserve">40Hx1 </t>
  </si>
  <si>
    <t>1259</t>
  </si>
  <si>
    <t>1301</t>
  </si>
  <si>
    <t>1352</t>
  </si>
  <si>
    <t>2020</t>
  </si>
  <si>
    <t>CARRIER</t>
  </si>
  <si>
    <t>69NT40-561 PrimeLINE (MGSS)</t>
  </si>
  <si>
    <t>2143</t>
  </si>
  <si>
    <t>1047</t>
  </si>
  <si>
    <t>1521</t>
  </si>
  <si>
    <t>1645</t>
  </si>
  <si>
    <t>2223</t>
  </si>
  <si>
    <t>2016</t>
  </si>
  <si>
    <t>1410</t>
  </si>
  <si>
    <t>0537</t>
  </si>
  <si>
    <t>HAL404713</t>
  </si>
  <si>
    <t>1448</t>
  </si>
  <si>
    <t>2130</t>
  </si>
  <si>
    <t>2350</t>
  </si>
  <si>
    <t>1445</t>
  </si>
  <si>
    <t>0157</t>
  </si>
  <si>
    <t>2220</t>
  </si>
  <si>
    <t>1325</t>
  </si>
  <si>
    <t>2019</t>
  </si>
  <si>
    <t>2132</t>
  </si>
  <si>
    <t>1028</t>
  </si>
  <si>
    <t>2329</t>
  </si>
  <si>
    <t>1405</t>
  </si>
  <si>
    <t>1926</t>
  </si>
  <si>
    <t>0032</t>
  </si>
  <si>
    <t>2021</t>
  </si>
  <si>
    <t>2345</t>
  </si>
  <si>
    <t>1751</t>
  </si>
  <si>
    <t>1123</t>
  </si>
  <si>
    <t>2327</t>
  </si>
  <si>
    <t>0538</t>
  </si>
  <si>
    <t>1252</t>
  </si>
  <si>
    <t>BKK04</t>
  </si>
  <si>
    <t>0955</t>
  </si>
  <si>
    <t xml:space="preserve">40Hx1 20'x1 </t>
  </si>
  <si>
    <t>1038</t>
  </si>
  <si>
    <t>1109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</si>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</sst>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164" fontId="2" fillId="5" borderId="1" xfId="0" applyNumberFormat="1" applyFont="1" applyFill="1" applyBorder="1" applyAlignment="1">
      <alignment horizontal="left" vertical="center" readingOrder="1"/>
    </xf>
    <xf numFmtId="166" fontId="2" fillId="5" borderId="1" xfId="0" applyNumberFormat="1" applyFont="1" applyFill="1" applyBorder="1" applyAlignment="1">
      <alignment horizontal="left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0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7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15" fillId="8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readingOrder="1"/>
    </xf>
    <xf numFmtId="49" fontId="16" fillId="3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4" fillId="9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49" fontId="15" fillId="9" borderId="4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8" fontId="4" fillId="2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49" fontId="6" fillId="8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6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169" fontId="14" fillId="2" borderId="4" xfId="0" applyNumberFormat="1" applyFont="1" applyFill="1" applyBorder="1" applyAlignment="1">
      <alignment horizontal="center" vertical="center"/>
    </xf>
    <xf numFmtId="169" fontId="6" fillId="2" borderId="4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8" fillId="9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1" fontId="18" fillId="11" borderId="0" xfId="0" applyNumberFormat="1" applyFont="1" applyFill="1"/>
    <xf numFmtId="1" fontId="18" fillId="10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9" borderId="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9" borderId="0" xfId="0" applyNumberFormat="1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1" fontId="22" fillId="9" borderId="2" xfId="0" applyNumberFormat="1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49</v>
      </c>
      <c r="AA2" s="5">
        <v>21450</v>
      </c>
      <c r="AB2" s="3" t="s">
        <v>40</v>
      </c>
      <c r="AC2" s="3" t="s">
        <v>50</v>
      </c>
    </row>
    <row r="3" ht="12" customHeight="1" spans="1:29" x14ac:dyDescent="0.25">
      <c r="A3" s="3" t="s">
        <v>51</v>
      </c>
      <c r="B3" s="4" t="s">
        <v>30</v>
      </c>
      <c r="C3" s="3" t="s">
        <v>31</v>
      </c>
      <c r="D3" s="3" t="s">
        <v>32</v>
      </c>
      <c r="E3" s="3" t="s">
        <v>52</v>
      </c>
      <c r="F3" s="3" t="s">
        <v>34</v>
      </c>
      <c r="G3" s="3" t="s">
        <v>35</v>
      </c>
      <c r="H3" s="3" t="s">
        <v>35</v>
      </c>
      <c r="I3" s="3" t="s">
        <v>36</v>
      </c>
      <c r="J3" s="3" t="s">
        <v>36</v>
      </c>
      <c r="K3" s="3" t="s">
        <v>37</v>
      </c>
      <c r="L3" s="3" t="s">
        <v>53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54</v>
      </c>
      <c r="R3" s="3" t="s">
        <v>44</v>
      </c>
      <c r="S3" s="3" t="s">
        <v>44</v>
      </c>
      <c r="T3" s="3" t="s">
        <v>45</v>
      </c>
      <c r="U3" s="5"/>
      <c r="V3" s="3" t="s">
        <v>55</v>
      </c>
      <c r="W3" s="3" t="s">
        <v>56</v>
      </c>
      <c r="X3" s="3" t="s">
        <v>48</v>
      </c>
      <c r="Y3" s="3" t="s">
        <v>57</v>
      </c>
      <c r="Z3" s="3" t="s">
        <v>57</v>
      </c>
      <c r="AA3" s="5">
        <v>15210.4</v>
      </c>
      <c r="AB3" s="3" t="s">
        <v>40</v>
      </c>
      <c r="AC3" s="3" t="s">
        <v>50</v>
      </c>
    </row>
    <row r="4" ht="12" customHeight="1" spans="1:29" x14ac:dyDescent="0.25">
      <c r="A4" s="3" t="s">
        <v>58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36</v>
      </c>
      <c r="J4" s="3" t="s">
        <v>59</v>
      </c>
      <c r="K4" s="3" t="s">
        <v>37</v>
      </c>
      <c r="L4" s="3" t="s">
        <v>53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60</v>
      </c>
      <c r="R4" s="3" t="s">
        <v>44</v>
      </c>
      <c r="S4" s="3" t="s">
        <v>44</v>
      </c>
      <c r="T4" s="3" t="s">
        <v>45</v>
      </c>
      <c r="U4" s="5"/>
      <c r="V4" s="3" t="s">
        <v>61</v>
      </c>
      <c r="W4" s="3" t="s">
        <v>62</v>
      </c>
      <c r="X4" s="3" t="s">
        <v>48</v>
      </c>
      <c r="Y4" s="3" t="s">
        <v>63</v>
      </c>
      <c r="Z4" s="3" t="s">
        <v>64</v>
      </c>
      <c r="AA4" s="5">
        <v>21900</v>
      </c>
      <c r="AB4" s="3" t="s">
        <v>40</v>
      </c>
      <c r="AC4" s="3" t="s">
        <v>50</v>
      </c>
    </row>
    <row r="5" ht="12" customHeight="1" spans="1:29" x14ac:dyDescent="0.25">
      <c r="A5" s="3" t="s">
        <v>65</v>
      </c>
      <c r="B5" s="4" t="s">
        <v>30</v>
      </c>
      <c r="C5" s="3" t="s">
        <v>31</v>
      </c>
      <c r="D5" s="3" t="s">
        <v>32</v>
      </c>
      <c r="E5" s="3" t="s">
        <v>52</v>
      </c>
      <c r="F5" s="3" t="s">
        <v>34</v>
      </c>
      <c r="G5" s="3" t="s">
        <v>35</v>
      </c>
      <c r="H5" s="3" t="s">
        <v>35</v>
      </c>
      <c r="I5" s="3" t="s">
        <v>66</v>
      </c>
      <c r="J5" s="3" t="s">
        <v>66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67</v>
      </c>
      <c r="R5" s="3" t="s">
        <v>44</v>
      </c>
      <c r="S5" s="3" t="s">
        <v>44</v>
      </c>
      <c r="T5" s="3" t="s">
        <v>45</v>
      </c>
      <c r="U5" s="5"/>
      <c r="V5" s="3" t="s">
        <v>68</v>
      </c>
      <c r="W5" s="3" t="s">
        <v>69</v>
      </c>
      <c r="X5" s="3" t="s">
        <v>70</v>
      </c>
      <c r="Y5" s="3" t="s">
        <v>71</v>
      </c>
      <c r="Z5" s="3" t="s">
        <v>71</v>
      </c>
      <c r="AA5" s="5">
        <v>5713.3</v>
      </c>
      <c r="AB5" s="3" t="s">
        <v>40</v>
      </c>
      <c r="AC5" s="3" t="s">
        <v>72</v>
      </c>
    </row>
    <row r="6" ht="12" customHeight="1" spans="1:29" x14ac:dyDescent="0.25">
      <c r="A6" s="3" t="s">
        <v>73</v>
      </c>
      <c r="B6" s="4" t="s">
        <v>30</v>
      </c>
      <c r="C6" s="3" t="s">
        <v>31</v>
      </c>
      <c r="D6" s="3" t="s">
        <v>32</v>
      </c>
      <c r="E6" s="3" t="s">
        <v>52</v>
      </c>
      <c r="F6" s="3" t="s">
        <v>34</v>
      </c>
      <c r="G6" s="3" t="s">
        <v>35</v>
      </c>
      <c r="H6" s="3" t="s">
        <v>35</v>
      </c>
      <c r="I6" s="3" t="s">
        <v>36</v>
      </c>
      <c r="J6" s="3" t="s">
        <v>36</v>
      </c>
      <c r="K6" s="3" t="s">
        <v>37</v>
      </c>
      <c r="L6" s="3" t="s">
        <v>38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74</v>
      </c>
      <c r="R6" s="3" t="s">
        <v>44</v>
      </c>
      <c r="S6" s="3" t="s">
        <v>44</v>
      </c>
      <c r="T6" s="3" t="s">
        <v>45</v>
      </c>
      <c r="U6" s="5"/>
      <c r="V6" s="3" t="s">
        <v>75</v>
      </c>
      <c r="W6" s="3" t="s">
        <v>76</v>
      </c>
      <c r="X6" s="3" t="s">
        <v>48</v>
      </c>
      <c r="Y6" s="3" t="s">
        <v>77</v>
      </c>
      <c r="Z6" s="3" t="s">
        <v>77</v>
      </c>
      <c r="AA6" s="5">
        <v>25100</v>
      </c>
      <c r="AB6" s="3" t="s">
        <v>40</v>
      </c>
      <c r="AC6" s="3" t="s">
        <v>50</v>
      </c>
    </row>
    <row r="7" ht="12" customHeight="1" spans="1:29" x14ac:dyDescent="0.25">
      <c r="A7" s="3" t="s">
        <v>78</v>
      </c>
      <c r="B7" s="4" t="s">
        <v>30</v>
      </c>
      <c r="C7" s="3" t="s">
        <v>31</v>
      </c>
      <c r="D7" s="3" t="s">
        <v>32</v>
      </c>
      <c r="E7" s="3" t="s">
        <v>79</v>
      </c>
      <c r="F7" s="3" t="s">
        <v>34</v>
      </c>
      <c r="G7" s="3" t="s">
        <v>35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80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81</v>
      </c>
      <c r="R7" s="3" t="s">
        <v>44</v>
      </c>
      <c r="S7" s="3" t="s">
        <v>44</v>
      </c>
      <c r="T7" s="3" t="s">
        <v>45</v>
      </c>
      <c r="U7" s="5"/>
      <c r="V7" s="3" t="s">
        <v>82</v>
      </c>
      <c r="W7" s="3" t="s">
        <v>83</v>
      </c>
      <c r="X7" s="3" t="s">
        <v>48</v>
      </c>
      <c r="Y7" s="3" t="s">
        <v>84</v>
      </c>
      <c r="Z7" s="3" t="s">
        <v>85</v>
      </c>
      <c r="AA7" s="5">
        <v>11707</v>
      </c>
      <c r="AB7" s="3" t="s">
        <v>40</v>
      </c>
      <c r="AC7" s="3" t="s">
        <v>50</v>
      </c>
    </row>
    <row r="8" ht="12" customHeight="1" spans="1:29" x14ac:dyDescent="0.25">
      <c r="A8" s="3" t="s">
        <v>86</v>
      </c>
      <c r="B8" s="4" t="s">
        <v>30</v>
      </c>
      <c r="C8" s="3" t="s">
        <v>31</v>
      </c>
      <c r="D8" s="3" t="s">
        <v>32</v>
      </c>
      <c r="E8" s="3" t="s">
        <v>52</v>
      </c>
      <c r="F8" s="3" t="s">
        <v>34</v>
      </c>
      <c r="G8" s="3" t="s">
        <v>35</v>
      </c>
      <c r="H8" s="3" t="s">
        <v>35</v>
      </c>
      <c r="I8" s="3" t="s">
        <v>87</v>
      </c>
      <c r="J8" s="3" t="s">
        <v>87</v>
      </c>
      <c r="K8" s="3" t="s">
        <v>37</v>
      </c>
      <c r="L8" s="3" t="s">
        <v>80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88</v>
      </c>
      <c r="R8" s="3" t="s">
        <v>44</v>
      </c>
      <c r="S8" s="3" t="s">
        <v>44</v>
      </c>
      <c r="T8" s="3" t="s">
        <v>45</v>
      </c>
      <c r="U8" s="5"/>
      <c r="V8" s="3" t="s">
        <v>89</v>
      </c>
      <c r="W8" s="3" t="s">
        <v>90</v>
      </c>
      <c r="X8" s="3" t="s">
        <v>48</v>
      </c>
      <c r="Y8" s="3" t="s">
        <v>91</v>
      </c>
      <c r="Z8" s="3" t="s">
        <v>91</v>
      </c>
      <c r="AA8" s="5">
        <v>18180</v>
      </c>
      <c r="AB8" s="3" t="s">
        <v>40</v>
      </c>
      <c r="AC8" s="3" t="s">
        <v>92</v>
      </c>
    </row>
    <row r="9" ht="12" customHeight="1" spans="1:29" x14ac:dyDescent="0.25">
      <c r="A9" s="3" t="s">
        <v>93</v>
      </c>
      <c r="B9" s="4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35</v>
      </c>
      <c r="I9" s="3" t="s">
        <v>36</v>
      </c>
      <c r="J9" s="3" t="s">
        <v>36</v>
      </c>
      <c r="K9" s="3" t="s">
        <v>37</v>
      </c>
      <c r="L9" s="3" t="s">
        <v>80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94</v>
      </c>
      <c r="R9" s="3" t="s">
        <v>44</v>
      </c>
      <c r="S9" s="3" t="s">
        <v>44</v>
      </c>
      <c r="T9" s="3" t="s">
        <v>45</v>
      </c>
      <c r="U9" s="5"/>
      <c r="V9" s="3" t="s">
        <v>95</v>
      </c>
      <c r="W9" s="3" t="s">
        <v>96</v>
      </c>
      <c r="X9" s="3" t="s">
        <v>48</v>
      </c>
      <c r="Y9" s="3" t="s">
        <v>97</v>
      </c>
      <c r="Z9" s="3" t="s">
        <v>97</v>
      </c>
      <c r="AA9" s="5">
        <v>17137</v>
      </c>
      <c r="AB9" s="3" t="s">
        <v>40</v>
      </c>
      <c r="AC9" s="3" t="s">
        <v>50</v>
      </c>
    </row>
    <row r="10" ht="12" customHeight="1" spans="1:29" x14ac:dyDescent="0.25">
      <c r="A10" s="3" t="s">
        <v>98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35</v>
      </c>
      <c r="I10" s="3" t="s">
        <v>36</v>
      </c>
      <c r="J10" s="3" t="s">
        <v>36</v>
      </c>
      <c r="K10" s="3" t="s">
        <v>37</v>
      </c>
      <c r="L10" s="3" t="s">
        <v>80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99</v>
      </c>
      <c r="R10" s="3" t="s">
        <v>44</v>
      </c>
      <c r="S10" s="3" t="s">
        <v>44</v>
      </c>
      <c r="T10" s="3" t="s">
        <v>45</v>
      </c>
      <c r="U10" s="5"/>
      <c r="V10" s="3" t="s">
        <v>95</v>
      </c>
      <c r="W10" s="3" t="s">
        <v>100</v>
      </c>
      <c r="X10" s="3" t="s">
        <v>48</v>
      </c>
      <c r="Y10" s="3" t="s">
        <v>101</v>
      </c>
      <c r="Z10" s="3" t="s">
        <v>101</v>
      </c>
      <c r="AA10" s="5">
        <v>9054</v>
      </c>
      <c r="AB10" s="3" t="s">
        <v>40</v>
      </c>
      <c r="AC10" s="3" t="s">
        <v>50</v>
      </c>
    </row>
    <row r="11" ht="12" customHeight="1" spans="1:29" x14ac:dyDescent="0.25">
      <c r="A11" s="3" t="s">
        <v>102</v>
      </c>
      <c r="B11" s="4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35</v>
      </c>
      <c r="I11" s="3" t="s">
        <v>36</v>
      </c>
      <c r="J11" s="3" t="s">
        <v>59</v>
      </c>
      <c r="K11" s="3" t="s">
        <v>37</v>
      </c>
      <c r="L11" s="3" t="s">
        <v>80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60</v>
      </c>
      <c r="R11" s="3" t="s">
        <v>44</v>
      </c>
      <c r="S11" s="3" t="s">
        <v>44</v>
      </c>
      <c r="T11" s="3" t="s">
        <v>45</v>
      </c>
      <c r="U11" s="5"/>
      <c r="V11" s="3" t="s">
        <v>95</v>
      </c>
      <c r="W11" s="3" t="s">
        <v>62</v>
      </c>
      <c r="X11" s="3" t="s">
        <v>48</v>
      </c>
      <c r="Y11" s="3" t="s">
        <v>63</v>
      </c>
      <c r="Z11" s="3" t="s">
        <v>64</v>
      </c>
      <c r="AA11" s="5">
        <v>21900</v>
      </c>
      <c r="AB11" s="3" t="s">
        <v>40</v>
      </c>
      <c r="AC11" s="3" t="s">
        <v>50</v>
      </c>
    </row>
    <row r="12" ht="12" customHeight="1" spans="1:29" x14ac:dyDescent="0.25">
      <c r="A12" s="3" t="s">
        <v>103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35</v>
      </c>
      <c r="I12" s="3" t="s">
        <v>66</v>
      </c>
      <c r="J12" s="3" t="s">
        <v>104</v>
      </c>
      <c r="K12" s="3" t="s">
        <v>37</v>
      </c>
      <c r="L12" s="3" t="s">
        <v>80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105</v>
      </c>
      <c r="R12" s="3" t="s">
        <v>106</v>
      </c>
      <c r="S12" s="3" t="s">
        <v>44</v>
      </c>
      <c r="T12" s="3" t="s">
        <v>45</v>
      </c>
      <c r="U12" s="5"/>
      <c r="V12" s="3" t="s">
        <v>95</v>
      </c>
      <c r="W12" s="3" t="s">
        <v>107</v>
      </c>
      <c r="X12" s="3" t="s">
        <v>48</v>
      </c>
      <c r="Y12" s="3" t="s">
        <v>108</v>
      </c>
      <c r="Z12" s="3" t="s">
        <v>109</v>
      </c>
      <c r="AA12" s="5">
        <v>19880.5</v>
      </c>
      <c r="AB12" s="3" t="s">
        <v>40</v>
      </c>
      <c r="AC12" s="3" t="s">
        <v>110</v>
      </c>
    </row>
    <row r="13" ht="12" customHeight="1" spans="1:29" x14ac:dyDescent="0.25">
      <c r="A13" s="3" t="s">
        <v>111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35</v>
      </c>
      <c r="I13" s="3" t="s">
        <v>36</v>
      </c>
      <c r="J13" s="3" t="s">
        <v>36</v>
      </c>
      <c r="K13" s="3" t="s">
        <v>37</v>
      </c>
      <c r="L13" s="3" t="s">
        <v>80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112</v>
      </c>
      <c r="R13" s="3" t="s">
        <v>44</v>
      </c>
      <c r="S13" s="3" t="s">
        <v>44</v>
      </c>
      <c r="T13" s="3" t="s">
        <v>45</v>
      </c>
      <c r="U13" s="5"/>
      <c r="V13" s="3" t="s">
        <v>95</v>
      </c>
      <c r="W13" s="3" t="s">
        <v>113</v>
      </c>
      <c r="X13" s="3" t="s">
        <v>48</v>
      </c>
      <c r="Y13" s="3" t="s">
        <v>114</v>
      </c>
      <c r="Z13" s="3" t="s">
        <v>114</v>
      </c>
      <c r="AA13" s="5">
        <v>25728.2</v>
      </c>
      <c r="AB13" s="3" t="s">
        <v>40</v>
      </c>
      <c r="AC13" s="3" t="s">
        <v>50</v>
      </c>
    </row>
    <row r="14" ht="12" customHeight="1" spans="1:29" x14ac:dyDescent="0.25">
      <c r="A14" s="3" t="s">
        <v>115</v>
      </c>
      <c r="B14" s="4" t="s">
        <v>30</v>
      </c>
      <c r="C14" s="3" t="s">
        <v>31</v>
      </c>
      <c r="D14" s="3" t="s">
        <v>32</v>
      </c>
      <c r="E14" s="3" t="s">
        <v>52</v>
      </c>
      <c r="F14" s="3" t="s">
        <v>34</v>
      </c>
      <c r="G14" s="3" t="s">
        <v>35</v>
      </c>
      <c r="H14" s="3" t="s">
        <v>35</v>
      </c>
      <c r="I14" s="3" t="s">
        <v>36</v>
      </c>
      <c r="J14" s="3" t="s">
        <v>116</v>
      </c>
      <c r="K14" s="3" t="s">
        <v>37</v>
      </c>
      <c r="L14" s="3" t="s">
        <v>80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117</v>
      </c>
      <c r="R14" s="3" t="s">
        <v>44</v>
      </c>
      <c r="S14" s="3" t="s">
        <v>44</v>
      </c>
      <c r="T14" s="3" t="s">
        <v>45</v>
      </c>
      <c r="U14" s="5"/>
      <c r="V14" s="3" t="s">
        <v>118</v>
      </c>
      <c r="W14" s="3" t="s">
        <v>119</v>
      </c>
      <c r="X14" s="3" t="s">
        <v>48</v>
      </c>
      <c r="Y14" s="3" t="s">
        <v>120</v>
      </c>
      <c r="Z14" s="3" t="s">
        <v>120</v>
      </c>
      <c r="AA14" s="5">
        <v>26677</v>
      </c>
      <c r="AB14" s="3" t="s">
        <v>40</v>
      </c>
      <c r="AC14" s="3" t="s">
        <v>50</v>
      </c>
    </row>
    <row r="15" ht="12" customHeight="1" spans="1:29" x14ac:dyDescent="0.25">
      <c r="A15" s="3" t="s">
        <v>121</v>
      </c>
      <c r="B15" s="4" t="s">
        <v>30</v>
      </c>
      <c r="C15" s="3" t="s">
        <v>31</v>
      </c>
      <c r="D15" s="3" t="s">
        <v>32</v>
      </c>
      <c r="E15" s="3" t="s">
        <v>52</v>
      </c>
      <c r="F15" s="3" t="s">
        <v>34</v>
      </c>
      <c r="G15" s="3" t="s">
        <v>35</v>
      </c>
      <c r="H15" s="3" t="s">
        <v>35</v>
      </c>
      <c r="I15" s="3" t="s">
        <v>36</v>
      </c>
      <c r="J15" s="3" t="s">
        <v>116</v>
      </c>
      <c r="K15" s="3" t="s">
        <v>37</v>
      </c>
      <c r="L15" s="3" t="s">
        <v>80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117</v>
      </c>
      <c r="R15" s="3" t="s">
        <v>44</v>
      </c>
      <c r="S15" s="3" t="s">
        <v>44</v>
      </c>
      <c r="T15" s="3" t="s">
        <v>45</v>
      </c>
      <c r="U15" s="5"/>
      <c r="V15" s="3" t="s">
        <v>118</v>
      </c>
      <c r="W15" s="3" t="s">
        <v>119</v>
      </c>
      <c r="X15" s="3" t="s">
        <v>48</v>
      </c>
      <c r="Y15" s="3" t="s">
        <v>120</v>
      </c>
      <c r="Z15" s="3" t="s">
        <v>120</v>
      </c>
      <c r="AA15" s="5">
        <v>26241</v>
      </c>
      <c r="AB15" s="3" t="s">
        <v>40</v>
      </c>
      <c r="AC15" s="3" t="s">
        <v>50</v>
      </c>
    </row>
    <row r="16" ht="12" customHeight="1" spans="1:29" x14ac:dyDescent="0.25">
      <c r="A16" s="3" t="s">
        <v>122</v>
      </c>
      <c r="B16" s="4" t="s">
        <v>30</v>
      </c>
      <c r="C16" s="3" t="s">
        <v>31</v>
      </c>
      <c r="D16" s="3" t="s">
        <v>32</v>
      </c>
      <c r="E16" s="3" t="s">
        <v>52</v>
      </c>
      <c r="F16" s="3" t="s">
        <v>34</v>
      </c>
      <c r="G16" s="3" t="s">
        <v>35</v>
      </c>
      <c r="H16" s="3" t="s">
        <v>35</v>
      </c>
      <c r="I16" s="3" t="s">
        <v>87</v>
      </c>
      <c r="J16" s="3" t="s">
        <v>87</v>
      </c>
      <c r="K16" s="3" t="s">
        <v>37</v>
      </c>
      <c r="L16" s="3" t="s">
        <v>80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123</v>
      </c>
      <c r="R16" s="3" t="s">
        <v>44</v>
      </c>
      <c r="S16" s="3" t="s">
        <v>44</v>
      </c>
      <c r="T16" s="3" t="s">
        <v>45</v>
      </c>
      <c r="U16" s="5"/>
      <c r="V16" s="3" t="s">
        <v>118</v>
      </c>
      <c r="W16" s="3" t="s">
        <v>124</v>
      </c>
      <c r="X16" s="3" t="s">
        <v>48</v>
      </c>
      <c r="Y16" s="3" t="s">
        <v>125</v>
      </c>
      <c r="Z16" s="3" t="s">
        <v>125</v>
      </c>
      <c r="AA16" s="5">
        <v>20718.2</v>
      </c>
      <c r="AB16" s="3" t="s">
        <v>40</v>
      </c>
      <c r="AC16" s="3" t="s">
        <v>92</v>
      </c>
    </row>
    <row r="17" ht="12" customHeight="1" spans="1:29" x14ac:dyDescent="0.25">
      <c r="A17" s="3" t="s">
        <v>126</v>
      </c>
      <c r="B17" s="4" t="s">
        <v>30</v>
      </c>
      <c r="C17" s="3" t="s">
        <v>31</v>
      </c>
      <c r="D17" s="3" t="s">
        <v>32</v>
      </c>
      <c r="E17" s="3" t="s">
        <v>52</v>
      </c>
      <c r="F17" s="3" t="s">
        <v>34</v>
      </c>
      <c r="G17" s="3" t="s">
        <v>35</v>
      </c>
      <c r="H17" s="3" t="s">
        <v>35</v>
      </c>
      <c r="I17" s="3" t="s">
        <v>87</v>
      </c>
      <c r="J17" s="3" t="s">
        <v>87</v>
      </c>
      <c r="K17" s="3" t="s">
        <v>37</v>
      </c>
      <c r="L17" s="3" t="s">
        <v>80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123</v>
      </c>
      <c r="R17" s="3" t="s">
        <v>44</v>
      </c>
      <c r="S17" s="3" t="s">
        <v>44</v>
      </c>
      <c r="T17" s="3" t="s">
        <v>45</v>
      </c>
      <c r="U17" s="5"/>
      <c r="V17" s="3" t="s">
        <v>118</v>
      </c>
      <c r="W17" s="3" t="s">
        <v>124</v>
      </c>
      <c r="X17" s="3" t="s">
        <v>48</v>
      </c>
      <c r="Y17" s="3" t="s">
        <v>125</v>
      </c>
      <c r="Z17" s="3" t="s">
        <v>125</v>
      </c>
      <c r="AA17" s="5">
        <v>20718.2</v>
      </c>
      <c r="AB17" s="3" t="s">
        <v>40</v>
      </c>
      <c r="AC17" s="3" t="s">
        <v>92</v>
      </c>
    </row>
    <row r="18" ht="12" customHeight="1" spans="1:29" x14ac:dyDescent="0.25">
      <c r="A18" s="3" t="s">
        <v>127</v>
      </c>
      <c r="B18" s="4" t="s">
        <v>30</v>
      </c>
      <c r="C18" s="3" t="s">
        <v>31</v>
      </c>
      <c r="D18" s="3" t="s">
        <v>32</v>
      </c>
      <c r="E18" s="3" t="s">
        <v>52</v>
      </c>
      <c r="F18" s="3" t="s">
        <v>34</v>
      </c>
      <c r="G18" s="3" t="s">
        <v>35</v>
      </c>
      <c r="H18" s="3" t="s">
        <v>35</v>
      </c>
      <c r="I18" s="3" t="s">
        <v>87</v>
      </c>
      <c r="J18" s="3" t="s">
        <v>87</v>
      </c>
      <c r="K18" s="3" t="s">
        <v>37</v>
      </c>
      <c r="L18" s="3" t="s">
        <v>80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123</v>
      </c>
      <c r="R18" s="3" t="s">
        <v>44</v>
      </c>
      <c r="S18" s="3" t="s">
        <v>44</v>
      </c>
      <c r="T18" s="3" t="s">
        <v>45</v>
      </c>
      <c r="U18" s="5"/>
      <c r="V18" s="3" t="s">
        <v>118</v>
      </c>
      <c r="W18" s="3" t="s">
        <v>124</v>
      </c>
      <c r="X18" s="3" t="s">
        <v>48</v>
      </c>
      <c r="Y18" s="3" t="s">
        <v>125</v>
      </c>
      <c r="Z18" s="3" t="s">
        <v>125</v>
      </c>
      <c r="AA18" s="5">
        <v>20718.2</v>
      </c>
      <c r="AB18" s="3" t="s">
        <v>40</v>
      </c>
      <c r="AC18" s="3" t="s">
        <v>92</v>
      </c>
    </row>
    <row r="19" ht="12" customHeight="1" spans="1:29" x14ac:dyDescent="0.25">
      <c r="A19" s="3" t="s">
        <v>128</v>
      </c>
      <c r="B19" s="4" t="s">
        <v>30</v>
      </c>
      <c r="C19" s="3" t="s">
        <v>31</v>
      </c>
      <c r="D19" s="3" t="s">
        <v>32</v>
      </c>
      <c r="E19" s="3" t="s">
        <v>52</v>
      </c>
      <c r="F19" s="3" t="s">
        <v>34</v>
      </c>
      <c r="G19" s="3" t="s">
        <v>35</v>
      </c>
      <c r="H19" s="3" t="s">
        <v>35</v>
      </c>
      <c r="I19" s="3" t="s">
        <v>36</v>
      </c>
      <c r="J19" s="3" t="s">
        <v>36</v>
      </c>
      <c r="K19" s="3" t="s">
        <v>37</v>
      </c>
      <c r="L19" s="3" t="s">
        <v>80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54</v>
      </c>
      <c r="R19" s="3" t="s">
        <v>44</v>
      </c>
      <c r="S19" s="3" t="s">
        <v>44</v>
      </c>
      <c r="T19" s="3" t="s">
        <v>45</v>
      </c>
      <c r="U19" s="5"/>
      <c r="V19" s="3" t="s">
        <v>118</v>
      </c>
      <c r="W19" s="3" t="s">
        <v>56</v>
      </c>
      <c r="X19" s="3" t="s">
        <v>48</v>
      </c>
      <c r="Y19" s="3" t="s">
        <v>57</v>
      </c>
      <c r="Z19" s="3" t="s">
        <v>57</v>
      </c>
      <c r="AA19" s="5">
        <v>11978.18</v>
      </c>
      <c r="AB19" s="3" t="s">
        <v>40</v>
      </c>
      <c r="AC19" s="3" t="s">
        <v>50</v>
      </c>
    </row>
    <row r="20" ht="12" customHeight="1" spans="1:29" x14ac:dyDescent="0.25">
      <c r="A20" s="3" t="s">
        <v>129</v>
      </c>
      <c r="B20" s="4" t="s">
        <v>30</v>
      </c>
      <c r="C20" s="3" t="s">
        <v>31</v>
      </c>
      <c r="D20" s="3" t="s">
        <v>32</v>
      </c>
      <c r="E20" s="3" t="s">
        <v>52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80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130</v>
      </c>
      <c r="R20" s="3" t="s">
        <v>44</v>
      </c>
      <c r="S20" s="3" t="s">
        <v>44</v>
      </c>
      <c r="T20" s="3" t="s">
        <v>45</v>
      </c>
      <c r="U20" s="5"/>
      <c r="V20" s="3" t="s">
        <v>118</v>
      </c>
      <c r="W20" s="3" t="s">
        <v>131</v>
      </c>
      <c r="X20" s="3" t="s">
        <v>48</v>
      </c>
      <c r="Y20" s="3" t="s">
        <v>132</v>
      </c>
      <c r="Z20" s="3" t="s">
        <v>133</v>
      </c>
      <c r="AA20" s="5">
        <v>4321</v>
      </c>
      <c r="AB20" s="3" t="s">
        <v>40</v>
      </c>
      <c r="AC20" s="3" t="s">
        <v>50</v>
      </c>
    </row>
    <row r="21" ht="12" customHeight="1" spans="1:29" x14ac:dyDescent="0.25">
      <c r="A21" s="3" t="s">
        <v>134</v>
      </c>
      <c r="B21" s="4" t="s">
        <v>30</v>
      </c>
      <c r="C21" s="3" t="s">
        <v>31</v>
      </c>
      <c r="D21" s="3" t="s">
        <v>32</v>
      </c>
      <c r="E21" s="3" t="s">
        <v>52</v>
      </c>
      <c r="F21" s="3" t="s">
        <v>34</v>
      </c>
      <c r="G21" s="3" t="s">
        <v>35</v>
      </c>
      <c r="H21" s="3" t="s">
        <v>35</v>
      </c>
      <c r="I21" s="3" t="s">
        <v>66</v>
      </c>
      <c r="J21" s="3" t="s">
        <v>66</v>
      </c>
      <c r="K21" s="3" t="s">
        <v>37</v>
      </c>
      <c r="L21" s="3" t="s">
        <v>80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135</v>
      </c>
      <c r="R21" s="3" t="s">
        <v>44</v>
      </c>
      <c r="S21" s="3" t="s">
        <v>44</v>
      </c>
      <c r="T21" s="3" t="s">
        <v>45</v>
      </c>
      <c r="U21" s="5"/>
      <c r="V21" s="3" t="s">
        <v>118</v>
      </c>
      <c r="W21" s="3" t="s">
        <v>136</v>
      </c>
      <c r="X21" s="3" t="s">
        <v>48</v>
      </c>
      <c r="Y21" s="3" t="s">
        <v>137</v>
      </c>
      <c r="Z21" s="3" t="s">
        <v>137</v>
      </c>
      <c r="AA21" s="5">
        <v>17136</v>
      </c>
      <c r="AB21" s="3" t="s">
        <v>40</v>
      </c>
      <c r="AC21" s="3" t="s">
        <v>72</v>
      </c>
    </row>
    <row r="22" ht="12" customHeight="1" spans="1:29" x14ac:dyDescent="0.25">
      <c r="A22" s="3" t="s">
        <v>138</v>
      </c>
      <c r="B22" s="4" t="s">
        <v>30</v>
      </c>
      <c r="C22" s="3" t="s">
        <v>31</v>
      </c>
      <c r="D22" s="3" t="s">
        <v>32</v>
      </c>
      <c r="E22" s="3" t="s">
        <v>52</v>
      </c>
      <c r="F22" s="3" t="s">
        <v>34</v>
      </c>
      <c r="G22" s="3" t="s">
        <v>35</v>
      </c>
      <c r="H22" s="3" t="s">
        <v>35</v>
      </c>
      <c r="I22" s="3" t="s">
        <v>66</v>
      </c>
      <c r="J22" s="3" t="s">
        <v>66</v>
      </c>
      <c r="K22" s="3" t="s">
        <v>37</v>
      </c>
      <c r="L22" s="3" t="s">
        <v>80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139</v>
      </c>
      <c r="R22" s="3" t="s">
        <v>44</v>
      </c>
      <c r="S22" s="3" t="s">
        <v>44</v>
      </c>
      <c r="T22" s="3" t="s">
        <v>45</v>
      </c>
      <c r="U22" s="5"/>
      <c r="V22" s="3" t="s">
        <v>118</v>
      </c>
      <c r="W22" s="3" t="s">
        <v>140</v>
      </c>
      <c r="X22" s="3" t="s">
        <v>48</v>
      </c>
      <c r="Y22" s="3" t="s">
        <v>141</v>
      </c>
      <c r="Z22" s="3" t="s">
        <v>141</v>
      </c>
      <c r="AA22" s="5">
        <v>13060</v>
      </c>
      <c r="AB22" s="3" t="s">
        <v>40</v>
      </c>
      <c r="AC22" s="3" t="s">
        <v>72</v>
      </c>
    </row>
    <row r="23" ht="12" customHeight="1" spans="1:29" x14ac:dyDescent="0.25">
      <c r="A23" s="3" t="s">
        <v>142</v>
      </c>
      <c r="B23" s="4" t="s">
        <v>30</v>
      </c>
      <c r="C23" s="3" t="s">
        <v>31</v>
      </c>
      <c r="D23" s="3" t="s">
        <v>32</v>
      </c>
      <c r="E23" s="3" t="s">
        <v>52</v>
      </c>
      <c r="F23" s="3" t="s">
        <v>34</v>
      </c>
      <c r="G23" s="3" t="s">
        <v>35</v>
      </c>
      <c r="H23" s="3" t="s">
        <v>35</v>
      </c>
      <c r="I23" s="3" t="s">
        <v>36</v>
      </c>
      <c r="J23" s="3" t="s">
        <v>36</v>
      </c>
      <c r="K23" s="3" t="s">
        <v>37</v>
      </c>
      <c r="L23" s="3" t="s">
        <v>80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54</v>
      </c>
      <c r="R23" s="3" t="s">
        <v>44</v>
      </c>
      <c r="S23" s="3" t="s">
        <v>44</v>
      </c>
      <c r="T23" s="3" t="s">
        <v>45</v>
      </c>
      <c r="U23" s="5"/>
      <c r="V23" s="3" t="s">
        <v>118</v>
      </c>
      <c r="W23" s="3" t="s">
        <v>56</v>
      </c>
      <c r="X23" s="3" t="s">
        <v>48</v>
      </c>
      <c r="Y23" s="3" t="s">
        <v>57</v>
      </c>
      <c r="Z23" s="3" t="s">
        <v>57</v>
      </c>
      <c r="AA23" s="5">
        <v>15139.04</v>
      </c>
      <c r="AB23" s="3" t="s">
        <v>40</v>
      </c>
      <c r="AC23" s="3" t="s">
        <v>50</v>
      </c>
    </row>
    <row r="24" ht="12" customHeight="1" spans="1:29" x14ac:dyDescent="0.25">
      <c r="A24" s="3" t="s">
        <v>143</v>
      </c>
      <c r="B24" s="4" t="s">
        <v>30</v>
      </c>
      <c r="C24" s="3" t="s">
        <v>31</v>
      </c>
      <c r="D24" s="3" t="s">
        <v>32</v>
      </c>
      <c r="E24" s="3" t="s">
        <v>52</v>
      </c>
      <c r="F24" s="3" t="s">
        <v>34</v>
      </c>
      <c r="G24" s="3" t="s">
        <v>35</v>
      </c>
      <c r="H24" s="3" t="s">
        <v>35</v>
      </c>
      <c r="I24" s="3" t="s">
        <v>36</v>
      </c>
      <c r="J24" s="3" t="s">
        <v>36</v>
      </c>
      <c r="K24" s="3" t="s">
        <v>37</v>
      </c>
      <c r="L24" s="3" t="s">
        <v>80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144</v>
      </c>
      <c r="R24" s="3" t="s">
        <v>44</v>
      </c>
      <c r="S24" s="3" t="s">
        <v>44</v>
      </c>
      <c r="T24" s="3" t="s">
        <v>45</v>
      </c>
      <c r="U24" s="5"/>
      <c r="V24" s="3" t="s">
        <v>118</v>
      </c>
      <c r="W24" s="3" t="s">
        <v>145</v>
      </c>
      <c r="X24" s="3" t="s">
        <v>48</v>
      </c>
      <c r="Y24" s="3" t="s">
        <v>146</v>
      </c>
      <c r="Z24" s="3" t="s">
        <v>147</v>
      </c>
      <c r="AA24" s="5">
        <v>1306.8</v>
      </c>
      <c r="AB24" s="3" t="s">
        <v>40</v>
      </c>
      <c r="AC24" s="3" t="s">
        <v>50</v>
      </c>
    </row>
    <row r="25" ht="12" customHeight="1" spans="1:29" x14ac:dyDescent="0.25">
      <c r="A25" s="3" t="s">
        <v>148</v>
      </c>
      <c r="B25" s="4" t="s">
        <v>30</v>
      </c>
      <c r="C25" s="3" t="s">
        <v>31</v>
      </c>
      <c r="D25" s="3" t="s">
        <v>32</v>
      </c>
      <c r="E25" s="3" t="s">
        <v>52</v>
      </c>
      <c r="F25" s="3" t="s">
        <v>34</v>
      </c>
      <c r="G25" s="3" t="s">
        <v>35</v>
      </c>
      <c r="H25" s="3" t="s">
        <v>35</v>
      </c>
      <c r="I25" s="3" t="s">
        <v>66</v>
      </c>
      <c r="J25" s="3" t="s">
        <v>104</v>
      </c>
      <c r="K25" s="3" t="s">
        <v>37</v>
      </c>
      <c r="L25" s="3" t="s">
        <v>80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149</v>
      </c>
      <c r="R25" s="3" t="s">
        <v>106</v>
      </c>
      <c r="S25" s="3" t="s">
        <v>44</v>
      </c>
      <c r="T25" s="3" t="s">
        <v>45</v>
      </c>
      <c r="U25" s="5"/>
      <c r="V25" s="3" t="s">
        <v>118</v>
      </c>
      <c r="W25" s="3" t="s">
        <v>150</v>
      </c>
      <c r="X25" s="3" t="s">
        <v>48</v>
      </c>
      <c r="Y25" s="3" t="s">
        <v>151</v>
      </c>
      <c r="Z25" s="3" t="s">
        <v>152</v>
      </c>
      <c r="AA25" s="5">
        <v>22410</v>
      </c>
      <c r="AB25" s="3" t="s">
        <v>40</v>
      </c>
      <c r="AC25" s="3" t="s">
        <v>110</v>
      </c>
    </row>
    <row r="26" ht="12" customHeight="1" spans="1:29" x14ac:dyDescent="0.25">
      <c r="A26" s="3" t="s">
        <v>153</v>
      </c>
      <c r="B26" s="4" t="s">
        <v>30</v>
      </c>
      <c r="C26" s="3" t="s">
        <v>31</v>
      </c>
      <c r="D26" s="3" t="s">
        <v>32</v>
      </c>
      <c r="E26" s="3" t="s">
        <v>52</v>
      </c>
      <c r="F26" s="3" t="s">
        <v>34</v>
      </c>
      <c r="G26" s="3" t="s">
        <v>35</v>
      </c>
      <c r="H26" s="3" t="s">
        <v>35</v>
      </c>
      <c r="I26" s="3" t="s">
        <v>36</v>
      </c>
      <c r="J26" s="3" t="s">
        <v>36</v>
      </c>
      <c r="K26" s="3" t="s">
        <v>37</v>
      </c>
      <c r="L26" s="3" t="s">
        <v>80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154</v>
      </c>
      <c r="R26" s="3" t="s">
        <v>44</v>
      </c>
      <c r="S26" s="3" t="s">
        <v>44</v>
      </c>
      <c r="T26" s="3" t="s">
        <v>45</v>
      </c>
      <c r="U26" s="5"/>
      <c r="V26" s="3" t="s">
        <v>118</v>
      </c>
      <c r="W26" s="3" t="s">
        <v>155</v>
      </c>
      <c r="X26" s="3" t="s">
        <v>48</v>
      </c>
      <c r="Y26" s="3" t="s">
        <v>156</v>
      </c>
      <c r="Z26" s="3" t="s">
        <v>156</v>
      </c>
      <c r="AA26" s="5">
        <v>11606.4</v>
      </c>
      <c r="AB26" s="3" t="s">
        <v>40</v>
      </c>
      <c r="AC26" s="3" t="s">
        <v>50</v>
      </c>
    </row>
    <row r="27" ht="12" customHeight="1" spans="1:29" x14ac:dyDescent="0.25">
      <c r="A27" s="3" t="s">
        <v>157</v>
      </c>
      <c r="B27" s="4" t="s">
        <v>30</v>
      </c>
      <c r="C27" s="3" t="s">
        <v>31</v>
      </c>
      <c r="D27" s="3" t="s">
        <v>32</v>
      </c>
      <c r="E27" s="3" t="s">
        <v>52</v>
      </c>
      <c r="F27" s="3" t="s">
        <v>34</v>
      </c>
      <c r="G27" s="3" t="s">
        <v>35</v>
      </c>
      <c r="H27" s="3" t="s">
        <v>35</v>
      </c>
      <c r="I27" s="3" t="s">
        <v>36</v>
      </c>
      <c r="J27" s="3" t="s">
        <v>36</v>
      </c>
      <c r="K27" s="3" t="s">
        <v>37</v>
      </c>
      <c r="L27" s="3" t="s">
        <v>80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158</v>
      </c>
      <c r="R27" s="3" t="s">
        <v>44</v>
      </c>
      <c r="S27" s="3" t="s">
        <v>44</v>
      </c>
      <c r="T27" s="3" t="s">
        <v>45</v>
      </c>
      <c r="U27" s="5"/>
      <c r="V27" s="3" t="s">
        <v>118</v>
      </c>
      <c r="W27" s="3" t="s">
        <v>159</v>
      </c>
      <c r="X27" s="3" t="s">
        <v>48</v>
      </c>
      <c r="Y27" s="3" t="s">
        <v>160</v>
      </c>
      <c r="Z27" s="3" t="s">
        <v>161</v>
      </c>
      <c r="AA27" s="5">
        <v>13935</v>
      </c>
      <c r="AB27" s="3" t="s">
        <v>40</v>
      </c>
      <c r="AC27" s="3" t="s">
        <v>50</v>
      </c>
    </row>
    <row r="28" ht="12" customHeight="1" spans="1:29" x14ac:dyDescent="0.25">
      <c r="A28" s="3" t="s">
        <v>162</v>
      </c>
      <c r="B28" s="4" t="s">
        <v>30</v>
      </c>
      <c r="C28" s="3" t="s">
        <v>31</v>
      </c>
      <c r="D28" s="3" t="s">
        <v>32</v>
      </c>
      <c r="E28" s="3" t="s">
        <v>52</v>
      </c>
      <c r="F28" s="3" t="s">
        <v>34</v>
      </c>
      <c r="G28" s="3" t="s">
        <v>35</v>
      </c>
      <c r="H28" s="3" t="s">
        <v>35</v>
      </c>
      <c r="I28" s="3" t="s">
        <v>36</v>
      </c>
      <c r="J28" s="3" t="s">
        <v>36</v>
      </c>
      <c r="K28" s="3" t="s">
        <v>37</v>
      </c>
      <c r="L28" s="3" t="s">
        <v>80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163</v>
      </c>
      <c r="R28" s="3" t="s">
        <v>44</v>
      </c>
      <c r="S28" s="3" t="s">
        <v>44</v>
      </c>
      <c r="T28" s="3" t="s">
        <v>45</v>
      </c>
      <c r="U28" s="5"/>
      <c r="V28" s="3" t="s">
        <v>118</v>
      </c>
      <c r="W28" s="3" t="s">
        <v>164</v>
      </c>
      <c r="X28" s="3" t="s">
        <v>48</v>
      </c>
      <c r="Y28" s="3" t="s">
        <v>165</v>
      </c>
      <c r="Z28" s="3" t="s">
        <v>165</v>
      </c>
      <c r="AA28" s="5">
        <v>18900</v>
      </c>
      <c r="AB28" s="3" t="s">
        <v>40</v>
      </c>
      <c r="AC28" s="3" t="s">
        <v>50</v>
      </c>
    </row>
    <row r="29" ht="12" customHeight="1" spans="1:29" x14ac:dyDescent="0.25">
      <c r="A29" s="3" t="s">
        <v>166</v>
      </c>
      <c r="B29" s="4" t="s">
        <v>30</v>
      </c>
      <c r="C29" s="3" t="s">
        <v>31</v>
      </c>
      <c r="D29" s="3" t="s">
        <v>32</v>
      </c>
      <c r="E29" s="3" t="s">
        <v>52</v>
      </c>
      <c r="F29" s="3" t="s">
        <v>34</v>
      </c>
      <c r="G29" s="3" t="s">
        <v>35</v>
      </c>
      <c r="H29" s="3" t="s">
        <v>35</v>
      </c>
      <c r="I29" s="3" t="s">
        <v>87</v>
      </c>
      <c r="J29" s="3" t="s">
        <v>87</v>
      </c>
      <c r="K29" s="3" t="s">
        <v>37</v>
      </c>
      <c r="L29" s="3" t="s">
        <v>80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88</v>
      </c>
      <c r="R29" s="3" t="s">
        <v>44</v>
      </c>
      <c r="S29" s="3" t="s">
        <v>44</v>
      </c>
      <c r="T29" s="3" t="s">
        <v>45</v>
      </c>
      <c r="U29" s="5"/>
      <c r="V29" s="3" t="s">
        <v>118</v>
      </c>
      <c r="W29" s="3" t="s">
        <v>90</v>
      </c>
      <c r="X29" s="3" t="s">
        <v>48</v>
      </c>
      <c r="Y29" s="3" t="s">
        <v>91</v>
      </c>
      <c r="Z29" s="3" t="s">
        <v>91</v>
      </c>
      <c r="AA29" s="5">
        <v>18180</v>
      </c>
      <c r="AB29" s="3" t="s">
        <v>40</v>
      </c>
      <c r="AC29" s="3" t="s">
        <v>92</v>
      </c>
    </row>
    <row r="30" ht="12" customHeight="1" spans="1:29" x14ac:dyDescent="0.25">
      <c r="A30" s="3" t="s">
        <v>167</v>
      </c>
      <c r="B30" s="4" t="s">
        <v>30</v>
      </c>
      <c r="C30" s="3" t="s">
        <v>31</v>
      </c>
      <c r="D30" s="3" t="s">
        <v>32</v>
      </c>
      <c r="E30" s="3" t="s">
        <v>52</v>
      </c>
      <c r="F30" s="3" t="s">
        <v>34</v>
      </c>
      <c r="G30" s="3" t="s">
        <v>35</v>
      </c>
      <c r="H30" s="3" t="s">
        <v>35</v>
      </c>
      <c r="I30" s="3" t="s">
        <v>36</v>
      </c>
      <c r="J30" s="3" t="s">
        <v>36</v>
      </c>
      <c r="K30" s="3" t="s">
        <v>37</v>
      </c>
      <c r="L30" s="3" t="s">
        <v>80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168</v>
      </c>
      <c r="R30" s="3" t="s">
        <v>44</v>
      </c>
      <c r="S30" s="3" t="s">
        <v>44</v>
      </c>
      <c r="T30" s="3" t="s">
        <v>45</v>
      </c>
      <c r="U30" s="5"/>
      <c r="V30" s="3" t="s">
        <v>118</v>
      </c>
      <c r="W30" s="3" t="s">
        <v>169</v>
      </c>
      <c r="X30" s="3" t="s">
        <v>70</v>
      </c>
      <c r="Y30" s="3" t="s">
        <v>170</v>
      </c>
      <c r="Z30" s="3" t="s">
        <v>170</v>
      </c>
      <c r="AA30" s="5">
        <v>3022.65</v>
      </c>
      <c r="AB30" s="3" t="s">
        <v>40</v>
      </c>
      <c r="AC30" s="3" t="s">
        <v>50</v>
      </c>
    </row>
    <row r="31" ht="12" customHeight="1" spans="1:29" x14ac:dyDescent="0.25">
      <c r="A31" s="3" t="s">
        <v>171</v>
      </c>
      <c r="B31" s="4" t="s">
        <v>30</v>
      </c>
      <c r="C31" s="3" t="s">
        <v>31</v>
      </c>
      <c r="D31" s="3" t="s">
        <v>32</v>
      </c>
      <c r="E31" s="3" t="s">
        <v>52</v>
      </c>
      <c r="F31" s="3" t="s">
        <v>34</v>
      </c>
      <c r="G31" s="3" t="s">
        <v>35</v>
      </c>
      <c r="H31" s="3" t="s">
        <v>35</v>
      </c>
      <c r="I31" s="3" t="s">
        <v>36</v>
      </c>
      <c r="J31" s="3" t="s">
        <v>36</v>
      </c>
      <c r="K31" s="3" t="s">
        <v>37</v>
      </c>
      <c r="L31" s="3" t="s">
        <v>80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172</v>
      </c>
      <c r="R31" s="3" t="s">
        <v>44</v>
      </c>
      <c r="S31" s="3" t="s">
        <v>44</v>
      </c>
      <c r="T31" s="3" t="s">
        <v>45</v>
      </c>
      <c r="U31" s="5"/>
      <c r="V31" s="3" t="s">
        <v>118</v>
      </c>
      <c r="W31" s="3" t="s">
        <v>173</v>
      </c>
      <c r="X31" s="3" t="s">
        <v>48</v>
      </c>
      <c r="Y31" s="3" t="s">
        <v>174</v>
      </c>
      <c r="Z31" s="3" t="s">
        <v>174</v>
      </c>
      <c r="AA31" s="5">
        <v>4800</v>
      </c>
      <c r="AB31" s="3" t="s">
        <v>40</v>
      </c>
      <c r="AC31" s="3" t="s">
        <v>50</v>
      </c>
    </row>
    <row r="32" ht="12" customHeight="1" spans="1:29" x14ac:dyDescent="0.25">
      <c r="A32" s="3" t="s">
        <v>175</v>
      </c>
      <c r="B32" s="4" t="s">
        <v>30</v>
      </c>
      <c r="C32" s="3" t="s">
        <v>31</v>
      </c>
      <c r="D32" s="3" t="s">
        <v>32</v>
      </c>
      <c r="E32" s="3" t="s">
        <v>52</v>
      </c>
      <c r="F32" s="3" t="s">
        <v>34</v>
      </c>
      <c r="G32" s="3" t="s">
        <v>35</v>
      </c>
      <c r="H32" s="3" t="s">
        <v>35</v>
      </c>
      <c r="I32" s="3" t="s">
        <v>36</v>
      </c>
      <c r="J32" s="3" t="s">
        <v>36</v>
      </c>
      <c r="K32" s="3" t="s">
        <v>37</v>
      </c>
      <c r="L32" s="3" t="s">
        <v>80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74</v>
      </c>
      <c r="R32" s="3" t="s">
        <v>44</v>
      </c>
      <c r="S32" s="3" t="s">
        <v>44</v>
      </c>
      <c r="T32" s="3" t="s">
        <v>45</v>
      </c>
      <c r="U32" s="5"/>
      <c r="V32" s="3" t="s">
        <v>118</v>
      </c>
      <c r="W32" s="3" t="s">
        <v>76</v>
      </c>
      <c r="X32" s="3" t="s">
        <v>48</v>
      </c>
      <c r="Y32" s="3" t="s">
        <v>77</v>
      </c>
      <c r="Z32" s="3" t="s">
        <v>77</v>
      </c>
      <c r="AA32" s="5">
        <v>25100</v>
      </c>
      <c r="AB32" s="3" t="s">
        <v>40</v>
      </c>
      <c r="AC32" s="3" t="s">
        <v>50</v>
      </c>
    </row>
    <row r="33" ht="12" customHeight="1" spans="1:29" x14ac:dyDescent="0.25">
      <c r="A33" s="3" t="s">
        <v>176</v>
      </c>
      <c r="B33" s="4" t="s">
        <v>30</v>
      </c>
      <c r="C33" s="3" t="s">
        <v>31</v>
      </c>
      <c r="D33" s="3" t="s">
        <v>32</v>
      </c>
      <c r="E33" s="3" t="s">
        <v>52</v>
      </c>
      <c r="F33" s="3" t="s">
        <v>34</v>
      </c>
      <c r="G33" s="3" t="s">
        <v>35</v>
      </c>
      <c r="H33" s="3" t="s">
        <v>35</v>
      </c>
      <c r="I33" s="3" t="s">
        <v>36</v>
      </c>
      <c r="J33" s="3" t="s">
        <v>36</v>
      </c>
      <c r="K33" s="3" t="s">
        <v>37</v>
      </c>
      <c r="L33" s="3" t="s">
        <v>80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74</v>
      </c>
      <c r="R33" s="3" t="s">
        <v>44</v>
      </c>
      <c r="S33" s="3" t="s">
        <v>44</v>
      </c>
      <c r="T33" s="3" t="s">
        <v>45</v>
      </c>
      <c r="U33" s="5"/>
      <c r="V33" s="3" t="s">
        <v>118</v>
      </c>
      <c r="W33" s="3" t="s">
        <v>76</v>
      </c>
      <c r="X33" s="3" t="s">
        <v>48</v>
      </c>
      <c r="Y33" s="3" t="s">
        <v>77</v>
      </c>
      <c r="Z33" s="3" t="s">
        <v>77</v>
      </c>
      <c r="AA33" s="5">
        <v>25100</v>
      </c>
      <c r="AB33" s="3" t="s">
        <v>40</v>
      </c>
      <c r="AC33" s="3" t="s">
        <v>50</v>
      </c>
    </row>
    <row r="34" ht="12" customHeight="1" spans="1:29" x14ac:dyDescent="0.25">
      <c r="A34" s="3" t="s">
        <v>177</v>
      </c>
      <c r="B34" s="4" t="s">
        <v>30</v>
      </c>
      <c r="C34" s="3" t="s">
        <v>31</v>
      </c>
      <c r="D34" s="3" t="s">
        <v>32</v>
      </c>
      <c r="E34" s="3" t="s">
        <v>52</v>
      </c>
      <c r="F34" s="3" t="s">
        <v>34</v>
      </c>
      <c r="G34" s="3" t="s">
        <v>35</v>
      </c>
      <c r="H34" s="3" t="s">
        <v>35</v>
      </c>
      <c r="I34" s="3" t="s">
        <v>36</v>
      </c>
      <c r="J34" s="3" t="s">
        <v>36</v>
      </c>
      <c r="K34" s="3" t="s">
        <v>37</v>
      </c>
      <c r="L34" s="3" t="s">
        <v>80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74</v>
      </c>
      <c r="R34" s="3" t="s">
        <v>44</v>
      </c>
      <c r="S34" s="3" t="s">
        <v>44</v>
      </c>
      <c r="T34" s="3" t="s">
        <v>45</v>
      </c>
      <c r="U34" s="5"/>
      <c r="V34" s="3" t="s">
        <v>118</v>
      </c>
      <c r="W34" s="3" t="s">
        <v>76</v>
      </c>
      <c r="X34" s="3" t="s">
        <v>48</v>
      </c>
      <c r="Y34" s="3" t="s">
        <v>77</v>
      </c>
      <c r="Z34" s="3" t="s">
        <v>77</v>
      </c>
      <c r="AA34" s="5">
        <v>25100</v>
      </c>
      <c r="AB34" s="3" t="s">
        <v>40</v>
      </c>
      <c r="AC34" s="3" t="s">
        <v>50</v>
      </c>
    </row>
    <row r="35" ht="12" customHeight="1" spans="1:29" x14ac:dyDescent="0.25">
      <c r="A35" s="3" t="s">
        <v>178</v>
      </c>
      <c r="B35" s="4" t="s">
        <v>30</v>
      </c>
      <c r="C35" s="3" t="s">
        <v>31</v>
      </c>
      <c r="D35" s="3" t="s">
        <v>32</v>
      </c>
      <c r="E35" s="3" t="s">
        <v>52</v>
      </c>
      <c r="F35" s="3" t="s">
        <v>34</v>
      </c>
      <c r="G35" s="3" t="s">
        <v>35</v>
      </c>
      <c r="H35" s="3" t="s">
        <v>35</v>
      </c>
      <c r="I35" s="3" t="s">
        <v>36</v>
      </c>
      <c r="J35" s="3" t="s">
        <v>36</v>
      </c>
      <c r="K35" s="3" t="s">
        <v>37</v>
      </c>
      <c r="L35" s="3" t="s">
        <v>80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74</v>
      </c>
      <c r="R35" s="3" t="s">
        <v>44</v>
      </c>
      <c r="S35" s="3" t="s">
        <v>44</v>
      </c>
      <c r="T35" s="3" t="s">
        <v>45</v>
      </c>
      <c r="U35" s="5"/>
      <c r="V35" s="3" t="s">
        <v>118</v>
      </c>
      <c r="W35" s="3" t="s">
        <v>76</v>
      </c>
      <c r="X35" s="3" t="s">
        <v>48</v>
      </c>
      <c r="Y35" s="3" t="s">
        <v>77</v>
      </c>
      <c r="Z35" s="3" t="s">
        <v>77</v>
      </c>
      <c r="AA35" s="5">
        <v>25100</v>
      </c>
      <c r="AB35" s="3" t="s">
        <v>40</v>
      </c>
      <c r="AC35" s="3" t="s">
        <v>50</v>
      </c>
    </row>
    <row r="36" ht="12" customHeight="1" spans="1:29" x14ac:dyDescent="0.25">
      <c r="A36" s="3" t="s">
        <v>179</v>
      </c>
      <c r="B36" s="4" t="s">
        <v>30</v>
      </c>
      <c r="C36" s="3" t="s">
        <v>31</v>
      </c>
      <c r="D36" s="3" t="s">
        <v>32</v>
      </c>
      <c r="E36" s="3" t="s">
        <v>52</v>
      </c>
      <c r="F36" s="3" t="s">
        <v>34</v>
      </c>
      <c r="G36" s="3" t="s">
        <v>35</v>
      </c>
      <c r="H36" s="3" t="s">
        <v>35</v>
      </c>
      <c r="I36" s="3" t="s">
        <v>36</v>
      </c>
      <c r="J36" s="3" t="s">
        <v>36</v>
      </c>
      <c r="K36" s="3" t="s">
        <v>37</v>
      </c>
      <c r="L36" s="3" t="s">
        <v>80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74</v>
      </c>
      <c r="R36" s="3" t="s">
        <v>44</v>
      </c>
      <c r="S36" s="3" t="s">
        <v>44</v>
      </c>
      <c r="T36" s="3" t="s">
        <v>45</v>
      </c>
      <c r="U36" s="5"/>
      <c r="V36" s="3" t="s">
        <v>118</v>
      </c>
      <c r="W36" s="3" t="s">
        <v>76</v>
      </c>
      <c r="X36" s="3" t="s">
        <v>48</v>
      </c>
      <c r="Y36" s="3" t="s">
        <v>77</v>
      </c>
      <c r="Z36" s="3" t="s">
        <v>77</v>
      </c>
      <c r="AA36" s="5">
        <v>25100</v>
      </c>
      <c r="AB36" s="3" t="s">
        <v>40</v>
      </c>
      <c r="AC36" s="3" t="s">
        <v>50</v>
      </c>
    </row>
    <row r="37" ht="12" customHeight="1" spans="1:29" x14ac:dyDescent="0.25">
      <c r="A37" s="3" t="s">
        <v>180</v>
      </c>
      <c r="B37" s="4" t="s">
        <v>30</v>
      </c>
      <c r="C37" s="3" t="s">
        <v>31</v>
      </c>
      <c r="D37" s="3" t="s">
        <v>32</v>
      </c>
      <c r="E37" s="3" t="s">
        <v>52</v>
      </c>
      <c r="F37" s="3" t="s">
        <v>34</v>
      </c>
      <c r="G37" s="3" t="s">
        <v>35</v>
      </c>
      <c r="H37" s="3" t="s">
        <v>35</v>
      </c>
      <c r="I37" s="3" t="s">
        <v>36</v>
      </c>
      <c r="J37" s="3" t="s">
        <v>36</v>
      </c>
      <c r="K37" s="3" t="s">
        <v>37</v>
      </c>
      <c r="L37" s="3" t="s">
        <v>80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74</v>
      </c>
      <c r="R37" s="3" t="s">
        <v>44</v>
      </c>
      <c r="S37" s="3" t="s">
        <v>44</v>
      </c>
      <c r="T37" s="3" t="s">
        <v>45</v>
      </c>
      <c r="U37" s="5"/>
      <c r="V37" s="3" t="s">
        <v>118</v>
      </c>
      <c r="W37" s="3" t="s">
        <v>76</v>
      </c>
      <c r="X37" s="3" t="s">
        <v>48</v>
      </c>
      <c r="Y37" s="3" t="s">
        <v>77</v>
      </c>
      <c r="Z37" s="3" t="s">
        <v>77</v>
      </c>
      <c r="AA37" s="5">
        <v>25100</v>
      </c>
      <c r="AB37" s="3" t="s">
        <v>40</v>
      </c>
      <c r="AC37" s="3" t="s">
        <v>50</v>
      </c>
    </row>
    <row r="38" ht="12" customHeight="1" spans="1:29" x14ac:dyDescent="0.25">
      <c r="A38" s="3" t="s">
        <v>181</v>
      </c>
      <c r="B38" s="4" t="s">
        <v>30</v>
      </c>
      <c r="C38" s="3" t="s">
        <v>31</v>
      </c>
      <c r="D38" s="3" t="s">
        <v>32</v>
      </c>
      <c r="E38" s="3" t="s">
        <v>52</v>
      </c>
      <c r="F38" s="3" t="s">
        <v>34</v>
      </c>
      <c r="G38" s="3" t="s">
        <v>35</v>
      </c>
      <c r="H38" s="3" t="s">
        <v>35</v>
      </c>
      <c r="I38" s="3" t="s">
        <v>36</v>
      </c>
      <c r="J38" s="3" t="s">
        <v>36</v>
      </c>
      <c r="K38" s="3" t="s">
        <v>37</v>
      </c>
      <c r="L38" s="3" t="s">
        <v>80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182</v>
      </c>
      <c r="R38" s="3" t="s">
        <v>44</v>
      </c>
      <c r="S38" s="3" t="s">
        <v>44</v>
      </c>
      <c r="T38" s="3" t="s">
        <v>45</v>
      </c>
      <c r="U38" s="5"/>
      <c r="V38" s="3" t="s">
        <v>118</v>
      </c>
      <c r="W38" s="3" t="s">
        <v>183</v>
      </c>
      <c r="X38" s="3" t="s">
        <v>48</v>
      </c>
      <c r="Y38" s="3" t="s">
        <v>184</v>
      </c>
      <c r="Z38" s="3" t="s">
        <v>184</v>
      </c>
      <c r="AA38" s="5">
        <v>1274.73</v>
      </c>
      <c r="AB38" s="3" t="s">
        <v>40</v>
      </c>
      <c r="AC38" s="3" t="s">
        <v>50</v>
      </c>
    </row>
    <row r="39" ht="12" customHeight="1" spans="1:29" x14ac:dyDescent="0.25">
      <c r="A39" s="3" t="s">
        <v>185</v>
      </c>
      <c r="B39" s="4" t="s">
        <v>30</v>
      </c>
      <c r="C39" s="3" t="s">
        <v>31</v>
      </c>
      <c r="D39" s="3" t="s">
        <v>32</v>
      </c>
      <c r="E39" s="3" t="s">
        <v>52</v>
      </c>
      <c r="F39" s="3" t="s">
        <v>34</v>
      </c>
      <c r="G39" s="3" t="s">
        <v>35</v>
      </c>
      <c r="H39" s="3" t="s">
        <v>35</v>
      </c>
      <c r="I39" s="3" t="s">
        <v>36</v>
      </c>
      <c r="J39" s="3" t="s">
        <v>36</v>
      </c>
      <c r="K39" s="3" t="s">
        <v>37</v>
      </c>
      <c r="L39" s="3" t="s">
        <v>80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112</v>
      </c>
      <c r="R39" s="3" t="s">
        <v>44</v>
      </c>
      <c r="S39" s="3" t="s">
        <v>44</v>
      </c>
      <c r="T39" s="3" t="s">
        <v>45</v>
      </c>
      <c r="U39" s="5"/>
      <c r="V39" s="3" t="s">
        <v>118</v>
      </c>
      <c r="W39" s="3" t="s">
        <v>113</v>
      </c>
      <c r="X39" s="3" t="s">
        <v>48</v>
      </c>
      <c r="Y39" s="3" t="s">
        <v>114</v>
      </c>
      <c r="Z39" s="3" t="s">
        <v>114</v>
      </c>
      <c r="AA39" s="5">
        <v>14366</v>
      </c>
      <c r="AB39" s="3" t="s">
        <v>40</v>
      </c>
      <c r="AC39" s="3" t="s">
        <v>50</v>
      </c>
    </row>
    <row r="40" ht="12" customHeight="1" spans="1:29" x14ac:dyDescent="0.25">
      <c r="A40" s="3" t="s">
        <v>186</v>
      </c>
      <c r="B40" s="4" t="s">
        <v>30</v>
      </c>
      <c r="C40" s="3" t="s">
        <v>31</v>
      </c>
      <c r="D40" s="3" t="s">
        <v>32</v>
      </c>
      <c r="E40" s="3" t="s">
        <v>52</v>
      </c>
      <c r="F40" s="3" t="s">
        <v>34</v>
      </c>
      <c r="G40" s="3" t="s">
        <v>35</v>
      </c>
      <c r="H40" s="3" t="s">
        <v>35</v>
      </c>
      <c r="I40" s="3" t="s">
        <v>36</v>
      </c>
      <c r="J40" s="3" t="s">
        <v>36</v>
      </c>
      <c r="K40" s="3" t="s">
        <v>37</v>
      </c>
      <c r="L40" s="3" t="s">
        <v>38</v>
      </c>
      <c r="M40" s="3" t="s">
        <v>39</v>
      </c>
      <c r="N40" s="3" t="s">
        <v>40</v>
      </c>
      <c r="O40" s="3" t="s">
        <v>41</v>
      </c>
      <c r="P40" s="3" t="s">
        <v>42</v>
      </c>
      <c r="Q40" s="3" t="s">
        <v>187</v>
      </c>
      <c r="R40" s="3" t="s">
        <v>44</v>
      </c>
      <c r="S40" s="3" t="s">
        <v>44</v>
      </c>
      <c r="T40" s="3" t="s">
        <v>45</v>
      </c>
      <c r="U40" s="5"/>
      <c r="V40" s="3" t="s">
        <v>188</v>
      </c>
      <c r="W40" s="3" t="s">
        <v>189</v>
      </c>
      <c r="X40" s="3" t="s">
        <v>70</v>
      </c>
      <c r="Y40" s="3" t="s">
        <v>97</v>
      </c>
      <c r="Z40" s="3" t="s">
        <v>97</v>
      </c>
      <c r="AA40" s="5">
        <v>5718.91</v>
      </c>
      <c r="AB40" s="3" t="s">
        <v>40</v>
      </c>
      <c r="AC40" s="3" t="s">
        <v>50</v>
      </c>
    </row>
    <row r="41" ht="12" customHeight="1" spans="1:29" x14ac:dyDescent="0.25">
      <c r="A41" s="3" t="s">
        <v>190</v>
      </c>
      <c r="B41" s="4" t="s">
        <v>30</v>
      </c>
      <c r="C41" s="3" t="s">
        <v>31</v>
      </c>
      <c r="D41" s="3" t="s">
        <v>32</v>
      </c>
      <c r="E41" s="3" t="s">
        <v>52</v>
      </c>
      <c r="F41" s="3" t="s">
        <v>34</v>
      </c>
      <c r="G41" s="3" t="s">
        <v>35</v>
      </c>
      <c r="H41" s="3" t="s">
        <v>35</v>
      </c>
      <c r="I41" s="3" t="s">
        <v>36</v>
      </c>
      <c r="J41" s="3" t="s">
        <v>36</v>
      </c>
      <c r="K41" s="3" t="s">
        <v>37</v>
      </c>
      <c r="L41" s="3" t="s">
        <v>38</v>
      </c>
      <c r="M41" s="3" t="s">
        <v>39</v>
      </c>
      <c r="N41" s="3" t="s">
        <v>40</v>
      </c>
      <c r="O41" s="3" t="s">
        <v>41</v>
      </c>
      <c r="P41" s="3" t="s">
        <v>42</v>
      </c>
      <c r="Q41" s="3" t="s">
        <v>191</v>
      </c>
      <c r="R41" s="3" t="s">
        <v>44</v>
      </c>
      <c r="S41" s="3" t="s">
        <v>44</v>
      </c>
      <c r="T41" s="3" t="s">
        <v>45</v>
      </c>
      <c r="U41" s="5"/>
      <c r="V41" s="3" t="s">
        <v>188</v>
      </c>
      <c r="W41" s="3" t="s">
        <v>155</v>
      </c>
      <c r="X41" s="3" t="s">
        <v>48</v>
      </c>
      <c r="Y41" s="3" t="s">
        <v>192</v>
      </c>
      <c r="Z41" s="3" t="s">
        <v>192</v>
      </c>
      <c r="AA41" s="5">
        <v>15236</v>
      </c>
      <c r="AB41" s="3" t="s">
        <v>40</v>
      </c>
      <c r="AC41" s="3" t="s">
        <v>50</v>
      </c>
    </row>
    <row r="42" ht="12" customHeight="1" spans="1:29" x14ac:dyDescent="0.25">
      <c r="A42" s="3" t="s">
        <v>193</v>
      </c>
      <c r="B42" s="4" t="s">
        <v>30</v>
      </c>
      <c r="C42" s="3" t="s">
        <v>31</v>
      </c>
      <c r="D42" s="3" t="s">
        <v>32</v>
      </c>
      <c r="E42" s="3" t="s">
        <v>52</v>
      </c>
      <c r="F42" s="3" t="s">
        <v>34</v>
      </c>
      <c r="G42" s="3" t="s">
        <v>35</v>
      </c>
      <c r="H42" s="3" t="s">
        <v>35</v>
      </c>
      <c r="I42" s="3" t="s">
        <v>87</v>
      </c>
      <c r="J42" s="3" t="s">
        <v>87</v>
      </c>
      <c r="K42" s="3" t="s">
        <v>37</v>
      </c>
      <c r="L42" s="3" t="s">
        <v>38</v>
      </c>
      <c r="M42" s="3" t="s">
        <v>39</v>
      </c>
      <c r="N42" s="3" t="s">
        <v>40</v>
      </c>
      <c r="O42" s="3" t="s">
        <v>41</v>
      </c>
      <c r="P42" s="3" t="s">
        <v>42</v>
      </c>
      <c r="Q42" s="3" t="s">
        <v>88</v>
      </c>
      <c r="R42" s="3" t="s">
        <v>44</v>
      </c>
      <c r="S42" s="3" t="s">
        <v>44</v>
      </c>
      <c r="T42" s="3" t="s">
        <v>45</v>
      </c>
      <c r="U42" s="5"/>
      <c r="V42" s="3" t="s">
        <v>194</v>
      </c>
      <c r="W42" s="3" t="s">
        <v>90</v>
      </c>
      <c r="X42" s="3" t="s">
        <v>48</v>
      </c>
      <c r="Y42" s="3" t="s">
        <v>91</v>
      </c>
      <c r="Z42" s="3" t="s">
        <v>91</v>
      </c>
      <c r="AA42" s="5">
        <v>17195.25</v>
      </c>
      <c r="AB42" s="3" t="s">
        <v>40</v>
      </c>
      <c r="AC42" s="3" t="s">
        <v>92</v>
      </c>
    </row>
    <row r="43" ht="12" customHeight="1" spans="1:29" x14ac:dyDescent="0.25">
      <c r="A43" s="3" t="s">
        <v>195</v>
      </c>
      <c r="B43" s="4" t="s">
        <v>30</v>
      </c>
      <c r="C43" s="3" t="s">
        <v>31</v>
      </c>
      <c r="D43" s="3" t="s">
        <v>32</v>
      </c>
      <c r="E43" s="3" t="s">
        <v>79</v>
      </c>
      <c r="F43" s="3" t="s">
        <v>34</v>
      </c>
      <c r="G43" s="3" t="s">
        <v>35</v>
      </c>
      <c r="H43" s="3" t="s">
        <v>35</v>
      </c>
      <c r="I43" s="3" t="s">
        <v>36</v>
      </c>
      <c r="J43" s="3" t="s">
        <v>36</v>
      </c>
      <c r="K43" s="3" t="s">
        <v>37</v>
      </c>
      <c r="L43" s="3" t="s">
        <v>38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196</v>
      </c>
      <c r="R43" s="3" t="s">
        <v>44</v>
      </c>
      <c r="S43" s="3" t="s">
        <v>44</v>
      </c>
      <c r="T43" s="3" t="s">
        <v>45</v>
      </c>
      <c r="U43" s="5"/>
      <c r="V43" s="3" t="s">
        <v>197</v>
      </c>
      <c r="W43" s="3" t="s">
        <v>198</v>
      </c>
      <c r="X43" s="3" t="s">
        <v>48</v>
      </c>
      <c r="Y43" s="3" t="s">
        <v>199</v>
      </c>
      <c r="Z43" s="3" t="s">
        <v>199</v>
      </c>
      <c r="AA43" s="5">
        <v>4356.62</v>
      </c>
      <c r="AB43" s="3" t="s">
        <v>40</v>
      </c>
      <c r="AC43" s="3" t="s">
        <v>50</v>
      </c>
    </row>
    <row r="44" ht="12" customHeight="1" spans="1:29" x14ac:dyDescent="0.25">
      <c r="A44" s="3" t="s">
        <v>200</v>
      </c>
      <c r="B44" s="4" t="s">
        <v>30</v>
      </c>
      <c r="C44" s="3" t="s">
        <v>31</v>
      </c>
      <c r="D44" s="3" t="s">
        <v>32</v>
      </c>
      <c r="E44" s="3" t="s">
        <v>52</v>
      </c>
      <c r="F44" s="3" t="s">
        <v>34</v>
      </c>
      <c r="G44" s="3" t="s">
        <v>35</v>
      </c>
      <c r="H44" s="3" t="s">
        <v>35</v>
      </c>
      <c r="I44" s="3" t="s">
        <v>87</v>
      </c>
      <c r="J44" s="3" t="s">
        <v>87</v>
      </c>
      <c r="K44" s="3" t="s">
        <v>37</v>
      </c>
      <c r="L44" s="3" t="s">
        <v>38</v>
      </c>
      <c r="M44" s="3" t="s">
        <v>39</v>
      </c>
      <c r="N44" s="3" t="s">
        <v>40</v>
      </c>
      <c r="O44" s="3" t="s">
        <v>41</v>
      </c>
      <c r="P44" s="3" t="s">
        <v>42</v>
      </c>
      <c r="Q44" s="3" t="s">
        <v>88</v>
      </c>
      <c r="R44" s="3" t="s">
        <v>44</v>
      </c>
      <c r="S44" s="3" t="s">
        <v>44</v>
      </c>
      <c r="T44" s="3" t="s">
        <v>45</v>
      </c>
      <c r="U44" s="5"/>
      <c r="V44" s="3" t="s">
        <v>201</v>
      </c>
      <c r="W44" s="3" t="s">
        <v>90</v>
      </c>
      <c r="X44" s="3" t="s">
        <v>48</v>
      </c>
      <c r="Y44" s="3" t="s">
        <v>91</v>
      </c>
      <c r="Z44" s="3" t="s">
        <v>91</v>
      </c>
      <c r="AA44" s="5">
        <v>16917.5</v>
      </c>
      <c r="AB44" s="3" t="s">
        <v>40</v>
      </c>
      <c r="AC44" s="3" t="s">
        <v>92</v>
      </c>
    </row>
    <row r="45" ht="12" customHeight="1" spans="1:29" x14ac:dyDescent="0.25">
      <c r="A45" s="3" t="s">
        <v>202</v>
      </c>
      <c r="B45" s="4" t="s">
        <v>30</v>
      </c>
      <c r="C45" s="3" t="s">
        <v>31</v>
      </c>
      <c r="D45" s="3" t="s">
        <v>32</v>
      </c>
      <c r="E45" s="3" t="s">
        <v>52</v>
      </c>
      <c r="F45" s="3" t="s">
        <v>34</v>
      </c>
      <c r="G45" s="3" t="s">
        <v>35</v>
      </c>
      <c r="H45" s="3" t="s">
        <v>35</v>
      </c>
      <c r="I45" s="3" t="s">
        <v>36</v>
      </c>
      <c r="J45" s="3" t="s">
        <v>36</v>
      </c>
      <c r="K45" s="3" t="s">
        <v>37</v>
      </c>
      <c r="L45" s="3" t="s">
        <v>38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74</v>
      </c>
      <c r="R45" s="3" t="s">
        <v>44</v>
      </c>
      <c r="S45" s="3" t="s">
        <v>44</v>
      </c>
      <c r="T45" s="3" t="s">
        <v>45</v>
      </c>
      <c r="U45" s="5"/>
      <c r="V45" s="3" t="s">
        <v>201</v>
      </c>
      <c r="W45" s="3" t="s">
        <v>76</v>
      </c>
      <c r="X45" s="3" t="s">
        <v>48</v>
      </c>
      <c r="Y45" s="3" t="s">
        <v>77</v>
      </c>
      <c r="Z45" s="3" t="s">
        <v>77</v>
      </c>
      <c r="AA45" s="5">
        <v>25100</v>
      </c>
      <c r="AB45" s="3" t="s">
        <v>40</v>
      </c>
      <c r="AC45" s="3" t="s">
        <v>50</v>
      </c>
    </row>
    <row r="46" ht="12" customHeight="1" spans="1:29" x14ac:dyDescent="0.25">
      <c r="A46" s="3" t="s">
        <v>203</v>
      </c>
      <c r="B46" s="4" t="s">
        <v>30</v>
      </c>
      <c r="C46" s="3" t="s">
        <v>31</v>
      </c>
      <c r="D46" s="3" t="s">
        <v>32</v>
      </c>
      <c r="E46" s="3" t="s">
        <v>52</v>
      </c>
      <c r="F46" s="3" t="s">
        <v>34</v>
      </c>
      <c r="G46" s="3" t="s">
        <v>35</v>
      </c>
      <c r="H46" s="3" t="s">
        <v>35</v>
      </c>
      <c r="I46" s="3" t="s">
        <v>66</v>
      </c>
      <c r="J46" s="3" t="s">
        <v>204</v>
      </c>
      <c r="K46" s="3" t="s">
        <v>37</v>
      </c>
      <c r="L46" s="3" t="s">
        <v>38</v>
      </c>
      <c r="M46" s="3" t="s">
        <v>39</v>
      </c>
      <c r="N46" s="3" t="s">
        <v>40</v>
      </c>
      <c r="O46" s="3" t="s">
        <v>41</v>
      </c>
      <c r="P46" s="3" t="s">
        <v>42</v>
      </c>
      <c r="Q46" s="3" t="s">
        <v>205</v>
      </c>
      <c r="R46" s="3" t="s">
        <v>106</v>
      </c>
      <c r="S46" s="3" t="s">
        <v>44</v>
      </c>
      <c r="T46" s="3" t="s">
        <v>45</v>
      </c>
      <c r="U46" s="5"/>
      <c r="V46" s="3" t="s">
        <v>201</v>
      </c>
      <c r="W46" s="3" t="s">
        <v>206</v>
      </c>
      <c r="X46" s="3" t="s">
        <v>48</v>
      </c>
      <c r="Y46" s="3" t="s">
        <v>207</v>
      </c>
      <c r="Z46" s="3" t="s">
        <v>208</v>
      </c>
      <c r="AA46" s="5">
        <v>15150</v>
      </c>
      <c r="AB46" s="3" t="s">
        <v>40</v>
      </c>
      <c r="AC46" s="3" t="s">
        <v>209</v>
      </c>
    </row>
    <row r="47" ht="12" customHeight="1" spans="1:29" x14ac:dyDescent="0.25">
      <c r="A47" s="3" t="s">
        <v>210</v>
      </c>
      <c r="B47" s="4" t="s">
        <v>30</v>
      </c>
      <c r="C47" s="3" t="s">
        <v>31</v>
      </c>
      <c r="D47" s="3" t="s">
        <v>32</v>
      </c>
      <c r="E47" s="3" t="s">
        <v>52</v>
      </c>
      <c r="F47" s="3" t="s">
        <v>34</v>
      </c>
      <c r="G47" s="3" t="s">
        <v>35</v>
      </c>
      <c r="H47" s="3" t="s">
        <v>35</v>
      </c>
      <c r="I47" s="3" t="s">
        <v>36</v>
      </c>
      <c r="J47" s="3" t="s">
        <v>36</v>
      </c>
      <c r="K47" s="3" t="s">
        <v>37</v>
      </c>
      <c r="L47" s="3" t="s">
        <v>38</v>
      </c>
      <c r="M47" s="3" t="s">
        <v>39</v>
      </c>
      <c r="N47" s="3" t="s">
        <v>40</v>
      </c>
      <c r="O47" s="3" t="s">
        <v>41</v>
      </c>
      <c r="P47" s="3" t="s">
        <v>42</v>
      </c>
      <c r="Q47" s="3" t="s">
        <v>211</v>
      </c>
      <c r="R47" s="3" t="s">
        <v>44</v>
      </c>
      <c r="S47" s="3" t="s">
        <v>44</v>
      </c>
      <c r="T47" s="3" t="s">
        <v>45</v>
      </c>
      <c r="U47" s="5"/>
      <c r="V47" s="3" t="s">
        <v>212</v>
      </c>
      <c r="W47" s="3" t="s">
        <v>189</v>
      </c>
      <c r="X47" s="3" t="s">
        <v>48</v>
      </c>
      <c r="Y47" s="3" t="s">
        <v>97</v>
      </c>
      <c r="Z47" s="3" t="s">
        <v>97</v>
      </c>
      <c r="AA47" s="5">
        <v>7010.26</v>
      </c>
      <c r="AB47" s="3" t="s">
        <v>40</v>
      </c>
      <c r="AC47" s="3" t="s">
        <v>50</v>
      </c>
    </row>
    <row r="48" ht="12" customHeight="1" spans="1:29" x14ac:dyDescent="0.25">
      <c r="A48" s="3" t="s">
        <v>213</v>
      </c>
      <c r="B48" s="4" t="s">
        <v>30</v>
      </c>
      <c r="C48" s="3" t="s">
        <v>31</v>
      </c>
      <c r="D48" s="3" t="s">
        <v>32</v>
      </c>
      <c r="E48" s="3" t="s">
        <v>52</v>
      </c>
      <c r="F48" s="3" t="s">
        <v>34</v>
      </c>
      <c r="G48" s="3" t="s">
        <v>35</v>
      </c>
      <c r="H48" s="3" t="s">
        <v>35</v>
      </c>
      <c r="I48" s="3" t="s">
        <v>36</v>
      </c>
      <c r="J48" s="3" t="s">
        <v>36</v>
      </c>
      <c r="K48" s="3" t="s">
        <v>37</v>
      </c>
      <c r="L48" s="3" t="s">
        <v>38</v>
      </c>
      <c r="M48" s="3" t="s">
        <v>39</v>
      </c>
      <c r="N48" s="3" t="s">
        <v>40</v>
      </c>
      <c r="O48" s="3" t="s">
        <v>41</v>
      </c>
      <c r="P48" s="3" t="s">
        <v>42</v>
      </c>
      <c r="Q48" s="3" t="s">
        <v>214</v>
      </c>
      <c r="R48" s="3" t="s">
        <v>44</v>
      </c>
      <c r="S48" s="3" t="s">
        <v>44</v>
      </c>
      <c r="T48" s="3" t="s">
        <v>45</v>
      </c>
      <c r="U48" s="5"/>
      <c r="V48" s="3" t="s">
        <v>212</v>
      </c>
      <c r="W48" s="3" t="s">
        <v>155</v>
      </c>
      <c r="X48" s="3" t="s">
        <v>48</v>
      </c>
      <c r="Y48" s="3" t="s">
        <v>156</v>
      </c>
      <c r="Z48" s="3" t="s">
        <v>156</v>
      </c>
      <c r="AA48" s="5">
        <v>11606.4</v>
      </c>
      <c r="AB48" s="3" t="s">
        <v>40</v>
      </c>
      <c r="AC48" s="3" t="s">
        <v>50</v>
      </c>
    </row>
    <row r="49" ht="12" customHeight="1" spans="1:29" x14ac:dyDescent="0.25">
      <c r="A49" s="3" t="s">
        <v>215</v>
      </c>
      <c r="B49" s="4" t="s">
        <v>30</v>
      </c>
      <c r="C49" s="3" t="s">
        <v>31</v>
      </c>
      <c r="D49" s="3" t="s">
        <v>32</v>
      </c>
      <c r="E49" s="3" t="s">
        <v>52</v>
      </c>
      <c r="F49" s="3" t="s">
        <v>34</v>
      </c>
      <c r="G49" s="3" t="s">
        <v>35</v>
      </c>
      <c r="H49" s="3" t="s">
        <v>35</v>
      </c>
      <c r="I49" s="3" t="s">
        <v>66</v>
      </c>
      <c r="J49" s="3" t="s">
        <v>204</v>
      </c>
      <c r="K49" s="3" t="s">
        <v>37</v>
      </c>
      <c r="L49" s="3" t="s">
        <v>38</v>
      </c>
      <c r="M49" s="3" t="s">
        <v>39</v>
      </c>
      <c r="N49" s="3" t="s">
        <v>40</v>
      </c>
      <c r="O49" s="3" t="s">
        <v>41</v>
      </c>
      <c r="P49" s="3" t="s">
        <v>42</v>
      </c>
      <c r="Q49" s="3" t="s">
        <v>205</v>
      </c>
      <c r="R49" s="3" t="s">
        <v>106</v>
      </c>
      <c r="S49" s="3" t="s">
        <v>44</v>
      </c>
      <c r="T49" s="3" t="s">
        <v>45</v>
      </c>
      <c r="U49" s="5"/>
      <c r="V49" s="3" t="s">
        <v>216</v>
      </c>
      <c r="W49" s="3" t="s">
        <v>206</v>
      </c>
      <c r="X49" s="3" t="s">
        <v>48</v>
      </c>
      <c r="Y49" s="3" t="s">
        <v>207</v>
      </c>
      <c r="Z49" s="3" t="s">
        <v>208</v>
      </c>
      <c r="AA49" s="5">
        <v>15150</v>
      </c>
      <c r="AB49" s="3" t="s">
        <v>40</v>
      </c>
      <c r="AC49" s="3" t="s">
        <v>209</v>
      </c>
    </row>
    <row r="50" ht="12" customHeight="1" spans="1:29" x14ac:dyDescent="0.25">
      <c r="A50" s="3" t="s">
        <v>217</v>
      </c>
      <c r="B50" s="4" t="s">
        <v>30</v>
      </c>
      <c r="C50" s="3" t="s">
        <v>31</v>
      </c>
      <c r="D50" s="3" t="s">
        <v>32</v>
      </c>
      <c r="E50" s="3" t="s">
        <v>52</v>
      </c>
      <c r="F50" s="3" t="s">
        <v>34</v>
      </c>
      <c r="G50" s="3" t="s">
        <v>35</v>
      </c>
      <c r="H50" s="3" t="s">
        <v>35</v>
      </c>
      <c r="I50" s="3" t="s">
        <v>36</v>
      </c>
      <c r="J50" s="3" t="s">
        <v>36</v>
      </c>
      <c r="K50" s="3" t="s">
        <v>37</v>
      </c>
      <c r="L50" s="3" t="s">
        <v>38</v>
      </c>
      <c r="M50" s="3" t="s">
        <v>39</v>
      </c>
      <c r="N50" s="3" t="s">
        <v>40</v>
      </c>
      <c r="O50" s="3" t="s">
        <v>41</v>
      </c>
      <c r="P50" s="3" t="s">
        <v>42</v>
      </c>
      <c r="Q50" s="3" t="s">
        <v>218</v>
      </c>
      <c r="R50" s="3" t="s">
        <v>44</v>
      </c>
      <c r="S50" s="3" t="s">
        <v>44</v>
      </c>
      <c r="T50" s="3" t="s">
        <v>45</v>
      </c>
      <c r="U50" s="5"/>
      <c r="V50" s="3" t="s">
        <v>219</v>
      </c>
      <c r="W50" s="3" t="s">
        <v>155</v>
      </c>
      <c r="X50" s="3" t="s">
        <v>48</v>
      </c>
      <c r="Y50" s="3" t="s">
        <v>156</v>
      </c>
      <c r="Z50" s="3" t="s">
        <v>156</v>
      </c>
      <c r="AA50" s="5">
        <v>11606.4</v>
      </c>
      <c r="AB50" s="3" t="s">
        <v>40</v>
      </c>
      <c r="AC50" s="3" t="s">
        <v>50</v>
      </c>
    </row>
    <row r="51" ht="12" customHeight="1" spans="1:29" x14ac:dyDescent="0.25">
      <c r="A51" s="3" t="s">
        <v>220</v>
      </c>
      <c r="B51" s="4" t="s">
        <v>30</v>
      </c>
      <c r="C51" s="3" t="s">
        <v>31</v>
      </c>
      <c r="D51" s="3" t="s">
        <v>32</v>
      </c>
      <c r="E51" s="3" t="s">
        <v>52</v>
      </c>
      <c r="F51" s="3" t="s">
        <v>34</v>
      </c>
      <c r="G51" s="3" t="s">
        <v>35</v>
      </c>
      <c r="H51" s="3" t="s">
        <v>35</v>
      </c>
      <c r="I51" s="3" t="s">
        <v>36</v>
      </c>
      <c r="J51" s="3" t="s">
        <v>36</v>
      </c>
      <c r="K51" s="3" t="s">
        <v>37</v>
      </c>
      <c r="L51" s="3" t="s">
        <v>38</v>
      </c>
      <c r="M51" s="3" t="s">
        <v>39</v>
      </c>
      <c r="N51" s="3" t="s">
        <v>40</v>
      </c>
      <c r="O51" s="3" t="s">
        <v>41</v>
      </c>
      <c r="P51" s="3" t="s">
        <v>42</v>
      </c>
      <c r="Q51" s="3" t="s">
        <v>221</v>
      </c>
      <c r="R51" s="3" t="s">
        <v>44</v>
      </c>
      <c r="S51" s="3" t="s">
        <v>44</v>
      </c>
      <c r="T51" s="3" t="s">
        <v>45</v>
      </c>
      <c r="U51" s="5"/>
      <c r="V51" s="3" t="s">
        <v>222</v>
      </c>
      <c r="W51" s="3" t="s">
        <v>223</v>
      </c>
      <c r="X51" s="3" t="s">
        <v>70</v>
      </c>
      <c r="Y51" s="3" t="s">
        <v>224</v>
      </c>
      <c r="Z51" s="3" t="s">
        <v>224</v>
      </c>
      <c r="AA51" s="5">
        <v>9368.02</v>
      </c>
      <c r="AB51" s="3" t="s">
        <v>40</v>
      </c>
      <c r="AC51" s="3" t="s">
        <v>50</v>
      </c>
    </row>
    <row r="52" ht="12" customHeight="1" spans="1:29" x14ac:dyDescent="0.25">
      <c r="A52" s="3" t="s">
        <v>225</v>
      </c>
      <c r="B52" s="4" t="s">
        <v>30</v>
      </c>
      <c r="C52" s="3" t="s">
        <v>31</v>
      </c>
      <c r="D52" s="3" t="s">
        <v>32</v>
      </c>
      <c r="E52" s="3" t="s">
        <v>33</v>
      </c>
      <c r="F52" s="3" t="s">
        <v>34</v>
      </c>
      <c r="G52" s="3" t="s">
        <v>35</v>
      </c>
      <c r="H52" s="3" t="s">
        <v>35</v>
      </c>
      <c r="I52" s="3" t="s">
        <v>36</v>
      </c>
      <c r="J52" s="3" t="s">
        <v>59</v>
      </c>
      <c r="K52" s="3" t="s">
        <v>37</v>
      </c>
      <c r="L52" s="3" t="s">
        <v>38</v>
      </c>
      <c r="M52" s="3" t="s">
        <v>39</v>
      </c>
      <c r="N52" s="3" t="s">
        <v>40</v>
      </c>
      <c r="O52" s="3" t="s">
        <v>41</v>
      </c>
      <c r="P52" s="3" t="s">
        <v>42</v>
      </c>
      <c r="Q52" s="3" t="s">
        <v>60</v>
      </c>
      <c r="R52" s="3" t="s">
        <v>44</v>
      </c>
      <c r="S52" s="3" t="s">
        <v>44</v>
      </c>
      <c r="T52" s="3" t="s">
        <v>45</v>
      </c>
      <c r="U52" s="5"/>
      <c r="V52" s="3" t="s">
        <v>226</v>
      </c>
      <c r="W52" s="3" t="s">
        <v>62</v>
      </c>
      <c r="X52" s="3" t="s">
        <v>48</v>
      </c>
      <c r="Y52" s="3" t="s">
        <v>63</v>
      </c>
      <c r="Z52" s="3" t="s">
        <v>64</v>
      </c>
      <c r="AA52" s="5">
        <v>21900</v>
      </c>
      <c r="AB52" s="3" t="s">
        <v>40</v>
      </c>
      <c r="AC52" s="3" t="s">
        <v>50</v>
      </c>
    </row>
    <row r="53" ht="12" customHeight="1" spans="1:29" x14ac:dyDescent="0.25">
      <c r="A53" s="3" t="s">
        <v>227</v>
      </c>
      <c r="B53" s="4" t="s">
        <v>30</v>
      </c>
      <c r="C53" s="3" t="s">
        <v>31</v>
      </c>
      <c r="D53" s="3" t="s">
        <v>32</v>
      </c>
      <c r="E53" s="3" t="s">
        <v>33</v>
      </c>
      <c r="F53" s="3" t="s">
        <v>34</v>
      </c>
      <c r="G53" s="3" t="s">
        <v>35</v>
      </c>
      <c r="H53" s="3" t="s">
        <v>35</v>
      </c>
      <c r="I53" s="3" t="s">
        <v>36</v>
      </c>
      <c r="J53" s="3" t="s">
        <v>59</v>
      </c>
      <c r="K53" s="3" t="s">
        <v>37</v>
      </c>
      <c r="L53" s="3" t="s">
        <v>38</v>
      </c>
      <c r="M53" s="3" t="s">
        <v>39</v>
      </c>
      <c r="N53" s="3" t="s">
        <v>40</v>
      </c>
      <c r="O53" s="3" t="s">
        <v>41</v>
      </c>
      <c r="P53" s="3" t="s">
        <v>42</v>
      </c>
      <c r="Q53" s="3" t="s">
        <v>60</v>
      </c>
      <c r="R53" s="3" t="s">
        <v>44</v>
      </c>
      <c r="S53" s="3" t="s">
        <v>44</v>
      </c>
      <c r="T53" s="3" t="s">
        <v>45</v>
      </c>
      <c r="U53" s="5"/>
      <c r="V53" s="3" t="s">
        <v>228</v>
      </c>
      <c r="W53" s="3" t="s">
        <v>62</v>
      </c>
      <c r="X53" s="3" t="s">
        <v>48</v>
      </c>
      <c r="Y53" s="3" t="s">
        <v>63</v>
      </c>
      <c r="Z53" s="3" t="s">
        <v>64</v>
      </c>
      <c r="AA53" s="5">
        <v>21900</v>
      </c>
      <c r="AB53" s="3" t="s">
        <v>40</v>
      </c>
      <c r="AC53" s="3" t="s">
        <v>50</v>
      </c>
    </row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6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229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  <c r="K1" s="2" t="s">
        <v>239</v>
      </c>
      <c r="L1" s="2" t="s">
        <v>240</v>
      </c>
      <c r="M1" s="2" t="s">
        <v>241</v>
      </c>
      <c r="N1" s="2" t="s">
        <v>242</v>
      </c>
      <c r="O1" s="2" t="s">
        <v>243</v>
      </c>
      <c r="P1" s="2" t="s">
        <v>244</v>
      </c>
      <c r="Q1" s="2" t="s">
        <v>245</v>
      </c>
      <c r="R1" s="2" t="s">
        <v>246</v>
      </c>
      <c r="S1" s="2" t="s">
        <v>247</v>
      </c>
      <c r="T1" s="2" t="s">
        <v>248</v>
      </c>
      <c r="U1" s="2" t="s">
        <v>249</v>
      </c>
      <c r="V1" s="2" t="s">
        <v>250</v>
      </c>
      <c r="W1" s="2" t="s">
        <v>251</v>
      </c>
      <c r="X1" s="2" t="s">
        <v>252</v>
      </c>
      <c r="Y1" s="2" t="s">
        <v>253</v>
      </c>
      <c r="Z1" s="2" t="s">
        <v>254</v>
      </c>
      <c r="AA1" s="2" t="s">
        <v>22</v>
      </c>
      <c r="AB1" s="2" t="s">
        <v>255</v>
      </c>
      <c r="AC1" s="2" t="s">
        <v>256</v>
      </c>
      <c r="AD1" s="2" t="s">
        <v>257</v>
      </c>
      <c r="AE1" s="2" t="s">
        <v>258</v>
      </c>
      <c r="AF1" s="2" t="s">
        <v>259</v>
      </c>
      <c r="AG1" s="2" t="s">
        <v>260</v>
      </c>
      <c r="AH1" s="2" t="s">
        <v>261</v>
      </c>
      <c r="AI1" s="2" t="s">
        <v>262</v>
      </c>
      <c r="AJ1" s="2" t="s">
        <v>263</v>
      </c>
      <c r="AK1" s="2" t="s">
        <v>264</v>
      </c>
      <c r="AL1" s="2" t="s">
        <v>265</v>
      </c>
      <c r="AM1" s="2" t="s">
        <v>266</v>
      </c>
      <c r="AN1" s="2" t="s">
        <v>267</v>
      </c>
      <c r="AO1" s="2" t="s">
        <v>268</v>
      </c>
      <c r="AP1" s="2" t="s">
        <v>269</v>
      </c>
      <c r="AQ1" s="2" t="s">
        <v>270</v>
      </c>
      <c r="AR1" s="2" t="s">
        <v>271</v>
      </c>
      <c r="AS1" s="2" t="s">
        <v>272</v>
      </c>
      <c r="AT1" s="2" t="s">
        <v>273</v>
      </c>
      <c r="AU1" s="2" t="s">
        <v>274</v>
      </c>
      <c r="AV1" s="2" t="s">
        <v>275</v>
      </c>
      <c r="AW1" s="2" t="s">
        <v>276</v>
      </c>
      <c r="AX1" s="2" t="s">
        <v>277</v>
      </c>
      <c r="AY1" s="2" t="s">
        <v>278</v>
      </c>
      <c r="AZ1" s="2" t="s">
        <v>20</v>
      </c>
      <c r="BA1" s="2" t="s">
        <v>279</v>
      </c>
      <c r="BB1" s="2" t="s">
        <v>280</v>
      </c>
      <c r="BC1" s="2" t="s">
        <v>281</v>
      </c>
      <c r="BD1" s="2" t="s">
        <v>282</v>
      </c>
      <c r="BE1" s="2" t="s">
        <v>283</v>
      </c>
      <c r="BF1" s="2" t="s">
        <v>284</v>
      </c>
      <c r="BG1" s="2" t="s">
        <v>285</v>
      </c>
      <c r="BH1" s="2" t="s">
        <v>286</v>
      </c>
      <c r="BI1" s="2" t="s">
        <v>287</v>
      </c>
      <c r="BJ1" s="2" t="s">
        <v>288</v>
      </c>
      <c r="BK1" s="2" t="s">
        <v>231</v>
      </c>
      <c r="BL1" s="2" t="s">
        <v>289</v>
      </c>
      <c r="BM1" s="2" t="s">
        <v>290</v>
      </c>
      <c r="BN1" s="2" t="s">
        <v>52</v>
      </c>
      <c r="BO1" s="2" t="s">
        <v>291</v>
      </c>
      <c r="BP1" s="2" t="s">
        <v>33</v>
      </c>
      <c r="BQ1" s="2" t="s">
        <v>79</v>
      </c>
      <c r="BR1" s="2" t="s">
        <v>292</v>
      </c>
      <c r="BS1" s="2" t="s">
        <v>293</v>
      </c>
      <c r="BT1" s="2" t="s">
        <v>294</v>
      </c>
      <c r="BU1" s="2" t="s">
        <v>295</v>
      </c>
      <c r="BV1" s="2" t="s">
        <v>296</v>
      </c>
      <c r="BW1" s="2" t="s">
        <v>297</v>
      </c>
      <c r="BX1" s="2" t="s">
        <v>298</v>
      </c>
      <c r="BY1" s="2" t="s">
        <v>299</v>
      </c>
      <c r="BZ1" s="2" t="s">
        <v>300</v>
      </c>
      <c r="CA1" s="2" t="s">
        <v>301</v>
      </c>
      <c r="CB1" s="2" t="s">
        <v>302</v>
      </c>
      <c r="CC1" s="2" t="s">
        <v>303</v>
      </c>
      <c r="CD1" s="2" t="s">
        <v>304</v>
      </c>
      <c r="CE1" s="2" t="s">
        <v>305</v>
      </c>
      <c r="CF1" s="2" t="s">
        <v>306</v>
      </c>
      <c r="CG1" s="2" t="s">
        <v>307</v>
      </c>
      <c r="CH1" s="2" t="s">
        <v>308</v>
      </c>
      <c r="CI1" s="2" t="s">
        <v>309</v>
      </c>
      <c r="CJ1" s="2" t="s">
        <v>22</v>
      </c>
      <c r="CK1" s="2" t="s">
        <v>24</v>
      </c>
      <c r="CL1" s="2" t="s">
        <v>25</v>
      </c>
      <c r="CM1" s="2" t="s">
        <v>310</v>
      </c>
      <c r="CN1" s="2" t="s">
        <v>311</v>
      </c>
      <c r="CO1" s="2" t="s">
        <v>312</v>
      </c>
      <c r="CP1" s="2" t="s">
        <v>313</v>
      </c>
      <c r="CQ1" s="2" t="s">
        <v>314</v>
      </c>
      <c r="CR1" s="2" t="s">
        <v>315</v>
      </c>
      <c r="CS1" s="2" t="s">
        <v>316</v>
      </c>
      <c r="CT1" s="2" t="s">
        <v>317</v>
      </c>
      <c r="CU1" s="2" t="s">
        <v>318</v>
      </c>
      <c r="CV1" s="2" t="s">
        <v>319</v>
      </c>
      <c r="CW1" s="2" t="s">
        <v>320</v>
      </c>
      <c r="CX1" s="2" t="s">
        <v>321</v>
      </c>
      <c r="CY1" s="7" t="s">
        <v>322</v>
      </c>
    </row>
    <row r="2" ht="12" customHeight="1" spans="1:103" x14ac:dyDescent="0.25">
      <c r="A2" s="8" t="s">
        <v>211</v>
      </c>
      <c r="B2" s="3" t="s">
        <v>323</v>
      </c>
      <c r="C2" s="5">
        <v>0</v>
      </c>
      <c r="D2" s="5">
        <v>0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44</v>
      </c>
      <c r="L2" s="3" t="s">
        <v>324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325</v>
      </c>
      <c r="R2" s="4" t="s">
        <v>30</v>
      </c>
      <c r="S2" s="3" t="s">
        <v>36</v>
      </c>
      <c r="T2" s="3" t="s">
        <v>50</v>
      </c>
      <c r="U2" s="3" t="s">
        <v>36</v>
      </c>
      <c r="V2" s="4" t="s">
        <v>326</v>
      </c>
      <c r="W2" s="3" t="s">
        <v>325</v>
      </c>
      <c r="X2" s="5"/>
      <c r="Y2" s="5"/>
      <c r="Z2" s="5"/>
      <c r="AA2" s="3" t="s">
        <v>327</v>
      </c>
      <c r="AB2" s="3" t="s">
        <v>327</v>
      </c>
      <c r="AC2" s="9">
        <v>7010.26</v>
      </c>
      <c r="AD2" s="9">
        <v>9210.26</v>
      </c>
      <c r="AE2" s="3" t="s">
        <v>328</v>
      </c>
      <c r="AF2" s="3" t="s">
        <v>259</v>
      </c>
      <c r="AG2" s="5"/>
      <c r="AH2" s="3" t="s">
        <v>329</v>
      </c>
      <c r="AI2" s="5" t="s">
        <v>328</v>
      </c>
      <c r="AJ2" s="5"/>
      <c r="AK2" s="5"/>
      <c r="AL2" s="5"/>
      <c r="AM2" s="3" t="s">
        <v>330</v>
      </c>
      <c r="AN2" s="3" t="s">
        <v>331</v>
      </c>
      <c r="AO2" s="3" t="s">
        <v>332</v>
      </c>
      <c r="AP2" s="3" t="s">
        <v>333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/>
      <c r="AZ2" s="3" t="s">
        <v>334</v>
      </c>
      <c r="BA2" s="5" t="s">
        <v>335</v>
      </c>
      <c r="BB2" s="3" t="s">
        <v>336</v>
      </c>
      <c r="BC2" s="4" t="s">
        <v>337</v>
      </c>
      <c r="BD2" s="4" t="s">
        <v>338</v>
      </c>
      <c r="BE2" s="3" t="s">
        <v>106</v>
      </c>
      <c r="BF2" s="3" t="s">
        <v>332</v>
      </c>
      <c r="BG2" s="3" t="s">
        <v>339</v>
      </c>
      <c r="BH2" s="3" t="s">
        <v>340</v>
      </c>
      <c r="BI2" s="5"/>
      <c r="BJ2" s="5"/>
      <c r="BK2" s="3" t="s">
        <v>40</v>
      </c>
      <c r="BL2" s="4" t="s">
        <v>338</v>
      </c>
      <c r="BM2" s="10"/>
      <c r="BN2" s="10">
        <v>1</v>
      </c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3" t="s">
        <v>341</v>
      </c>
      <c r="BZ2" s="5"/>
      <c r="CA2" s="3" t="s">
        <v>106</v>
      </c>
      <c r="CB2" s="5"/>
      <c r="CC2" s="3" t="s">
        <v>40</v>
      </c>
      <c r="CD2" s="5"/>
      <c r="CE2" s="5"/>
      <c r="CF2" s="3" t="s">
        <v>342</v>
      </c>
      <c r="CG2" s="3" t="s">
        <v>343</v>
      </c>
      <c r="CH2" s="5"/>
      <c r="CI2" s="3" t="s">
        <v>344</v>
      </c>
      <c r="CJ2" s="3" t="s">
        <v>189</v>
      </c>
      <c r="CK2" s="3" t="s">
        <v>97</v>
      </c>
      <c r="CL2" s="3" t="s">
        <v>97</v>
      </c>
      <c r="CM2" s="5"/>
      <c r="CN2" s="3" t="s">
        <v>345</v>
      </c>
      <c r="CO2" s="3" t="s">
        <v>346</v>
      </c>
      <c r="CP2" s="5"/>
      <c r="CQ2" s="3" t="s">
        <v>347</v>
      </c>
      <c r="CR2" s="3" t="s">
        <v>348</v>
      </c>
      <c r="CS2" s="3" t="s">
        <v>327</v>
      </c>
      <c r="CT2" s="3" t="s">
        <v>44</v>
      </c>
      <c r="CU2" s="5"/>
      <c r="CV2" s="5"/>
      <c r="CW2" s="4" t="s">
        <v>349</v>
      </c>
      <c r="CX2" s="5"/>
      <c r="CY2" s="11"/>
    </row>
    <row r="3" ht="12" customHeight="1" spans="1:103" x14ac:dyDescent="0.25">
      <c r="A3" s="8" t="s">
        <v>117</v>
      </c>
      <c r="B3" s="3" t="s">
        <v>350</v>
      </c>
      <c r="C3" s="5">
        <v>2</v>
      </c>
      <c r="D3" s="5">
        <v>2</v>
      </c>
      <c r="E3" s="5"/>
      <c r="F3" s="5">
        <v>0</v>
      </c>
      <c r="G3" s="5">
        <v>2</v>
      </c>
      <c r="H3" s="5">
        <v>0</v>
      </c>
      <c r="I3" s="5">
        <v>0</v>
      </c>
      <c r="J3" s="5">
        <v>2</v>
      </c>
      <c r="K3" s="3" t="s">
        <v>44</v>
      </c>
      <c r="L3" s="3" t="s">
        <v>324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325</v>
      </c>
      <c r="R3" s="4" t="s">
        <v>30</v>
      </c>
      <c r="S3" s="3" t="s">
        <v>36</v>
      </c>
      <c r="T3" s="3" t="s">
        <v>50</v>
      </c>
      <c r="U3" s="3" t="s">
        <v>116</v>
      </c>
      <c r="V3" s="4" t="s">
        <v>326</v>
      </c>
      <c r="W3" s="3" t="s">
        <v>325</v>
      </c>
      <c r="X3" s="5" t="s">
        <v>351</v>
      </c>
      <c r="Y3" s="5"/>
      <c r="Z3" s="5"/>
      <c r="AA3" s="3" t="s">
        <v>352</v>
      </c>
      <c r="AB3" s="3" t="s">
        <v>352</v>
      </c>
      <c r="AC3" s="9">
        <v>52918</v>
      </c>
      <c r="AD3" s="9">
        <v>57318</v>
      </c>
      <c r="AE3" s="3" t="s">
        <v>328</v>
      </c>
      <c r="AF3" s="3"/>
      <c r="AG3" s="5"/>
      <c r="AH3" s="3" t="s">
        <v>262</v>
      </c>
      <c r="AI3" s="5" t="s">
        <v>328</v>
      </c>
      <c r="AJ3" s="5"/>
      <c r="AK3" s="5"/>
      <c r="AL3" s="5"/>
      <c r="AM3" s="3" t="s">
        <v>353</v>
      </c>
      <c r="AN3" s="3" t="s">
        <v>354</v>
      </c>
      <c r="AO3" s="3" t="s">
        <v>355</v>
      </c>
      <c r="AP3" s="3" t="s">
        <v>333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/>
      <c r="AZ3" s="3" t="s">
        <v>356</v>
      </c>
      <c r="BA3" s="5" t="s">
        <v>357</v>
      </c>
      <c r="BB3" s="3" t="s">
        <v>336</v>
      </c>
      <c r="BC3" s="4" t="s">
        <v>358</v>
      </c>
      <c r="BD3" s="4" t="s">
        <v>359</v>
      </c>
      <c r="BE3" s="3" t="s">
        <v>106</v>
      </c>
      <c r="BF3" s="3" t="s">
        <v>360</v>
      </c>
      <c r="BG3" s="3" t="s">
        <v>339</v>
      </c>
      <c r="BH3" s="3" t="s">
        <v>340</v>
      </c>
      <c r="BI3" s="5"/>
      <c r="BJ3" s="5"/>
      <c r="BK3" s="3" t="s">
        <v>361</v>
      </c>
      <c r="BL3" s="4" t="s">
        <v>362</v>
      </c>
      <c r="BM3" s="10"/>
      <c r="BN3" s="10">
        <v>2</v>
      </c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3" t="s">
        <v>341</v>
      </c>
      <c r="BZ3" s="5"/>
      <c r="CA3" s="3" t="s">
        <v>106</v>
      </c>
      <c r="CB3" s="5"/>
      <c r="CC3" s="3" t="s">
        <v>40</v>
      </c>
      <c r="CD3" s="5"/>
      <c r="CE3" s="5"/>
      <c r="CF3" s="3" t="s">
        <v>342</v>
      </c>
      <c r="CG3" s="3" t="s">
        <v>343</v>
      </c>
      <c r="CH3" s="5"/>
      <c r="CI3" s="3" t="s">
        <v>363</v>
      </c>
      <c r="CJ3" s="3" t="s">
        <v>119</v>
      </c>
      <c r="CK3" s="3" t="s">
        <v>120</v>
      </c>
      <c r="CL3" s="3" t="s">
        <v>120</v>
      </c>
      <c r="CM3" s="5"/>
      <c r="CN3" s="3" t="s">
        <v>345</v>
      </c>
      <c r="CO3" s="3" t="s">
        <v>346</v>
      </c>
      <c r="CP3" s="5"/>
      <c r="CQ3" s="3" t="s">
        <v>364</v>
      </c>
      <c r="CR3" s="3" t="s">
        <v>365</v>
      </c>
      <c r="CS3" s="3" t="s">
        <v>352</v>
      </c>
      <c r="CT3" s="3" t="s">
        <v>44</v>
      </c>
      <c r="CU3" s="5"/>
      <c r="CV3" s="5"/>
      <c r="CW3" s="4" t="s">
        <v>359</v>
      </c>
      <c r="CX3" s="5"/>
      <c r="CY3" s="11"/>
    </row>
    <row r="4" ht="12" customHeight="1" spans="1:103" x14ac:dyDescent="0.25">
      <c r="A4" s="8" t="s">
        <v>182</v>
      </c>
      <c r="B4" s="3" t="s">
        <v>323</v>
      </c>
      <c r="C4" s="5">
        <v>1</v>
      </c>
      <c r="D4" s="5">
        <v>1</v>
      </c>
      <c r="E4" s="5"/>
      <c r="F4" s="5">
        <v>0</v>
      </c>
      <c r="G4" s="5">
        <v>1</v>
      </c>
      <c r="H4" s="5">
        <v>0</v>
      </c>
      <c r="I4" s="5">
        <v>0</v>
      </c>
      <c r="J4" s="5">
        <v>1</v>
      </c>
      <c r="K4" s="3" t="s">
        <v>44</v>
      </c>
      <c r="L4" s="3" t="s">
        <v>324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325</v>
      </c>
      <c r="R4" s="4" t="s">
        <v>30</v>
      </c>
      <c r="S4" s="3" t="s">
        <v>36</v>
      </c>
      <c r="T4" s="3" t="s">
        <v>50</v>
      </c>
      <c r="U4" s="3" t="s">
        <v>36</v>
      </c>
      <c r="V4" s="4" t="s">
        <v>326</v>
      </c>
      <c r="W4" s="3" t="s">
        <v>325</v>
      </c>
      <c r="X4" s="5"/>
      <c r="Y4" s="5"/>
      <c r="Z4" s="5"/>
      <c r="AA4" s="3" t="s">
        <v>366</v>
      </c>
      <c r="AB4" s="3" t="s">
        <v>367</v>
      </c>
      <c r="AC4" s="9">
        <v>1274.73</v>
      </c>
      <c r="AD4" s="9">
        <v>3474.73</v>
      </c>
      <c r="AE4" s="3" t="s">
        <v>328</v>
      </c>
      <c r="AF4" s="3" t="s">
        <v>259</v>
      </c>
      <c r="AG4" s="5"/>
      <c r="AH4" s="3" t="s">
        <v>262</v>
      </c>
      <c r="AI4" s="5" t="s">
        <v>328</v>
      </c>
      <c r="AJ4" s="5"/>
      <c r="AK4" s="5"/>
      <c r="AL4" s="5"/>
      <c r="AM4" s="3" t="s">
        <v>368</v>
      </c>
      <c r="AN4" s="3" t="s">
        <v>369</v>
      </c>
      <c r="AO4" s="3" t="s">
        <v>370</v>
      </c>
      <c r="AP4" s="3" t="s">
        <v>333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/>
      <c r="AZ4" s="3" t="s">
        <v>371</v>
      </c>
      <c r="BA4" s="5" t="s">
        <v>372</v>
      </c>
      <c r="BB4" s="3" t="s">
        <v>336</v>
      </c>
      <c r="BC4" s="4" t="s">
        <v>373</v>
      </c>
      <c r="BD4" s="4" t="s">
        <v>337</v>
      </c>
      <c r="BE4" s="3" t="s">
        <v>106</v>
      </c>
      <c r="BF4" s="3" t="s">
        <v>370</v>
      </c>
      <c r="BG4" s="3" t="s">
        <v>339</v>
      </c>
      <c r="BH4" s="3" t="s">
        <v>340</v>
      </c>
      <c r="BI4" s="5"/>
      <c r="BJ4" s="5"/>
      <c r="BK4" s="3" t="s">
        <v>361</v>
      </c>
      <c r="BL4" s="4" t="s">
        <v>358</v>
      </c>
      <c r="BM4" s="10"/>
      <c r="BN4" s="10">
        <v>1</v>
      </c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3" t="s">
        <v>341</v>
      </c>
      <c r="BZ4" s="5"/>
      <c r="CA4" s="3" t="s">
        <v>106</v>
      </c>
      <c r="CB4" s="5"/>
      <c r="CC4" s="3" t="s">
        <v>40</v>
      </c>
      <c r="CD4" s="5"/>
      <c r="CE4" s="5"/>
      <c r="CF4" s="3" t="s">
        <v>342</v>
      </c>
      <c r="CG4" s="3" t="s">
        <v>343</v>
      </c>
      <c r="CH4" s="5"/>
      <c r="CI4" s="3" t="s">
        <v>374</v>
      </c>
      <c r="CJ4" s="3" t="s">
        <v>183</v>
      </c>
      <c r="CK4" s="3" t="s">
        <v>184</v>
      </c>
      <c r="CL4" s="3" t="s">
        <v>184</v>
      </c>
      <c r="CM4" s="5"/>
      <c r="CN4" s="3" t="s">
        <v>345</v>
      </c>
      <c r="CO4" s="3" t="s">
        <v>346</v>
      </c>
      <c r="CP4" s="5"/>
      <c r="CQ4" s="3" t="s">
        <v>375</v>
      </c>
      <c r="CR4" s="3" t="s">
        <v>376</v>
      </c>
      <c r="CS4" s="3" t="s">
        <v>366</v>
      </c>
      <c r="CT4" s="3" t="s">
        <v>44</v>
      </c>
      <c r="CU4" s="5"/>
      <c r="CV4" s="5"/>
      <c r="CW4" s="4" t="s">
        <v>359</v>
      </c>
      <c r="CX4" s="5"/>
      <c r="CY4" s="11"/>
    </row>
    <row r="5" ht="12" customHeight="1" spans="1:103" x14ac:dyDescent="0.25">
      <c r="A5" s="8" t="s">
        <v>377</v>
      </c>
      <c r="B5" s="3" t="s">
        <v>378</v>
      </c>
      <c r="C5" s="5">
        <v>0</v>
      </c>
      <c r="D5" s="5">
        <v>0</v>
      </c>
      <c r="E5" s="5"/>
      <c r="F5" s="5">
        <v>0</v>
      </c>
      <c r="G5" s="5">
        <v>0</v>
      </c>
      <c r="H5" s="5">
        <v>0</v>
      </c>
      <c r="I5" s="5">
        <v>0</v>
      </c>
      <c r="J5" s="5">
        <v>0</v>
      </c>
      <c r="K5" s="3" t="s">
        <v>44</v>
      </c>
      <c r="L5" s="3" t="s">
        <v>324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325</v>
      </c>
      <c r="R5" s="4" t="s">
        <v>30</v>
      </c>
      <c r="S5" s="3" t="s">
        <v>36</v>
      </c>
      <c r="T5" s="3" t="s">
        <v>50</v>
      </c>
      <c r="U5" s="3" t="s">
        <v>36</v>
      </c>
      <c r="V5" s="4" t="s">
        <v>326</v>
      </c>
      <c r="W5" s="3" t="s">
        <v>325</v>
      </c>
      <c r="X5" s="5"/>
      <c r="Y5" s="5"/>
      <c r="Z5" s="5"/>
      <c r="AA5" s="3" t="s">
        <v>379</v>
      </c>
      <c r="AB5" s="3" t="s">
        <v>380</v>
      </c>
      <c r="AC5" s="9">
        <v>223</v>
      </c>
      <c r="AD5" s="9">
        <v>223</v>
      </c>
      <c r="AE5" s="3" t="s">
        <v>381</v>
      </c>
      <c r="AF5" s="3" t="s">
        <v>259</v>
      </c>
      <c r="AG5" s="5"/>
      <c r="AH5" s="3" t="s">
        <v>262</v>
      </c>
      <c r="AI5" s="5" t="s">
        <v>328</v>
      </c>
      <c r="AJ5" s="5"/>
      <c r="AK5" s="5"/>
      <c r="AL5" s="5"/>
      <c r="AM5" s="3" t="s">
        <v>382</v>
      </c>
      <c r="AN5" s="3" t="s">
        <v>383</v>
      </c>
      <c r="AO5" s="3" t="s">
        <v>384</v>
      </c>
      <c r="AP5" s="3" t="s">
        <v>385</v>
      </c>
      <c r="AQ5" s="5"/>
      <c r="AR5" s="5"/>
      <c r="AS5" s="5" t="s">
        <v>386</v>
      </c>
      <c r="AT5" s="5" t="s">
        <v>387</v>
      </c>
      <c r="AU5" s="5"/>
      <c r="AV5" s="5"/>
      <c r="AW5" s="5">
        <v>0</v>
      </c>
      <c r="AX5" s="3" t="s">
        <v>44</v>
      </c>
      <c r="AY5" s="5"/>
      <c r="AZ5" s="3" t="s">
        <v>388</v>
      </c>
      <c r="BA5" s="5" t="s">
        <v>389</v>
      </c>
      <c r="BB5" s="3" t="s">
        <v>336</v>
      </c>
      <c r="BC5" s="4" t="s">
        <v>373</v>
      </c>
      <c r="BD5" s="4" t="s">
        <v>337</v>
      </c>
      <c r="BE5" s="3" t="s">
        <v>106</v>
      </c>
      <c r="BF5" s="3" t="s">
        <v>390</v>
      </c>
      <c r="BG5" s="3" t="s">
        <v>339</v>
      </c>
      <c r="BH5" s="3" t="s">
        <v>340</v>
      </c>
      <c r="BI5" s="5"/>
      <c r="BJ5" s="5"/>
      <c r="BK5" s="3" t="s">
        <v>361</v>
      </c>
      <c r="BL5" s="4" t="s">
        <v>362</v>
      </c>
      <c r="BM5" s="10"/>
      <c r="BN5" s="10"/>
      <c r="BO5" s="10"/>
      <c r="BP5" s="10"/>
      <c r="BQ5" s="10">
        <v>0</v>
      </c>
      <c r="BR5" s="10"/>
      <c r="BS5" s="10"/>
      <c r="BT5" s="10"/>
      <c r="BU5" s="10"/>
      <c r="BV5" s="10"/>
      <c r="BW5" s="10"/>
      <c r="BX5" s="10"/>
      <c r="BY5" s="3" t="s">
        <v>341</v>
      </c>
      <c r="BZ5" s="5"/>
      <c r="CA5" s="3"/>
      <c r="CB5" s="5"/>
      <c r="CC5" s="3" t="s">
        <v>40</v>
      </c>
      <c r="CD5" s="5"/>
      <c r="CE5" s="5"/>
      <c r="CF5" s="3" t="s">
        <v>342</v>
      </c>
      <c r="CG5" s="3" t="s">
        <v>343</v>
      </c>
      <c r="CH5" s="5"/>
      <c r="CI5" s="3" t="s">
        <v>391</v>
      </c>
      <c r="CJ5" s="3" t="s">
        <v>392</v>
      </c>
      <c r="CK5" s="3" t="s">
        <v>199</v>
      </c>
      <c r="CL5" s="3" t="s">
        <v>199</v>
      </c>
      <c r="CM5" s="5"/>
      <c r="CN5" s="3" t="s">
        <v>345</v>
      </c>
      <c r="CO5" s="3" t="s">
        <v>346</v>
      </c>
      <c r="CP5" s="5" t="s">
        <v>393</v>
      </c>
      <c r="CQ5" s="3" t="s">
        <v>394</v>
      </c>
      <c r="CR5" s="3" t="s">
        <v>395</v>
      </c>
      <c r="CS5" s="3" t="s">
        <v>379</v>
      </c>
      <c r="CT5" s="3" t="s">
        <v>44</v>
      </c>
      <c r="CU5" s="5"/>
      <c r="CV5" s="5"/>
      <c r="CW5" s="4" t="s">
        <v>359</v>
      </c>
      <c r="CX5" s="5"/>
      <c r="CY5" s="11"/>
    </row>
    <row r="6" ht="12" customHeight="1" spans="1:103" x14ac:dyDescent="0.25">
      <c r="A6" s="8" t="s">
        <v>144</v>
      </c>
      <c r="B6" s="3" t="s">
        <v>323</v>
      </c>
      <c r="C6" s="5">
        <v>1</v>
      </c>
      <c r="D6" s="5">
        <v>1</v>
      </c>
      <c r="E6" s="5"/>
      <c r="F6" s="5">
        <v>0</v>
      </c>
      <c r="G6" s="5">
        <v>1</v>
      </c>
      <c r="H6" s="5">
        <v>0</v>
      </c>
      <c r="I6" s="5">
        <v>0</v>
      </c>
      <c r="J6" s="5">
        <v>1</v>
      </c>
      <c r="K6" s="3" t="s">
        <v>44</v>
      </c>
      <c r="L6" s="3" t="s">
        <v>324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325</v>
      </c>
      <c r="R6" s="4" t="s">
        <v>30</v>
      </c>
      <c r="S6" s="3" t="s">
        <v>36</v>
      </c>
      <c r="T6" s="3" t="s">
        <v>50</v>
      </c>
      <c r="U6" s="3" t="s">
        <v>36</v>
      </c>
      <c r="V6" s="4" t="s">
        <v>326</v>
      </c>
      <c r="W6" s="3" t="s">
        <v>325</v>
      </c>
      <c r="X6" s="5"/>
      <c r="Y6" s="5"/>
      <c r="Z6" s="5"/>
      <c r="AA6" s="3" t="s">
        <v>396</v>
      </c>
      <c r="AB6" s="3" t="s">
        <v>397</v>
      </c>
      <c r="AC6" s="9">
        <v>1306.8</v>
      </c>
      <c r="AD6" s="9">
        <v>3506.8</v>
      </c>
      <c r="AE6" s="3" t="s">
        <v>328</v>
      </c>
      <c r="AF6" s="3"/>
      <c r="AG6" s="5"/>
      <c r="AH6" s="3" t="s">
        <v>262</v>
      </c>
      <c r="AI6" s="5" t="s">
        <v>328</v>
      </c>
      <c r="AJ6" s="5"/>
      <c r="AK6" s="5"/>
      <c r="AL6" s="5"/>
      <c r="AM6" s="3" t="s">
        <v>398</v>
      </c>
      <c r="AN6" s="3" t="s">
        <v>399</v>
      </c>
      <c r="AO6" s="3" t="s">
        <v>400</v>
      </c>
      <c r="AP6" s="3" t="s">
        <v>333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/>
      <c r="AZ6" s="3" t="s">
        <v>401</v>
      </c>
      <c r="BA6" s="5"/>
      <c r="BB6" s="3" t="s">
        <v>336</v>
      </c>
      <c r="BC6" s="4" t="s">
        <v>402</v>
      </c>
      <c r="BD6" s="4" t="s">
        <v>358</v>
      </c>
      <c r="BE6" s="3" t="s">
        <v>106</v>
      </c>
      <c r="BF6" s="3" t="s">
        <v>403</v>
      </c>
      <c r="BG6" s="3" t="s">
        <v>339</v>
      </c>
      <c r="BH6" s="3" t="s">
        <v>340</v>
      </c>
      <c r="BI6" s="5"/>
      <c r="BJ6" s="5"/>
      <c r="BK6" s="3" t="s">
        <v>361</v>
      </c>
      <c r="BL6" s="4" t="s">
        <v>373</v>
      </c>
      <c r="BM6" s="10"/>
      <c r="BN6" s="10">
        <v>1</v>
      </c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3" t="s">
        <v>341</v>
      </c>
      <c r="BZ6" s="5"/>
      <c r="CA6" s="3" t="s">
        <v>106</v>
      </c>
      <c r="CB6" s="5"/>
      <c r="CC6" s="3" t="s">
        <v>40</v>
      </c>
      <c r="CD6" s="5"/>
      <c r="CE6" s="5"/>
      <c r="CF6" s="3" t="s">
        <v>342</v>
      </c>
      <c r="CG6" s="3" t="s">
        <v>343</v>
      </c>
      <c r="CH6" s="5"/>
      <c r="CI6" s="3" t="s">
        <v>404</v>
      </c>
      <c r="CJ6" s="3" t="s">
        <v>145</v>
      </c>
      <c r="CK6" s="3" t="s">
        <v>146</v>
      </c>
      <c r="CL6" s="3" t="s">
        <v>147</v>
      </c>
      <c r="CM6" s="5"/>
      <c r="CN6" s="3" t="s">
        <v>345</v>
      </c>
      <c r="CO6" s="3" t="s">
        <v>346</v>
      </c>
      <c r="CP6" s="5"/>
      <c r="CQ6" s="3" t="s">
        <v>405</v>
      </c>
      <c r="CR6" s="3" t="s">
        <v>406</v>
      </c>
      <c r="CS6" s="3" t="s">
        <v>396</v>
      </c>
      <c r="CT6" s="3" t="s">
        <v>44</v>
      </c>
      <c r="CU6" s="5"/>
      <c r="CV6" s="5"/>
      <c r="CW6" s="4" t="s">
        <v>359</v>
      </c>
      <c r="CX6" s="5" t="s">
        <v>407</v>
      </c>
      <c r="CY6" s="11"/>
    </row>
    <row r="7" ht="12" customHeight="1" spans="1:103" x14ac:dyDescent="0.25">
      <c r="A7" s="8" t="s">
        <v>149</v>
      </c>
      <c r="B7" s="3" t="s">
        <v>323</v>
      </c>
      <c r="C7" s="5">
        <v>1</v>
      </c>
      <c r="D7" s="5">
        <v>1</v>
      </c>
      <c r="E7" s="5"/>
      <c r="F7" s="5">
        <v>0</v>
      </c>
      <c r="G7" s="5">
        <v>1</v>
      </c>
      <c r="H7" s="5">
        <v>0</v>
      </c>
      <c r="I7" s="5">
        <v>0</v>
      </c>
      <c r="J7" s="5">
        <v>1</v>
      </c>
      <c r="K7" s="3" t="s">
        <v>44</v>
      </c>
      <c r="L7" s="3" t="s">
        <v>324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325</v>
      </c>
      <c r="R7" s="4" t="s">
        <v>30</v>
      </c>
      <c r="S7" s="3" t="s">
        <v>104</v>
      </c>
      <c r="T7" s="3" t="s">
        <v>110</v>
      </c>
      <c r="U7" s="3" t="s">
        <v>104</v>
      </c>
      <c r="V7" s="4" t="s">
        <v>408</v>
      </c>
      <c r="W7" s="3" t="s">
        <v>409</v>
      </c>
      <c r="X7" s="5"/>
      <c r="Y7" s="5" t="s">
        <v>72</v>
      </c>
      <c r="Z7" s="5" t="s">
        <v>66</v>
      </c>
      <c r="AA7" s="3" t="s">
        <v>150</v>
      </c>
      <c r="AB7" s="3" t="s">
        <v>150</v>
      </c>
      <c r="AC7" s="9">
        <v>22410</v>
      </c>
      <c r="AD7" s="9">
        <v>24610</v>
      </c>
      <c r="AE7" s="3" t="s">
        <v>328</v>
      </c>
      <c r="AF7" s="3"/>
      <c r="AG7" s="5"/>
      <c r="AH7" s="3" t="s">
        <v>262</v>
      </c>
      <c r="AI7" s="5"/>
      <c r="AJ7" s="5"/>
      <c r="AK7" s="5"/>
      <c r="AL7" s="5"/>
      <c r="AM7" s="3" t="s">
        <v>410</v>
      </c>
      <c r="AN7" s="3" t="s">
        <v>411</v>
      </c>
      <c r="AO7" s="3" t="s">
        <v>412</v>
      </c>
      <c r="AP7" s="3" t="s">
        <v>333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/>
      <c r="AZ7" s="3" t="s">
        <v>413</v>
      </c>
      <c r="BA7" s="5" t="s">
        <v>414</v>
      </c>
      <c r="BB7" s="3" t="s">
        <v>415</v>
      </c>
      <c r="BC7" s="4" t="s">
        <v>402</v>
      </c>
      <c r="BD7" s="4" t="s">
        <v>359</v>
      </c>
      <c r="BE7" s="3" t="s">
        <v>106</v>
      </c>
      <c r="BF7" s="3" t="s">
        <v>416</v>
      </c>
      <c r="BG7" s="3" t="s">
        <v>339</v>
      </c>
      <c r="BH7" s="3" t="s">
        <v>340</v>
      </c>
      <c r="BI7" s="5"/>
      <c r="BJ7" s="5"/>
      <c r="BK7" s="3" t="s">
        <v>361</v>
      </c>
      <c r="BL7" s="4" t="s">
        <v>358</v>
      </c>
      <c r="BM7" s="10"/>
      <c r="BN7" s="10">
        <v>1</v>
      </c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3" t="s">
        <v>341</v>
      </c>
      <c r="BZ7" s="5">
        <v>1</v>
      </c>
      <c r="CA7" s="3"/>
      <c r="CB7" s="5"/>
      <c r="CC7" s="3" t="s">
        <v>40</v>
      </c>
      <c r="CD7" s="5"/>
      <c r="CE7" s="5"/>
      <c r="CF7" s="3" t="s">
        <v>342</v>
      </c>
      <c r="CG7" s="3" t="s">
        <v>343</v>
      </c>
      <c r="CH7" s="5" t="s">
        <v>417</v>
      </c>
      <c r="CI7" s="3" t="s">
        <v>418</v>
      </c>
      <c r="CJ7" s="3" t="s">
        <v>150</v>
      </c>
      <c r="CK7" s="3" t="s">
        <v>151</v>
      </c>
      <c r="CL7" s="3" t="s">
        <v>152</v>
      </c>
      <c r="CM7" s="5"/>
      <c r="CN7" s="3" t="s">
        <v>345</v>
      </c>
      <c r="CO7" s="3" t="s">
        <v>346</v>
      </c>
      <c r="CP7" s="5"/>
      <c r="CQ7" s="3" t="s">
        <v>419</v>
      </c>
      <c r="CR7" s="3" t="s">
        <v>420</v>
      </c>
      <c r="CS7" s="3" t="s">
        <v>150</v>
      </c>
      <c r="CT7" s="3" t="s">
        <v>44</v>
      </c>
      <c r="CU7" s="5"/>
      <c r="CV7" s="5"/>
      <c r="CW7" s="4" t="s">
        <v>359</v>
      </c>
      <c r="CX7" s="5" t="s">
        <v>421</v>
      </c>
      <c r="CY7" s="11"/>
    </row>
    <row r="8" ht="12" customHeight="1" spans="1:103" x14ac:dyDescent="0.25">
      <c r="A8" s="8" t="s">
        <v>43</v>
      </c>
      <c r="B8" s="3" t="s">
        <v>422</v>
      </c>
      <c r="C8" s="5">
        <v>1</v>
      </c>
      <c r="D8" s="5">
        <v>1</v>
      </c>
      <c r="E8" s="5"/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44</v>
      </c>
      <c r="L8" s="3" t="s">
        <v>324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325</v>
      </c>
      <c r="R8" s="4" t="s">
        <v>30</v>
      </c>
      <c r="S8" s="3" t="s">
        <v>36</v>
      </c>
      <c r="T8" s="3" t="s">
        <v>50</v>
      </c>
      <c r="U8" s="3" t="s">
        <v>36</v>
      </c>
      <c r="V8" s="4" t="s">
        <v>326</v>
      </c>
      <c r="W8" s="3" t="s">
        <v>325</v>
      </c>
      <c r="X8" s="5"/>
      <c r="Y8" s="5"/>
      <c r="Z8" s="5"/>
      <c r="AA8" s="3" t="s">
        <v>423</v>
      </c>
      <c r="AB8" s="3" t="s">
        <v>424</v>
      </c>
      <c r="AC8" s="9">
        <v>21450</v>
      </c>
      <c r="AD8" s="9">
        <v>25450</v>
      </c>
      <c r="AE8" s="3" t="s">
        <v>328</v>
      </c>
      <c r="AF8" s="3"/>
      <c r="AG8" s="5"/>
      <c r="AH8" s="3" t="s">
        <v>262</v>
      </c>
      <c r="AI8" s="5"/>
      <c r="AJ8" s="5"/>
      <c r="AK8" s="5"/>
      <c r="AL8" s="5"/>
      <c r="AM8" s="3" t="s">
        <v>425</v>
      </c>
      <c r="AN8" s="3" t="s">
        <v>426</v>
      </c>
      <c r="AO8" s="3" t="s">
        <v>427</v>
      </c>
      <c r="AP8" s="3" t="s">
        <v>428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/>
      <c r="AZ8" s="3" t="s">
        <v>429</v>
      </c>
      <c r="BA8" s="5"/>
      <c r="BB8" s="3" t="s">
        <v>336</v>
      </c>
      <c r="BC8" s="4" t="s">
        <v>430</v>
      </c>
      <c r="BD8" s="4" t="s">
        <v>359</v>
      </c>
      <c r="BE8" s="3" t="s">
        <v>106</v>
      </c>
      <c r="BF8" s="3" t="s">
        <v>427</v>
      </c>
      <c r="BG8" s="3" t="s">
        <v>339</v>
      </c>
      <c r="BH8" s="3" t="s">
        <v>340</v>
      </c>
      <c r="BI8" s="5"/>
      <c r="BJ8" s="5"/>
      <c r="BK8" s="3" t="s">
        <v>361</v>
      </c>
      <c r="BL8" s="4" t="s">
        <v>362</v>
      </c>
      <c r="BM8" s="10"/>
      <c r="BN8" s="10"/>
      <c r="BO8" s="10"/>
      <c r="BP8" s="10">
        <v>1</v>
      </c>
      <c r="BQ8" s="10"/>
      <c r="BR8" s="10"/>
      <c r="BS8" s="10"/>
      <c r="BT8" s="10"/>
      <c r="BU8" s="10"/>
      <c r="BV8" s="10"/>
      <c r="BW8" s="10"/>
      <c r="BX8" s="10"/>
      <c r="BY8" s="3" t="s">
        <v>341</v>
      </c>
      <c r="BZ8" s="5"/>
      <c r="CA8" s="3" t="s">
        <v>106</v>
      </c>
      <c r="CB8" s="5"/>
      <c r="CC8" s="3" t="s">
        <v>40</v>
      </c>
      <c r="CD8" s="5"/>
      <c r="CE8" s="5"/>
      <c r="CF8" s="3" t="s">
        <v>342</v>
      </c>
      <c r="CG8" s="3" t="s">
        <v>343</v>
      </c>
      <c r="CH8" s="5"/>
      <c r="CI8" s="3" t="s">
        <v>431</v>
      </c>
      <c r="CJ8" s="3" t="s">
        <v>47</v>
      </c>
      <c r="CK8" s="3" t="s">
        <v>49</v>
      </c>
      <c r="CL8" s="3" t="s">
        <v>49</v>
      </c>
      <c r="CM8" s="5"/>
      <c r="CN8" s="3" t="s">
        <v>345</v>
      </c>
      <c r="CO8" s="3" t="s">
        <v>346</v>
      </c>
      <c r="CP8" s="5"/>
      <c r="CQ8" s="3" t="s">
        <v>432</v>
      </c>
      <c r="CR8" s="3" t="s">
        <v>433</v>
      </c>
      <c r="CS8" s="3" t="s">
        <v>423</v>
      </c>
      <c r="CT8" s="3" t="s">
        <v>44</v>
      </c>
      <c r="CU8" s="5"/>
      <c r="CV8" s="5"/>
      <c r="CW8" s="4" t="s">
        <v>359</v>
      </c>
      <c r="CX8" s="5"/>
      <c r="CY8" s="11"/>
    </row>
    <row r="9" ht="12" customHeight="1" spans="1:103" x14ac:dyDescent="0.25">
      <c r="A9" s="8" t="s">
        <v>187</v>
      </c>
      <c r="B9" s="3" t="s">
        <v>323</v>
      </c>
      <c r="C9" s="5">
        <v>0</v>
      </c>
      <c r="D9" s="5">
        <v>0</v>
      </c>
      <c r="E9" s="5"/>
      <c r="F9" s="5">
        <v>0</v>
      </c>
      <c r="G9" s="5">
        <v>1</v>
      </c>
      <c r="H9" s="5">
        <v>0</v>
      </c>
      <c r="I9" s="5">
        <v>0</v>
      </c>
      <c r="J9" s="5">
        <v>1</v>
      </c>
      <c r="K9" s="3" t="s">
        <v>44</v>
      </c>
      <c r="L9" s="3" t="s">
        <v>324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325</v>
      </c>
      <c r="R9" s="4" t="s">
        <v>30</v>
      </c>
      <c r="S9" s="3" t="s">
        <v>36</v>
      </c>
      <c r="T9" s="3" t="s">
        <v>50</v>
      </c>
      <c r="U9" s="3" t="s">
        <v>36</v>
      </c>
      <c r="V9" s="4" t="s">
        <v>326</v>
      </c>
      <c r="W9" s="3" t="s">
        <v>325</v>
      </c>
      <c r="X9" s="5"/>
      <c r="Y9" s="5"/>
      <c r="Z9" s="5"/>
      <c r="AA9" s="3" t="s">
        <v>327</v>
      </c>
      <c r="AB9" s="3" t="s">
        <v>434</v>
      </c>
      <c r="AC9" s="9">
        <v>5718.91</v>
      </c>
      <c r="AD9" s="9">
        <v>7918.91</v>
      </c>
      <c r="AE9" s="3" t="s">
        <v>328</v>
      </c>
      <c r="AF9" s="3"/>
      <c r="AG9" s="5"/>
      <c r="AH9" s="3" t="s">
        <v>262</v>
      </c>
      <c r="AI9" s="5" t="s">
        <v>328</v>
      </c>
      <c r="AJ9" s="5"/>
      <c r="AK9" s="5"/>
      <c r="AL9" s="5"/>
      <c r="AM9" s="3" t="s">
        <v>435</v>
      </c>
      <c r="AN9" s="3" t="s">
        <v>436</v>
      </c>
      <c r="AO9" s="3" t="s">
        <v>437</v>
      </c>
      <c r="AP9" s="3" t="s">
        <v>333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438</v>
      </c>
      <c r="BA9" s="5"/>
      <c r="BB9" s="3" t="s">
        <v>336</v>
      </c>
      <c r="BC9" s="4" t="s">
        <v>430</v>
      </c>
      <c r="BD9" s="4" t="s">
        <v>402</v>
      </c>
      <c r="BE9" s="3" t="s">
        <v>106</v>
      </c>
      <c r="BF9" s="3" t="s">
        <v>437</v>
      </c>
      <c r="BG9" s="3" t="s">
        <v>339</v>
      </c>
      <c r="BH9" s="3" t="s">
        <v>340</v>
      </c>
      <c r="BI9" s="5"/>
      <c r="BJ9" s="5"/>
      <c r="BK9" s="3" t="s">
        <v>40</v>
      </c>
      <c r="BL9" s="4" t="s">
        <v>337</v>
      </c>
      <c r="BM9" s="10"/>
      <c r="BN9" s="10">
        <v>1</v>
      </c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3" t="s">
        <v>341</v>
      </c>
      <c r="BZ9" s="5"/>
      <c r="CA9" s="3" t="s">
        <v>106</v>
      </c>
      <c r="CB9" s="5"/>
      <c r="CC9" s="3" t="s">
        <v>40</v>
      </c>
      <c r="CD9" s="5"/>
      <c r="CE9" s="5"/>
      <c r="CF9" s="3" t="s">
        <v>342</v>
      </c>
      <c r="CG9" s="3" t="s">
        <v>439</v>
      </c>
      <c r="CH9" s="5"/>
      <c r="CI9" s="3" t="s">
        <v>440</v>
      </c>
      <c r="CJ9" s="3" t="s">
        <v>189</v>
      </c>
      <c r="CK9" s="3" t="s">
        <v>97</v>
      </c>
      <c r="CL9" s="3" t="s">
        <v>97</v>
      </c>
      <c r="CM9" s="5"/>
      <c r="CN9" s="3" t="s">
        <v>345</v>
      </c>
      <c r="CO9" s="3" t="s">
        <v>346</v>
      </c>
      <c r="CP9" s="5"/>
      <c r="CQ9" s="3" t="s">
        <v>441</v>
      </c>
      <c r="CR9" s="3" t="s">
        <v>348</v>
      </c>
      <c r="CS9" s="3" t="s">
        <v>327</v>
      </c>
      <c r="CT9" s="3" t="s">
        <v>44</v>
      </c>
      <c r="CU9" s="5"/>
      <c r="CV9" s="5"/>
      <c r="CW9" s="4" t="s">
        <v>359</v>
      </c>
      <c r="CX9" s="5"/>
      <c r="CY9" s="11"/>
    </row>
    <row r="10" ht="12" customHeight="1" spans="1:103" x14ac:dyDescent="0.25">
      <c r="A10" s="8" t="s">
        <v>163</v>
      </c>
      <c r="B10" s="3" t="s">
        <v>323</v>
      </c>
      <c r="C10" s="5">
        <v>0</v>
      </c>
      <c r="D10" s="5">
        <v>0</v>
      </c>
      <c r="E10" s="5"/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3" t="s">
        <v>44</v>
      </c>
      <c r="L10" s="3" t="s">
        <v>324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325</v>
      </c>
      <c r="R10" s="4" t="s">
        <v>30</v>
      </c>
      <c r="S10" s="3" t="s">
        <v>36</v>
      </c>
      <c r="T10" s="3" t="s">
        <v>50</v>
      </c>
      <c r="U10" s="3" t="s">
        <v>36</v>
      </c>
      <c r="V10" s="4" t="s">
        <v>326</v>
      </c>
      <c r="W10" s="3" t="s">
        <v>325</v>
      </c>
      <c r="X10" s="5"/>
      <c r="Y10" s="5"/>
      <c r="Z10" s="5"/>
      <c r="AA10" s="3" t="s">
        <v>164</v>
      </c>
      <c r="AB10" s="3" t="s">
        <v>442</v>
      </c>
      <c r="AC10" s="9">
        <v>18900</v>
      </c>
      <c r="AD10" s="9">
        <v>21100</v>
      </c>
      <c r="AE10" s="3" t="s">
        <v>328</v>
      </c>
      <c r="AF10" s="3" t="s">
        <v>259</v>
      </c>
      <c r="AG10" s="5"/>
      <c r="AH10" s="3" t="s">
        <v>262</v>
      </c>
      <c r="AI10" s="5" t="s">
        <v>328</v>
      </c>
      <c r="AJ10" s="5" t="s">
        <v>443</v>
      </c>
      <c r="AK10" s="5"/>
      <c r="AL10" s="5"/>
      <c r="AM10" s="3" t="s">
        <v>425</v>
      </c>
      <c r="AN10" s="3" t="s">
        <v>426</v>
      </c>
      <c r="AO10" s="3" t="s">
        <v>444</v>
      </c>
      <c r="AP10" s="3" t="s">
        <v>333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/>
      <c r="AZ10" s="3" t="s">
        <v>445</v>
      </c>
      <c r="BA10" s="5" t="s">
        <v>446</v>
      </c>
      <c r="BB10" s="3" t="s">
        <v>336</v>
      </c>
      <c r="BC10" s="4" t="s">
        <v>447</v>
      </c>
      <c r="BD10" s="4" t="s">
        <v>337</v>
      </c>
      <c r="BE10" s="3" t="s">
        <v>106</v>
      </c>
      <c r="BF10" s="3" t="s">
        <v>444</v>
      </c>
      <c r="BG10" s="3" t="s">
        <v>339</v>
      </c>
      <c r="BH10" s="3" t="s">
        <v>340</v>
      </c>
      <c r="BI10" s="5"/>
      <c r="BJ10" s="5"/>
      <c r="BK10" s="3" t="s">
        <v>40</v>
      </c>
      <c r="BL10" s="4" t="s">
        <v>337</v>
      </c>
      <c r="BM10" s="10"/>
      <c r="BN10" s="10">
        <v>1</v>
      </c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3" t="s">
        <v>341</v>
      </c>
      <c r="BZ10" s="5"/>
      <c r="CA10" s="3" t="s">
        <v>106</v>
      </c>
      <c r="CB10" s="5"/>
      <c r="CC10" s="3" t="s">
        <v>40</v>
      </c>
      <c r="CD10" s="5"/>
      <c r="CE10" s="5"/>
      <c r="CF10" s="3" t="s">
        <v>342</v>
      </c>
      <c r="CG10" s="3" t="s">
        <v>439</v>
      </c>
      <c r="CH10" s="5"/>
      <c r="CI10" s="3" t="s">
        <v>448</v>
      </c>
      <c r="CJ10" s="3" t="s">
        <v>164</v>
      </c>
      <c r="CK10" s="3" t="s">
        <v>165</v>
      </c>
      <c r="CL10" s="3" t="s">
        <v>165</v>
      </c>
      <c r="CM10" s="5"/>
      <c r="CN10" s="3" t="s">
        <v>345</v>
      </c>
      <c r="CO10" s="3" t="s">
        <v>346</v>
      </c>
      <c r="CP10" s="5"/>
      <c r="CQ10" s="3" t="s">
        <v>449</v>
      </c>
      <c r="CR10" s="3" t="s">
        <v>450</v>
      </c>
      <c r="CS10" s="3" t="s">
        <v>164</v>
      </c>
      <c r="CT10" s="3" t="s">
        <v>44</v>
      </c>
      <c r="CU10" s="5"/>
      <c r="CV10" s="5"/>
      <c r="CW10" s="4" t="s">
        <v>359</v>
      </c>
      <c r="CX10" s="5"/>
      <c r="CY10" s="11"/>
    </row>
    <row r="11" ht="12" customHeight="1" spans="1:103" x14ac:dyDescent="0.25">
      <c r="A11" s="8" t="s">
        <v>196</v>
      </c>
      <c r="B11" s="3" t="s">
        <v>451</v>
      </c>
      <c r="C11" s="5">
        <v>1</v>
      </c>
      <c r="D11" s="5">
        <v>1</v>
      </c>
      <c r="E11" s="5"/>
      <c r="F11" s="5">
        <v>0</v>
      </c>
      <c r="G11" s="5">
        <v>1</v>
      </c>
      <c r="H11" s="5">
        <v>0</v>
      </c>
      <c r="I11" s="5">
        <v>0</v>
      </c>
      <c r="J11" s="5">
        <v>1</v>
      </c>
      <c r="K11" s="3" t="s">
        <v>44</v>
      </c>
      <c r="L11" s="3" t="s">
        <v>324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325</v>
      </c>
      <c r="R11" s="4" t="s">
        <v>30</v>
      </c>
      <c r="S11" s="3" t="s">
        <v>36</v>
      </c>
      <c r="T11" s="3" t="s">
        <v>50</v>
      </c>
      <c r="U11" s="3" t="s">
        <v>36</v>
      </c>
      <c r="V11" s="4" t="s">
        <v>326</v>
      </c>
      <c r="W11" s="3" t="s">
        <v>325</v>
      </c>
      <c r="X11" s="5"/>
      <c r="Y11" s="5"/>
      <c r="Z11" s="5"/>
      <c r="AA11" s="3" t="s">
        <v>379</v>
      </c>
      <c r="AB11" s="3" t="s">
        <v>452</v>
      </c>
      <c r="AC11" s="9">
        <v>4356.62</v>
      </c>
      <c r="AD11" s="9">
        <v>6556.62</v>
      </c>
      <c r="AE11" s="3" t="s">
        <v>328</v>
      </c>
      <c r="AF11" s="3"/>
      <c r="AG11" s="5"/>
      <c r="AH11" s="3" t="s">
        <v>262</v>
      </c>
      <c r="AI11" s="5" t="s">
        <v>328</v>
      </c>
      <c r="AJ11" s="5"/>
      <c r="AK11" s="5"/>
      <c r="AL11" s="5"/>
      <c r="AM11" s="3" t="s">
        <v>382</v>
      </c>
      <c r="AN11" s="3" t="s">
        <v>383</v>
      </c>
      <c r="AO11" s="3" t="s">
        <v>453</v>
      </c>
      <c r="AP11" s="3" t="s">
        <v>428</v>
      </c>
      <c r="AQ11" s="5"/>
      <c r="AR11" s="5"/>
      <c r="AS11" s="5" t="s">
        <v>386</v>
      </c>
      <c r="AT11" s="5" t="s">
        <v>387</v>
      </c>
      <c r="AU11" s="5"/>
      <c r="AV11" s="5"/>
      <c r="AW11" s="5">
        <v>0</v>
      </c>
      <c r="AX11" s="3" t="s">
        <v>44</v>
      </c>
      <c r="AY11" s="5"/>
      <c r="AZ11" s="3" t="s">
        <v>454</v>
      </c>
      <c r="BA11" s="5" t="s">
        <v>455</v>
      </c>
      <c r="BB11" s="3" t="s">
        <v>336</v>
      </c>
      <c r="BC11" s="4" t="s">
        <v>456</v>
      </c>
      <c r="BD11" s="4" t="s">
        <v>337</v>
      </c>
      <c r="BE11" s="3" t="s">
        <v>106</v>
      </c>
      <c r="BF11" s="3" t="s">
        <v>390</v>
      </c>
      <c r="BG11" s="3" t="s">
        <v>339</v>
      </c>
      <c r="BH11" s="3" t="s">
        <v>340</v>
      </c>
      <c r="BI11" s="5"/>
      <c r="BJ11" s="5"/>
      <c r="BK11" s="3" t="s">
        <v>361</v>
      </c>
      <c r="BL11" s="4" t="s">
        <v>362</v>
      </c>
      <c r="BM11" s="10"/>
      <c r="BN11" s="10"/>
      <c r="BO11" s="10"/>
      <c r="BP11" s="10"/>
      <c r="BQ11" s="10">
        <v>1</v>
      </c>
      <c r="BR11" s="10"/>
      <c r="BS11" s="10"/>
      <c r="BT11" s="10"/>
      <c r="BU11" s="10"/>
      <c r="BV11" s="10"/>
      <c r="BW11" s="10"/>
      <c r="BX11" s="10"/>
      <c r="BY11" s="3" t="s">
        <v>341</v>
      </c>
      <c r="BZ11" s="5"/>
      <c r="CA11" s="3" t="s">
        <v>106</v>
      </c>
      <c r="CB11" s="5"/>
      <c r="CC11" s="3" t="s">
        <v>40</v>
      </c>
      <c r="CD11" s="5"/>
      <c r="CE11" s="5"/>
      <c r="CF11" s="3" t="s">
        <v>342</v>
      </c>
      <c r="CG11" s="3" t="s">
        <v>343</v>
      </c>
      <c r="CH11" s="5"/>
      <c r="CI11" s="3" t="s">
        <v>391</v>
      </c>
      <c r="CJ11" s="3" t="s">
        <v>198</v>
      </c>
      <c r="CK11" s="3" t="s">
        <v>199</v>
      </c>
      <c r="CL11" s="3" t="s">
        <v>199</v>
      </c>
      <c r="CM11" s="5"/>
      <c r="CN11" s="3" t="s">
        <v>345</v>
      </c>
      <c r="CO11" s="3" t="s">
        <v>346</v>
      </c>
      <c r="CP11" s="5" t="s">
        <v>457</v>
      </c>
      <c r="CQ11" s="3" t="s">
        <v>394</v>
      </c>
      <c r="CR11" s="3" t="s">
        <v>395</v>
      </c>
      <c r="CS11" s="3" t="s">
        <v>379</v>
      </c>
      <c r="CT11" s="3" t="s">
        <v>106</v>
      </c>
      <c r="CU11" s="5"/>
      <c r="CV11" s="5"/>
      <c r="CW11" s="4" t="s">
        <v>349</v>
      </c>
      <c r="CX11" s="5"/>
      <c r="CY11" s="11"/>
    </row>
    <row r="12" ht="12" customHeight="1" spans="1:103" x14ac:dyDescent="0.25">
      <c r="A12" s="8" t="s">
        <v>74</v>
      </c>
      <c r="B12" s="3" t="s">
        <v>458</v>
      </c>
      <c r="C12" s="5">
        <v>8</v>
      </c>
      <c r="D12" s="5">
        <v>8</v>
      </c>
      <c r="E12" s="5"/>
      <c r="F12" s="5">
        <v>0</v>
      </c>
      <c r="G12" s="5">
        <v>8</v>
      </c>
      <c r="H12" s="5">
        <v>0</v>
      </c>
      <c r="I12" s="5">
        <v>0</v>
      </c>
      <c r="J12" s="5">
        <v>8</v>
      </c>
      <c r="K12" s="3" t="s">
        <v>44</v>
      </c>
      <c r="L12" s="3" t="s">
        <v>324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325</v>
      </c>
      <c r="R12" s="4" t="s">
        <v>30</v>
      </c>
      <c r="S12" s="3" t="s">
        <v>36</v>
      </c>
      <c r="T12" s="3" t="s">
        <v>50</v>
      </c>
      <c r="U12" s="3" t="s">
        <v>36</v>
      </c>
      <c r="V12" s="4" t="s">
        <v>326</v>
      </c>
      <c r="W12" s="3" t="s">
        <v>325</v>
      </c>
      <c r="X12" s="5"/>
      <c r="Y12" s="5"/>
      <c r="Z12" s="5"/>
      <c r="AA12" s="3" t="s">
        <v>459</v>
      </c>
      <c r="AB12" s="3" t="s">
        <v>460</v>
      </c>
      <c r="AC12" s="9">
        <v>200800</v>
      </c>
      <c r="AD12" s="9">
        <v>218400</v>
      </c>
      <c r="AE12" s="3" t="s">
        <v>328</v>
      </c>
      <c r="AF12" s="3"/>
      <c r="AG12" s="5"/>
      <c r="AH12" s="3" t="s">
        <v>262</v>
      </c>
      <c r="AI12" s="5" t="s">
        <v>328</v>
      </c>
      <c r="AJ12" s="5"/>
      <c r="AK12" s="5"/>
      <c r="AL12" s="5"/>
      <c r="AM12" s="3" t="s">
        <v>382</v>
      </c>
      <c r="AN12" s="3" t="s">
        <v>383</v>
      </c>
      <c r="AO12" s="3" t="s">
        <v>461</v>
      </c>
      <c r="AP12" s="3" t="s">
        <v>333</v>
      </c>
      <c r="AQ12" s="5"/>
      <c r="AR12" s="5"/>
      <c r="AS12" s="5"/>
      <c r="AT12" s="5"/>
      <c r="AU12" s="5"/>
      <c r="AV12" s="5"/>
      <c r="AW12" s="5">
        <v>0</v>
      </c>
      <c r="AX12" s="3" t="s">
        <v>44</v>
      </c>
      <c r="AY12" s="5"/>
      <c r="AZ12" s="3" t="s">
        <v>462</v>
      </c>
      <c r="BA12" s="5" t="s">
        <v>463</v>
      </c>
      <c r="BB12" s="3" t="s">
        <v>336</v>
      </c>
      <c r="BC12" s="4" t="s">
        <v>456</v>
      </c>
      <c r="BD12" s="4" t="s">
        <v>338</v>
      </c>
      <c r="BE12" s="3" t="s">
        <v>106</v>
      </c>
      <c r="BF12" s="3" t="s">
        <v>461</v>
      </c>
      <c r="BG12" s="3" t="s">
        <v>339</v>
      </c>
      <c r="BH12" s="3" t="s">
        <v>340</v>
      </c>
      <c r="BI12" s="5"/>
      <c r="BJ12" s="5"/>
      <c r="BK12" s="3" t="s">
        <v>464</v>
      </c>
      <c r="BL12" s="4" t="s">
        <v>337</v>
      </c>
      <c r="BM12" s="10"/>
      <c r="BN12" s="10">
        <v>8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3" t="s">
        <v>341</v>
      </c>
      <c r="BZ12" s="5"/>
      <c r="CA12" s="3" t="s">
        <v>106</v>
      </c>
      <c r="CB12" s="5"/>
      <c r="CC12" s="3" t="s">
        <v>40</v>
      </c>
      <c r="CD12" s="5"/>
      <c r="CE12" s="5"/>
      <c r="CF12" s="3" t="s">
        <v>342</v>
      </c>
      <c r="CG12" s="3" t="s">
        <v>343</v>
      </c>
      <c r="CH12" s="5"/>
      <c r="CI12" s="3" t="s">
        <v>465</v>
      </c>
      <c r="CJ12" s="3" t="s">
        <v>76</v>
      </c>
      <c r="CK12" s="3" t="s">
        <v>77</v>
      </c>
      <c r="CL12" s="3" t="s">
        <v>77</v>
      </c>
      <c r="CM12" s="5"/>
      <c r="CN12" s="3" t="s">
        <v>345</v>
      </c>
      <c r="CO12" s="3" t="s">
        <v>346</v>
      </c>
      <c r="CP12" s="5"/>
      <c r="CQ12" s="3" t="s">
        <v>466</v>
      </c>
      <c r="CR12" s="3" t="s">
        <v>467</v>
      </c>
      <c r="CS12" s="3" t="s">
        <v>459</v>
      </c>
      <c r="CT12" s="3" t="s">
        <v>44</v>
      </c>
      <c r="CU12" s="5"/>
      <c r="CV12" s="5"/>
      <c r="CW12" s="4" t="s">
        <v>359</v>
      </c>
      <c r="CX12" s="5"/>
      <c r="CY12" s="11"/>
    </row>
    <row r="13" ht="12" customHeight="1" spans="1:103" x14ac:dyDescent="0.25">
      <c r="A13" s="8" t="s">
        <v>99</v>
      </c>
      <c r="B13" s="3" t="s">
        <v>422</v>
      </c>
      <c r="C13" s="5">
        <v>1</v>
      </c>
      <c r="D13" s="5">
        <v>1</v>
      </c>
      <c r="E13" s="5"/>
      <c r="F13" s="5">
        <v>0</v>
      </c>
      <c r="G13" s="5">
        <v>0</v>
      </c>
      <c r="H13" s="5">
        <v>0</v>
      </c>
      <c r="I13" s="5">
        <v>1</v>
      </c>
      <c r="J13" s="5">
        <v>2</v>
      </c>
      <c r="K13" s="3" t="s">
        <v>44</v>
      </c>
      <c r="L13" s="3" t="s">
        <v>324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325</v>
      </c>
      <c r="R13" s="4" t="s">
        <v>30</v>
      </c>
      <c r="S13" s="3" t="s">
        <v>36</v>
      </c>
      <c r="T13" s="3" t="s">
        <v>50</v>
      </c>
      <c r="U13" s="3" t="s">
        <v>36</v>
      </c>
      <c r="V13" s="4" t="s">
        <v>326</v>
      </c>
      <c r="W13" s="3" t="s">
        <v>325</v>
      </c>
      <c r="X13" s="5"/>
      <c r="Y13" s="5"/>
      <c r="Z13" s="5"/>
      <c r="AA13" s="3" t="s">
        <v>468</v>
      </c>
      <c r="AB13" s="3" t="s">
        <v>469</v>
      </c>
      <c r="AC13" s="9">
        <v>9054</v>
      </c>
      <c r="AD13" s="9">
        <v>13054</v>
      </c>
      <c r="AE13" s="3" t="s">
        <v>328</v>
      </c>
      <c r="AF13" s="3"/>
      <c r="AG13" s="5"/>
      <c r="AH13" s="3" t="s">
        <v>262</v>
      </c>
      <c r="AI13" s="5" t="s">
        <v>328</v>
      </c>
      <c r="AJ13" s="5"/>
      <c r="AK13" s="5"/>
      <c r="AL13" s="5"/>
      <c r="AM13" s="3" t="s">
        <v>470</v>
      </c>
      <c r="AN13" s="3" t="s">
        <v>471</v>
      </c>
      <c r="AO13" s="3" t="s">
        <v>472</v>
      </c>
      <c r="AP13" s="3" t="s">
        <v>333</v>
      </c>
      <c r="AQ13" s="5"/>
      <c r="AR13" s="5"/>
      <c r="AS13" s="5"/>
      <c r="AT13" s="5"/>
      <c r="AU13" s="5"/>
      <c r="AV13" s="5"/>
      <c r="AW13" s="5">
        <v>0</v>
      </c>
      <c r="AX13" s="3" t="s">
        <v>44</v>
      </c>
      <c r="AY13" s="5"/>
      <c r="AZ13" s="3" t="s">
        <v>473</v>
      </c>
      <c r="BA13" s="5" t="s">
        <v>474</v>
      </c>
      <c r="BB13" s="3" t="s">
        <v>336</v>
      </c>
      <c r="BC13" s="4" t="s">
        <v>475</v>
      </c>
      <c r="BD13" s="4" t="s">
        <v>337</v>
      </c>
      <c r="BE13" s="3" t="s">
        <v>106</v>
      </c>
      <c r="BF13" s="3" t="s">
        <v>476</v>
      </c>
      <c r="BG13" s="3" t="s">
        <v>339</v>
      </c>
      <c r="BH13" s="3" t="s">
        <v>340</v>
      </c>
      <c r="BI13" s="5"/>
      <c r="BJ13" s="5"/>
      <c r="BK13" s="3" t="s">
        <v>361</v>
      </c>
      <c r="BL13" s="4" t="s">
        <v>362</v>
      </c>
      <c r="BM13" s="10"/>
      <c r="BN13" s="10"/>
      <c r="BO13" s="10"/>
      <c r="BP13" s="10">
        <v>1</v>
      </c>
      <c r="BQ13" s="10"/>
      <c r="BR13" s="10"/>
      <c r="BS13" s="10"/>
      <c r="BT13" s="10"/>
      <c r="BU13" s="10"/>
      <c r="BV13" s="10"/>
      <c r="BW13" s="10"/>
      <c r="BX13" s="10"/>
      <c r="BY13" s="3" t="s">
        <v>341</v>
      </c>
      <c r="BZ13" s="5"/>
      <c r="CA13" s="3" t="s">
        <v>106</v>
      </c>
      <c r="CB13" s="5"/>
      <c r="CC13" s="3" t="s">
        <v>40</v>
      </c>
      <c r="CD13" s="5"/>
      <c r="CE13" s="5"/>
      <c r="CF13" s="3" t="s">
        <v>342</v>
      </c>
      <c r="CG13" s="3" t="s">
        <v>343</v>
      </c>
      <c r="CH13" s="5"/>
      <c r="CI13" s="3" t="s">
        <v>477</v>
      </c>
      <c r="CJ13" s="3" t="s">
        <v>100</v>
      </c>
      <c r="CK13" s="3" t="s">
        <v>101</v>
      </c>
      <c r="CL13" s="3" t="s">
        <v>101</v>
      </c>
      <c r="CM13" s="5"/>
      <c r="CN13" s="3" t="s">
        <v>345</v>
      </c>
      <c r="CO13" s="3" t="s">
        <v>346</v>
      </c>
      <c r="CP13" s="5"/>
      <c r="CQ13" s="3" t="s">
        <v>478</v>
      </c>
      <c r="CR13" s="3" t="s">
        <v>479</v>
      </c>
      <c r="CS13" s="3" t="s">
        <v>468</v>
      </c>
      <c r="CT13" s="3" t="s">
        <v>44</v>
      </c>
      <c r="CU13" s="5"/>
      <c r="CV13" s="5"/>
      <c r="CW13" s="4" t="s">
        <v>359</v>
      </c>
      <c r="CX13" s="5"/>
      <c r="CY13" s="11"/>
    </row>
    <row r="14" ht="12" customHeight="1" spans="1:103" x14ac:dyDescent="0.25">
      <c r="A14" s="8" t="s">
        <v>60</v>
      </c>
      <c r="B14" s="3" t="s">
        <v>480</v>
      </c>
      <c r="C14" s="5">
        <v>4</v>
      </c>
      <c r="D14" s="5">
        <v>4</v>
      </c>
      <c r="E14" s="5"/>
      <c r="F14" s="5">
        <v>0</v>
      </c>
      <c r="G14" s="5">
        <v>0</v>
      </c>
      <c r="H14" s="5">
        <v>0</v>
      </c>
      <c r="I14" s="5">
        <v>4</v>
      </c>
      <c r="J14" s="5">
        <v>8</v>
      </c>
      <c r="K14" s="3" t="s">
        <v>44</v>
      </c>
      <c r="L14" s="3" t="s">
        <v>324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325</v>
      </c>
      <c r="R14" s="4" t="s">
        <v>30</v>
      </c>
      <c r="S14" s="3" t="s">
        <v>36</v>
      </c>
      <c r="T14" s="3" t="s">
        <v>50</v>
      </c>
      <c r="U14" s="3" t="s">
        <v>59</v>
      </c>
      <c r="V14" s="4" t="s">
        <v>326</v>
      </c>
      <c r="W14" s="3" t="s">
        <v>325</v>
      </c>
      <c r="X14" s="5" t="s">
        <v>351</v>
      </c>
      <c r="Y14" s="5"/>
      <c r="Z14" s="5"/>
      <c r="AA14" s="3" t="s">
        <v>481</v>
      </c>
      <c r="AB14" s="3" t="s">
        <v>482</v>
      </c>
      <c r="AC14" s="9">
        <v>87600</v>
      </c>
      <c r="AD14" s="9">
        <v>103600</v>
      </c>
      <c r="AE14" s="3" t="s">
        <v>328</v>
      </c>
      <c r="AF14" s="3" t="s">
        <v>259</v>
      </c>
      <c r="AG14" s="5"/>
      <c r="AH14" s="3" t="s">
        <v>262</v>
      </c>
      <c r="AI14" s="5" t="s">
        <v>328</v>
      </c>
      <c r="AJ14" s="5"/>
      <c r="AK14" s="5"/>
      <c r="AL14" s="5"/>
      <c r="AM14" s="3" t="s">
        <v>470</v>
      </c>
      <c r="AN14" s="3" t="s">
        <v>471</v>
      </c>
      <c r="AO14" s="3" t="s">
        <v>483</v>
      </c>
      <c r="AP14" s="3" t="s">
        <v>333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/>
      <c r="AZ14" s="3" t="s">
        <v>484</v>
      </c>
      <c r="BA14" s="5" t="s">
        <v>485</v>
      </c>
      <c r="BB14" s="3" t="s">
        <v>336</v>
      </c>
      <c r="BC14" s="4" t="s">
        <v>475</v>
      </c>
      <c r="BD14" s="4" t="s">
        <v>337</v>
      </c>
      <c r="BE14" s="3" t="s">
        <v>106</v>
      </c>
      <c r="BF14" s="3" t="s">
        <v>486</v>
      </c>
      <c r="BG14" s="3" t="s">
        <v>339</v>
      </c>
      <c r="BH14" s="3" t="s">
        <v>340</v>
      </c>
      <c r="BI14" s="5"/>
      <c r="BJ14" s="5"/>
      <c r="BK14" s="3" t="s">
        <v>361</v>
      </c>
      <c r="BL14" s="4" t="s">
        <v>337</v>
      </c>
      <c r="BM14" s="10"/>
      <c r="BN14" s="10"/>
      <c r="BO14" s="10"/>
      <c r="BP14" s="10">
        <v>4</v>
      </c>
      <c r="BQ14" s="10"/>
      <c r="BR14" s="10"/>
      <c r="BS14" s="10"/>
      <c r="BT14" s="10"/>
      <c r="BU14" s="10"/>
      <c r="BV14" s="10"/>
      <c r="BW14" s="10"/>
      <c r="BX14" s="10"/>
      <c r="BY14" s="3" t="s">
        <v>341</v>
      </c>
      <c r="BZ14" s="5"/>
      <c r="CA14" s="3" t="s">
        <v>106</v>
      </c>
      <c r="CB14" s="5"/>
      <c r="CC14" s="3" t="s">
        <v>40</v>
      </c>
      <c r="CD14" s="5"/>
      <c r="CE14" s="5"/>
      <c r="CF14" s="3" t="s">
        <v>342</v>
      </c>
      <c r="CG14" s="3" t="s">
        <v>343</v>
      </c>
      <c r="CH14" s="5"/>
      <c r="CI14" s="3" t="s">
        <v>487</v>
      </c>
      <c r="CJ14" s="3" t="s">
        <v>62</v>
      </c>
      <c r="CK14" s="3" t="s">
        <v>63</v>
      </c>
      <c r="CL14" s="3" t="s">
        <v>64</v>
      </c>
      <c r="CM14" s="5"/>
      <c r="CN14" s="3" t="s">
        <v>345</v>
      </c>
      <c r="CO14" s="3" t="s">
        <v>346</v>
      </c>
      <c r="CP14" s="5"/>
      <c r="CQ14" s="3" t="s">
        <v>488</v>
      </c>
      <c r="CR14" s="3" t="s">
        <v>489</v>
      </c>
      <c r="CS14" s="3" t="s">
        <v>481</v>
      </c>
      <c r="CT14" s="3" t="s">
        <v>44</v>
      </c>
      <c r="CU14" s="5"/>
      <c r="CV14" s="5"/>
      <c r="CW14" s="4" t="s">
        <v>349</v>
      </c>
      <c r="CX14" s="5"/>
      <c r="CY14" s="11"/>
    </row>
    <row r="15" ht="12" customHeight="1" spans="1:103" x14ac:dyDescent="0.25">
      <c r="A15" s="8" t="s">
        <v>130</v>
      </c>
      <c r="B15" s="3" t="s">
        <v>323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44</v>
      </c>
      <c r="L15" s="3" t="s">
        <v>324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325</v>
      </c>
      <c r="R15" s="4" t="s">
        <v>30</v>
      </c>
      <c r="S15" s="3" t="s">
        <v>36</v>
      </c>
      <c r="T15" s="3" t="s">
        <v>50</v>
      </c>
      <c r="U15" s="3" t="s">
        <v>36</v>
      </c>
      <c r="V15" s="4" t="s">
        <v>326</v>
      </c>
      <c r="W15" s="3" t="s">
        <v>325</v>
      </c>
      <c r="X15" s="5"/>
      <c r="Y15" s="5"/>
      <c r="Z15" s="5"/>
      <c r="AA15" s="3" t="s">
        <v>490</v>
      </c>
      <c r="AB15" s="3" t="s">
        <v>491</v>
      </c>
      <c r="AC15" s="9">
        <v>4321</v>
      </c>
      <c r="AD15" s="9">
        <v>6521</v>
      </c>
      <c r="AE15" s="3" t="s">
        <v>328</v>
      </c>
      <c r="AF15" s="3"/>
      <c r="AG15" s="5"/>
      <c r="AH15" s="3" t="s">
        <v>262</v>
      </c>
      <c r="AI15" s="5" t="s">
        <v>328</v>
      </c>
      <c r="AJ15" s="5"/>
      <c r="AK15" s="5"/>
      <c r="AL15" s="5"/>
      <c r="AM15" s="3" t="s">
        <v>368</v>
      </c>
      <c r="AN15" s="3" t="s">
        <v>369</v>
      </c>
      <c r="AO15" s="3" t="s">
        <v>131</v>
      </c>
      <c r="AP15" s="3" t="s">
        <v>333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/>
      <c r="AZ15" s="3" t="s">
        <v>492</v>
      </c>
      <c r="BA15" s="5"/>
      <c r="BB15" s="3" t="s">
        <v>336</v>
      </c>
      <c r="BC15" s="4" t="s">
        <v>493</v>
      </c>
      <c r="BD15" s="4" t="s">
        <v>359</v>
      </c>
      <c r="BE15" s="3" t="s">
        <v>106</v>
      </c>
      <c r="BF15" s="3" t="s">
        <v>494</v>
      </c>
      <c r="BG15" s="3" t="s">
        <v>339</v>
      </c>
      <c r="BH15" s="3" t="s">
        <v>340</v>
      </c>
      <c r="BI15" s="5"/>
      <c r="BJ15" s="5"/>
      <c r="BK15" s="3" t="s">
        <v>361</v>
      </c>
      <c r="BL15" s="4" t="s">
        <v>337</v>
      </c>
      <c r="BM15" s="10"/>
      <c r="BN15" s="10">
        <v>1</v>
      </c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3" t="s">
        <v>341</v>
      </c>
      <c r="BZ15" s="5"/>
      <c r="CA15" s="3" t="s">
        <v>106</v>
      </c>
      <c r="CB15" s="5"/>
      <c r="CC15" s="3" t="s">
        <v>40</v>
      </c>
      <c r="CD15" s="5"/>
      <c r="CE15" s="5"/>
      <c r="CF15" s="3" t="s">
        <v>342</v>
      </c>
      <c r="CG15" s="3" t="s">
        <v>343</v>
      </c>
      <c r="CH15" s="5"/>
      <c r="CI15" s="3" t="s">
        <v>495</v>
      </c>
      <c r="CJ15" s="3" t="s">
        <v>131</v>
      </c>
      <c r="CK15" s="3" t="s">
        <v>132</v>
      </c>
      <c r="CL15" s="3" t="s">
        <v>133</v>
      </c>
      <c r="CM15" s="5"/>
      <c r="CN15" s="3" t="s">
        <v>345</v>
      </c>
      <c r="CO15" s="3" t="s">
        <v>346</v>
      </c>
      <c r="CP15" s="5"/>
      <c r="CQ15" s="3" t="s">
        <v>496</v>
      </c>
      <c r="CR15" s="3" t="s">
        <v>497</v>
      </c>
      <c r="CS15" s="3" t="s">
        <v>490</v>
      </c>
      <c r="CT15" s="3" t="s">
        <v>44</v>
      </c>
      <c r="CU15" s="5"/>
      <c r="CV15" s="5"/>
      <c r="CW15" s="4" t="s">
        <v>349</v>
      </c>
      <c r="CX15" s="5" t="s">
        <v>498</v>
      </c>
      <c r="CY15" s="11"/>
    </row>
    <row r="16" ht="12" customHeight="1" spans="1:103" x14ac:dyDescent="0.25">
      <c r="A16" s="8" t="s">
        <v>172</v>
      </c>
      <c r="B16" s="3" t="s">
        <v>323</v>
      </c>
      <c r="C16" s="5">
        <v>1</v>
      </c>
      <c r="D16" s="5">
        <v>1</v>
      </c>
      <c r="E16" s="5"/>
      <c r="F16" s="5">
        <v>0</v>
      </c>
      <c r="G16" s="5">
        <v>1</v>
      </c>
      <c r="H16" s="5">
        <v>0</v>
      </c>
      <c r="I16" s="5">
        <v>0</v>
      </c>
      <c r="J16" s="5">
        <v>1</v>
      </c>
      <c r="K16" s="3" t="s">
        <v>44</v>
      </c>
      <c r="L16" s="3" t="s">
        <v>324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325</v>
      </c>
      <c r="R16" s="4" t="s">
        <v>30</v>
      </c>
      <c r="S16" s="3" t="s">
        <v>36</v>
      </c>
      <c r="T16" s="3" t="s">
        <v>50</v>
      </c>
      <c r="U16" s="3" t="s">
        <v>36</v>
      </c>
      <c r="V16" s="4" t="s">
        <v>326</v>
      </c>
      <c r="W16" s="3" t="s">
        <v>325</v>
      </c>
      <c r="X16" s="5"/>
      <c r="Y16" s="5"/>
      <c r="Z16" s="5"/>
      <c r="AA16" s="3" t="s">
        <v>173</v>
      </c>
      <c r="AB16" s="3" t="s">
        <v>173</v>
      </c>
      <c r="AC16" s="9">
        <v>4800</v>
      </c>
      <c r="AD16" s="9">
        <v>7000</v>
      </c>
      <c r="AE16" s="3" t="s">
        <v>328</v>
      </c>
      <c r="AF16" s="3"/>
      <c r="AG16" s="5"/>
      <c r="AH16" s="3" t="s">
        <v>262</v>
      </c>
      <c r="AI16" s="5"/>
      <c r="AJ16" s="5"/>
      <c r="AK16" s="5"/>
      <c r="AL16" s="5"/>
      <c r="AM16" s="3" t="s">
        <v>470</v>
      </c>
      <c r="AN16" s="3" t="s">
        <v>471</v>
      </c>
      <c r="AO16" s="3" t="s">
        <v>499</v>
      </c>
      <c r="AP16" s="3" t="s">
        <v>333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/>
      <c r="AZ16" s="3" t="s">
        <v>500</v>
      </c>
      <c r="BA16" s="5" t="s">
        <v>501</v>
      </c>
      <c r="BB16" s="3" t="s">
        <v>336</v>
      </c>
      <c r="BC16" s="4" t="s">
        <v>493</v>
      </c>
      <c r="BD16" s="4" t="s">
        <v>338</v>
      </c>
      <c r="BE16" s="3" t="s">
        <v>106</v>
      </c>
      <c r="BF16" s="3" t="s">
        <v>499</v>
      </c>
      <c r="BG16" s="3" t="s">
        <v>339</v>
      </c>
      <c r="BH16" s="3" t="s">
        <v>340</v>
      </c>
      <c r="BI16" s="5"/>
      <c r="BJ16" s="5"/>
      <c r="BK16" s="3" t="s">
        <v>361</v>
      </c>
      <c r="BL16" s="4" t="s">
        <v>362</v>
      </c>
      <c r="BM16" s="10"/>
      <c r="BN16" s="10">
        <v>1</v>
      </c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3" t="s">
        <v>341</v>
      </c>
      <c r="BZ16" s="5"/>
      <c r="CA16" s="3" t="s">
        <v>106</v>
      </c>
      <c r="CB16" s="5"/>
      <c r="CC16" s="3" t="s">
        <v>40</v>
      </c>
      <c r="CD16" s="5"/>
      <c r="CE16" s="5"/>
      <c r="CF16" s="3" t="s">
        <v>342</v>
      </c>
      <c r="CG16" s="3" t="s">
        <v>343</v>
      </c>
      <c r="CH16" s="5"/>
      <c r="CI16" s="3" t="s">
        <v>502</v>
      </c>
      <c r="CJ16" s="3" t="s">
        <v>173</v>
      </c>
      <c r="CK16" s="3" t="s">
        <v>174</v>
      </c>
      <c r="CL16" s="3" t="s">
        <v>174</v>
      </c>
      <c r="CM16" s="5"/>
      <c r="CN16" s="3" t="s">
        <v>345</v>
      </c>
      <c r="CO16" s="3" t="s">
        <v>346</v>
      </c>
      <c r="CP16" s="5"/>
      <c r="CQ16" s="3" t="s">
        <v>503</v>
      </c>
      <c r="CR16" s="3" t="s">
        <v>504</v>
      </c>
      <c r="CS16" s="3" t="s">
        <v>173</v>
      </c>
      <c r="CT16" s="3" t="s">
        <v>44</v>
      </c>
      <c r="CU16" s="5"/>
      <c r="CV16" s="5"/>
      <c r="CW16" s="4" t="s">
        <v>359</v>
      </c>
      <c r="CX16" s="5"/>
      <c r="CY16" s="11"/>
    </row>
    <row r="17" ht="12" customHeight="1" spans="1:103" x14ac:dyDescent="0.25">
      <c r="A17" s="8" t="s">
        <v>168</v>
      </c>
      <c r="B17" s="3" t="s">
        <v>323</v>
      </c>
      <c r="C17" s="5">
        <v>1</v>
      </c>
      <c r="D17" s="5">
        <v>1</v>
      </c>
      <c r="E17" s="5"/>
      <c r="F17" s="5">
        <v>0</v>
      </c>
      <c r="G17" s="5">
        <v>1</v>
      </c>
      <c r="H17" s="5">
        <v>0</v>
      </c>
      <c r="I17" s="5">
        <v>0</v>
      </c>
      <c r="J17" s="5">
        <v>1</v>
      </c>
      <c r="K17" s="3" t="s">
        <v>44</v>
      </c>
      <c r="L17" s="3" t="s">
        <v>324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325</v>
      </c>
      <c r="R17" s="4" t="s">
        <v>30</v>
      </c>
      <c r="S17" s="3" t="s">
        <v>36</v>
      </c>
      <c r="T17" s="3" t="s">
        <v>50</v>
      </c>
      <c r="U17" s="3" t="s">
        <v>36</v>
      </c>
      <c r="V17" s="4" t="s">
        <v>326</v>
      </c>
      <c r="W17" s="3" t="s">
        <v>325</v>
      </c>
      <c r="X17" s="5"/>
      <c r="Y17" s="5"/>
      <c r="Z17" s="5"/>
      <c r="AA17" s="3" t="s">
        <v>505</v>
      </c>
      <c r="AB17" s="3" t="s">
        <v>506</v>
      </c>
      <c r="AC17" s="9">
        <v>3022.65</v>
      </c>
      <c r="AD17" s="9">
        <v>5222.65</v>
      </c>
      <c r="AE17" s="3" t="s">
        <v>328</v>
      </c>
      <c r="AF17" s="3"/>
      <c r="AG17" s="5"/>
      <c r="AH17" s="3" t="s">
        <v>262</v>
      </c>
      <c r="AI17" s="5" t="s">
        <v>328</v>
      </c>
      <c r="AJ17" s="5"/>
      <c r="AK17" s="5"/>
      <c r="AL17" s="5"/>
      <c r="AM17" s="3" t="s">
        <v>398</v>
      </c>
      <c r="AN17" s="3" t="s">
        <v>399</v>
      </c>
      <c r="AO17" s="3" t="s">
        <v>507</v>
      </c>
      <c r="AP17" s="3" t="s">
        <v>333</v>
      </c>
      <c r="AQ17" s="5"/>
      <c r="AR17" s="5"/>
      <c r="AS17" s="5"/>
      <c r="AT17" s="5"/>
      <c r="AU17" s="5"/>
      <c r="AV17" s="5"/>
      <c r="AW17" s="5">
        <v>0</v>
      </c>
      <c r="AX17" s="3" t="s">
        <v>44</v>
      </c>
      <c r="AY17" s="5"/>
      <c r="AZ17" s="3" t="s">
        <v>508</v>
      </c>
      <c r="BA17" s="5" t="s">
        <v>509</v>
      </c>
      <c r="BB17" s="3" t="s">
        <v>336</v>
      </c>
      <c r="BC17" s="4" t="s">
        <v>493</v>
      </c>
      <c r="BD17" s="4" t="s">
        <v>358</v>
      </c>
      <c r="BE17" s="3" t="s">
        <v>106</v>
      </c>
      <c r="BF17" s="3" t="s">
        <v>510</v>
      </c>
      <c r="BG17" s="3" t="s">
        <v>339</v>
      </c>
      <c r="BH17" s="3" t="s">
        <v>340</v>
      </c>
      <c r="BI17" s="5"/>
      <c r="BJ17" s="5"/>
      <c r="BK17" s="3" t="s">
        <v>361</v>
      </c>
      <c r="BL17" s="4" t="s">
        <v>358</v>
      </c>
      <c r="BM17" s="10"/>
      <c r="BN17" s="10">
        <v>1</v>
      </c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3" t="s">
        <v>341</v>
      </c>
      <c r="BZ17" s="5"/>
      <c r="CA17" s="3" t="s">
        <v>106</v>
      </c>
      <c r="CB17" s="5"/>
      <c r="CC17" s="3" t="s">
        <v>40</v>
      </c>
      <c r="CD17" s="5"/>
      <c r="CE17" s="5"/>
      <c r="CF17" s="3" t="s">
        <v>342</v>
      </c>
      <c r="CG17" s="3" t="s">
        <v>343</v>
      </c>
      <c r="CH17" s="5"/>
      <c r="CI17" s="3" t="s">
        <v>511</v>
      </c>
      <c r="CJ17" s="3" t="s">
        <v>169</v>
      </c>
      <c r="CK17" s="3" t="s">
        <v>170</v>
      </c>
      <c r="CL17" s="3" t="s">
        <v>170</v>
      </c>
      <c r="CM17" s="5"/>
      <c r="CN17" s="3" t="s">
        <v>345</v>
      </c>
      <c r="CO17" s="3" t="s">
        <v>346</v>
      </c>
      <c r="CP17" s="5"/>
      <c r="CQ17" s="3" t="s">
        <v>512</v>
      </c>
      <c r="CR17" s="3" t="s">
        <v>513</v>
      </c>
      <c r="CS17" s="3" t="s">
        <v>505</v>
      </c>
      <c r="CT17" s="3" t="s">
        <v>44</v>
      </c>
      <c r="CU17" s="5"/>
      <c r="CV17" s="5"/>
      <c r="CW17" s="4" t="s">
        <v>359</v>
      </c>
      <c r="CX17" s="5"/>
      <c r="CY17" s="11"/>
    </row>
    <row r="18" ht="12" customHeight="1" spans="1:103" x14ac:dyDescent="0.25">
      <c r="A18" s="8" t="s">
        <v>221</v>
      </c>
      <c r="B18" s="3" t="s">
        <v>323</v>
      </c>
      <c r="C18" s="5">
        <v>0</v>
      </c>
      <c r="D18" s="5">
        <v>0</v>
      </c>
      <c r="E18" s="5"/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3" t="s">
        <v>44</v>
      </c>
      <c r="L18" s="3" t="s">
        <v>324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325</v>
      </c>
      <c r="R18" s="4" t="s">
        <v>30</v>
      </c>
      <c r="S18" s="3" t="s">
        <v>36</v>
      </c>
      <c r="T18" s="3" t="s">
        <v>50</v>
      </c>
      <c r="U18" s="3" t="s">
        <v>36</v>
      </c>
      <c r="V18" s="4" t="s">
        <v>326</v>
      </c>
      <c r="W18" s="3" t="s">
        <v>325</v>
      </c>
      <c r="X18" s="5"/>
      <c r="Y18" s="5"/>
      <c r="Z18" s="5"/>
      <c r="AA18" s="3" t="s">
        <v>514</v>
      </c>
      <c r="AB18" s="3" t="s">
        <v>223</v>
      </c>
      <c r="AC18" s="9">
        <v>9368.02</v>
      </c>
      <c r="AD18" s="9">
        <v>11568.02</v>
      </c>
      <c r="AE18" s="3" t="s">
        <v>328</v>
      </c>
      <c r="AF18" s="3" t="s">
        <v>259</v>
      </c>
      <c r="AG18" s="5"/>
      <c r="AH18" s="3" t="s">
        <v>262</v>
      </c>
      <c r="AI18" s="5" t="s">
        <v>328</v>
      </c>
      <c r="AJ18" s="5" t="s">
        <v>443</v>
      </c>
      <c r="AK18" s="5"/>
      <c r="AL18" s="5"/>
      <c r="AM18" s="3" t="s">
        <v>368</v>
      </c>
      <c r="AN18" s="3" t="s">
        <v>369</v>
      </c>
      <c r="AO18" s="3" t="s">
        <v>515</v>
      </c>
      <c r="AP18" s="3" t="s">
        <v>333</v>
      </c>
      <c r="AQ18" s="5"/>
      <c r="AR18" s="5"/>
      <c r="AS18" s="5"/>
      <c r="AT18" s="5"/>
      <c r="AU18" s="5"/>
      <c r="AV18" s="5"/>
      <c r="AW18" s="5">
        <v>0</v>
      </c>
      <c r="AX18" s="3" t="s">
        <v>44</v>
      </c>
      <c r="AY18" s="5"/>
      <c r="AZ18" s="3" t="s">
        <v>516</v>
      </c>
      <c r="BA18" s="5" t="s">
        <v>517</v>
      </c>
      <c r="BB18" s="3" t="s">
        <v>336</v>
      </c>
      <c r="BC18" s="4" t="s">
        <v>518</v>
      </c>
      <c r="BD18" s="4" t="s">
        <v>337</v>
      </c>
      <c r="BE18" s="3" t="s">
        <v>106</v>
      </c>
      <c r="BF18" s="3" t="s">
        <v>519</v>
      </c>
      <c r="BG18" s="3" t="s">
        <v>339</v>
      </c>
      <c r="BH18" s="3" t="s">
        <v>340</v>
      </c>
      <c r="BI18" s="5"/>
      <c r="BJ18" s="5"/>
      <c r="BK18" s="3" t="s">
        <v>40</v>
      </c>
      <c r="BL18" s="4" t="s">
        <v>337</v>
      </c>
      <c r="BM18" s="10"/>
      <c r="BN18" s="10">
        <v>1</v>
      </c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3" t="s">
        <v>341</v>
      </c>
      <c r="BZ18" s="5"/>
      <c r="CA18" s="3" t="s">
        <v>106</v>
      </c>
      <c r="CB18" s="5"/>
      <c r="CC18" s="3" t="s">
        <v>40</v>
      </c>
      <c r="CD18" s="5"/>
      <c r="CE18" s="5"/>
      <c r="CF18" s="3" t="s">
        <v>342</v>
      </c>
      <c r="CG18" s="3" t="s">
        <v>439</v>
      </c>
      <c r="CH18" s="5"/>
      <c r="CI18" s="3" t="s">
        <v>520</v>
      </c>
      <c r="CJ18" s="3" t="s">
        <v>223</v>
      </c>
      <c r="CK18" s="3" t="s">
        <v>224</v>
      </c>
      <c r="CL18" s="3" t="s">
        <v>224</v>
      </c>
      <c r="CM18" s="5"/>
      <c r="CN18" s="3" t="s">
        <v>345</v>
      </c>
      <c r="CO18" s="3" t="s">
        <v>346</v>
      </c>
      <c r="CP18" s="5"/>
      <c r="CQ18" s="3" t="s">
        <v>521</v>
      </c>
      <c r="CR18" s="3" t="s">
        <v>522</v>
      </c>
      <c r="CS18" s="3" t="s">
        <v>514</v>
      </c>
      <c r="CT18" s="3" t="s">
        <v>44</v>
      </c>
      <c r="CU18" s="5"/>
      <c r="CV18" s="5"/>
      <c r="CW18" s="4" t="s">
        <v>359</v>
      </c>
      <c r="CX18" s="5"/>
      <c r="CY18" s="11"/>
    </row>
    <row r="19" ht="12" customHeight="1" spans="1:103" x14ac:dyDescent="0.25">
      <c r="A19" s="8" t="s">
        <v>94</v>
      </c>
      <c r="B19" s="3" t="s">
        <v>422</v>
      </c>
      <c r="C19" s="5">
        <v>1</v>
      </c>
      <c r="D19" s="5">
        <v>1</v>
      </c>
      <c r="E19" s="5"/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3" t="s">
        <v>44</v>
      </c>
      <c r="L19" s="3" t="s">
        <v>324</v>
      </c>
      <c r="M19" s="3" t="s">
        <v>31</v>
      </c>
      <c r="N19" s="3" t="s">
        <v>32</v>
      </c>
      <c r="O19" s="3" t="s">
        <v>35</v>
      </c>
      <c r="P19" s="3" t="s">
        <v>40</v>
      </c>
      <c r="Q19" s="3" t="s">
        <v>325</v>
      </c>
      <c r="R19" s="4" t="s">
        <v>30</v>
      </c>
      <c r="S19" s="3" t="s">
        <v>36</v>
      </c>
      <c r="T19" s="3" t="s">
        <v>50</v>
      </c>
      <c r="U19" s="3" t="s">
        <v>36</v>
      </c>
      <c r="V19" s="4" t="s">
        <v>326</v>
      </c>
      <c r="W19" s="3" t="s">
        <v>325</v>
      </c>
      <c r="X19" s="5"/>
      <c r="Y19" s="5"/>
      <c r="Z19" s="5"/>
      <c r="AA19" s="3" t="s">
        <v>327</v>
      </c>
      <c r="AB19" s="3" t="s">
        <v>523</v>
      </c>
      <c r="AC19" s="9">
        <v>17137</v>
      </c>
      <c r="AD19" s="9">
        <v>21137</v>
      </c>
      <c r="AE19" s="3" t="s">
        <v>328</v>
      </c>
      <c r="AF19" s="3"/>
      <c r="AG19" s="5"/>
      <c r="AH19" s="3" t="s">
        <v>262</v>
      </c>
      <c r="AI19" s="5" t="s">
        <v>328</v>
      </c>
      <c r="AJ19" s="5"/>
      <c r="AK19" s="5"/>
      <c r="AL19" s="5"/>
      <c r="AM19" s="3" t="s">
        <v>435</v>
      </c>
      <c r="AN19" s="3" t="s">
        <v>436</v>
      </c>
      <c r="AO19" s="3" t="s">
        <v>524</v>
      </c>
      <c r="AP19" s="3" t="s">
        <v>333</v>
      </c>
      <c r="AQ19" s="5"/>
      <c r="AR19" s="5"/>
      <c r="AS19" s="5"/>
      <c r="AT19" s="5"/>
      <c r="AU19" s="5"/>
      <c r="AV19" s="5"/>
      <c r="AW19" s="5">
        <v>0</v>
      </c>
      <c r="AX19" s="3" t="s">
        <v>44</v>
      </c>
      <c r="AY19" s="5"/>
      <c r="AZ19" s="3" t="s">
        <v>525</v>
      </c>
      <c r="BA19" s="5" t="s">
        <v>526</v>
      </c>
      <c r="BB19" s="3" t="s">
        <v>336</v>
      </c>
      <c r="BC19" s="4" t="s">
        <v>527</v>
      </c>
      <c r="BD19" s="4" t="s">
        <v>337</v>
      </c>
      <c r="BE19" s="3" t="s">
        <v>106</v>
      </c>
      <c r="BF19" s="3" t="s">
        <v>524</v>
      </c>
      <c r="BG19" s="3" t="s">
        <v>339</v>
      </c>
      <c r="BH19" s="3" t="s">
        <v>340</v>
      </c>
      <c r="BI19" s="5"/>
      <c r="BJ19" s="5"/>
      <c r="BK19" s="3" t="s">
        <v>361</v>
      </c>
      <c r="BL19" s="4" t="s">
        <v>358</v>
      </c>
      <c r="BM19" s="10"/>
      <c r="BN19" s="10"/>
      <c r="BO19" s="10"/>
      <c r="BP19" s="10">
        <v>1</v>
      </c>
      <c r="BQ19" s="10"/>
      <c r="BR19" s="10"/>
      <c r="BS19" s="10"/>
      <c r="BT19" s="10"/>
      <c r="BU19" s="10"/>
      <c r="BV19" s="10"/>
      <c r="BW19" s="10"/>
      <c r="BX19" s="10"/>
      <c r="BY19" s="3" t="s">
        <v>341</v>
      </c>
      <c r="BZ19" s="5"/>
      <c r="CA19" s="3" t="s">
        <v>106</v>
      </c>
      <c r="CB19" s="5"/>
      <c r="CC19" s="3" t="s">
        <v>40</v>
      </c>
      <c r="CD19" s="5"/>
      <c r="CE19" s="5"/>
      <c r="CF19" s="3" t="s">
        <v>342</v>
      </c>
      <c r="CG19" s="3" t="s">
        <v>343</v>
      </c>
      <c r="CH19" s="5"/>
      <c r="CI19" s="3" t="s">
        <v>528</v>
      </c>
      <c r="CJ19" s="3" t="s">
        <v>96</v>
      </c>
      <c r="CK19" s="3" t="s">
        <v>97</v>
      </c>
      <c r="CL19" s="3" t="s">
        <v>97</v>
      </c>
      <c r="CM19" s="5"/>
      <c r="CN19" s="3" t="s">
        <v>345</v>
      </c>
      <c r="CO19" s="3" t="s">
        <v>346</v>
      </c>
      <c r="CP19" s="5"/>
      <c r="CQ19" s="3" t="s">
        <v>441</v>
      </c>
      <c r="CR19" s="3" t="s">
        <v>348</v>
      </c>
      <c r="CS19" s="3" t="s">
        <v>327</v>
      </c>
      <c r="CT19" s="3" t="s">
        <v>44</v>
      </c>
      <c r="CU19" s="5"/>
      <c r="CV19" s="5"/>
      <c r="CW19" s="4" t="s">
        <v>359</v>
      </c>
      <c r="CX19" s="5"/>
      <c r="CY19" s="11"/>
    </row>
    <row r="20" ht="12" customHeight="1" spans="1:103" x14ac:dyDescent="0.25">
      <c r="A20" s="8" t="s">
        <v>139</v>
      </c>
      <c r="B20" s="3" t="s">
        <v>323</v>
      </c>
      <c r="C20" s="5">
        <v>1</v>
      </c>
      <c r="D20" s="5">
        <v>1</v>
      </c>
      <c r="E20" s="5"/>
      <c r="F20" s="5">
        <v>0</v>
      </c>
      <c r="G20" s="5">
        <v>1</v>
      </c>
      <c r="H20" s="5">
        <v>0</v>
      </c>
      <c r="I20" s="5">
        <v>0</v>
      </c>
      <c r="J20" s="5">
        <v>1</v>
      </c>
      <c r="K20" s="3" t="s">
        <v>44</v>
      </c>
      <c r="L20" s="3" t="s">
        <v>324</v>
      </c>
      <c r="M20" s="3" t="s">
        <v>31</v>
      </c>
      <c r="N20" s="3" t="s">
        <v>32</v>
      </c>
      <c r="O20" s="3" t="s">
        <v>35</v>
      </c>
      <c r="P20" s="3" t="s">
        <v>40</v>
      </c>
      <c r="Q20" s="3" t="s">
        <v>325</v>
      </c>
      <c r="R20" s="4" t="s">
        <v>30</v>
      </c>
      <c r="S20" s="3" t="s">
        <v>66</v>
      </c>
      <c r="T20" s="3" t="s">
        <v>72</v>
      </c>
      <c r="U20" s="3" t="s">
        <v>66</v>
      </c>
      <c r="V20" s="4" t="s">
        <v>529</v>
      </c>
      <c r="W20" s="3" t="s">
        <v>530</v>
      </c>
      <c r="X20" s="5"/>
      <c r="Y20" s="5"/>
      <c r="Z20" s="5"/>
      <c r="AA20" s="3" t="s">
        <v>531</v>
      </c>
      <c r="AB20" s="3" t="s">
        <v>140</v>
      </c>
      <c r="AC20" s="9">
        <v>13060</v>
      </c>
      <c r="AD20" s="9">
        <v>15260</v>
      </c>
      <c r="AE20" s="3" t="s">
        <v>328</v>
      </c>
      <c r="AF20" s="3" t="s">
        <v>259</v>
      </c>
      <c r="AG20" s="5"/>
      <c r="AH20" s="3" t="s">
        <v>262</v>
      </c>
      <c r="AI20" s="5" t="s">
        <v>328</v>
      </c>
      <c r="AJ20" s="5"/>
      <c r="AK20" s="5"/>
      <c r="AL20" s="5"/>
      <c r="AM20" s="3" t="s">
        <v>470</v>
      </c>
      <c r="AN20" s="3" t="s">
        <v>471</v>
      </c>
      <c r="AO20" s="3" t="s">
        <v>532</v>
      </c>
      <c r="AP20" s="3" t="s">
        <v>333</v>
      </c>
      <c r="AQ20" s="5"/>
      <c r="AR20" s="5"/>
      <c r="AS20" s="5"/>
      <c r="AT20" s="5"/>
      <c r="AU20" s="5"/>
      <c r="AV20" s="5"/>
      <c r="AW20" s="5">
        <v>0</v>
      </c>
      <c r="AX20" s="3" t="s">
        <v>44</v>
      </c>
      <c r="AY20" s="5"/>
      <c r="AZ20" s="3" t="s">
        <v>533</v>
      </c>
      <c r="BA20" s="5" t="s">
        <v>534</v>
      </c>
      <c r="BB20" s="3" t="s">
        <v>336</v>
      </c>
      <c r="BC20" s="4" t="s">
        <v>535</v>
      </c>
      <c r="BD20" s="4" t="s">
        <v>338</v>
      </c>
      <c r="BE20" s="3" t="s">
        <v>106</v>
      </c>
      <c r="BF20" s="3" t="s">
        <v>532</v>
      </c>
      <c r="BG20" s="3" t="s">
        <v>339</v>
      </c>
      <c r="BH20" s="3" t="s">
        <v>340</v>
      </c>
      <c r="BI20" s="5"/>
      <c r="BJ20" s="5"/>
      <c r="BK20" s="3" t="s">
        <v>361</v>
      </c>
      <c r="BL20" s="4" t="s">
        <v>362</v>
      </c>
      <c r="BM20" s="10"/>
      <c r="BN20" s="10">
        <v>1</v>
      </c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3" t="s">
        <v>341</v>
      </c>
      <c r="BZ20" s="5"/>
      <c r="CA20" s="3" t="s">
        <v>106</v>
      </c>
      <c r="CB20" s="5"/>
      <c r="CC20" s="3" t="s">
        <v>40</v>
      </c>
      <c r="CD20" s="5"/>
      <c r="CE20" s="5"/>
      <c r="CF20" s="3" t="s">
        <v>342</v>
      </c>
      <c r="CG20" s="3" t="s">
        <v>343</v>
      </c>
      <c r="CH20" s="5"/>
      <c r="CI20" s="3" t="s">
        <v>536</v>
      </c>
      <c r="CJ20" s="3" t="s">
        <v>140</v>
      </c>
      <c r="CK20" s="3" t="s">
        <v>141</v>
      </c>
      <c r="CL20" s="3" t="s">
        <v>141</v>
      </c>
      <c r="CM20" s="5"/>
      <c r="CN20" s="3" t="s">
        <v>345</v>
      </c>
      <c r="CO20" s="3" t="s">
        <v>346</v>
      </c>
      <c r="CP20" s="5"/>
      <c r="CQ20" s="3" t="s">
        <v>537</v>
      </c>
      <c r="CR20" s="3" t="s">
        <v>538</v>
      </c>
      <c r="CS20" s="3" t="s">
        <v>531</v>
      </c>
      <c r="CT20" s="3" t="s">
        <v>44</v>
      </c>
      <c r="CU20" s="5"/>
      <c r="CV20" s="5"/>
      <c r="CW20" s="4" t="s">
        <v>349</v>
      </c>
      <c r="CX20" s="5"/>
      <c r="CY20" s="11"/>
    </row>
    <row r="21" ht="12" customHeight="1" spans="1:103" x14ac:dyDescent="0.25">
      <c r="A21" s="8" t="s">
        <v>54</v>
      </c>
      <c r="B21" s="3" t="s">
        <v>539</v>
      </c>
      <c r="C21" s="5">
        <v>3</v>
      </c>
      <c r="D21" s="5">
        <v>3</v>
      </c>
      <c r="E21" s="5"/>
      <c r="F21" s="5">
        <v>0</v>
      </c>
      <c r="G21" s="5">
        <v>3</v>
      </c>
      <c r="H21" s="5">
        <v>0</v>
      </c>
      <c r="I21" s="5">
        <v>0</v>
      </c>
      <c r="J21" s="5">
        <v>3</v>
      </c>
      <c r="K21" s="3" t="s">
        <v>44</v>
      </c>
      <c r="L21" s="3" t="s">
        <v>324</v>
      </c>
      <c r="M21" s="3" t="s">
        <v>31</v>
      </c>
      <c r="N21" s="3" t="s">
        <v>32</v>
      </c>
      <c r="O21" s="3" t="s">
        <v>35</v>
      </c>
      <c r="P21" s="3" t="s">
        <v>40</v>
      </c>
      <c r="Q21" s="3" t="s">
        <v>325</v>
      </c>
      <c r="R21" s="4" t="s">
        <v>30</v>
      </c>
      <c r="S21" s="3" t="s">
        <v>36</v>
      </c>
      <c r="T21" s="3" t="s">
        <v>50</v>
      </c>
      <c r="U21" s="3" t="s">
        <v>36</v>
      </c>
      <c r="V21" s="4" t="s">
        <v>326</v>
      </c>
      <c r="W21" s="3" t="s">
        <v>325</v>
      </c>
      <c r="X21" s="5"/>
      <c r="Y21" s="5"/>
      <c r="Z21" s="5"/>
      <c r="AA21" s="3" t="s">
        <v>56</v>
      </c>
      <c r="AB21" s="3" t="s">
        <v>540</v>
      </c>
      <c r="AC21" s="9">
        <v>42327.62</v>
      </c>
      <c r="AD21" s="9">
        <v>48927.62</v>
      </c>
      <c r="AE21" s="3" t="s">
        <v>328</v>
      </c>
      <c r="AF21" s="3" t="s">
        <v>259</v>
      </c>
      <c r="AG21" s="5"/>
      <c r="AH21" s="3" t="s">
        <v>262</v>
      </c>
      <c r="AI21" s="5" t="s">
        <v>328</v>
      </c>
      <c r="AJ21" s="5"/>
      <c r="AK21" s="5"/>
      <c r="AL21" s="5"/>
      <c r="AM21" s="3" t="s">
        <v>353</v>
      </c>
      <c r="AN21" s="3" t="s">
        <v>354</v>
      </c>
      <c r="AO21" s="3" t="s">
        <v>541</v>
      </c>
      <c r="AP21" s="3" t="s">
        <v>333</v>
      </c>
      <c r="AQ21" s="5"/>
      <c r="AR21" s="5"/>
      <c r="AS21" s="5"/>
      <c r="AT21" s="5"/>
      <c r="AU21" s="5"/>
      <c r="AV21" s="5"/>
      <c r="AW21" s="5">
        <v>0</v>
      </c>
      <c r="AX21" s="3" t="s">
        <v>44</v>
      </c>
      <c r="AY21" s="5"/>
      <c r="AZ21" s="3" t="s">
        <v>542</v>
      </c>
      <c r="BA21" s="5" t="s">
        <v>543</v>
      </c>
      <c r="BB21" s="3" t="s">
        <v>336</v>
      </c>
      <c r="BC21" s="4" t="s">
        <v>535</v>
      </c>
      <c r="BD21" s="4" t="s">
        <v>373</v>
      </c>
      <c r="BE21" s="3" t="s">
        <v>106</v>
      </c>
      <c r="BF21" s="3" t="s">
        <v>544</v>
      </c>
      <c r="BG21" s="3" t="s">
        <v>339</v>
      </c>
      <c r="BH21" s="3" t="s">
        <v>340</v>
      </c>
      <c r="BI21" s="5"/>
      <c r="BJ21" s="5"/>
      <c r="BK21" s="3" t="s">
        <v>361</v>
      </c>
      <c r="BL21" s="4" t="s">
        <v>545</v>
      </c>
      <c r="BM21" s="10"/>
      <c r="BN21" s="10">
        <v>3</v>
      </c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3" t="s">
        <v>341</v>
      </c>
      <c r="BZ21" s="5"/>
      <c r="CA21" s="3" t="s">
        <v>106</v>
      </c>
      <c r="CB21" s="5"/>
      <c r="CC21" s="3" t="s">
        <v>40</v>
      </c>
      <c r="CD21" s="5"/>
      <c r="CE21" s="5"/>
      <c r="CF21" s="3" t="s">
        <v>342</v>
      </c>
      <c r="CG21" s="3" t="s">
        <v>343</v>
      </c>
      <c r="CH21" s="5"/>
      <c r="CI21" s="3" t="s">
        <v>546</v>
      </c>
      <c r="CJ21" s="3" t="s">
        <v>56</v>
      </c>
      <c r="CK21" s="3" t="s">
        <v>57</v>
      </c>
      <c r="CL21" s="3" t="s">
        <v>57</v>
      </c>
      <c r="CM21" s="5"/>
      <c r="CN21" s="3" t="s">
        <v>345</v>
      </c>
      <c r="CO21" s="3" t="s">
        <v>346</v>
      </c>
      <c r="CP21" s="5"/>
      <c r="CQ21" s="3" t="s">
        <v>547</v>
      </c>
      <c r="CR21" s="3" t="s">
        <v>548</v>
      </c>
      <c r="CS21" s="3" t="s">
        <v>56</v>
      </c>
      <c r="CT21" s="3" t="s">
        <v>44</v>
      </c>
      <c r="CU21" s="5"/>
      <c r="CV21" s="5"/>
      <c r="CW21" s="4" t="s">
        <v>359</v>
      </c>
      <c r="CX21" s="5"/>
      <c r="CY21" s="11" t="s">
        <v>543</v>
      </c>
    </row>
    <row r="22" ht="12" customHeight="1" spans="1:103" x14ac:dyDescent="0.25">
      <c r="A22" s="8" t="s">
        <v>112</v>
      </c>
      <c r="B22" s="3" t="s">
        <v>549</v>
      </c>
      <c r="C22" s="5">
        <v>2</v>
      </c>
      <c r="D22" s="5">
        <v>2</v>
      </c>
      <c r="E22" s="5"/>
      <c r="F22" s="5">
        <v>0</v>
      </c>
      <c r="G22" s="5">
        <v>1</v>
      </c>
      <c r="H22" s="5">
        <v>0</v>
      </c>
      <c r="I22" s="5">
        <v>1</v>
      </c>
      <c r="J22" s="5">
        <v>3</v>
      </c>
      <c r="K22" s="3" t="s">
        <v>44</v>
      </c>
      <c r="L22" s="3" t="s">
        <v>324</v>
      </c>
      <c r="M22" s="3" t="s">
        <v>31</v>
      </c>
      <c r="N22" s="3" t="s">
        <v>32</v>
      </c>
      <c r="O22" s="3" t="s">
        <v>35</v>
      </c>
      <c r="P22" s="3" t="s">
        <v>40</v>
      </c>
      <c r="Q22" s="3" t="s">
        <v>325</v>
      </c>
      <c r="R22" s="4" t="s">
        <v>30</v>
      </c>
      <c r="S22" s="3" t="s">
        <v>36</v>
      </c>
      <c r="T22" s="3" t="s">
        <v>50</v>
      </c>
      <c r="U22" s="3" t="s">
        <v>36</v>
      </c>
      <c r="V22" s="4" t="s">
        <v>326</v>
      </c>
      <c r="W22" s="3" t="s">
        <v>325</v>
      </c>
      <c r="X22" s="5"/>
      <c r="Y22" s="5"/>
      <c r="Z22" s="5"/>
      <c r="AA22" s="3" t="s">
        <v>550</v>
      </c>
      <c r="AB22" s="3" t="s">
        <v>551</v>
      </c>
      <c r="AC22" s="9">
        <v>40094.2</v>
      </c>
      <c r="AD22" s="9">
        <v>46294.2</v>
      </c>
      <c r="AE22" s="3" t="s">
        <v>328</v>
      </c>
      <c r="AF22" s="3"/>
      <c r="AG22" s="5"/>
      <c r="AH22" s="3" t="s">
        <v>262</v>
      </c>
      <c r="AI22" s="5" t="s">
        <v>328</v>
      </c>
      <c r="AJ22" s="5"/>
      <c r="AK22" s="5"/>
      <c r="AL22" s="5"/>
      <c r="AM22" s="3" t="s">
        <v>435</v>
      </c>
      <c r="AN22" s="3" t="s">
        <v>436</v>
      </c>
      <c r="AO22" s="3" t="s">
        <v>552</v>
      </c>
      <c r="AP22" s="3" t="s">
        <v>333</v>
      </c>
      <c r="AQ22" s="5"/>
      <c r="AR22" s="5"/>
      <c r="AS22" s="5"/>
      <c r="AT22" s="5"/>
      <c r="AU22" s="5"/>
      <c r="AV22" s="5"/>
      <c r="AW22" s="5">
        <v>0</v>
      </c>
      <c r="AX22" s="3" t="s">
        <v>44</v>
      </c>
      <c r="AY22" s="5"/>
      <c r="AZ22" s="3" t="s">
        <v>553</v>
      </c>
      <c r="BA22" s="5" t="s">
        <v>501</v>
      </c>
      <c r="BB22" s="3" t="s">
        <v>336</v>
      </c>
      <c r="BC22" s="4" t="s">
        <v>535</v>
      </c>
      <c r="BD22" s="4" t="s">
        <v>337</v>
      </c>
      <c r="BE22" s="3" t="s">
        <v>106</v>
      </c>
      <c r="BF22" s="3" t="s">
        <v>552</v>
      </c>
      <c r="BG22" s="3" t="s">
        <v>339</v>
      </c>
      <c r="BH22" s="3" t="s">
        <v>340</v>
      </c>
      <c r="BI22" s="5"/>
      <c r="BJ22" s="5"/>
      <c r="BK22" s="3" t="s">
        <v>361</v>
      </c>
      <c r="BL22" s="4" t="s">
        <v>362</v>
      </c>
      <c r="BM22" s="10"/>
      <c r="BN22" s="10">
        <v>1</v>
      </c>
      <c r="BO22" s="10"/>
      <c r="BP22" s="10">
        <v>1</v>
      </c>
      <c r="BQ22" s="10"/>
      <c r="BR22" s="10"/>
      <c r="BS22" s="10"/>
      <c r="BT22" s="10"/>
      <c r="BU22" s="10"/>
      <c r="BV22" s="10"/>
      <c r="BW22" s="10"/>
      <c r="BX22" s="10"/>
      <c r="BY22" s="3" t="s">
        <v>341</v>
      </c>
      <c r="BZ22" s="5"/>
      <c r="CA22" s="3" t="s">
        <v>106</v>
      </c>
      <c r="CB22" s="5"/>
      <c r="CC22" s="3" t="s">
        <v>40</v>
      </c>
      <c r="CD22" s="5"/>
      <c r="CE22" s="5"/>
      <c r="CF22" s="3" t="s">
        <v>342</v>
      </c>
      <c r="CG22" s="3" t="s">
        <v>343</v>
      </c>
      <c r="CH22" s="5"/>
      <c r="CI22" s="3" t="s">
        <v>554</v>
      </c>
      <c r="CJ22" s="3" t="s">
        <v>113</v>
      </c>
      <c r="CK22" s="3" t="s">
        <v>114</v>
      </c>
      <c r="CL22" s="3" t="s">
        <v>114</v>
      </c>
      <c r="CM22" s="5"/>
      <c r="CN22" s="3" t="s">
        <v>345</v>
      </c>
      <c r="CO22" s="3" t="s">
        <v>346</v>
      </c>
      <c r="CP22" s="5"/>
      <c r="CQ22" s="3" t="s">
        <v>555</v>
      </c>
      <c r="CR22" s="3" t="s">
        <v>556</v>
      </c>
      <c r="CS22" s="3" t="s">
        <v>550</v>
      </c>
      <c r="CT22" s="3" t="s">
        <v>44</v>
      </c>
      <c r="CU22" s="5"/>
      <c r="CV22" s="5"/>
      <c r="CW22" s="4" t="s">
        <v>359</v>
      </c>
      <c r="CX22" s="5"/>
      <c r="CY22" s="11"/>
    </row>
    <row r="23" ht="12" customHeight="1" spans="1:103" x14ac:dyDescent="0.25">
      <c r="A23" s="8" t="s">
        <v>218</v>
      </c>
      <c r="B23" s="3" t="s">
        <v>323</v>
      </c>
      <c r="C23" s="5">
        <v>1</v>
      </c>
      <c r="D23" s="5">
        <v>1</v>
      </c>
      <c r="E23" s="5"/>
      <c r="F23" s="5">
        <v>0</v>
      </c>
      <c r="G23" s="5">
        <v>1</v>
      </c>
      <c r="H23" s="5">
        <v>0</v>
      </c>
      <c r="I23" s="5">
        <v>0</v>
      </c>
      <c r="J23" s="5">
        <v>1</v>
      </c>
      <c r="K23" s="3" t="s">
        <v>44</v>
      </c>
      <c r="L23" s="3" t="s">
        <v>324</v>
      </c>
      <c r="M23" s="3" t="s">
        <v>31</v>
      </c>
      <c r="N23" s="3" t="s">
        <v>32</v>
      </c>
      <c r="O23" s="3" t="s">
        <v>35</v>
      </c>
      <c r="P23" s="3" t="s">
        <v>40</v>
      </c>
      <c r="Q23" s="3" t="s">
        <v>325</v>
      </c>
      <c r="R23" s="4" t="s">
        <v>30</v>
      </c>
      <c r="S23" s="3" t="s">
        <v>36</v>
      </c>
      <c r="T23" s="3" t="s">
        <v>50</v>
      </c>
      <c r="U23" s="3" t="s">
        <v>36</v>
      </c>
      <c r="V23" s="4" t="s">
        <v>326</v>
      </c>
      <c r="W23" s="3" t="s">
        <v>325</v>
      </c>
      <c r="X23" s="5"/>
      <c r="Y23" s="5"/>
      <c r="Z23" s="5"/>
      <c r="AA23" s="3" t="s">
        <v>557</v>
      </c>
      <c r="AB23" s="3" t="s">
        <v>558</v>
      </c>
      <c r="AC23" s="9">
        <v>11606.4</v>
      </c>
      <c r="AD23" s="9">
        <v>13806.4</v>
      </c>
      <c r="AE23" s="3" t="s">
        <v>328</v>
      </c>
      <c r="AF23" s="3" t="s">
        <v>259</v>
      </c>
      <c r="AG23" s="5"/>
      <c r="AH23" s="3" t="s">
        <v>262</v>
      </c>
      <c r="AI23" s="5" t="s">
        <v>328</v>
      </c>
      <c r="AJ23" s="5"/>
      <c r="AK23" s="5"/>
      <c r="AL23" s="5"/>
      <c r="AM23" s="3" t="s">
        <v>382</v>
      </c>
      <c r="AN23" s="3" t="s">
        <v>383</v>
      </c>
      <c r="AO23" s="3" t="s">
        <v>559</v>
      </c>
      <c r="AP23" s="3" t="s">
        <v>333</v>
      </c>
      <c r="AQ23" s="5"/>
      <c r="AR23" s="5"/>
      <c r="AS23" s="5"/>
      <c r="AT23" s="5"/>
      <c r="AU23" s="5"/>
      <c r="AV23" s="5"/>
      <c r="AW23" s="5">
        <v>0</v>
      </c>
      <c r="AX23" s="3" t="s">
        <v>44</v>
      </c>
      <c r="AY23" s="5"/>
      <c r="AZ23" s="3" t="s">
        <v>560</v>
      </c>
      <c r="BA23" s="5" t="s">
        <v>561</v>
      </c>
      <c r="BB23" s="3" t="s">
        <v>336</v>
      </c>
      <c r="BC23" s="4" t="s">
        <v>562</v>
      </c>
      <c r="BD23" s="4" t="s">
        <v>337</v>
      </c>
      <c r="BE23" s="3" t="s">
        <v>106</v>
      </c>
      <c r="BF23" s="3" t="s">
        <v>563</v>
      </c>
      <c r="BG23" s="3" t="s">
        <v>339</v>
      </c>
      <c r="BH23" s="3" t="s">
        <v>340</v>
      </c>
      <c r="BI23" s="5"/>
      <c r="BJ23" s="5"/>
      <c r="BK23" s="3" t="s">
        <v>361</v>
      </c>
      <c r="BL23" s="4" t="s">
        <v>358</v>
      </c>
      <c r="BM23" s="10"/>
      <c r="BN23" s="10">
        <v>1</v>
      </c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3" t="s">
        <v>341</v>
      </c>
      <c r="BZ23" s="5"/>
      <c r="CA23" s="3" t="s">
        <v>106</v>
      </c>
      <c r="CB23" s="5"/>
      <c r="CC23" s="3" t="s">
        <v>40</v>
      </c>
      <c r="CD23" s="5"/>
      <c r="CE23" s="5"/>
      <c r="CF23" s="3" t="s">
        <v>342</v>
      </c>
      <c r="CG23" s="3" t="s">
        <v>343</v>
      </c>
      <c r="CH23" s="5"/>
      <c r="CI23" s="3" t="s">
        <v>564</v>
      </c>
      <c r="CJ23" s="3" t="s">
        <v>155</v>
      </c>
      <c r="CK23" s="3" t="s">
        <v>156</v>
      </c>
      <c r="CL23" s="3" t="s">
        <v>156</v>
      </c>
      <c r="CM23" s="5"/>
      <c r="CN23" s="3" t="s">
        <v>345</v>
      </c>
      <c r="CO23" s="3" t="s">
        <v>346</v>
      </c>
      <c r="CP23" s="5"/>
      <c r="CQ23" s="3" t="s">
        <v>565</v>
      </c>
      <c r="CR23" s="3" t="s">
        <v>566</v>
      </c>
      <c r="CS23" s="3" t="s">
        <v>557</v>
      </c>
      <c r="CT23" s="3" t="s">
        <v>44</v>
      </c>
      <c r="CU23" s="5"/>
      <c r="CV23" s="5"/>
      <c r="CW23" s="4" t="s">
        <v>359</v>
      </c>
      <c r="CX23" s="5"/>
      <c r="CY23" s="11"/>
    </row>
    <row r="24" ht="12" customHeight="1" spans="1:103" x14ac:dyDescent="0.25">
      <c r="A24" s="8" t="s">
        <v>214</v>
      </c>
      <c r="B24" s="3" t="s">
        <v>323</v>
      </c>
      <c r="C24" s="5">
        <v>1</v>
      </c>
      <c r="D24" s="5">
        <v>1</v>
      </c>
      <c r="E24" s="5"/>
      <c r="F24" s="5">
        <v>0</v>
      </c>
      <c r="G24" s="5">
        <v>1</v>
      </c>
      <c r="H24" s="5">
        <v>0</v>
      </c>
      <c r="I24" s="5">
        <v>0</v>
      </c>
      <c r="J24" s="5">
        <v>1</v>
      </c>
      <c r="K24" s="3" t="s">
        <v>44</v>
      </c>
      <c r="L24" s="3" t="s">
        <v>324</v>
      </c>
      <c r="M24" s="3" t="s">
        <v>31</v>
      </c>
      <c r="N24" s="3" t="s">
        <v>32</v>
      </c>
      <c r="O24" s="3" t="s">
        <v>35</v>
      </c>
      <c r="P24" s="3" t="s">
        <v>40</v>
      </c>
      <c r="Q24" s="3" t="s">
        <v>325</v>
      </c>
      <c r="R24" s="4" t="s">
        <v>30</v>
      </c>
      <c r="S24" s="3" t="s">
        <v>36</v>
      </c>
      <c r="T24" s="3" t="s">
        <v>50</v>
      </c>
      <c r="U24" s="3" t="s">
        <v>36</v>
      </c>
      <c r="V24" s="4" t="s">
        <v>326</v>
      </c>
      <c r="W24" s="3" t="s">
        <v>325</v>
      </c>
      <c r="X24" s="5"/>
      <c r="Y24" s="5"/>
      <c r="Z24" s="5"/>
      <c r="AA24" s="3" t="s">
        <v>557</v>
      </c>
      <c r="AB24" s="3" t="s">
        <v>558</v>
      </c>
      <c r="AC24" s="9">
        <v>11606.4</v>
      </c>
      <c r="AD24" s="9">
        <v>13806.4</v>
      </c>
      <c r="AE24" s="3" t="s">
        <v>328</v>
      </c>
      <c r="AF24" s="3" t="s">
        <v>259</v>
      </c>
      <c r="AG24" s="5"/>
      <c r="AH24" s="3" t="s">
        <v>262</v>
      </c>
      <c r="AI24" s="5" t="s">
        <v>328</v>
      </c>
      <c r="AJ24" s="5"/>
      <c r="AK24" s="5"/>
      <c r="AL24" s="5"/>
      <c r="AM24" s="3" t="s">
        <v>382</v>
      </c>
      <c r="AN24" s="3" t="s">
        <v>383</v>
      </c>
      <c r="AO24" s="3" t="s">
        <v>559</v>
      </c>
      <c r="AP24" s="3" t="s">
        <v>333</v>
      </c>
      <c r="AQ24" s="5"/>
      <c r="AR24" s="5"/>
      <c r="AS24" s="5"/>
      <c r="AT24" s="5"/>
      <c r="AU24" s="5"/>
      <c r="AV24" s="5"/>
      <c r="AW24" s="5">
        <v>0</v>
      </c>
      <c r="AX24" s="3" t="s">
        <v>44</v>
      </c>
      <c r="AY24" s="5"/>
      <c r="AZ24" s="3" t="s">
        <v>560</v>
      </c>
      <c r="BA24" s="5" t="s">
        <v>561</v>
      </c>
      <c r="BB24" s="3" t="s">
        <v>336</v>
      </c>
      <c r="BC24" s="4" t="s">
        <v>562</v>
      </c>
      <c r="BD24" s="4" t="s">
        <v>337</v>
      </c>
      <c r="BE24" s="3" t="s">
        <v>106</v>
      </c>
      <c r="BF24" s="3" t="s">
        <v>563</v>
      </c>
      <c r="BG24" s="3" t="s">
        <v>339</v>
      </c>
      <c r="BH24" s="3" t="s">
        <v>340</v>
      </c>
      <c r="BI24" s="5"/>
      <c r="BJ24" s="5"/>
      <c r="BK24" s="3" t="s">
        <v>361</v>
      </c>
      <c r="BL24" s="4" t="s">
        <v>358</v>
      </c>
      <c r="BM24" s="10"/>
      <c r="BN24" s="10">
        <v>1</v>
      </c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3" t="s">
        <v>341</v>
      </c>
      <c r="BZ24" s="5"/>
      <c r="CA24" s="3" t="s">
        <v>106</v>
      </c>
      <c r="CB24" s="5"/>
      <c r="CC24" s="3" t="s">
        <v>40</v>
      </c>
      <c r="CD24" s="5"/>
      <c r="CE24" s="5"/>
      <c r="CF24" s="3" t="s">
        <v>342</v>
      </c>
      <c r="CG24" s="3" t="s">
        <v>343</v>
      </c>
      <c r="CH24" s="5"/>
      <c r="CI24" s="3" t="s">
        <v>564</v>
      </c>
      <c r="CJ24" s="3" t="s">
        <v>155</v>
      </c>
      <c r="CK24" s="3" t="s">
        <v>156</v>
      </c>
      <c r="CL24" s="3" t="s">
        <v>156</v>
      </c>
      <c r="CM24" s="5"/>
      <c r="CN24" s="3" t="s">
        <v>345</v>
      </c>
      <c r="CO24" s="3" t="s">
        <v>346</v>
      </c>
      <c r="CP24" s="5"/>
      <c r="CQ24" s="3" t="s">
        <v>565</v>
      </c>
      <c r="CR24" s="3" t="s">
        <v>566</v>
      </c>
      <c r="CS24" s="3" t="s">
        <v>557</v>
      </c>
      <c r="CT24" s="3" t="s">
        <v>44</v>
      </c>
      <c r="CU24" s="5"/>
      <c r="CV24" s="5"/>
      <c r="CW24" s="4" t="s">
        <v>359</v>
      </c>
      <c r="CX24" s="5"/>
      <c r="CY24" s="11"/>
    </row>
    <row r="25" ht="12" customHeight="1" spans="1:103" x14ac:dyDescent="0.25">
      <c r="A25" s="8" t="s">
        <v>154</v>
      </c>
      <c r="B25" s="3" t="s">
        <v>323</v>
      </c>
      <c r="C25" s="5">
        <v>1</v>
      </c>
      <c r="D25" s="5">
        <v>1</v>
      </c>
      <c r="E25" s="5"/>
      <c r="F25" s="5">
        <v>0</v>
      </c>
      <c r="G25" s="5">
        <v>1</v>
      </c>
      <c r="H25" s="5">
        <v>0</v>
      </c>
      <c r="I25" s="5">
        <v>0</v>
      </c>
      <c r="J25" s="5">
        <v>1</v>
      </c>
      <c r="K25" s="3" t="s">
        <v>44</v>
      </c>
      <c r="L25" s="3" t="s">
        <v>324</v>
      </c>
      <c r="M25" s="3" t="s">
        <v>31</v>
      </c>
      <c r="N25" s="3" t="s">
        <v>32</v>
      </c>
      <c r="O25" s="3" t="s">
        <v>35</v>
      </c>
      <c r="P25" s="3" t="s">
        <v>40</v>
      </c>
      <c r="Q25" s="3" t="s">
        <v>325</v>
      </c>
      <c r="R25" s="4" t="s">
        <v>30</v>
      </c>
      <c r="S25" s="3" t="s">
        <v>36</v>
      </c>
      <c r="T25" s="3" t="s">
        <v>50</v>
      </c>
      <c r="U25" s="3" t="s">
        <v>36</v>
      </c>
      <c r="V25" s="4" t="s">
        <v>326</v>
      </c>
      <c r="W25" s="3" t="s">
        <v>325</v>
      </c>
      <c r="X25" s="5"/>
      <c r="Y25" s="5"/>
      <c r="Z25" s="5"/>
      <c r="AA25" s="3" t="s">
        <v>557</v>
      </c>
      <c r="AB25" s="3" t="s">
        <v>558</v>
      </c>
      <c r="AC25" s="9">
        <v>11606.4</v>
      </c>
      <c r="AD25" s="9">
        <v>13806.4</v>
      </c>
      <c r="AE25" s="3" t="s">
        <v>328</v>
      </c>
      <c r="AF25" s="3" t="s">
        <v>259</v>
      </c>
      <c r="AG25" s="5"/>
      <c r="AH25" s="3" t="s">
        <v>262</v>
      </c>
      <c r="AI25" s="5" t="s">
        <v>328</v>
      </c>
      <c r="AJ25" s="5"/>
      <c r="AK25" s="5"/>
      <c r="AL25" s="5"/>
      <c r="AM25" s="3" t="s">
        <v>382</v>
      </c>
      <c r="AN25" s="3" t="s">
        <v>383</v>
      </c>
      <c r="AO25" s="3" t="s">
        <v>559</v>
      </c>
      <c r="AP25" s="3" t="s">
        <v>333</v>
      </c>
      <c r="AQ25" s="5"/>
      <c r="AR25" s="5"/>
      <c r="AS25" s="5"/>
      <c r="AT25" s="5"/>
      <c r="AU25" s="5"/>
      <c r="AV25" s="5"/>
      <c r="AW25" s="5">
        <v>0</v>
      </c>
      <c r="AX25" s="3" t="s">
        <v>44</v>
      </c>
      <c r="AY25" s="5"/>
      <c r="AZ25" s="3" t="s">
        <v>560</v>
      </c>
      <c r="BA25" s="5" t="s">
        <v>561</v>
      </c>
      <c r="BB25" s="3" t="s">
        <v>336</v>
      </c>
      <c r="BC25" s="4" t="s">
        <v>562</v>
      </c>
      <c r="BD25" s="4" t="s">
        <v>337</v>
      </c>
      <c r="BE25" s="3" t="s">
        <v>106</v>
      </c>
      <c r="BF25" s="3" t="s">
        <v>563</v>
      </c>
      <c r="BG25" s="3" t="s">
        <v>339</v>
      </c>
      <c r="BH25" s="3" t="s">
        <v>340</v>
      </c>
      <c r="BI25" s="5"/>
      <c r="BJ25" s="5"/>
      <c r="BK25" s="3" t="s">
        <v>361</v>
      </c>
      <c r="BL25" s="4" t="s">
        <v>358</v>
      </c>
      <c r="BM25" s="10"/>
      <c r="BN25" s="10">
        <v>1</v>
      </c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3" t="s">
        <v>341</v>
      </c>
      <c r="BZ25" s="5"/>
      <c r="CA25" s="3" t="s">
        <v>106</v>
      </c>
      <c r="CB25" s="5"/>
      <c r="CC25" s="3" t="s">
        <v>40</v>
      </c>
      <c r="CD25" s="5"/>
      <c r="CE25" s="5"/>
      <c r="CF25" s="3" t="s">
        <v>342</v>
      </c>
      <c r="CG25" s="3" t="s">
        <v>343</v>
      </c>
      <c r="CH25" s="5"/>
      <c r="CI25" s="3" t="s">
        <v>564</v>
      </c>
      <c r="CJ25" s="3" t="s">
        <v>155</v>
      </c>
      <c r="CK25" s="3" t="s">
        <v>156</v>
      </c>
      <c r="CL25" s="3" t="s">
        <v>156</v>
      </c>
      <c r="CM25" s="5"/>
      <c r="CN25" s="3" t="s">
        <v>345</v>
      </c>
      <c r="CO25" s="3" t="s">
        <v>346</v>
      </c>
      <c r="CP25" s="5"/>
      <c r="CQ25" s="3" t="s">
        <v>565</v>
      </c>
      <c r="CR25" s="3" t="s">
        <v>566</v>
      </c>
      <c r="CS25" s="3" t="s">
        <v>557</v>
      </c>
      <c r="CT25" s="3" t="s">
        <v>44</v>
      </c>
      <c r="CU25" s="5"/>
      <c r="CV25" s="5"/>
      <c r="CW25" s="4" t="s">
        <v>359</v>
      </c>
      <c r="CX25" s="5"/>
      <c r="CY25" s="11"/>
    </row>
    <row r="26" ht="12" customHeight="1" spans="1:103" x14ac:dyDescent="0.25">
      <c r="A26" s="8" t="s">
        <v>191</v>
      </c>
      <c r="B26" s="3" t="s">
        <v>323</v>
      </c>
      <c r="C26" s="5">
        <v>1</v>
      </c>
      <c r="D26" s="5">
        <v>1</v>
      </c>
      <c r="E26" s="5"/>
      <c r="F26" s="5">
        <v>0</v>
      </c>
      <c r="G26" s="5">
        <v>1</v>
      </c>
      <c r="H26" s="5">
        <v>0</v>
      </c>
      <c r="I26" s="5">
        <v>0</v>
      </c>
      <c r="J26" s="5">
        <v>1</v>
      </c>
      <c r="K26" s="3" t="s">
        <v>44</v>
      </c>
      <c r="L26" s="3" t="s">
        <v>324</v>
      </c>
      <c r="M26" s="3" t="s">
        <v>31</v>
      </c>
      <c r="N26" s="3" t="s">
        <v>32</v>
      </c>
      <c r="O26" s="3" t="s">
        <v>35</v>
      </c>
      <c r="P26" s="3" t="s">
        <v>40</v>
      </c>
      <c r="Q26" s="3" t="s">
        <v>325</v>
      </c>
      <c r="R26" s="4" t="s">
        <v>30</v>
      </c>
      <c r="S26" s="3" t="s">
        <v>36</v>
      </c>
      <c r="T26" s="3" t="s">
        <v>50</v>
      </c>
      <c r="U26" s="3" t="s">
        <v>36</v>
      </c>
      <c r="V26" s="4" t="s">
        <v>326</v>
      </c>
      <c r="W26" s="3" t="s">
        <v>325</v>
      </c>
      <c r="X26" s="5"/>
      <c r="Y26" s="5"/>
      <c r="Z26" s="5"/>
      <c r="AA26" s="3" t="s">
        <v>557</v>
      </c>
      <c r="AB26" s="3" t="s">
        <v>558</v>
      </c>
      <c r="AC26" s="9">
        <v>15236</v>
      </c>
      <c r="AD26" s="9">
        <v>17436</v>
      </c>
      <c r="AE26" s="3" t="s">
        <v>328</v>
      </c>
      <c r="AF26" s="3" t="s">
        <v>259</v>
      </c>
      <c r="AG26" s="5"/>
      <c r="AH26" s="3" t="s">
        <v>262</v>
      </c>
      <c r="AI26" s="5" t="s">
        <v>328</v>
      </c>
      <c r="AJ26" s="5"/>
      <c r="AK26" s="5"/>
      <c r="AL26" s="5"/>
      <c r="AM26" s="3" t="s">
        <v>382</v>
      </c>
      <c r="AN26" s="3" t="s">
        <v>383</v>
      </c>
      <c r="AO26" s="3" t="s">
        <v>559</v>
      </c>
      <c r="AP26" s="3" t="s">
        <v>333</v>
      </c>
      <c r="AQ26" s="5"/>
      <c r="AR26" s="5"/>
      <c r="AS26" s="5"/>
      <c r="AT26" s="5"/>
      <c r="AU26" s="5"/>
      <c r="AV26" s="5"/>
      <c r="AW26" s="5">
        <v>0</v>
      </c>
      <c r="AX26" s="3" t="s">
        <v>44</v>
      </c>
      <c r="AY26" s="5"/>
      <c r="AZ26" s="3" t="s">
        <v>560</v>
      </c>
      <c r="BA26" s="5" t="s">
        <v>561</v>
      </c>
      <c r="BB26" s="3" t="s">
        <v>336</v>
      </c>
      <c r="BC26" s="4" t="s">
        <v>562</v>
      </c>
      <c r="BD26" s="4" t="s">
        <v>337</v>
      </c>
      <c r="BE26" s="3" t="s">
        <v>106</v>
      </c>
      <c r="BF26" s="3" t="s">
        <v>563</v>
      </c>
      <c r="BG26" s="3" t="s">
        <v>339</v>
      </c>
      <c r="BH26" s="3" t="s">
        <v>340</v>
      </c>
      <c r="BI26" s="5"/>
      <c r="BJ26" s="5"/>
      <c r="BK26" s="3" t="s">
        <v>361</v>
      </c>
      <c r="BL26" s="4" t="s">
        <v>358</v>
      </c>
      <c r="BM26" s="10"/>
      <c r="BN26" s="10">
        <v>1</v>
      </c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3" t="s">
        <v>341</v>
      </c>
      <c r="BZ26" s="5"/>
      <c r="CA26" s="3" t="s">
        <v>106</v>
      </c>
      <c r="CB26" s="5"/>
      <c r="CC26" s="3" t="s">
        <v>40</v>
      </c>
      <c r="CD26" s="5"/>
      <c r="CE26" s="5"/>
      <c r="CF26" s="3" t="s">
        <v>342</v>
      </c>
      <c r="CG26" s="3" t="s">
        <v>343</v>
      </c>
      <c r="CH26" s="5"/>
      <c r="CI26" s="3" t="s">
        <v>564</v>
      </c>
      <c r="CJ26" s="3" t="s">
        <v>155</v>
      </c>
      <c r="CK26" s="3" t="s">
        <v>192</v>
      </c>
      <c r="CL26" s="3" t="s">
        <v>192</v>
      </c>
      <c r="CM26" s="5"/>
      <c r="CN26" s="3" t="s">
        <v>345</v>
      </c>
      <c r="CO26" s="3" t="s">
        <v>346</v>
      </c>
      <c r="CP26" s="5"/>
      <c r="CQ26" s="3" t="s">
        <v>565</v>
      </c>
      <c r="CR26" s="3" t="s">
        <v>566</v>
      </c>
      <c r="CS26" s="3" t="s">
        <v>557</v>
      </c>
      <c r="CT26" s="3" t="s">
        <v>44</v>
      </c>
      <c r="CU26" s="5"/>
      <c r="CV26" s="5"/>
      <c r="CW26" s="4" t="s">
        <v>359</v>
      </c>
      <c r="CX26" s="5"/>
      <c r="CY26" s="11"/>
    </row>
    <row r="27" ht="12" customHeight="1" spans="1:103" x14ac:dyDescent="0.25">
      <c r="A27" s="8" t="s">
        <v>88</v>
      </c>
      <c r="B27" s="3" t="s">
        <v>567</v>
      </c>
      <c r="C27" s="5">
        <v>4</v>
      </c>
      <c r="D27" s="5">
        <v>4</v>
      </c>
      <c r="E27" s="5"/>
      <c r="F27" s="5">
        <v>0</v>
      </c>
      <c r="G27" s="5">
        <v>4</v>
      </c>
      <c r="H27" s="5">
        <v>0</v>
      </c>
      <c r="I27" s="5">
        <v>0</v>
      </c>
      <c r="J27" s="5">
        <v>4</v>
      </c>
      <c r="K27" s="3" t="s">
        <v>44</v>
      </c>
      <c r="L27" s="3" t="s">
        <v>324</v>
      </c>
      <c r="M27" s="3" t="s">
        <v>31</v>
      </c>
      <c r="N27" s="3" t="s">
        <v>32</v>
      </c>
      <c r="O27" s="3" t="s">
        <v>35</v>
      </c>
      <c r="P27" s="3" t="s">
        <v>40</v>
      </c>
      <c r="Q27" s="3" t="s">
        <v>325</v>
      </c>
      <c r="R27" s="4" t="s">
        <v>30</v>
      </c>
      <c r="S27" s="3" t="s">
        <v>87</v>
      </c>
      <c r="T27" s="3" t="s">
        <v>92</v>
      </c>
      <c r="U27" s="3" t="s">
        <v>87</v>
      </c>
      <c r="V27" s="4" t="s">
        <v>568</v>
      </c>
      <c r="W27" s="3" t="s">
        <v>325</v>
      </c>
      <c r="X27" s="5"/>
      <c r="Y27" s="5"/>
      <c r="Z27" s="5"/>
      <c r="AA27" s="3" t="s">
        <v>569</v>
      </c>
      <c r="AB27" s="3" t="s">
        <v>570</v>
      </c>
      <c r="AC27" s="9">
        <v>70472.75</v>
      </c>
      <c r="AD27" s="9">
        <v>79272.75</v>
      </c>
      <c r="AE27" s="3" t="s">
        <v>328</v>
      </c>
      <c r="AF27" s="3" t="s">
        <v>259</v>
      </c>
      <c r="AG27" s="5"/>
      <c r="AH27" s="3" t="s">
        <v>262</v>
      </c>
      <c r="AI27" s="5" t="s">
        <v>328</v>
      </c>
      <c r="AJ27" s="5"/>
      <c r="AK27" s="5"/>
      <c r="AL27" s="5"/>
      <c r="AM27" s="3" t="s">
        <v>425</v>
      </c>
      <c r="AN27" s="3" t="s">
        <v>426</v>
      </c>
      <c r="AO27" s="3" t="s">
        <v>571</v>
      </c>
      <c r="AP27" s="3" t="s">
        <v>333</v>
      </c>
      <c r="AQ27" s="5"/>
      <c r="AR27" s="5"/>
      <c r="AS27" s="5"/>
      <c r="AT27" s="5"/>
      <c r="AU27" s="5"/>
      <c r="AV27" s="5"/>
      <c r="AW27" s="5">
        <v>0</v>
      </c>
      <c r="AX27" s="3" t="s">
        <v>44</v>
      </c>
      <c r="AY27" s="5"/>
      <c r="AZ27" s="3" t="s">
        <v>572</v>
      </c>
      <c r="BA27" s="5" t="s">
        <v>573</v>
      </c>
      <c r="BB27" s="3" t="s">
        <v>336</v>
      </c>
      <c r="BC27" s="4" t="s">
        <v>574</v>
      </c>
      <c r="BD27" s="4" t="s">
        <v>359</v>
      </c>
      <c r="BE27" s="3" t="s">
        <v>106</v>
      </c>
      <c r="BF27" s="3" t="s">
        <v>575</v>
      </c>
      <c r="BG27" s="3" t="s">
        <v>339</v>
      </c>
      <c r="BH27" s="3" t="s">
        <v>340</v>
      </c>
      <c r="BI27" s="5"/>
      <c r="BJ27" s="5"/>
      <c r="BK27" s="3" t="s">
        <v>361</v>
      </c>
      <c r="BL27" s="4" t="s">
        <v>362</v>
      </c>
      <c r="BM27" s="10"/>
      <c r="BN27" s="10">
        <v>4</v>
      </c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3" t="s">
        <v>341</v>
      </c>
      <c r="BZ27" s="5"/>
      <c r="CA27" s="3" t="s">
        <v>106</v>
      </c>
      <c r="CB27" s="5"/>
      <c r="CC27" s="3" t="s">
        <v>40</v>
      </c>
      <c r="CD27" s="5"/>
      <c r="CE27" s="5"/>
      <c r="CF27" s="3" t="s">
        <v>342</v>
      </c>
      <c r="CG27" s="3" t="s">
        <v>343</v>
      </c>
      <c r="CH27" s="5"/>
      <c r="CI27" s="3" t="s">
        <v>576</v>
      </c>
      <c r="CJ27" s="3" t="s">
        <v>90</v>
      </c>
      <c r="CK27" s="3" t="s">
        <v>91</v>
      </c>
      <c r="CL27" s="3" t="s">
        <v>91</v>
      </c>
      <c r="CM27" s="5"/>
      <c r="CN27" s="3" t="s">
        <v>345</v>
      </c>
      <c r="CO27" s="3" t="s">
        <v>346</v>
      </c>
      <c r="CP27" s="5"/>
      <c r="CQ27" s="3" t="s">
        <v>577</v>
      </c>
      <c r="CR27" s="3" t="s">
        <v>578</v>
      </c>
      <c r="CS27" s="3" t="s">
        <v>569</v>
      </c>
      <c r="CT27" s="3" t="s">
        <v>44</v>
      </c>
      <c r="CU27" s="5"/>
      <c r="CV27" s="5"/>
      <c r="CW27" s="4" t="s">
        <v>359</v>
      </c>
      <c r="CX27" s="5"/>
      <c r="CY27" s="11"/>
    </row>
    <row r="28" ht="12" customHeight="1" spans="1:103" x14ac:dyDescent="0.25">
      <c r="A28" s="8" t="s">
        <v>205</v>
      </c>
      <c r="B28" s="3" t="s">
        <v>350</v>
      </c>
      <c r="C28" s="5">
        <v>2</v>
      </c>
      <c r="D28" s="5">
        <v>2</v>
      </c>
      <c r="E28" s="5"/>
      <c r="F28" s="5">
        <v>0</v>
      </c>
      <c r="G28" s="5">
        <v>2</v>
      </c>
      <c r="H28" s="5">
        <v>0</v>
      </c>
      <c r="I28" s="5">
        <v>0</v>
      </c>
      <c r="J28" s="5">
        <v>2</v>
      </c>
      <c r="K28" s="3" t="s">
        <v>44</v>
      </c>
      <c r="L28" s="3" t="s">
        <v>324</v>
      </c>
      <c r="M28" s="3" t="s">
        <v>31</v>
      </c>
      <c r="N28" s="3" t="s">
        <v>32</v>
      </c>
      <c r="O28" s="3" t="s">
        <v>35</v>
      </c>
      <c r="P28" s="3" t="s">
        <v>40</v>
      </c>
      <c r="Q28" s="3" t="s">
        <v>325</v>
      </c>
      <c r="R28" s="4" t="s">
        <v>30</v>
      </c>
      <c r="S28" s="3" t="s">
        <v>204</v>
      </c>
      <c r="T28" s="3" t="s">
        <v>209</v>
      </c>
      <c r="U28" s="3" t="s">
        <v>204</v>
      </c>
      <c r="V28" s="4" t="s">
        <v>579</v>
      </c>
      <c r="W28" s="3" t="s">
        <v>580</v>
      </c>
      <c r="X28" s="5"/>
      <c r="Y28" s="5" t="s">
        <v>72</v>
      </c>
      <c r="Z28" s="5" t="s">
        <v>66</v>
      </c>
      <c r="AA28" s="3" t="s">
        <v>136</v>
      </c>
      <c r="AB28" s="3" t="s">
        <v>136</v>
      </c>
      <c r="AC28" s="9">
        <v>30300</v>
      </c>
      <c r="AD28" s="9">
        <v>34700</v>
      </c>
      <c r="AE28" s="3" t="s">
        <v>328</v>
      </c>
      <c r="AF28" s="3"/>
      <c r="AG28" s="5"/>
      <c r="AH28" s="3" t="s">
        <v>262</v>
      </c>
      <c r="AI28" s="5" t="s">
        <v>328</v>
      </c>
      <c r="AJ28" s="5"/>
      <c r="AK28" s="5"/>
      <c r="AL28" s="5"/>
      <c r="AM28" s="3" t="s">
        <v>435</v>
      </c>
      <c r="AN28" s="3" t="s">
        <v>436</v>
      </c>
      <c r="AO28" s="3" t="s">
        <v>581</v>
      </c>
      <c r="AP28" s="3" t="s">
        <v>17</v>
      </c>
      <c r="AQ28" s="5"/>
      <c r="AR28" s="5"/>
      <c r="AS28" s="5"/>
      <c r="AT28" s="5"/>
      <c r="AU28" s="5"/>
      <c r="AV28" s="5"/>
      <c r="AW28" s="5">
        <v>0</v>
      </c>
      <c r="AX28" s="3" t="s">
        <v>44</v>
      </c>
      <c r="AY28" s="5"/>
      <c r="AZ28" s="3" t="s">
        <v>582</v>
      </c>
      <c r="BA28" s="5" t="s">
        <v>583</v>
      </c>
      <c r="BB28" s="3" t="s">
        <v>336</v>
      </c>
      <c r="BC28" s="4" t="s">
        <v>584</v>
      </c>
      <c r="BD28" s="4" t="s">
        <v>359</v>
      </c>
      <c r="BE28" s="3" t="s">
        <v>106</v>
      </c>
      <c r="BF28" s="3" t="s">
        <v>585</v>
      </c>
      <c r="BG28" s="3" t="s">
        <v>339</v>
      </c>
      <c r="BH28" s="3" t="s">
        <v>340</v>
      </c>
      <c r="BI28" s="5"/>
      <c r="BJ28" s="5"/>
      <c r="BK28" s="3" t="s">
        <v>464</v>
      </c>
      <c r="BL28" s="4" t="s">
        <v>362</v>
      </c>
      <c r="BM28" s="10"/>
      <c r="BN28" s="10">
        <v>2</v>
      </c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3" t="s">
        <v>341</v>
      </c>
      <c r="BZ28" s="5">
        <v>4</v>
      </c>
      <c r="CA28" s="3" t="s">
        <v>106</v>
      </c>
      <c r="CB28" s="5"/>
      <c r="CC28" s="3" t="s">
        <v>40</v>
      </c>
      <c r="CD28" s="5"/>
      <c r="CE28" s="5"/>
      <c r="CF28" s="3" t="s">
        <v>342</v>
      </c>
      <c r="CG28" s="3" t="s">
        <v>343</v>
      </c>
      <c r="CH28" s="5" t="s">
        <v>586</v>
      </c>
      <c r="CI28" s="3" t="s">
        <v>587</v>
      </c>
      <c r="CJ28" s="3" t="s">
        <v>206</v>
      </c>
      <c r="CK28" s="3" t="s">
        <v>207</v>
      </c>
      <c r="CL28" s="3" t="s">
        <v>208</v>
      </c>
      <c r="CM28" s="5"/>
      <c r="CN28" s="3" t="s">
        <v>345</v>
      </c>
      <c r="CO28" s="3" t="s">
        <v>346</v>
      </c>
      <c r="CP28" s="5"/>
      <c r="CQ28" s="3" t="s">
        <v>588</v>
      </c>
      <c r="CR28" s="3" t="s">
        <v>589</v>
      </c>
      <c r="CS28" s="3" t="s">
        <v>136</v>
      </c>
      <c r="CT28" s="3" t="s">
        <v>44</v>
      </c>
      <c r="CU28" s="5"/>
      <c r="CV28" s="5"/>
      <c r="CW28" s="4" t="s">
        <v>359</v>
      </c>
      <c r="CX28" s="5" t="s">
        <v>590</v>
      </c>
      <c r="CY28" s="11"/>
    </row>
    <row r="29" ht="12" customHeight="1" spans="1:103" x14ac:dyDescent="0.25">
      <c r="A29" s="8" t="s">
        <v>135</v>
      </c>
      <c r="B29" s="3" t="s">
        <v>323</v>
      </c>
      <c r="C29" s="5">
        <v>1</v>
      </c>
      <c r="D29" s="5">
        <v>1</v>
      </c>
      <c r="E29" s="5"/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3" t="s">
        <v>44</v>
      </c>
      <c r="L29" s="3" t="s">
        <v>324</v>
      </c>
      <c r="M29" s="3" t="s">
        <v>31</v>
      </c>
      <c r="N29" s="3" t="s">
        <v>32</v>
      </c>
      <c r="O29" s="3" t="s">
        <v>35</v>
      </c>
      <c r="P29" s="3" t="s">
        <v>40</v>
      </c>
      <c r="Q29" s="3" t="s">
        <v>325</v>
      </c>
      <c r="R29" s="4" t="s">
        <v>30</v>
      </c>
      <c r="S29" s="3" t="s">
        <v>66</v>
      </c>
      <c r="T29" s="3" t="s">
        <v>72</v>
      </c>
      <c r="U29" s="3" t="s">
        <v>66</v>
      </c>
      <c r="V29" s="4" t="s">
        <v>529</v>
      </c>
      <c r="W29" s="3" t="s">
        <v>530</v>
      </c>
      <c r="X29" s="5"/>
      <c r="Y29" s="5"/>
      <c r="Z29" s="5"/>
      <c r="AA29" s="3" t="s">
        <v>136</v>
      </c>
      <c r="AB29" s="3" t="s">
        <v>136</v>
      </c>
      <c r="AC29" s="9">
        <v>17136</v>
      </c>
      <c r="AD29" s="9">
        <v>19336</v>
      </c>
      <c r="AE29" s="3" t="s">
        <v>328</v>
      </c>
      <c r="AF29" s="3"/>
      <c r="AG29" s="5"/>
      <c r="AH29" s="3" t="s">
        <v>262</v>
      </c>
      <c r="AI29" s="5" t="s">
        <v>328</v>
      </c>
      <c r="AJ29" s="5"/>
      <c r="AK29" s="5"/>
      <c r="AL29" s="5"/>
      <c r="AM29" s="3" t="s">
        <v>435</v>
      </c>
      <c r="AN29" s="3" t="s">
        <v>436</v>
      </c>
      <c r="AO29" s="3" t="s">
        <v>591</v>
      </c>
      <c r="AP29" s="3" t="s">
        <v>333</v>
      </c>
      <c r="AQ29" s="5"/>
      <c r="AR29" s="5"/>
      <c r="AS29" s="5"/>
      <c r="AT29" s="5"/>
      <c r="AU29" s="5"/>
      <c r="AV29" s="5"/>
      <c r="AW29" s="5">
        <v>0</v>
      </c>
      <c r="AX29" s="3" t="s">
        <v>44</v>
      </c>
      <c r="AY29" s="5"/>
      <c r="AZ29" s="3" t="s">
        <v>582</v>
      </c>
      <c r="BA29" s="5" t="s">
        <v>592</v>
      </c>
      <c r="BB29" s="3" t="s">
        <v>336</v>
      </c>
      <c r="BC29" s="4" t="s">
        <v>593</v>
      </c>
      <c r="BD29" s="4" t="s">
        <v>337</v>
      </c>
      <c r="BE29" s="3" t="s">
        <v>106</v>
      </c>
      <c r="BF29" s="3" t="s">
        <v>585</v>
      </c>
      <c r="BG29" s="3" t="s">
        <v>339</v>
      </c>
      <c r="BH29" s="3" t="s">
        <v>340</v>
      </c>
      <c r="BI29" s="5"/>
      <c r="BJ29" s="5"/>
      <c r="BK29" s="3" t="s">
        <v>464</v>
      </c>
      <c r="BL29" s="4" t="s">
        <v>362</v>
      </c>
      <c r="BM29" s="10"/>
      <c r="BN29" s="10">
        <v>1</v>
      </c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3" t="s">
        <v>341</v>
      </c>
      <c r="BZ29" s="5"/>
      <c r="CA29" s="3" t="s">
        <v>106</v>
      </c>
      <c r="CB29" s="5"/>
      <c r="CC29" s="3" t="s">
        <v>40</v>
      </c>
      <c r="CD29" s="5"/>
      <c r="CE29" s="5"/>
      <c r="CF29" s="3" t="s">
        <v>342</v>
      </c>
      <c r="CG29" s="3" t="s">
        <v>343</v>
      </c>
      <c r="CH29" s="5"/>
      <c r="CI29" s="3" t="s">
        <v>587</v>
      </c>
      <c r="CJ29" s="3" t="s">
        <v>136</v>
      </c>
      <c r="CK29" s="3" t="s">
        <v>137</v>
      </c>
      <c r="CL29" s="3" t="s">
        <v>137</v>
      </c>
      <c r="CM29" s="5"/>
      <c r="CN29" s="3" t="s">
        <v>345</v>
      </c>
      <c r="CO29" s="3" t="s">
        <v>346</v>
      </c>
      <c r="CP29" s="5"/>
      <c r="CQ29" s="3" t="s">
        <v>588</v>
      </c>
      <c r="CR29" s="3" t="s">
        <v>589</v>
      </c>
      <c r="CS29" s="3" t="s">
        <v>136</v>
      </c>
      <c r="CT29" s="3" t="s">
        <v>44</v>
      </c>
      <c r="CU29" s="5"/>
      <c r="CV29" s="5"/>
      <c r="CW29" s="4" t="s">
        <v>349</v>
      </c>
      <c r="CX29" s="5"/>
      <c r="CY29" s="11"/>
    </row>
    <row r="30" ht="12" customHeight="1" spans="1:103" x14ac:dyDescent="0.25">
      <c r="A30" s="8" t="s">
        <v>123</v>
      </c>
      <c r="B30" s="3" t="s">
        <v>539</v>
      </c>
      <c r="C30" s="5">
        <v>3</v>
      </c>
      <c r="D30" s="5">
        <v>3</v>
      </c>
      <c r="E30" s="5"/>
      <c r="F30" s="5">
        <v>0</v>
      </c>
      <c r="G30" s="5">
        <v>3</v>
      </c>
      <c r="H30" s="5">
        <v>0</v>
      </c>
      <c r="I30" s="5">
        <v>0</v>
      </c>
      <c r="J30" s="5">
        <v>3</v>
      </c>
      <c r="K30" s="3" t="s">
        <v>44</v>
      </c>
      <c r="L30" s="3" t="s">
        <v>324</v>
      </c>
      <c r="M30" s="3" t="s">
        <v>31</v>
      </c>
      <c r="N30" s="3" t="s">
        <v>32</v>
      </c>
      <c r="O30" s="3" t="s">
        <v>35</v>
      </c>
      <c r="P30" s="3" t="s">
        <v>40</v>
      </c>
      <c r="Q30" s="3" t="s">
        <v>325</v>
      </c>
      <c r="R30" s="4" t="s">
        <v>30</v>
      </c>
      <c r="S30" s="3" t="s">
        <v>87</v>
      </c>
      <c r="T30" s="3" t="s">
        <v>92</v>
      </c>
      <c r="U30" s="3" t="s">
        <v>87</v>
      </c>
      <c r="V30" s="4" t="s">
        <v>568</v>
      </c>
      <c r="W30" s="3" t="s">
        <v>325</v>
      </c>
      <c r="X30" s="5"/>
      <c r="Y30" s="5"/>
      <c r="Z30" s="5"/>
      <c r="AA30" s="3" t="s">
        <v>594</v>
      </c>
      <c r="AB30" s="3" t="s">
        <v>595</v>
      </c>
      <c r="AC30" s="9">
        <v>62154.6</v>
      </c>
      <c r="AD30" s="9">
        <v>68754.6</v>
      </c>
      <c r="AE30" s="3" t="s">
        <v>328</v>
      </c>
      <c r="AF30" s="3"/>
      <c r="AG30" s="5"/>
      <c r="AH30" s="3" t="s">
        <v>262</v>
      </c>
      <c r="AI30" s="5" t="s">
        <v>328</v>
      </c>
      <c r="AJ30" s="5"/>
      <c r="AK30" s="5"/>
      <c r="AL30" s="5"/>
      <c r="AM30" s="3" t="s">
        <v>425</v>
      </c>
      <c r="AN30" s="3" t="s">
        <v>426</v>
      </c>
      <c r="AO30" s="3" t="s">
        <v>596</v>
      </c>
      <c r="AP30" s="3" t="s">
        <v>333</v>
      </c>
      <c r="AQ30" s="5"/>
      <c r="AR30" s="5"/>
      <c r="AS30" s="5"/>
      <c r="AT30" s="5"/>
      <c r="AU30" s="5"/>
      <c r="AV30" s="5"/>
      <c r="AW30" s="5">
        <v>0</v>
      </c>
      <c r="AX30" s="3" t="s">
        <v>44</v>
      </c>
      <c r="AY30" s="5"/>
      <c r="AZ30" s="3" t="s">
        <v>597</v>
      </c>
      <c r="BA30" s="5" t="s">
        <v>573</v>
      </c>
      <c r="BB30" s="3" t="s">
        <v>336</v>
      </c>
      <c r="BC30" s="4" t="s">
        <v>598</v>
      </c>
      <c r="BD30" s="4" t="s">
        <v>337</v>
      </c>
      <c r="BE30" s="3" t="s">
        <v>106</v>
      </c>
      <c r="BF30" s="3" t="s">
        <v>599</v>
      </c>
      <c r="BG30" s="3" t="s">
        <v>339</v>
      </c>
      <c r="BH30" s="3" t="s">
        <v>340</v>
      </c>
      <c r="BI30" s="5"/>
      <c r="BJ30" s="5"/>
      <c r="BK30" s="3" t="s">
        <v>361</v>
      </c>
      <c r="BL30" s="4" t="s">
        <v>337</v>
      </c>
      <c r="BM30" s="10"/>
      <c r="BN30" s="10">
        <v>3</v>
      </c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3" t="s">
        <v>341</v>
      </c>
      <c r="BZ30" s="5"/>
      <c r="CA30" s="3" t="s">
        <v>106</v>
      </c>
      <c r="CB30" s="5"/>
      <c r="CC30" s="3" t="s">
        <v>40</v>
      </c>
      <c r="CD30" s="5"/>
      <c r="CE30" s="5"/>
      <c r="CF30" s="3" t="s">
        <v>342</v>
      </c>
      <c r="CG30" s="3" t="s">
        <v>343</v>
      </c>
      <c r="CH30" s="5"/>
      <c r="CI30" s="3" t="s">
        <v>600</v>
      </c>
      <c r="CJ30" s="3" t="s">
        <v>124</v>
      </c>
      <c r="CK30" s="3" t="s">
        <v>125</v>
      </c>
      <c r="CL30" s="3" t="s">
        <v>125</v>
      </c>
      <c r="CM30" s="5"/>
      <c r="CN30" s="3" t="s">
        <v>345</v>
      </c>
      <c r="CO30" s="3" t="s">
        <v>346</v>
      </c>
      <c r="CP30" s="5"/>
      <c r="CQ30" s="3" t="s">
        <v>601</v>
      </c>
      <c r="CR30" s="3" t="s">
        <v>602</v>
      </c>
      <c r="CS30" s="3" t="s">
        <v>594</v>
      </c>
      <c r="CT30" s="3" t="s">
        <v>44</v>
      </c>
      <c r="CU30" s="5"/>
      <c r="CV30" s="5"/>
      <c r="CW30" s="4" t="s">
        <v>349</v>
      </c>
      <c r="CX30" s="5"/>
      <c r="CY30" s="11"/>
    </row>
    <row r="31" ht="12" customHeight="1" spans="1:103" x14ac:dyDescent="0.25">
      <c r="A31" s="8" t="s">
        <v>105</v>
      </c>
      <c r="B31" s="3" t="s">
        <v>422</v>
      </c>
      <c r="C31" s="5">
        <v>1</v>
      </c>
      <c r="D31" s="5">
        <v>1</v>
      </c>
      <c r="E31" s="5"/>
      <c r="F31" s="5">
        <v>0</v>
      </c>
      <c r="G31" s="5">
        <v>0</v>
      </c>
      <c r="H31" s="5">
        <v>0</v>
      </c>
      <c r="I31" s="5">
        <v>1</v>
      </c>
      <c r="J31" s="5">
        <v>2</v>
      </c>
      <c r="K31" s="3" t="s">
        <v>44</v>
      </c>
      <c r="L31" s="3" t="s">
        <v>324</v>
      </c>
      <c r="M31" s="3" t="s">
        <v>31</v>
      </c>
      <c r="N31" s="3" t="s">
        <v>32</v>
      </c>
      <c r="O31" s="3" t="s">
        <v>35</v>
      </c>
      <c r="P31" s="3" t="s">
        <v>40</v>
      </c>
      <c r="Q31" s="3" t="s">
        <v>325</v>
      </c>
      <c r="R31" s="4" t="s">
        <v>30</v>
      </c>
      <c r="S31" s="3" t="s">
        <v>104</v>
      </c>
      <c r="T31" s="3" t="s">
        <v>110</v>
      </c>
      <c r="U31" s="3" t="s">
        <v>104</v>
      </c>
      <c r="V31" s="4" t="s">
        <v>408</v>
      </c>
      <c r="W31" s="3" t="s">
        <v>409</v>
      </c>
      <c r="X31" s="5"/>
      <c r="Y31" s="5" t="s">
        <v>72</v>
      </c>
      <c r="Z31" s="5" t="s">
        <v>66</v>
      </c>
      <c r="AA31" s="3" t="s">
        <v>603</v>
      </c>
      <c r="AB31" s="3" t="s">
        <v>603</v>
      </c>
      <c r="AC31" s="9">
        <v>19880.5</v>
      </c>
      <c r="AD31" s="9">
        <v>23880.5</v>
      </c>
      <c r="AE31" s="3" t="s">
        <v>328</v>
      </c>
      <c r="AF31" s="3"/>
      <c r="AG31" s="5"/>
      <c r="AH31" s="3" t="s">
        <v>262</v>
      </c>
      <c r="AI31" s="5" t="s">
        <v>328</v>
      </c>
      <c r="AJ31" s="5"/>
      <c r="AK31" s="5"/>
      <c r="AL31" s="5"/>
      <c r="AM31" s="3" t="s">
        <v>410</v>
      </c>
      <c r="AN31" s="3" t="s">
        <v>411</v>
      </c>
      <c r="AO31" s="3" t="s">
        <v>604</v>
      </c>
      <c r="AP31" s="3" t="s">
        <v>333</v>
      </c>
      <c r="AQ31" s="5"/>
      <c r="AR31" s="5"/>
      <c r="AS31" s="5"/>
      <c r="AT31" s="5"/>
      <c r="AU31" s="5"/>
      <c r="AV31" s="5"/>
      <c r="AW31" s="5">
        <v>0</v>
      </c>
      <c r="AX31" s="3" t="s">
        <v>44</v>
      </c>
      <c r="AY31" s="5"/>
      <c r="AZ31" s="3" t="s">
        <v>605</v>
      </c>
      <c r="BA31" s="5" t="s">
        <v>606</v>
      </c>
      <c r="BB31" s="3" t="s">
        <v>415</v>
      </c>
      <c r="BC31" s="4" t="s">
        <v>607</v>
      </c>
      <c r="BD31" s="4" t="s">
        <v>359</v>
      </c>
      <c r="BE31" s="3" t="s">
        <v>106</v>
      </c>
      <c r="BF31" s="3" t="s">
        <v>608</v>
      </c>
      <c r="BG31" s="3" t="s">
        <v>339</v>
      </c>
      <c r="BH31" s="3" t="s">
        <v>340</v>
      </c>
      <c r="BI31" s="5"/>
      <c r="BJ31" s="5"/>
      <c r="BK31" s="3" t="s">
        <v>361</v>
      </c>
      <c r="BL31" s="4" t="s">
        <v>359</v>
      </c>
      <c r="BM31" s="10"/>
      <c r="BN31" s="10"/>
      <c r="BO31" s="10"/>
      <c r="BP31" s="10">
        <v>1</v>
      </c>
      <c r="BQ31" s="10"/>
      <c r="BR31" s="10"/>
      <c r="BS31" s="10"/>
      <c r="BT31" s="10"/>
      <c r="BU31" s="10"/>
      <c r="BV31" s="10"/>
      <c r="BW31" s="10"/>
      <c r="BX31" s="10"/>
      <c r="BY31" s="3" t="s">
        <v>341</v>
      </c>
      <c r="BZ31" s="5">
        <v>1</v>
      </c>
      <c r="CA31" s="3"/>
      <c r="CB31" s="5"/>
      <c r="CC31" s="3" t="s">
        <v>40</v>
      </c>
      <c r="CD31" s="5"/>
      <c r="CE31" s="5"/>
      <c r="CF31" s="3" t="s">
        <v>342</v>
      </c>
      <c r="CG31" s="3" t="s">
        <v>343</v>
      </c>
      <c r="CH31" s="5" t="s">
        <v>417</v>
      </c>
      <c r="CI31" s="3" t="s">
        <v>609</v>
      </c>
      <c r="CJ31" s="3" t="s">
        <v>107</v>
      </c>
      <c r="CK31" s="3" t="s">
        <v>108</v>
      </c>
      <c r="CL31" s="3" t="s">
        <v>109</v>
      </c>
      <c r="CM31" s="5"/>
      <c r="CN31" s="3" t="s">
        <v>345</v>
      </c>
      <c r="CO31" s="3" t="s">
        <v>346</v>
      </c>
      <c r="CP31" s="5"/>
      <c r="CQ31" s="3" t="s">
        <v>419</v>
      </c>
      <c r="CR31" s="3" t="s">
        <v>610</v>
      </c>
      <c r="CS31" s="3" t="s">
        <v>603</v>
      </c>
      <c r="CT31" s="3" t="s">
        <v>44</v>
      </c>
      <c r="CU31" s="5"/>
      <c r="CV31" s="5"/>
      <c r="CW31" s="4" t="s">
        <v>349</v>
      </c>
      <c r="CX31" s="5" t="s">
        <v>611</v>
      </c>
      <c r="CY31" s="11"/>
    </row>
    <row r="32" ht="12" customHeight="1" spans="1:103" x14ac:dyDescent="0.25">
      <c r="A32" s="8" t="s">
        <v>158</v>
      </c>
      <c r="B32" s="3" t="s">
        <v>323</v>
      </c>
      <c r="C32" s="5">
        <v>1</v>
      </c>
      <c r="D32" s="5">
        <v>1</v>
      </c>
      <c r="E32" s="5"/>
      <c r="F32" s="5">
        <v>0</v>
      </c>
      <c r="G32" s="5">
        <v>1</v>
      </c>
      <c r="H32" s="5">
        <v>0</v>
      </c>
      <c r="I32" s="5">
        <v>0</v>
      </c>
      <c r="J32" s="5">
        <v>1</v>
      </c>
      <c r="K32" s="3" t="s">
        <v>44</v>
      </c>
      <c r="L32" s="3" t="s">
        <v>324</v>
      </c>
      <c r="M32" s="3" t="s">
        <v>31</v>
      </c>
      <c r="N32" s="3" t="s">
        <v>32</v>
      </c>
      <c r="O32" s="3" t="s">
        <v>35</v>
      </c>
      <c r="P32" s="3" t="s">
        <v>40</v>
      </c>
      <c r="Q32" s="3" t="s">
        <v>325</v>
      </c>
      <c r="R32" s="4" t="s">
        <v>30</v>
      </c>
      <c r="S32" s="3" t="s">
        <v>36</v>
      </c>
      <c r="T32" s="3" t="s">
        <v>50</v>
      </c>
      <c r="U32" s="3" t="s">
        <v>36</v>
      </c>
      <c r="V32" s="4" t="s">
        <v>326</v>
      </c>
      <c r="W32" s="3" t="s">
        <v>325</v>
      </c>
      <c r="X32" s="5"/>
      <c r="Y32" s="5"/>
      <c r="Z32" s="5"/>
      <c r="AA32" s="3" t="s">
        <v>612</v>
      </c>
      <c r="AB32" s="3" t="s">
        <v>613</v>
      </c>
      <c r="AC32" s="9">
        <v>13935</v>
      </c>
      <c r="AD32" s="9">
        <v>16135</v>
      </c>
      <c r="AE32" s="3" t="s">
        <v>328</v>
      </c>
      <c r="AF32" s="3" t="s">
        <v>259</v>
      </c>
      <c r="AG32" s="5"/>
      <c r="AH32" s="3" t="s">
        <v>262</v>
      </c>
      <c r="AI32" s="5" t="s">
        <v>328</v>
      </c>
      <c r="AJ32" s="5"/>
      <c r="AK32" s="5"/>
      <c r="AL32" s="5"/>
      <c r="AM32" s="3" t="s">
        <v>425</v>
      </c>
      <c r="AN32" s="3" t="s">
        <v>426</v>
      </c>
      <c r="AO32" s="3" t="s">
        <v>532</v>
      </c>
      <c r="AP32" s="3" t="s">
        <v>333</v>
      </c>
      <c r="AQ32" s="5"/>
      <c r="AR32" s="5"/>
      <c r="AS32" s="5"/>
      <c r="AT32" s="5"/>
      <c r="AU32" s="5"/>
      <c r="AV32" s="5"/>
      <c r="AW32" s="5">
        <v>0</v>
      </c>
      <c r="AX32" s="3" t="s">
        <v>44</v>
      </c>
      <c r="AY32" s="5"/>
      <c r="AZ32" s="3" t="s">
        <v>614</v>
      </c>
      <c r="BA32" s="5" t="s">
        <v>615</v>
      </c>
      <c r="BB32" s="3" t="s">
        <v>336</v>
      </c>
      <c r="BC32" s="4" t="s">
        <v>607</v>
      </c>
      <c r="BD32" s="4" t="s">
        <v>359</v>
      </c>
      <c r="BE32" s="3" t="s">
        <v>106</v>
      </c>
      <c r="BF32" s="3" t="s">
        <v>532</v>
      </c>
      <c r="BG32" s="3" t="s">
        <v>339</v>
      </c>
      <c r="BH32" s="3" t="s">
        <v>340</v>
      </c>
      <c r="BI32" s="5"/>
      <c r="BJ32" s="5"/>
      <c r="BK32" s="3" t="s">
        <v>361</v>
      </c>
      <c r="BL32" s="4" t="s">
        <v>358</v>
      </c>
      <c r="BM32" s="10"/>
      <c r="BN32" s="10">
        <v>1</v>
      </c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3" t="s">
        <v>341</v>
      </c>
      <c r="BZ32" s="5"/>
      <c r="CA32" s="3" t="s">
        <v>106</v>
      </c>
      <c r="CB32" s="5"/>
      <c r="CC32" s="3" t="s">
        <v>40</v>
      </c>
      <c r="CD32" s="5"/>
      <c r="CE32" s="5"/>
      <c r="CF32" s="3" t="s">
        <v>342</v>
      </c>
      <c r="CG32" s="3" t="s">
        <v>343</v>
      </c>
      <c r="CH32" s="5"/>
      <c r="CI32" s="3" t="s">
        <v>616</v>
      </c>
      <c r="CJ32" s="3" t="s">
        <v>159</v>
      </c>
      <c r="CK32" s="3" t="s">
        <v>160</v>
      </c>
      <c r="CL32" s="3" t="s">
        <v>161</v>
      </c>
      <c r="CM32" s="5"/>
      <c r="CN32" s="3" t="s">
        <v>345</v>
      </c>
      <c r="CO32" s="3" t="s">
        <v>346</v>
      </c>
      <c r="CP32" s="5"/>
      <c r="CQ32" s="3" t="s">
        <v>617</v>
      </c>
      <c r="CR32" s="3" t="s">
        <v>618</v>
      </c>
      <c r="CS32" s="3" t="s">
        <v>612</v>
      </c>
      <c r="CT32" s="3" t="s">
        <v>44</v>
      </c>
      <c r="CU32" s="5"/>
      <c r="CV32" s="5"/>
      <c r="CW32" s="4" t="s">
        <v>359</v>
      </c>
      <c r="CX32" s="5"/>
      <c r="CY32" s="11"/>
    </row>
    <row r="33" ht="12" customHeight="1" spans="1:103" x14ac:dyDescent="0.25">
      <c r="A33" s="8" t="s">
        <v>67</v>
      </c>
      <c r="B33" s="3" t="s">
        <v>323</v>
      </c>
      <c r="C33" s="5">
        <v>0</v>
      </c>
      <c r="D33" s="5">
        <v>0</v>
      </c>
      <c r="E33" s="5"/>
      <c r="F33" s="5">
        <v>0</v>
      </c>
      <c r="G33" s="5">
        <v>1</v>
      </c>
      <c r="H33" s="5">
        <v>0</v>
      </c>
      <c r="I33" s="5">
        <v>0</v>
      </c>
      <c r="J33" s="5">
        <v>1</v>
      </c>
      <c r="K33" s="3" t="s">
        <v>44</v>
      </c>
      <c r="L33" s="3" t="s">
        <v>324</v>
      </c>
      <c r="M33" s="3" t="s">
        <v>31</v>
      </c>
      <c r="N33" s="3" t="s">
        <v>32</v>
      </c>
      <c r="O33" s="3" t="s">
        <v>35</v>
      </c>
      <c r="P33" s="3" t="s">
        <v>40</v>
      </c>
      <c r="Q33" s="3" t="s">
        <v>325</v>
      </c>
      <c r="R33" s="4" t="s">
        <v>30</v>
      </c>
      <c r="S33" s="3" t="s">
        <v>66</v>
      </c>
      <c r="T33" s="3" t="s">
        <v>72</v>
      </c>
      <c r="U33" s="3" t="s">
        <v>66</v>
      </c>
      <c r="V33" s="4" t="s">
        <v>529</v>
      </c>
      <c r="W33" s="3" t="s">
        <v>530</v>
      </c>
      <c r="X33" s="5"/>
      <c r="Y33" s="5"/>
      <c r="Z33" s="5"/>
      <c r="AA33" s="3" t="s">
        <v>69</v>
      </c>
      <c r="AB33" s="3" t="s">
        <v>69</v>
      </c>
      <c r="AC33" s="9">
        <v>5713.3</v>
      </c>
      <c r="AD33" s="9">
        <v>7913.3</v>
      </c>
      <c r="AE33" s="3" t="s">
        <v>328</v>
      </c>
      <c r="AF33" s="3" t="s">
        <v>259</v>
      </c>
      <c r="AG33" s="5"/>
      <c r="AH33" s="3" t="s">
        <v>262</v>
      </c>
      <c r="AI33" s="5" t="s">
        <v>328</v>
      </c>
      <c r="AJ33" s="5"/>
      <c r="AK33" s="5"/>
      <c r="AL33" s="5"/>
      <c r="AM33" s="3" t="s">
        <v>330</v>
      </c>
      <c r="AN33" s="3" t="s">
        <v>331</v>
      </c>
      <c r="AO33" s="3" t="s">
        <v>332</v>
      </c>
      <c r="AP33" s="3" t="s">
        <v>333</v>
      </c>
      <c r="AQ33" s="5"/>
      <c r="AR33" s="5"/>
      <c r="AS33" s="5"/>
      <c r="AT33" s="5"/>
      <c r="AU33" s="5"/>
      <c r="AV33" s="5"/>
      <c r="AW33" s="5">
        <v>0</v>
      </c>
      <c r="AX33" s="3" t="s">
        <v>44</v>
      </c>
      <c r="AY33" s="5"/>
      <c r="AZ33" s="3" t="s">
        <v>619</v>
      </c>
      <c r="BA33" s="5" t="s">
        <v>620</v>
      </c>
      <c r="BB33" s="3" t="s">
        <v>336</v>
      </c>
      <c r="BC33" s="4" t="s">
        <v>621</v>
      </c>
      <c r="BD33" s="4" t="s">
        <v>359</v>
      </c>
      <c r="BE33" s="3" t="s">
        <v>106</v>
      </c>
      <c r="BF33" s="3" t="s">
        <v>332</v>
      </c>
      <c r="BG33" s="3" t="s">
        <v>339</v>
      </c>
      <c r="BH33" s="3" t="s">
        <v>340</v>
      </c>
      <c r="BI33" s="5"/>
      <c r="BJ33" s="5"/>
      <c r="BK33" s="3" t="s">
        <v>40</v>
      </c>
      <c r="BL33" s="4" t="s">
        <v>337</v>
      </c>
      <c r="BM33" s="10"/>
      <c r="BN33" s="10">
        <v>1</v>
      </c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3" t="s">
        <v>341</v>
      </c>
      <c r="BZ33" s="5"/>
      <c r="CA33" s="3"/>
      <c r="CB33" s="5"/>
      <c r="CC33" s="3" t="s">
        <v>40</v>
      </c>
      <c r="CD33" s="5"/>
      <c r="CE33" s="5"/>
      <c r="CF33" s="3" t="s">
        <v>342</v>
      </c>
      <c r="CG33" s="3" t="s">
        <v>343</v>
      </c>
      <c r="CH33" s="5"/>
      <c r="CI33" s="3" t="s">
        <v>622</v>
      </c>
      <c r="CJ33" s="3" t="s">
        <v>69</v>
      </c>
      <c r="CK33" s="3" t="s">
        <v>71</v>
      </c>
      <c r="CL33" s="3" t="s">
        <v>71</v>
      </c>
      <c r="CM33" s="5"/>
      <c r="CN33" s="3" t="s">
        <v>345</v>
      </c>
      <c r="CO33" s="3" t="s">
        <v>346</v>
      </c>
      <c r="CP33" s="5"/>
      <c r="CQ33" s="3" t="s">
        <v>623</v>
      </c>
      <c r="CR33" s="3" t="s">
        <v>624</v>
      </c>
      <c r="CS33" s="3" t="s">
        <v>69</v>
      </c>
      <c r="CT33" s="3" t="s">
        <v>44</v>
      </c>
      <c r="CU33" s="5"/>
      <c r="CV33" s="5"/>
      <c r="CW33" s="4" t="s">
        <v>359</v>
      </c>
      <c r="CX33" s="5"/>
      <c r="CY33" s="11"/>
    </row>
    <row r="34" ht="12" customHeight="1" spans="1:103" x14ac:dyDescent="0.25">
      <c r="A34" s="8" t="s">
        <v>81</v>
      </c>
      <c r="B34" s="3" t="s">
        <v>451</v>
      </c>
      <c r="C34" s="5">
        <v>1</v>
      </c>
      <c r="D34" s="5">
        <v>1</v>
      </c>
      <c r="E34" s="5"/>
      <c r="F34" s="5">
        <v>0</v>
      </c>
      <c r="G34" s="5">
        <v>1</v>
      </c>
      <c r="H34" s="5">
        <v>0</v>
      </c>
      <c r="I34" s="5">
        <v>0</v>
      </c>
      <c r="J34" s="5">
        <v>1</v>
      </c>
      <c r="K34" s="3" t="s">
        <v>44</v>
      </c>
      <c r="L34" s="3" t="s">
        <v>324</v>
      </c>
      <c r="M34" s="3" t="s">
        <v>31</v>
      </c>
      <c r="N34" s="3" t="s">
        <v>32</v>
      </c>
      <c r="O34" s="3" t="s">
        <v>35</v>
      </c>
      <c r="P34" s="3" t="s">
        <v>40</v>
      </c>
      <c r="Q34" s="3" t="s">
        <v>325</v>
      </c>
      <c r="R34" s="4" t="s">
        <v>30</v>
      </c>
      <c r="S34" s="3" t="s">
        <v>36</v>
      </c>
      <c r="T34" s="3" t="s">
        <v>50</v>
      </c>
      <c r="U34" s="3" t="s">
        <v>36</v>
      </c>
      <c r="V34" s="4" t="s">
        <v>326</v>
      </c>
      <c r="W34" s="3" t="s">
        <v>325</v>
      </c>
      <c r="X34" s="5"/>
      <c r="Y34" s="5"/>
      <c r="Z34" s="5"/>
      <c r="AA34" s="3" t="s">
        <v>625</v>
      </c>
      <c r="AB34" s="3" t="s">
        <v>625</v>
      </c>
      <c r="AC34" s="9">
        <v>11707</v>
      </c>
      <c r="AD34" s="9">
        <v>13907</v>
      </c>
      <c r="AE34" s="3" t="s">
        <v>328</v>
      </c>
      <c r="AF34" s="3" t="s">
        <v>259</v>
      </c>
      <c r="AG34" s="5"/>
      <c r="AH34" s="3" t="s">
        <v>262</v>
      </c>
      <c r="AI34" s="5" t="s">
        <v>328</v>
      </c>
      <c r="AJ34" s="5"/>
      <c r="AK34" s="5"/>
      <c r="AL34" s="5"/>
      <c r="AM34" s="3" t="s">
        <v>626</v>
      </c>
      <c r="AN34" s="3" t="s">
        <v>627</v>
      </c>
      <c r="AO34" s="3" t="s">
        <v>628</v>
      </c>
      <c r="AP34" s="3" t="s">
        <v>333</v>
      </c>
      <c r="AQ34" s="5"/>
      <c r="AR34" s="5"/>
      <c r="AS34" s="5" t="s">
        <v>629</v>
      </c>
      <c r="AT34" s="5" t="s">
        <v>387</v>
      </c>
      <c r="AU34" s="5"/>
      <c r="AV34" s="5"/>
      <c r="AW34" s="5">
        <v>0</v>
      </c>
      <c r="AX34" s="3" t="s">
        <v>44</v>
      </c>
      <c r="AY34" s="5"/>
      <c r="AZ34" s="3" t="s">
        <v>630</v>
      </c>
      <c r="BA34" s="5" t="s">
        <v>631</v>
      </c>
      <c r="BB34" s="3" t="s">
        <v>336</v>
      </c>
      <c r="BC34" s="4" t="s">
        <v>632</v>
      </c>
      <c r="BD34" s="4" t="s">
        <v>337</v>
      </c>
      <c r="BE34" s="3" t="s">
        <v>106</v>
      </c>
      <c r="BF34" s="3" t="s">
        <v>628</v>
      </c>
      <c r="BG34" s="3" t="s">
        <v>339</v>
      </c>
      <c r="BH34" s="3" t="s">
        <v>340</v>
      </c>
      <c r="BI34" s="5"/>
      <c r="BJ34" s="5"/>
      <c r="BK34" s="3" t="s">
        <v>361</v>
      </c>
      <c r="BL34" s="4" t="s">
        <v>358</v>
      </c>
      <c r="BM34" s="10"/>
      <c r="BN34" s="10"/>
      <c r="BO34" s="10"/>
      <c r="BP34" s="10"/>
      <c r="BQ34" s="10">
        <v>1</v>
      </c>
      <c r="BR34" s="10"/>
      <c r="BS34" s="10"/>
      <c r="BT34" s="10"/>
      <c r="BU34" s="10"/>
      <c r="BV34" s="10"/>
      <c r="BW34" s="10"/>
      <c r="BX34" s="10"/>
      <c r="BY34" s="3" t="s">
        <v>341</v>
      </c>
      <c r="BZ34" s="5"/>
      <c r="CA34" s="3" t="s">
        <v>106</v>
      </c>
      <c r="CB34" s="5"/>
      <c r="CC34" s="3" t="s">
        <v>40</v>
      </c>
      <c r="CD34" s="5"/>
      <c r="CE34" s="5"/>
      <c r="CF34" s="3" t="s">
        <v>342</v>
      </c>
      <c r="CG34" s="3" t="s">
        <v>343</v>
      </c>
      <c r="CH34" s="5"/>
      <c r="CI34" s="3" t="s">
        <v>633</v>
      </c>
      <c r="CJ34" s="3" t="s">
        <v>83</v>
      </c>
      <c r="CK34" s="3" t="s">
        <v>84</v>
      </c>
      <c r="CL34" s="3" t="s">
        <v>85</v>
      </c>
      <c r="CM34" s="5"/>
      <c r="CN34" s="3" t="s">
        <v>345</v>
      </c>
      <c r="CO34" s="3" t="s">
        <v>346</v>
      </c>
      <c r="CP34" s="5" t="s">
        <v>634</v>
      </c>
      <c r="CQ34" s="3" t="s">
        <v>635</v>
      </c>
      <c r="CR34" s="3" t="s">
        <v>636</v>
      </c>
      <c r="CS34" s="3" t="s">
        <v>625</v>
      </c>
      <c r="CT34" s="3" t="s">
        <v>44</v>
      </c>
      <c r="CU34" s="5"/>
      <c r="CV34" s="5"/>
      <c r="CW34" s="4" t="s">
        <v>359</v>
      </c>
      <c r="CX34" s="5"/>
      <c r="CY34" s="11"/>
    </row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2" t="s">
        <v>637</v>
      </c>
      <c r="B1" s="12" t="s">
        <v>13</v>
      </c>
      <c r="C1" s="12" t="s">
        <v>638</v>
      </c>
      <c r="D1" s="12" t="s">
        <v>639</v>
      </c>
      <c r="E1" s="12" t="s">
        <v>640</v>
      </c>
      <c r="F1" s="12" t="s">
        <v>641</v>
      </c>
      <c r="G1" s="12" t="s">
        <v>22</v>
      </c>
      <c r="H1" s="12" t="s">
        <v>642</v>
      </c>
      <c r="I1" s="12" t="s">
        <v>20</v>
      </c>
      <c r="J1" s="12" t="s">
        <v>643</v>
      </c>
      <c r="K1" s="12" t="s">
        <v>644</v>
      </c>
      <c r="L1" s="12" t="s">
        <v>10</v>
      </c>
      <c r="M1" s="12" t="s">
        <v>645</v>
      </c>
      <c r="N1" s="12" t="s">
        <v>646</v>
      </c>
      <c r="O1" s="12" t="s">
        <v>647</v>
      </c>
      <c r="P1" s="12" t="s">
        <v>648</v>
      </c>
      <c r="Q1" s="12" t="s">
        <v>649</v>
      </c>
      <c r="R1" s="12" t="s">
        <v>2</v>
      </c>
      <c r="S1" s="12" t="s">
        <v>3</v>
      </c>
      <c r="T1" s="12" t="s">
        <v>650</v>
      </c>
      <c r="U1" s="12" t="s">
        <v>243</v>
      </c>
      <c r="V1" s="12" t="s">
        <v>651</v>
      </c>
      <c r="W1" s="12" t="s">
        <v>247</v>
      </c>
      <c r="X1" s="12" t="s">
        <v>652</v>
      </c>
      <c r="Y1" s="12" t="s">
        <v>239</v>
      </c>
      <c r="Z1" s="12" t="s">
        <v>653</v>
      </c>
      <c r="AA1" s="12" t="s">
        <v>654</v>
      </c>
      <c r="AB1" s="12" t="s">
        <v>655</v>
      </c>
      <c r="AC1" s="12" t="s">
        <v>656</v>
      </c>
      <c r="AD1" s="12" t="s">
        <v>657</v>
      </c>
      <c r="AE1" s="12" t="s">
        <v>658</v>
      </c>
      <c r="AF1" s="12" t="s">
        <v>659</v>
      </c>
      <c r="AG1" s="12" t="s">
        <v>660</v>
      </c>
      <c r="AH1" s="12" t="s">
        <v>661</v>
      </c>
      <c r="AI1" s="12" t="s">
        <v>662</v>
      </c>
      <c r="AJ1" s="12" t="s">
        <v>663</v>
      </c>
      <c r="AK1" s="12" t="s">
        <v>664</v>
      </c>
    </row>
    <row r="2" ht="12" customHeight="1" spans="1:37" x14ac:dyDescent="0.25">
      <c r="A2" s="13" t="s">
        <v>51</v>
      </c>
      <c r="B2" s="13" t="s">
        <v>40</v>
      </c>
      <c r="C2" s="13" t="s">
        <v>665</v>
      </c>
      <c r="D2" s="14" t="s">
        <v>402</v>
      </c>
      <c r="E2" s="15" t="s">
        <v>666</v>
      </c>
      <c r="F2" s="3" t="s">
        <v>54</v>
      </c>
      <c r="G2" s="3" t="s">
        <v>56</v>
      </c>
      <c r="H2" s="16" t="s">
        <v>52</v>
      </c>
      <c r="I2" s="3"/>
      <c r="J2" s="3" t="s">
        <v>667</v>
      </c>
      <c r="K2" s="3" t="s">
        <v>34</v>
      </c>
      <c r="L2" s="16" t="s">
        <v>668</v>
      </c>
      <c r="M2" s="3" t="s">
        <v>54</v>
      </c>
      <c r="N2" s="3" t="s">
        <v>669</v>
      </c>
      <c r="O2" s="16" t="s">
        <v>670</v>
      </c>
      <c r="P2" s="16"/>
      <c r="Q2" s="16"/>
      <c r="R2" s="3"/>
      <c r="S2" s="3"/>
      <c r="T2" s="3" t="s">
        <v>40</v>
      </c>
      <c r="U2" s="3" t="s">
        <v>35</v>
      </c>
      <c r="V2" s="4" t="s">
        <v>671</v>
      </c>
      <c r="W2" s="3" t="s">
        <v>36</v>
      </c>
      <c r="X2" s="4" t="s">
        <v>326</v>
      </c>
      <c r="Y2" s="5"/>
      <c r="Z2" s="5"/>
      <c r="AA2" s="5"/>
      <c r="AB2" s="5"/>
      <c r="AC2" s="5"/>
      <c r="AD2" s="4" t="s">
        <v>359</v>
      </c>
      <c r="AE2" s="17" t="s">
        <v>672</v>
      </c>
      <c r="AF2" s="3" t="s">
        <v>673</v>
      </c>
      <c r="AG2" s="5"/>
      <c r="AH2" s="5"/>
      <c r="AI2" s="5"/>
      <c r="AJ2" s="3" t="s">
        <v>57</v>
      </c>
      <c r="AK2" s="18">
        <v>0</v>
      </c>
    </row>
    <row r="3" ht="12" customHeight="1" spans="1:37" x14ac:dyDescent="0.25">
      <c r="A3" s="13" t="s">
        <v>143</v>
      </c>
      <c r="B3" s="13" t="s">
        <v>40</v>
      </c>
      <c r="C3" s="13" t="s">
        <v>665</v>
      </c>
      <c r="D3" s="14" t="s">
        <v>674</v>
      </c>
      <c r="E3" s="15" t="s">
        <v>675</v>
      </c>
      <c r="F3" s="3" t="s">
        <v>144</v>
      </c>
      <c r="G3" s="3" t="s">
        <v>396</v>
      </c>
      <c r="H3" s="16" t="s">
        <v>52</v>
      </c>
      <c r="I3" s="3"/>
      <c r="J3" s="3" t="s">
        <v>676</v>
      </c>
      <c r="K3" s="3" t="s">
        <v>34</v>
      </c>
      <c r="L3" s="16" t="s">
        <v>668</v>
      </c>
      <c r="M3" s="3" t="s">
        <v>144</v>
      </c>
      <c r="N3" s="3" t="s">
        <v>677</v>
      </c>
      <c r="O3" s="16" t="s">
        <v>678</v>
      </c>
      <c r="P3" s="16"/>
      <c r="Q3" s="16"/>
      <c r="R3" s="3"/>
      <c r="S3" s="3"/>
      <c r="T3" s="3" t="s">
        <v>40</v>
      </c>
      <c r="U3" s="3" t="s">
        <v>35</v>
      </c>
      <c r="V3" s="4" t="s">
        <v>671</v>
      </c>
      <c r="W3" s="3" t="s">
        <v>36</v>
      </c>
      <c r="X3" s="4" t="s">
        <v>326</v>
      </c>
      <c r="Y3" s="5"/>
      <c r="Z3" s="5"/>
      <c r="AA3" s="5"/>
      <c r="AB3" s="5"/>
      <c r="AC3" s="5"/>
      <c r="AD3" s="4" t="s">
        <v>674</v>
      </c>
      <c r="AE3" s="17" t="s">
        <v>679</v>
      </c>
      <c r="AF3" s="3" t="s">
        <v>680</v>
      </c>
      <c r="AG3" s="5"/>
      <c r="AH3" s="5"/>
      <c r="AI3" s="5"/>
      <c r="AJ3" s="3" t="s">
        <v>146</v>
      </c>
      <c r="AK3" s="18">
        <v>0</v>
      </c>
    </row>
    <row r="4" ht="12" customHeight="1" spans="1:37" x14ac:dyDescent="0.25">
      <c r="A4" s="13" t="s">
        <v>65</v>
      </c>
      <c r="B4" s="13" t="s">
        <v>40</v>
      </c>
      <c r="C4" s="13" t="s">
        <v>681</v>
      </c>
      <c r="D4" s="14" t="s">
        <v>574</v>
      </c>
      <c r="E4" s="15" t="s">
        <v>682</v>
      </c>
      <c r="F4" s="3" t="s">
        <v>67</v>
      </c>
      <c r="G4" s="3" t="s">
        <v>69</v>
      </c>
      <c r="H4" s="16" t="s">
        <v>52</v>
      </c>
      <c r="I4" s="3"/>
      <c r="J4" s="3" t="s">
        <v>667</v>
      </c>
      <c r="K4" s="3" t="s">
        <v>34</v>
      </c>
      <c r="L4" s="16" t="s">
        <v>668</v>
      </c>
      <c r="M4" s="3" t="s">
        <v>67</v>
      </c>
      <c r="N4" s="3" t="s">
        <v>677</v>
      </c>
      <c r="O4" s="16" t="s">
        <v>683</v>
      </c>
      <c r="P4" s="16"/>
      <c r="Q4" s="16"/>
      <c r="R4" s="3"/>
      <c r="S4" s="3"/>
      <c r="T4" s="3" t="s">
        <v>40</v>
      </c>
      <c r="U4" s="3" t="s">
        <v>35</v>
      </c>
      <c r="V4" s="4" t="s">
        <v>671</v>
      </c>
      <c r="W4" s="3" t="s">
        <v>66</v>
      </c>
      <c r="X4" s="4" t="s">
        <v>529</v>
      </c>
      <c r="Y4" s="5"/>
      <c r="Z4" s="5"/>
      <c r="AA4" s="5"/>
      <c r="AB4" s="5"/>
      <c r="AC4" s="5"/>
      <c r="AD4" s="4" t="s">
        <v>671</v>
      </c>
      <c r="AE4" s="17" t="s">
        <v>684</v>
      </c>
      <c r="AF4" s="3" t="s">
        <v>673</v>
      </c>
      <c r="AG4" s="5"/>
      <c r="AH4" s="5"/>
      <c r="AI4" s="5"/>
      <c r="AJ4" s="3" t="s">
        <v>71</v>
      </c>
      <c r="AK4" s="18">
        <v>0</v>
      </c>
    </row>
    <row r="5" ht="12" customHeight="1" spans="1:37" x14ac:dyDescent="0.25">
      <c r="A5" s="13" t="s">
        <v>73</v>
      </c>
      <c r="B5" s="13" t="s">
        <v>40</v>
      </c>
      <c r="C5" s="13" t="s">
        <v>665</v>
      </c>
      <c r="D5" s="14" t="s">
        <v>338</v>
      </c>
      <c r="E5" s="15" t="s">
        <v>685</v>
      </c>
      <c r="F5" s="3" t="s">
        <v>74</v>
      </c>
      <c r="G5" s="3" t="s">
        <v>459</v>
      </c>
      <c r="H5" s="16" t="s">
        <v>52</v>
      </c>
      <c r="I5" s="3"/>
      <c r="J5" s="3" t="s">
        <v>667</v>
      </c>
      <c r="K5" s="3" t="s">
        <v>34</v>
      </c>
      <c r="L5" s="16" t="s">
        <v>668</v>
      </c>
      <c r="M5" s="3" t="s">
        <v>74</v>
      </c>
      <c r="N5" s="3" t="s">
        <v>686</v>
      </c>
      <c r="O5" s="16" t="s">
        <v>687</v>
      </c>
      <c r="P5" s="16"/>
      <c r="Q5" s="16"/>
      <c r="R5" s="3"/>
      <c r="S5" s="3"/>
      <c r="T5" s="3" t="s">
        <v>40</v>
      </c>
      <c r="U5" s="3" t="s">
        <v>35</v>
      </c>
      <c r="V5" s="4" t="s">
        <v>671</v>
      </c>
      <c r="W5" s="3" t="s">
        <v>36</v>
      </c>
      <c r="X5" s="4" t="s">
        <v>326</v>
      </c>
      <c r="Y5" s="5"/>
      <c r="Z5" s="5"/>
      <c r="AA5" s="5"/>
      <c r="AB5" s="5"/>
      <c r="AC5" s="5"/>
      <c r="AD5" s="4" t="s">
        <v>359</v>
      </c>
      <c r="AE5" s="17" t="s">
        <v>688</v>
      </c>
      <c r="AF5" s="3" t="s">
        <v>673</v>
      </c>
      <c r="AG5" s="5"/>
      <c r="AH5" s="5"/>
      <c r="AI5" s="5"/>
      <c r="AJ5" s="3" t="s">
        <v>77</v>
      </c>
      <c r="AK5" s="18">
        <v>0</v>
      </c>
    </row>
    <row r="6" ht="12" customHeight="1" spans="1:37" x14ac:dyDescent="0.25">
      <c r="A6" s="13" t="s">
        <v>190</v>
      </c>
      <c r="B6" s="13" t="s">
        <v>40</v>
      </c>
      <c r="C6" s="13" t="s">
        <v>665</v>
      </c>
      <c r="D6" s="14" t="s">
        <v>689</v>
      </c>
      <c r="E6" s="15" t="s">
        <v>690</v>
      </c>
      <c r="F6" s="3" t="s">
        <v>191</v>
      </c>
      <c r="G6" s="3" t="s">
        <v>557</v>
      </c>
      <c r="H6" s="16" t="s">
        <v>52</v>
      </c>
      <c r="I6" s="3"/>
      <c r="J6" s="3" t="s">
        <v>676</v>
      </c>
      <c r="K6" s="3" t="s">
        <v>34</v>
      </c>
      <c r="L6" s="16" t="s">
        <v>668</v>
      </c>
      <c r="M6" s="3" t="s">
        <v>191</v>
      </c>
      <c r="N6" s="3" t="s">
        <v>677</v>
      </c>
      <c r="O6" s="16" t="s">
        <v>691</v>
      </c>
      <c r="P6" s="16"/>
      <c r="Q6" s="16"/>
      <c r="R6" s="3"/>
      <c r="S6" s="3"/>
      <c r="T6" s="3" t="s">
        <v>40</v>
      </c>
      <c r="U6" s="3" t="s">
        <v>35</v>
      </c>
      <c r="V6" s="4" t="s">
        <v>671</v>
      </c>
      <c r="W6" s="3" t="s">
        <v>36</v>
      </c>
      <c r="X6" s="4" t="s">
        <v>326</v>
      </c>
      <c r="Y6" s="5"/>
      <c r="Z6" s="5"/>
      <c r="AA6" s="5"/>
      <c r="AB6" s="5"/>
      <c r="AC6" s="5"/>
      <c r="AD6" s="4" t="s">
        <v>362</v>
      </c>
      <c r="AE6" s="17" t="s">
        <v>692</v>
      </c>
      <c r="AF6" s="3" t="s">
        <v>680</v>
      </c>
      <c r="AG6" s="5"/>
      <c r="AH6" s="5"/>
      <c r="AI6" s="5"/>
      <c r="AJ6" s="3" t="s">
        <v>192</v>
      </c>
      <c r="AK6" s="18">
        <v>0</v>
      </c>
    </row>
    <row r="7" ht="12" customHeight="1" spans="1:37" x14ac:dyDescent="0.25">
      <c r="A7" s="13" t="s">
        <v>186</v>
      </c>
      <c r="B7" s="13" t="s">
        <v>40</v>
      </c>
      <c r="C7" s="13" t="s">
        <v>681</v>
      </c>
      <c r="D7" s="14" t="s">
        <v>337</v>
      </c>
      <c r="E7" s="15" t="s">
        <v>693</v>
      </c>
      <c r="F7" s="3" t="s">
        <v>187</v>
      </c>
      <c r="G7" s="3" t="s">
        <v>327</v>
      </c>
      <c r="H7" s="16" t="s">
        <v>52</v>
      </c>
      <c r="I7" s="3" t="s">
        <v>694</v>
      </c>
      <c r="J7" s="3" t="s">
        <v>695</v>
      </c>
      <c r="K7" s="3" t="s">
        <v>34</v>
      </c>
      <c r="L7" s="16" t="s">
        <v>668</v>
      </c>
      <c r="M7" s="3" t="s">
        <v>187</v>
      </c>
      <c r="N7" s="3" t="s">
        <v>677</v>
      </c>
      <c r="O7" s="16" t="s">
        <v>691</v>
      </c>
      <c r="P7" s="16"/>
      <c r="Q7" s="16"/>
      <c r="R7" s="3"/>
      <c r="S7" s="3"/>
      <c r="T7" s="3" t="s">
        <v>40</v>
      </c>
      <c r="U7" s="3" t="s">
        <v>35</v>
      </c>
      <c r="V7" s="4" t="s">
        <v>671</v>
      </c>
      <c r="W7" s="3" t="s">
        <v>36</v>
      </c>
      <c r="X7" s="4" t="s">
        <v>326</v>
      </c>
      <c r="Y7" s="5"/>
      <c r="Z7" s="5"/>
      <c r="AA7" s="5"/>
      <c r="AB7" s="5"/>
      <c r="AC7" s="5"/>
      <c r="AD7" s="4" t="s">
        <v>338</v>
      </c>
      <c r="AE7" s="17" t="s">
        <v>696</v>
      </c>
      <c r="AF7" s="3" t="s">
        <v>697</v>
      </c>
      <c r="AG7" s="5"/>
      <c r="AH7" s="5"/>
      <c r="AI7" s="5"/>
      <c r="AJ7" s="3" t="s">
        <v>97</v>
      </c>
      <c r="AK7" s="18">
        <v>0</v>
      </c>
    </row>
    <row r="8" ht="12" customHeight="1" spans="1:37" x14ac:dyDescent="0.25">
      <c r="A8" s="13" t="s">
        <v>193</v>
      </c>
      <c r="B8" s="13" t="s">
        <v>40</v>
      </c>
      <c r="C8" s="13" t="s">
        <v>665</v>
      </c>
      <c r="D8" s="14" t="s">
        <v>337</v>
      </c>
      <c r="E8" s="15" t="s">
        <v>698</v>
      </c>
      <c r="F8" s="3" t="s">
        <v>88</v>
      </c>
      <c r="G8" s="3" t="s">
        <v>569</v>
      </c>
      <c r="H8" s="16" t="s">
        <v>52</v>
      </c>
      <c r="I8" s="3"/>
      <c r="J8" s="3" t="s">
        <v>667</v>
      </c>
      <c r="K8" s="3" t="s">
        <v>34</v>
      </c>
      <c r="L8" s="16" t="s">
        <v>668</v>
      </c>
      <c r="M8" s="3" t="s">
        <v>88</v>
      </c>
      <c r="N8" s="3" t="s">
        <v>699</v>
      </c>
      <c r="O8" s="16" t="s">
        <v>691</v>
      </c>
      <c r="P8" s="16"/>
      <c r="Q8" s="16"/>
      <c r="R8" s="3"/>
      <c r="S8" s="3"/>
      <c r="T8" s="3" t="s">
        <v>40</v>
      </c>
      <c r="U8" s="3" t="s">
        <v>35</v>
      </c>
      <c r="V8" s="4" t="s">
        <v>671</v>
      </c>
      <c r="W8" s="3" t="s">
        <v>87</v>
      </c>
      <c r="X8" s="4" t="s">
        <v>568</v>
      </c>
      <c r="Y8" s="5"/>
      <c r="Z8" s="5"/>
      <c r="AA8" s="5"/>
      <c r="AB8" s="5"/>
      <c r="AC8" s="5"/>
      <c r="AD8" s="4" t="s">
        <v>359</v>
      </c>
      <c r="AE8" s="17" t="s">
        <v>672</v>
      </c>
      <c r="AF8" s="3" t="s">
        <v>673</v>
      </c>
      <c r="AG8" s="5"/>
      <c r="AH8" s="5"/>
      <c r="AI8" s="5"/>
      <c r="AJ8" s="3" t="s">
        <v>91</v>
      </c>
      <c r="AK8" s="18">
        <v>0</v>
      </c>
    </row>
    <row r="9" ht="12" customHeight="1" spans="1:37" x14ac:dyDescent="0.25">
      <c r="A9" s="13" t="s">
        <v>217</v>
      </c>
      <c r="B9" s="13" t="s">
        <v>40</v>
      </c>
      <c r="C9" s="13" t="s">
        <v>665</v>
      </c>
      <c r="D9" s="14" t="s">
        <v>689</v>
      </c>
      <c r="E9" s="15" t="s">
        <v>700</v>
      </c>
      <c r="F9" s="3" t="s">
        <v>218</v>
      </c>
      <c r="G9" s="3" t="s">
        <v>557</v>
      </c>
      <c r="H9" s="16" t="s">
        <v>52</v>
      </c>
      <c r="I9" s="3"/>
      <c r="J9" s="3" t="s">
        <v>676</v>
      </c>
      <c r="K9" s="3" t="s">
        <v>34</v>
      </c>
      <c r="L9" s="16" t="s">
        <v>668</v>
      </c>
      <c r="M9" s="3" t="s">
        <v>218</v>
      </c>
      <c r="N9" s="3" t="s">
        <v>677</v>
      </c>
      <c r="O9" s="16" t="s">
        <v>701</v>
      </c>
      <c r="P9" s="16"/>
      <c r="Q9" s="16"/>
      <c r="R9" s="3"/>
      <c r="S9" s="3"/>
      <c r="T9" s="3" t="s">
        <v>40</v>
      </c>
      <c r="U9" s="3" t="s">
        <v>35</v>
      </c>
      <c r="V9" s="4" t="s">
        <v>671</v>
      </c>
      <c r="W9" s="3" t="s">
        <v>36</v>
      </c>
      <c r="X9" s="4" t="s">
        <v>326</v>
      </c>
      <c r="Y9" s="5"/>
      <c r="Z9" s="5"/>
      <c r="AA9" s="5"/>
      <c r="AB9" s="5"/>
      <c r="AC9" s="5"/>
      <c r="AD9" s="4" t="s">
        <v>362</v>
      </c>
      <c r="AE9" s="17" t="s">
        <v>692</v>
      </c>
      <c r="AF9" s="3" t="s">
        <v>680</v>
      </c>
      <c r="AG9" s="5"/>
      <c r="AH9" s="5"/>
      <c r="AI9" s="5"/>
      <c r="AJ9" s="3" t="s">
        <v>156</v>
      </c>
      <c r="AK9" s="18">
        <v>0</v>
      </c>
    </row>
    <row r="10" ht="12" customHeight="1" spans="1:37" x14ac:dyDescent="0.25">
      <c r="A10" s="13" t="s">
        <v>220</v>
      </c>
      <c r="B10" s="13" t="s">
        <v>40</v>
      </c>
      <c r="C10" s="13" t="s">
        <v>681</v>
      </c>
      <c r="D10" s="14" t="s">
        <v>337</v>
      </c>
      <c r="E10" s="15" t="s">
        <v>693</v>
      </c>
      <c r="F10" s="3" t="s">
        <v>221</v>
      </c>
      <c r="G10" s="3" t="s">
        <v>514</v>
      </c>
      <c r="H10" s="16" t="s">
        <v>52</v>
      </c>
      <c r="I10" s="3" t="s">
        <v>702</v>
      </c>
      <c r="J10" s="3" t="s">
        <v>695</v>
      </c>
      <c r="K10" s="3" t="s">
        <v>34</v>
      </c>
      <c r="L10" s="16" t="s">
        <v>668</v>
      </c>
      <c r="M10" s="3" t="s">
        <v>221</v>
      </c>
      <c r="N10" s="3" t="s">
        <v>677</v>
      </c>
      <c r="O10" s="16" t="s">
        <v>701</v>
      </c>
      <c r="P10" s="16"/>
      <c r="Q10" s="16"/>
      <c r="R10" s="3"/>
      <c r="S10" s="3"/>
      <c r="T10" s="3" t="s">
        <v>40</v>
      </c>
      <c r="U10" s="3" t="s">
        <v>35</v>
      </c>
      <c r="V10" s="4" t="s">
        <v>671</v>
      </c>
      <c r="W10" s="3" t="s">
        <v>36</v>
      </c>
      <c r="X10" s="4" t="s">
        <v>326</v>
      </c>
      <c r="Y10" s="5"/>
      <c r="Z10" s="5"/>
      <c r="AA10" s="5"/>
      <c r="AB10" s="5"/>
      <c r="AC10" s="5"/>
      <c r="AD10" s="4" t="s">
        <v>338</v>
      </c>
      <c r="AE10" s="17" t="s">
        <v>696</v>
      </c>
      <c r="AF10" s="3" t="s">
        <v>697</v>
      </c>
      <c r="AG10" s="5"/>
      <c r="AH10" s="5"/>
      <c r="AI10" s="5"/>
      <c r="AJ10" s="3" t="s">
        <v>224</v>
      </c>
      <c r="AK10" s="18">
        <v>0</v>
      </c>
    </row>
    <row r="11" ht="12" customHeight="1" spans="1:37" x14ac:dyDescent="0.25">
      <c r="A11" s="13" t="s">
        <v>195</v>
      </c>
      <c r="B11" s="13" t="s">
        <v>40</v>
      </c>
      <c r="C11" s="13" t="s">
        <v>665</v>
      </c>
      <c r="D11" s="14" t="s">
        <v>337</v>
      </c>
      <c r="E11" s="15" t="s">
        <v>703</v>
      </c>
      <c r="F11" s="3" t="s">
        <v>196</v>
      </c>
      <c r="G11" s="3" t="s">
        <v>379</v>
      </c>
      <c r="H11" s="16" t="s">
        <v>79</v>
      </c>
      <c r="I11" s="3"/>
      <c r="J11" s="3" t="s">
        <v>667</v>
      </c>
      <c r="K11" s="3" t="s">
        <v>34</v>
      </c>
      <c r="L11" s="16" t="s">
        <v>668</v>
      </c>
      <c r="M11" s="3" t="s">
        <v>196</v>
      </c>
      <c r="N11" s="3" t="s">
        <v>704</v>
      </c>
      <c r="O11" s="16" t="s">
        <v>705</v>
      </c>
      <c r="P11" s="16" t="s">
        <v>706</v>
      </c>
      <c r="Q11" s="16" t="s">
        <v>707</v>
      </c>
      <c r="R11" s="3"/>
      <c r="S11" s="3"/>
      <c r="T11" s="3" t="s">
        <v>40</v>
      </c>
      <c r="U11" s="3" t="s">
        <v>35</v>
      </c>
      <c r="V11" s="4" t="s">
        <v>671</v>
      </c>
      <c r="W11" s="3" t="s">
        <v>36</v>
      </c>
      <c r="X11" s="4" t="s">
        <v>326</v>
      </c>
      <c r="Y11" s="5"/>
      <c r="Z11" s="5"/>
      <c r="AA11" s="5"/>
      <c r="AB11" s="5"/>
      <c r="AC11" s="5"/>
      <c r="AD11" s="4" t="s">
        <v>338</v>
      </c>
      <c r="AE11" s="17" t="s">
        <v>708</v>
      </c>
      <c r="AF11" s="3" t="s">
        <v>673</v>
      </c>
      <c r="AG11" s="5"/>
      <c r="AH11" s="5"/>
      <c r="AI11" s="5"/>
      <c r="AJ11" s="3" t="s">
        <v>199</v>
      </c>
      <c r="AK11" s="18">
        <v>0</v>
      </c>
    </row>
    <row r="12" ht="12" customHeight="1" spans="1:37" x14ac:dyDescent="0.25">
      <c r="A12" s="13" t="s">
        <v>202</v>
      </c>
      <c r="B12" s="13" t="s">
        <v>40</v>
      </c>
      <c r="C12" s="13" t="s">
        <v>665</v>
      </c>
      <c r="D12" s="14" t="s">
        <v>338</v>
      </c>
      <c r="E12" s="15" t="s">
        <v>709</v>
      </c>
      <c r="F12" s="3" t="s">
        <v>74</v>
      </c>
      <c r="G12" s="3" t="s">
        <v>459</v>
      </c>
      <c r="H12" s="16" t="s">
        <v>52</v>
      </c>
      <c r="I12" s="3"/>
      <c r="J12" s="3" t="s">
        <v>667</v>
      </c>
      <c r="K12" s="3" t="s">
        <v>34</v>
      </c>
      <c r="L12" s="16" t="s">
        <v>668</v>
      </c>
      <c r="M12" s="3" t="s">
        <v>74</v>
      </c>
      <c r="N12" s="3" t="s">
        <v>686</v>
      </c>
      <c r="O12" s="16" t="s">
        <v>705</v>
      </c>
      <c r="P12" s="16"/>
      <c r="Q12" s="16"/>
      <c r="R12" s="3"/>
      <c r="S12" s="3"/>
      <c r="T12" s="3" t="s">
        <v>40</v>
      </c>
      <c r="U12" s="3" t="s">
        <v>35</v>
      </c>
      <c r="V12" s="4" t="s">
        <v>671</v>
      </c>
      <c r="W12" s="3" t="s">
        <v>36</v>
      </c>
      <c r="X12" s="4" t="s">
        <v>326</v>
      </c>
      <c r="Y12" s="5"/>
      <c r="Z12" s="5"/>
      <c r="AA12" s="5"/>
      <c r="AB12" s="5"/>
      <c r="AC12" s="5"/>
      <c r="AD12" s="4" t="s">
        <v>359</v>
      </c>
      <c r="AE12" s="17" t="s">
        <v>688</v>
      </c>
      <c r="AF12" s="3" t="s">
        <v>673</v>
      </c>
      <c r="AG12" s="5"/>
      <c r="AH12" s="5"/>
      <c r="AI12" s="5"/>
      <c r="AJ12" s="3" t="s">
        <v>77</v>
      </c>
      <c r="AK12" s="18">
        <v>0</v>
      </c>
    </row>
    <row r="13" ht="12" customHeight="1" spans="1:37" x14ac:dyDescent="0.25">
      <c r="A13" s="13" t="s">
        <v>203</v>
      </c>
      <c r="B13" s="13" t="s">
        <v>40</v>
      </c>
      <c r="C13" s="13" t="s">
        <v>665</v>
      </c>
      <c r="D13" s="14" t="s">
        <v>337</v>
      </c>
      <c r="E13" s="15" t="s">
        <v>710</v>
      </c>
      <c r="F13" s="3" t="s">
        <v>205</v>
      </c>
      <c r="G13" s="3" t="s">
        <v>136</v>
      </c>
      <c r="H13" s="16" t="s">
        <v>52</v>
      </c>
      <c r="I13" s="3"/>
      <c r="J13" s="3" t="s">
        <v>667</v>
      </c>
      <c r="K13" s="3" t="s">
        <v>34</v>
      </c>
      <c r="L13" s="16" t="s">
        <v>668</v>
      </c>
      <c r="M13" s="3" t="s">
        <v>205</v>
      </c>
      <c r="N13" s="3" t="s">
        <v>711</v>
      </c>
      <c r="O13" s="16" t="s">
        <v>705</v>
      </c>
      <c r="P13" s="16"/>
      <c r="Q13" s="16"/>
      <c r="R13" s="3"/>
      <c r="S13" s="3"/>
      <c r="T13" s="3" t="s">
        <v>40</v>
      </c>
      <c r="U13" s="3" t="s">
        <v>35</v>
      </c>
      <c r="V13" s="4" t="s">
        <v>671</v>
      </c>
      <c r="W13" s="3" t="s">
        <v>204</v>
      </c>
      <c r="X13" s="4" t="s">
        <v>529</v>
      </c>
      <c r="Y13" s="5"/>
      <c r="Z13" s="5"/>
      <c r="AA13" s="5"/>
      <c r="AB13" s="5"/>
      <c r="AC13" s="5"/>
      <c r="AD13" s="4" t="s">
        <v>338</v>
      </c>
      <c r="AE13" s="17" t="s">
        <v>708</v>
      </c>
      <c r="AF13" s="3" t="s">
        <v>673</v>
      </c>
      <c r="AG13" s="5"/>
      <c r="AH13" s="5"/>
      <c r="AI13" s="5"/>
      <c r="AJ13" s="3" t="s">
        <v>207</v>
      </c>
      <c r="AK13" s="18">
        <v>0</v>
      </c>
    </row>
    <row r="14" ht="12" customHeight="1" spans="1:37" x14ac:dyDescent="0.25">
      <c r="A14" s="13" t="s">
        <v>200</v>
      </c>
      <c r="B14" s="13" t="s">
        <v>40</v>
      </c>
      <c r="C14" s="13" t="s">
        <v>665</v>
      </c>
      <c r="D14" s="14" t="s">
        <v>337</v>
      </c>
      <c r="E14" s="15" t="s">
        <v>712</v>
      </c>
      <c r="F14" s="3" t="s">
        <v>88</v>
      </c>
      <c r="G14" s="3" t="s">
        <v>569</v>
      </c>
      <c r="H14" s="16" t="s">
        <v>52</v>
      </c>
      <c r="I14" s="3"/>
      <c r="J14" s="3" t="s">
        <v>667</v>
      </c>
      <c r="K14" s="3" t="s">
        <v>34</v>
      </c>
      <c r="L14" s="16" t="s">
        <v>668</v>
      </c>
      <c r="M14" s="3" t="s">
        <v>88</v>
      </c>
      <c r="N14" s="3" t="s">
        <v>699</v>
      </c>
      <c r="O14" s="16" t="s">
        <v>705</v>
      </c>
      <c r="P14" s="16"/>
      <c r="Q14" s="16"/>
      <c r="R14" s="3"/>
      <c r="S14" s="3"/>
      <c r="T14" s="3" t="s">
        <v>40</v>
      </c>
      <c r="U14" s="3" t="s">
        <v>35</v>
      </c>
      <c r="V14" s="4" t="s">
        <v>671</v>
      </c>
      <c r="W14" s="3" t="s">
        <v>87</v>
      </c>
      <c r="X14" s="4" t="s">
        <v>568</v>
      </c>
      <c r="Y14" s="5"/>
      <c r="Z14" s="5"/>
      <c r="AA14" s="5"/>
      <c r="AB14" s="5"/>
      <c r="AC14" s="5"/>
      <c r="AD14" s="4" t="s">
        <v>359</v>
      </c>
      <c r="AE14" s="17" t="s">
        <v>672</v>
      </c>
      <c r="AF14" s="3" t="s">
        <v>673</v>
      </c>
      <c r="AG14" s="5"/>
      <c r="AH14" s="5"/>
      <c r="AI14" s="5"/>
      <c r="AJ14" s="3" t="s">
        <v>91</v>
      </c>
      <c r="AK14" s="18">
        <v>0</v>
      </c>
    </row>
    <row r="15" ht="12" customHeight="1" spans="1:37" x14ac:dyDescent="0.25">
      <c r="A15" s="13" t="s">
        <v>210</v>
      </c>
      <c r="B15" s="13" t="s">
        <v>40</v>
      </c>
      <c r="C15" s="13" t="s">
        <v>681</v>
      </c>
      <c r="D15" s="14" t="s">
        <v>359</v>
      </c>
      <c r="E15" s="15" t="s">
        <v>713</v>
      </c>
      <c r="F15" s="3" t="s">
        <v>211</v>
      </c>
      <c r="G15" s="3" t="s">
        <v>327</v>
      </c>
      <c r="H15" s="16" t="s">
        <v>52</v>
      </c>
      <c r="I15" s="3"/>
      <c r="J15" s="3" t="s">
        <v>667</v>
      </c>
      <c r="K15" s="3" t="s">
        <v>34</v>
      </c>
      <c r="L15" s="16" t="s">
        <v>668</v>
      </c>
      <c r="M15" s="3" t="s">
        <v>211</v>
      </c>
      <c r="N15" s="3" t="s">
        <v>677</v>
      </c>
      <c r="O15" s="16" t="s">
        <v>705</v>
      </c>
      <c r="P15" s="16"/>
      <c r="Q15" s="16"/>
      <c r="R15" s="3"/>
      <c r="S15" s="3"/>
      <c r="T15" s="3" t="s">
        <v>40</v>
      </c>
      <c r="U15" s="3" t="s">
        <v>35</v>
      </c>
      <c r="V15" s="4" t="s">
        <v>671</v>
      </c>
      <c r="W15" s="3" t="s">
        <v>36</v>
      </c>
      <c r="X15" s="4" t="s">
        <v>326</v>
      </c>
      <c r="Y15" s="5"/>
      <c r="Z15" s="5"/>
      <c r="AA15" s="5"/>
      <c r="AB15" s="5"/>
      <c r="AC15" s="5"/>
      <c r="AD15" s="4" t="s">
        <v>349</v>
      </c>
      <c r="AE15" s="17" t="s">
        <v>714</v>
      </c>
      <c r="AF15" s="3" t="s">
        <v>673</v>
      </c>
      <c r="AG15" s="5"/>
      <c r="AH15" s="5"/>
      <c r="AI15" s="5"/>
      <c r="AJ15" s="3" t="s">
        <v>97</v>
      </c>
      <c r="AK15" s="18">
        <v>0</v>
      </c>
    </row>
    <row r="16" ht="12" customHeight="1" spans="1:37" x14ac:dyDescent="0.25">
      <c r="A16" s="13" t="s">
        <v>213</v>
      </c>
      <c r="B16" s="13" t="s">
        <v>40</v>
      </c>
      <c r="C16" s="13" t="s">
        <v>665</v>
      </c>
      <c r="D16" s="14" t="s">
        <v>689</v>
      </c>
      <c r="E16" s="15" t="s">
        <v>715</v>
      </c>
      <c r="F16" s="3" t="s">
        <v>214</v>
      </c>
      <c r="G16" s="3" t="s">
        <v>557</v>
      </c>
      <c r="H16" s="16" t="s">
        <v>52</v>
      </c>
      <c r="I16" s="3"/>
      <c r="J16" s="3" t="s">
        <v>676</v>
      </c>
      <c r="K16" s="3" t="s">
        <v>34</v>
      </c>
      <c r="L16" s="16" t="s">
        <v>668</v>
      </c>
      <c r="M16" s="3" t="s">
        <v>214</v>
      </c>
      <c r="N16" s="3" t="s">
        <v>677</v>
      </c>
      <c r="O16" s="16" t="s">
        <v>705</v>
      </c>
      <c r="P16" s="16"/>
      <c r="Q16" s="16"/>
      <c r="R16" s="3"/>
      <c r="S16" s="3"/>
      <c r="T16" s="3" t="s">
        <v>40</v>
      </c>
      <c r="U16" s="3" t="s">
        <v>35</v>
      </c>
      <c r="V16" s="4" t="s">
        <v>671</v>
      </c>
      <c r="W16" s="3" t="s">
        <v>36</v>
      </c>
      <c r="X16" s="4" t="s">
        <v>326</v>
      </c>
      <c r="Y16" s="5"/>
      <c r="Z16" s="5"/>
      <c r="AA16" s="5"/>
      <c r="AB16" s="5"/>
      <c r="AC16" s="5"/>
      <c r="AD16" s="4" t="s">
        <v>362</v>
      </c>
      <c r="AE16" s="17" t="s">
        <v>692</v>
      </c>
      <c r="AF16" s="3" t="s">
        <v>680</v>
      </c>
      <c r="AG16" s="5"/>
      <c r="AH16" s="5"/>
      <c r="AI16" s="5"/>
      <c r="AJ16" s="3" t="s">
        <v>156</v>
      </c>
      <c r="AK16" s="18">
        <v>0</v>
      </c>
    </row>
    <row r="17" ht="12" customHeight="1" spans="1:37" x14ac:dyDescent="0.25">
      <c r="A17" s="13" t="s">
        <v>215</v>
      </c>
      <c r="B17" s="13" t="s">
        <v>40</v>
      </c>
      <c r="C17" s="13" t="s">
        <v>665</v>
      </c>
      <c r="D17" s="14" t="s">
        <v>337</v>
      </c>
      <c r="E17" s="15" t="s">
        <v>710</v>
      </c>
      <c r="F17" s="3" t="s">
        <v>205</v>
      </c>
      <c r="G17" s="3" t="s">
        <v>136</v>
      </c>
      <c r="H17" s="16" t="s">
        <v>52</v>
      </c>
      <c r="I17" s="3"/>
      <c r="J17" s="3" t="s">
        <v>667</v>
      </c>
      <c r="K17" s="3" t="s">
        <v>34</v>
      </c>
      <c r="L17" s="16" t="s">
        <v>668</v>
      </c>
      <c r="M17" s="3" t="s">
        <v>205</v>
      </c>
      <c r="N17" s="3" t="s">
        <v>711</v>
      </c>
      <c r="O17" s="16" t="s">
        <v>705</v>
      </c>
      <c r="P17" s="16"/>
      <c r="Q17" s="16"/>
      <c r="R17" s="3"/>
      <c r="S17" s="3"/>
      <c r="T17" s="3" t="s">
        <v>40</v>
      </c>
      <c r="U17" s="3" t="s">
        <v>35</v>
      </c>
      <c r="V17" s="4" t="s">
        <v>671</v>
      </c>
      <c r="W17" s="3" t="s">
        <v>204</v>
      </c>
      <c r="X17" s="4" t="s">
        <v>529</v>
      </c>
      <c r="Y17" s="5"/>
      <c r="Z17" s="5"/>
      <c r="AA17" s="5"/>
      <c r="AB17" s="5"/>
      <c r="AC17" s="5"/>
      <c r="AD17" s="4" t="s">
        <v>338</v>
      </c>
      <c r="AE17" s="17" t="s">
        <v>708</v>
      </c>
      <c r="AF17" s="3" t="s">
        <v>673</v>
      </c>
      <c r="AG17" s="5"/>
      <c r="AH17" s="5"/>
      <c r="AI17" s="5"/>
      <c r="AJ17" s="3" t="s">
        <v>207</v>
      </c>
      <c r="AK17" s="18">
        <v>0</v>
      </c>
    </row>
    <row r="18" ht="12" customHeight="1" spans="1:37" x14ac:dyDescent="0.25">
      <c r="A18" s="13" t="s">
        <v>58</v>
      </c>
      <c r="B18" s="13" t="s">
        <v>40</v>
      </c>
      <c r="C18" s="13" t="s">
        <v>665</v>
      </c>
      <c r="D18" s="14" t="s">
        <v>338</v>
      </c>
      <c r="E18" s="15" t="s">
        <v>716</v>
      </c>
      <c r="F18" s="3" t="s">
        <v>60</v>
      </c>
      <c r="G18" s="3" t="s">
        <v>481</v>
      </c>
      <c r="H18" s="16" t="s">
        <v>33</v>
      </c>
      <c r="I18" s="3"/>
      <c r="J18" s="3" t="s">
        <v>667</v>
      </c>
      <c r="K18" s="3" t="s">
        <v>34</v>
      </c>
      <c r="L18" s="16" t="s">
        <v>668</v>
      </c>
      <c r="M18" s="3" t="s">
        <v>60</v>
      </c>
      <c r="N18" s="3" t="s">
        <v>717</v>
      </c>
      <c r="O18" s="16" t="s">
        <v>687</v>
      </c>
      <c r="P18" s="16"/>
      <c r="Q18" s="16"/>
      <c r="R18" s="3"/>
      <c r="S18" s="3"/>
      <c r="T18" s="3" t="s">
        <v>40</v>
      </c>
      <c r="U18" s="3" t="s">
        <v>35</v>
      </c>
      <c r="V18" s="4" t="s">
        <v>671</v>
      </c>
      <c r="W18" s="3" t="s">
        <v>36</v>
      </c>
      <c r="X18" s="4" t="s">
        <v>326</v>
      </c>
      <c r="Y18" s="5"/>
      <c r="Z18" s="5"/>
      <c r="AA18" s="5"/>
      <c r="AB18" s="5"/>
      <c r="AC18" s="5"/>
      <c r="AD18" s="4" t="s">
        <v>359</v>
      </c>
      <c r="AE18" s="17" t="s">
        <v>688</v>
      </c>
      <c r="AF18" s="3" t="s">
        <v>673</v>
      </c>
      <c r="AG18" s="5"/>
      <c r="AH18" s="5"/>
      <c r="AI18" s="5"/>
      <c r="AJ18" s="3" t="s">
        <v>63</v>
      </c>
      <c r="AK18" s="18">
        <v>0</v>
      </c>
    </row>
    <row r="19" ht="12" customHeight="1" spans="1:37" x14ac:dyDescent="0.25">
      <c r="A19" s="13" t="s">
        <v>29</v>
      </c>
      <c r="B19" s="13" t="s">
        <v>40</v>
      </c>
      <c r="C19" s="13" t="s">
        <v>665</v>
      </c>
      <c r="D19" s="14" t="s">
        <v>674</v>
      </c>
      <c r="E19" s="15" t="s">
        <v>718</v>
      </c>
      <c r="F19" s="3" t="s">
        <v>43</v>
      </c>
      <c r="G19" s="3" t="s">
        <v>423</v>
      </c>
      <c r="H19" s="16" t="s">
        <v>33</v>
      </c>
      <c r="I19" s="3"/>
      <c r="J19" s="3" t="s">
        <v>676</v>
      </c>
      <c r="K19" s="3" t="s">
        <v>34</v>
      </c>
      <c r="L19" s="16" t="s">
        <v>668</v>
      </c>
      <c r="M19" s="3" t="s">
        <v>43</v>
      </c>
      <c r="N19" s="3" t="s">
        <v>719</v>
      </c>
      <c r="O19" s="16" t="s">
        <v>670</v>
      </c>
      <c r="P19" s="16"/>
      <c r="Q19" s="16"/>
      <c r="R19" s="3"/>
      <c r="S19" s="3"/>
      <c r="T19" s="3" t="s">
        <v>40</v>
      </c>
      <c r="U19" s="3" t="s">
        <v>35</v>
      </c>
      <c r="V19" s="4" t="s">
        <v>671</v>
      </c>
      <c r="W19" s="3" t="s">
        <v>36</v>
      </c>
      <c r="X19" s="4" t="s">
        <v>326</v>
      </c>
      <c r="Y19" s="5"/>
      <c r="Z19" s="5"/>
      <c r="AA19" s="5"/>
      <c r="AB19" s="5"/>
      <c r="AC19" s="5"/>
      <c r="AD19" s="4" t="s">
        <v>674</v>
      </c>
      <c r="AE19" s="17" t="s">
        <v>679</v>
      </c>
      <c r="AF19" s="3" t="s">
        <v>680</v>
      </c>
      <c r="AG19" s="5"/>
      <c r="AH19" s="5"/>
      <c r="AI19" s="5"/>
      <c r="AJ19" s="3" t="s">
        <v>49</v>
      </c>
      <c r="AK19" s="18">
        <v>0</v>
      </c>
    </row>
    <row r="20" ht="12" customHeight="1" spans="1:37" x14ac:dyDescent="0.25">
      <c r="A20" s="13" t="s">
        <v>225</v>
      </c>
      <c r="B20" s="13" t="s">
        <v>40</v>
      </c>
      <c r="C20" s="13" t="s">
        <v>665</v>
      </c>
      <c r="D20" s="14" t="s">
        <v>338</v>
      </c>
      <c r="E20" s="15" t="s">
        <v>720</v>
      </c>
      <c r="F20" s="3" t="s">
        <v>60</v>
      </c>
      <c r="G20" s="3" t="s">
        <v>481</v>
      </c>
      <c r="H20" s="16" t="s">
        <v>33</v>
      </c>
      <c r="I20" s="3"/>
      <c r="J20" s="3" t="s">
        <v>667</v>
      </c>
      <c r="K20" s="3" t="s">
        <v>34</v>
      </c>
      <c r="L20" s="16" t="s">
        <v>668</v>
      </c>
      <c r="M20" s="3" t="s">
        <v>60</v>
      </c>
      <c r="N20" s="3" t="s">
        <v>717</v>
      </c>
      <c r="O20" s="16" t="s">
        <v>705</v>
      </c>
      <c r="P20" s="16"/>
      <c r="Q20" s="16"/>
      <c r="R20" s="3"/>
      <c r="S20" s="3"/>
      <c r="T20" s="3" t="s">
        <v>40</v>
      </c>
      <c r="U20" s="3" t="s">
        <v>35</v>
      </c>
      <c r="V20" s="4" t="s">
        <v>671</v>
      </c>
      <c r="W20" s="3" t="s">
        <v>36</v>
      </c>
      <c r="X20" s="4" t="s">
        <v>326</v>
      </c>
      <c r="Y20" s="5"/>
      <c r="Z20" s="5"/>
      <c r="AA20" s="5"/>
      <c r="AB20" s="5"/>
      <c r="AC20" s="5"/>
      <c r="AD20" s="4" t="s">
        <v>359</v>
      </c>
      <c r="AE20" s="17" t="s">
        <v>688</v>
      </c>
      <c r="AF20" s="3" t="s">
        <v>673</v>
      </c>
      <c r="AG20" s="5"/>
      <c r="AH20" s="5"/>
      <c r="AI20" s="5"/>
      <c r="AJ20" s="3" t="s">
        <v>63</v>
      </c>
      <c r="AK20" s="18">
        <v>0</v>
      </c>
    </row>
    <row r="21" ht="12" customHeight="1" spans="1:37" x14ac:dyDescent="0.25">
      <c r="A21" s="13" t="s">
        <v>227</v>
      </c>
      <c r="B21" s="13" t="s">
        <v>40</v>
      </c>
      <c r="C21" s="13" t="s">
        <v>665</v>
      </c>
      <c r="D21" s="14" t="s">
        <v>338</v>
      </c>
      <c r="E21" s="15" t="s">
        <v>721</v>
      </c>
      <c r="F21" s="3" t="s">
        <v>60</v>
      </c>
      <c r="G21" s="3" t="s">
        <v>481</v>
      </c>
      <c r="H21" s="16" t="s">
        <v>33</v>
      </c>
      <c r="I21" s="3"/>
      <c r="J21" s="3" t="s">
        <v>667</v>
      </c>
      <c r="K21" s="3" t="s">
        <v>34</v>
      </c>
      <c r="L21" s="16" t="s">
        <v>668</v>
      </c>
      <c r="M21" s="3" t="s">
        <v>60</v>
      </c>
      <c r="N21" s="3" t="s">
        <v>717</v>
      </c>
      <c r="O21" s="16" t="s">
        <v>705</v>
      </c>
      <c r="P21" s="16"/>
      <c r="Q21" s="16"/>
      <c r="R21" s="3"/>
      <c r="S21" s="3"/>
      <c r="T21" s="3" t="s">
        <v>40</v>
      </c>
      <c r="U21" s="3" t="s">
        <v>35</v>
      </c>
      <c r="V21" s="4" t="s">
        <v>671</v>
      </c>
      <c r="W21" s="3" t="s">
        <v>36</v>
      </c>
      <c r="X21" s="4" t="s">
        <v>326</v>
      </c>
      <c r="Y21" s="5"/>
      <c r="Z21" s="5"/>
      <c r="AA21" s="5"/>
      <c r="AB21" s="5"/>
      <c r="AC21" s="5"/>
      <c r="AD21" s="4" t="s">
        <v>359</v>
      </c>
      <c r="AE21" s="17" t="s">
        <v>688</v>
      </c>
      <c r="AF21" s="3" t="s">
        <v>673</v>
      </c>
      <c r="AG21" s="5"/>
      <c r="AH21" s="5"/>
      <c r="AI21" s="5"/>
      <c r="AJ21" s="3" t="s">
        <v>63</v>
      </c>
      <c r="AK21" s="18">
        <v>0</v>
      </c>
    </row>
    <row r="22" ht="12" customHeight="1" spans="1:37" x14ac:dyDescent="0.25">
      <c r="A22" s="13" t="s">
        <v>78</v>
      </c>
      <c r="B22" s="13" t="s">
        <v>40</v>
      </c>
      <c r="C22" s="13" t="s">
        <v>665</v>
      </c>
      <c r="D22" s="14" t="s">
        <v>362</v>
      </c>
      <c r="E22" s="15" t="s">
        <v>722</v>
      </c>
      <c r="F22" s="3" t="s">
        <v>81</v>
      </c>
      <c r="G22" s="3" t="s">
        <v>625</v>
      </c>
      <c r="H22" s="16" t="s">
        <v>79</v>
      </c>
      <c r="I22" s="3"/>
      <c r="J22" s="3" t="s">
        <v>676</v>
      </c>
      <c r="K22" s="3" t="s">
        <v>34</v>
      </c>
      <c r="L22" s="16" t="s">
        <v>668</v>
      </c>
      <c r="M22" s="3" t="s">
        <v>81</v>
      </c>
      <c r="N22" s="3" t="s">
        <v>704</v>
      </c>
      <c r="O22" s="16" t="s">
        <v>723</v>
      </c>
      <c r="P22" s="16" t="s">
        <v>724</v>
      </c>
      <c r="Q22" s="16" t="s">
        <v>725</v>
      </c>
      <c r="R22" s="3"/>
      <c r="S22" s="3"/>
      <c r="T22" s="3" t="s">
        <v>40</v>
      </c>
      <c r="U22" s="3" t="s">
        <v>35</v>
      </c>
      <c r="V22" s="4" t="s">
        <v>671</v>
      </c>
      <c r="W22" s="3" t="s">
        <v>36</v>
      </c>
      <c r="X22" s="4" t="s">
        <v>326</v>
      </c>
      <c r="Y22" s="5"/>
      <c r="Z22" s="5"/>
      <c r="AA22" s="5"/>
      <c r="AB22" s="5"/>
      <c r="AC22" s="5"/>
      <c r="AD22" s="4" t="s">
        <v>674</v>
      </c>
      <c r="AE22" s="17" t="s">
        <v>679</v>
      </c>
      <c r="AF22" s="3" t="s">
        <v>680</v>
      </c>
      <c r="AG22" s="5"/>
      <c r="AH22" s="5"/>
      <c r="AI22" s="5"/>
      <c r="AJ22" s="3" t="s">
        <v>84</v>
      </c>
      <c r="AK22" s="18">
        <v>0</v>
      </c>
    </row>
    <row r="23" ht="12" customHeight="1" spans="1:37" x14ac:dyDescent="0.25">
      <c r="A23" s="13" t="s">
        <v>103</v>
      </c>
      <c r="B23" s="13" t="s">
        <v>40</v>
      </c>
      <c r="C23" s="13" t="s">
        <v>665</v>
      </c>
      <c r="D23" s="14" t="s">
        <v>349</v>
      </c>
      <c r="E23" s="15" t="s">
        <v>726</v>
      </c>
      <c r="F23" s="3" t="s">
        <v>105</v>
      </c>
      <c r="G23" s="3" t="s">
        <v>603</v>
      </c>
      <c r="H23" s="16" t="s">
        <v>33</v>
      </c>
      <c r="I23" s="3"/>
      <c r="J23" s="3" t="s">
        <v>667</v>
      </c>
      <c r="K23" s="3" t="s">
        <v>34</v>
      </c>
      <c r="L23" s="16" t="s">
        <v>668</v>
      </c>
      <c r="M23" s="3" t="s">
        <v>105</v>
      </c>
      <c r="N23" s="3" t="s">
        <v>719</v>
      </c>
      <c r="O23" s="16" t="s">
        <v>701</v>
      </c>
      <c r="P23" s="16"/>
      <c r="Q23" s="16"/>
      <c r="R23" s="3"/>
      <c r="S23" s="3"/>
      <c r="T23" s="3" t="s">
        <v>40</v>
      </c>
      <c r="U23" s="3" t="s">
        <v>35</v>
      </c>
      <c r="V23" s="4" t="s">
        <v>671</v>
      </c>
      <c r="W23" s="3" t="s">
        <v>104</v>
      </c>
      <c r="X23" s="4" t="s">
        <v>529</v>
      </c>
      <c r="Y23" s="5"/>
      <c r="Z23" s="5"/>
      <c r="AA23" s="5"/>
      <c r="AB23" s="5"/>
      <c r="AC23" s="5"/>
      <c r="AD23" s="4" t="s">
        <v>671</v>
      </c>
      <c r="AE23" s="17" t="s">
        <v>727</v>
      </c>
      <c r="AF23" s="3" t="s">
        <v>673</v>
      </c>
      <c r="AG23" s="5"/>
      <c r="AH23" s="5"/>
      <c r="AI23" s="5"/>
      <c r="AJ23" s="3" t="s">
        <v>108</v>
      </c>
      <c r="AK23" s="18">
        <v>0</v>
      </c>
    </row>
    <row r="24" ht="12" customHeight="1" spans="1:37" x14ac:dyDescent="0.25">
      <c r="A24" s="13" t="s">
        <v>98</v>
      </c>
      <c r="B24" s="13" t="s">
        <v>40</v>
      </c>
      <c r="C24" s="13" t="s">
        <v>665</v>
      </c>
      <c r="D24" s="14" t="s">
        <v>337</v>
      </c>
      <c r="E24" s="15" t="s">
        <v>728</v>
      </c>
      <c r="F24" s="3" t="s">
        <v>99</v>
      </c>
      <c r="G24" s="3" t="s">
        <v>468</v>
      </c>
      <c r="H24" s="16" t="s">
        <v>33</v>
      </c>
      <c r="I24" s="3"/>
      <c r="J24" s="3" t="s">
        <v>667</v>
      </c>
      <c r="K24" s="3" t="s">
        <v>34</v>
      </c>
      <c r="L24" s="16" t="s">
        <v>668</v>
      </c>
      <c r="M24" s="3" t="s">
        <v>99</v>
      </c>
      <c r="N24" s="3" t="s">
        <v>719</v>
      </c>
      <c r="O24" s="16" t="s">
        <v>705</v>
      </c>
      <c r="P24" s="16"/>
      <c r="Q24" s="16"/>
      <c r="R24" s="3"/>
      <c r="S24" s="3"/>
      <c r="T24" s="3" t="s">
        <v>40</v>
      </c>
      <c r="U24" s="3" t="s">
        <v>35</v>
      </c>
      <c r="V24" s="4" t="s">
        <v>671</v>
      </c>
      <c r="W24" s="3" t="s">
        <v>36</v>
      </c>
      <c r="X24" s="4" t="s">
        <v>326</v>
      </c>
      <c r="Y24" s="5"/>
      <c r="Z24" s="5"/>
      <c r="AA24" s="5"/>
      <c r="AB24" s="5"/>
      <c r="AC24" s="5"/>
      <c r="AD24" s="4" t="s">
        <v>338</v>
      </c>
      <c r="AE24" s="17" t="s">
        <v>708</v>
      </c>
      <c r="AF24" s="3" t="s">
        <v>673</v>
      </c>
      <c r="AG24" s="5"/>
      <c r="AH24" s="5"/>
      <c r="AI24" s="5"/>
      <c r="AJ24" s="3" t="s">
        <v>101</v>
      </c>
      <c r="AK24" s="18">
        <v>0</v>
      </c>
    </row>
    <row r="25" ht="12" customHeight="1" spans="1:37" x14ac:dyDescent="0.25">
      <c r="A25" s="13" t="s">
        <v>102</v>
      </c>
      <c r="B25" s="13" t="s">
        <v>40</v>
      </c>
      <c r="C25" s="13" t="s">
        <v>665</v>
      </c>
      <c r="D25" s="14" t="s">
        <v>338</v>
      </c>
      <c r="E25" s="15" t="s">
        <v>729</v>
      </c>
      <c r="F25" s="3" t="s">
        <v>60</v>
      </c>
      <c r="G25" s="3" t="s">
        <v>481</v>
      </c>
      <c r="H25" s="16" t="s">
        <v>33</v>
      </c>
      <c r="I25" s="3"/>
      <c r="J25" s="3" t="s">
        <v>667</v>
      </c>
      <c r="K25" s="3" t="s">
        <v>34</v>
      </c>
      <c r="L25" s="16" t="s">
        <v>668</v>
      </c>
      <c r="M25" s="3" t="s">
        <v>60</v>
      </c>
      <c r="N25" s="3" t="s">
        <v>717</v>
      </c>
      <c r="O25" s="16" t="s">
        <v>683</v>
      </c>
      <c r="P25" s="16"/>
      <c r="Q25" s="16"/>
      <c r="R25" s="3"/>
      <c r="S25" s="3"/>
      <c r="T25" s="3" t="s">
        <v>40</v>
      </c>
      <c r="U25" s="3" t="s">
        <v>35</v>
      </c>
      <c r="V25" s="4" t="s">
        <v>671</v>
      </c>
      <c r="W25" s="3" t="s">
        <v>36</v>
      </c>
      <c r="X25" s="4" t="s">
        <v>326</v>
      </c>
      <c r="Y25" s="5"/>
      <c r="Z25" s="5"/>
      <c r="AA25" s="5"/>
      <c r="AB25" s="5"/>
      <c r="AC25" s="5"/>
      <c r="AD25" s="4" t="s">
        <v>359</v>
      </c>
      <c r="AE25" s="17" t="s">
        <v>688</v>
      </c>
      <c r="AF25" s="3" t="s">
        <v>673</v>
      </c>
      <c r="AG25" s="5"/>
      <c r="AH25" s="5"/>
      <c r="AI25" s="5"/>
      <c r="AJ25" s="3" t="s">
        <v>63</v>
      </c>
      <c r="AK25" s="18">
        <v>0</v>
      </c>
    </row>
    <row r="26" ht="12" customHeight="1" spans="1:37" x14ac:dyDescent="0.25">
      <c r="A26" s="13" t="s">
        <v>93</v>
      </c>
      <c r="B26" s="13" t="s">
        <v>40</v>
      </c>
      <c r="C26" s="13" t="s">
        <v>665</v>
      </c>
      <c r="D26" s="14" t="s">
        <v>358</v>
      </c>
      <c r="E26" s="15" t="s">
        <v>730</v>
      </c>
      <c r="F26" s="3" t="s">
        <v>94</v>
      </c>
      <c r="G26" s="3" t="s">
        <v>327</v>
      </c>
      <c r="H26" s="16" t="s">
        <v>33</v>
      </c>
      <c r="I26" s="3"/>
      <c r="J26" s="3" t="s">
        <v>676</v>
      </c>
      <c r="K26" s="3" t="s">
        <v>34</v>
      </c>
      <c r="L26" s="16" t="s">
        <v>668</v>
      </c>
      <c r="M26" s="3" t="s">
        <v>94</v>
      </c>
      <c r="N26" s="3" t="s">
        <v>719</v>
      </c>
      <c r="O26" s="16" t="s">
        <v>731</v>
      </c>
      <c r="P26" s="16"/>
      <c r="Q26" s="16"/>
      <c r="R26" s="3"/>
      <c r="S26" s="3"/>
      <c r="T26" s="3" t="s">
        <v>40</v>
      </c>
      <c r="U26" s="3" t="s">
        <v>35</v>
      </c>
      <c r="V26" s="4" t="s">
        <v>671</v>
      </c>
      <c r="W26" s="3" t="s">
        <v>36</v>
      </c>
      <c r="X26" s="4" t="s">
        <v>326</v>
      </c>
      <c r="Y26" s="5"/>
      <c r="Z26" s="5"/>
      <c r="AA26" s="5"/>
      <c r="AB26" s="5"/>
      <c r="AC26" s="5"/>
      <c r="AD26" s="4" t="s">
        <v>362</v>
      </c>
      <c r="AE26" s="17" t="s">
        <v>692</v>
      </c>
      <c r="AF26" s="3" t="s">
        <v>680</v>
      </c>
      <c r="AG26" s="5"/>
      <c r="AH26" s="5"/>
      <c r="AI26" s="5"/>
      <c r="AJ26" s="3" t="s">
        <v>97</v>
      </c>
      <c r="AK26" s="18">
        <v>0</v>
      </c>
    </row>
    <row r="27" ht="12" customHeight="1" spans="1:37" x14ac:dyDescent="0.25">
      <c r="A27" s="13" t="s">
        <v>129</v>
      </c>
      <c r="B27" s="13" t="s">
        <v>40</v>
      </c>
      <c r="C27" s="13" t="s">
        <v>665</v>
      </c>
      <c r="D27" s="14" t="s">
        <v>338</v>
      </c>
      <c r="E27" s="15" t="s">
        <v>732</v>
      </c>
      <c r="F27" s="3" t="s">
        <v>130</v>
      </c>
      <c r="G27" s="3" t="s">
        <v>490</v>
      </c>
      <c r="H27" s="16" t="s">
        <v>52</v>
      </c>
      <c r="I27" s="3"/>
      <c r="J27" s="3" t="s">
        <v>667</v>
      </c>
      <c r="K27" s="3" t="s">
        <v>34</v>
      </c>
      <c r="L27" s="16" t="s">
        <v>668</v>
      </c>
      <c r="M27" s="3" t="s">
        <v>130</v>
      </c>
      <c r="N27" s="3" t="s">
        <v>677</v>
      </c>
      <c r="O27" s="16" t="s">
        <v>705</v>
      </c>
      <c r="P27" s="16"/>
      <c r="Q27" s="16"/>
      <c r="R27" s="3"/>
      <c r="S27" s="3"/>
      <c r="T27" s="3" t="s">
        <v>40</v>
      </c>
      <c r="U27" s="3" t="s">
        <v>35</v>
      </c>
      <c r="V27" s="4" t="s">
        <v>671</v>
      </c>
      <c r="W27" s="3" t="s">
        <v>36</v>
      </c>
      <c r="X27" s="4" t="s">
        <v>326</v>
      </c>
      <c r="Y27" s="5"/>
      <c r="Z27" s="5"/>
      <c r="AA27" s="5"/>
      <c r="AB27" s="5"/>
      <c r="AC27" s="5"/>
      <c r="AD27" s="4" t="s">
        <v>359</v>
      </c>
      <c r="AE27" s="17" t="s">
        <v>672</v>
      </c>
      <c r="AF27" s="3" t="s">
        <v>673</v>
      </c>
      <c r="AG27" s="5"/>
      <c r="AH27" s="5"/>
      <c r="AI27" s="5"/>
      <c r="AJ27" s="3" t="s">
        <v>132</v>
      </c>
      <c r="AK27" s="18">
        <v>0</v>
      </c>
    </row>
    <row r="28" ht="12" customHeight="1" spans="1:37" x14ac:dyDescent="0.25">
      <c r="A28" s="13" t="s">
        <v>180</v>
      </c>
      <c r="B28" s="13" t="s">
        <v>40</v>
      </c>
      <c r="C28" s="13" t="s">
        <v>665</v>
      </c>
      <c r="D28" s="14" t="s">
        <v>359</v>
      </c>
      <c r="E28" s="15" t="s">
        <v>733</v>
      </c>
      <c r="F28" s="3" t="s">
        <v>74</v>
      </c>
      <c r="G28" s="3" t="s">
        <v>459</v>
      </c>
      <c r="H28" s="16" t="s">
        <v>52</v>
      </c>
      <c r="I28" s="3"/>
      <c r="J28" s="3" t="s">
        <v>667</v>
      </c>
      <c r="K28" s="3" t="s">
        <v>34</v>
      </c>
      <c r="L28" s="16" t="s">
        <v>668</v>
      </c>
      <c r="M28" s="3" t="s">
        <v>74</v>
      </c>
      <c r="N28" s="3" t="s">
        <v>686</v>
      </c>
      <c r="O28" s="16" t="s">
        <v>705</v>
      </c>
      <c r="P28" s="16"/>
      <c r="Q28" s="16"/>
      <c r="R28" s="3"/>
      <c r="S28" s="3"/>
      <c r="T28" s="3" t="s">
        <v>40</v>
      </c>
      <c r="U28" s="3" t="s">
        <v>35</v>
      </c>
      <c r="V28" s="4" t="s">
        <v>671</v>
      </c>
      <c r="W28" s="3" t="s">
        <v>36</v>
      </c>
      <c r="X28" s="4" t="s">
        <v>326</v>
      </c>
      <c r="Y28" s="5"/>
      <c r="Z28" s="5"/>
      <c r="AA28" s="5"/>
      <c r="AB28" s="5"/>
      <c r="AC28" s="5"/>
      <c r="AD28" s="4" t="s">
        <v>359</v>
      </c>
      <c r="AE28" s="17" t="s">
        <v>688</v>
      </c>
      <c r="AF28" s="3" t="s">
        <v>673</v>
      </c>
      <c r="AG28" s="5"/>
      <c r="AH28" s="5"/>
      <c r="AI28" s="5"/>
      <c r="AJ28" s="3" t="s">
        <v>77</v>
      </c>
      <c r="AK28" s="18">
        <v>0</v>
      </c>
    </row>
    <row r="29" ht="12" customHeight="1" spans="1:37" x14ac:dyDescent="0.25">
      <c r="A29" s="13" t="s">
        <v>166</v>
      </c>
      <c r="B29" s="13" t="s">
        <v>40</v>
      </c>
      <c r="C29" s="13" t="s">
        <v>665</v>
      </c>
      <c r="D29" s="14" t="s">
        <v>337</v>
      </c>
      <c r="E29" s="15" t="s">
        <v>692</v>
      </c>
      <c r="F29" s="3" t="s">
        <v>88</v>
      </c>
      <c r="G29" s="3" t="s">
        <v>569</v>
      </c>
      <c r="H29" s="16" t="s">
        <v>52</v>
      </c>
      <c r="I29" s="3"/>
      <c r="J29" s="3" t="s">
        <v>667</v>
      </c>
      <c r="K29" s="3" t="s">
        <v>34</v>
      </c>
      <c r="L29" s="16" t="s">
        <v>668</v>
      </c>
      <c r="M29" s="3" t="s">
        <v>88</v>
      </c>
      <c r="N29" s="3" t="s">
        <v>699</v>
      </c>
      <c r="O29" s="16" t="s">
        <v>705</v>
      </c>
      <c r="P29" s="16"/>
      <c r="Q29" s="16"/>
      <c r="R29" s="3"/>
      <c r="S29" s="3"/>
      <c r="T29" s="3" t="s">
        <v>40</v>
      </c>
      <c r="U29" s="3" t="s">
        <v>35</v>
      </c>
      <c r="V29" s="4" t="s">
        <v>671</v>
      </c>
      <c r="W29" s="3" t="s">
        <v>87</v>
      </c>
      <c r="X29" s="4" t="s">
        <v>568</v>
      </c>
      <c r="Y29" s="5"/>
      <c r="Z29" s="5"/>
      <c r="AA29" s="5"/>
      <c r="AB29" s="5"/>
      <c r="AC29" s="5"/>
      <c r="AD29" s="4" t="s">
        <v>359</v>
      </c>
      <c r="AE29" s="17" t="s">
        <v>672</v>
      </c>
      <c r="AF29" s="3" t="s">
        <v>673</v>
      </c>
      <c r="AG29" s="5"/>
      <c r="AH29" s="5"/>
      <c r="AI29" s="5"/>
      <c r="AJ29" s="3" t="s">
        <v>91</v>
      </c>
      <c r="AK29" s="18">
        <v>0</v>
      </c>
    </row>
    <row r="30" ht="12" customHeight="1" spans="1:37" x14ac:dyDescent="0.25">
      <c r="A30" s="13" t="s">
        <v>162</v>
      </c>
      <c r="B30" s="13" t="s">
        <v>40</v>
      </c>
      <c r="C30" s="13" t="s">
        <v>681</v>
      </c>
      <c r="D30" s="14" t="s">
        <v>337</v>
      </c>
      <c r="E30" s="15" t="s">
        <v>693</v>
      </c>
      <c r="F30" s="3" t="s">
        <v>163</v>
      </c>
      <c r="G30" s="3" t="s">
        <v>164</v>
      </c>
      <c r="H30" s="16" t="s">
        <v>52</v>
      </c>
      <c r="I30" s="3" t="s">
        <v>734</v>
      </c>
      <c r="J30" s="3" t="s">
        <v>695</v>
      </c>
      <c r="K30" s="3" t="s">
        <v>34</v>
      </c>
      <c r="L30" s="16" t="s">
        <v>668</v>
      </c>
      <c r="M30" s="3" t="s">
        <v>163</v>
      </c>
      <c r="N30" s="3" t="s">
        <v>677</v>
      </c>
      <c r="O30" s="16" t="s">
        <v>705</v>
      </c>
      <c r="P30" s="16"/>
      <c r="Q30" s="16"/>
      <c r="R30" s="3"/>
      <c r="S30" s="3"/>
      <c r="T30" s="3" t="s">
        <v>40</v>
      </c>
      <c r="U30" s="3" t="s">
        <v>35</v>
      </c>
      <c r="V30" s="4" t="s">
        <v>671</v>
      </c>
      <c r="W30" s="3" t="s">
        <v>36</v>
      </c>
      <c r="X30" s="4" t="s">
        <v>326</v>
      </c>
      <c r="Y30" s="5"/>
      <c r="Z30" s="5"/>
      <c r="AA30" s="5"/>
      <c r="AB30" s="5"/>
      <c r="AC30" s="5"/>
      <c r="AD30" s="4" t="s">
        <v>338</v>
      </c>
      <c r="AE30" s="17" t="s">
        <v>696</v>
      </c>
      <c r="AF30" s="3" t="s">
        <v>697</v>
      </c>
      <c r="AG30" s="5"/>
      <c r="AH30" s="5"/>
      <c r="AI30" s="5"/>
      <c r="AJ30" s="3" t="s">
        <v>165</v>
      </c>
      <c r="AK30" s="18">
        <v>0</v>
      </c>
    </row>
    <row r="31" ht="12" customHeight="1" spans="1:37" x14ac:dyDescent="0.25">
      <c r="A31" s="13" t="s">
        <v>128</v>
      </c>
      <c r="B31" s="13" t="s">
        <v>40</v>
      </c>
      <c r="C31" s="13" t="s">
        <v>665</v>
      </c>
      <c r="D31" s="14" t="s">
        <v>402</v>
      </c>
      <c r="E31" s="15" t="s">
        <v>735</v>
      </c>
      <c r="F31" s="3" t="s">
        <v>54</v>
      </c>
      <c r="G31" s="3" t="s">
        <v>56</v>
      </c>
      <c r="H31" s="16" t="s">
        <v>52</v>
      </c>
      <c r="I31" s="3"/>
      <c r="J31" s="3" t="s">
        <v>667</v>
      </c>
      <c r="K31" s="3" t="s">
        <v>34</v>
      </c>
      <c r="L31" s="16" t="s">
        <v>668</v>
      </c>
      <c r="M31" s="3" t="s">
        <v>54</v>
      </c>
      <c r="N31" s="3" t="s">
        <v>669</v>
      </c>
      <c r="O31" s="16" t="s">
        <v>679</v>
      </c>
      <c r="P31" s="16"/>
      <c r="Q31" s="16"/>
      <c r="R31" s="3"/>
      <c r="S31" s="3"/>
      <c r="T31" s="3" t="s">
        <v>40</v>
      </c>
      <c r="U31" s="3" t="s">
        <v>35</v>
      </c>
      <c r="V31" s="4" t="s">
        <v>671</v>
      </c>
      <c r="W31" s="3" t="s">
        <v>36</v>
      </c>
      <c r="X31" s="4" t="s">
        <v>326</v>
      </c>
      <c r="Y31" s="5"/>
      <c r="Z31" s="5"/>
      <c r="AA31" s="5"/>
      <c r="AB31" s="5"/>
      <c r="AC31" s="5"/>
      <c r="AD31" s="4" t="s">
        <v>359</v>
      </c>
      <c r="AE31" s="17" t="s">
        <v>672</v>
      </c>
      <c r="AF31" s="3" t="s">
        <v>673</v>
      </c>
      <c r="AG31" s="5"/>
      <c r="AH31" s="5"/>
      <c r="AI31" s="5"/>
      <c r="AJ31" s="3" t="s">
        <v>57</v>
      </c>
      <c r="AK31" s="18">
        <v>0</v>
      </c>
    </row>
    <row r="32" ht="12" customHeight="1" spans="1:37" x14ac:dyDescent="0.25">
      <c r="A32" s="13" t="s">
        <v>122</v>
      </c>
      <c r="B32" s="13" t="s">
        <v>40</v>
      </c>
      <c r="C32" s="13" t="s">
        <v>665</v>
      </c>
      <c r="D32" s="14" t="s">
        <v>337</v>
      </c>
      <c r="E32" s="15" t="s">
        <v>736</v>
      </c>
      <c r="F32" s="3" t="s">
        <v>123</v>
      </c>
      <c r="G32" s="3" t="s">
        <v>594</v>
      </c>
      <c r="H32" s="16" t="s">
        <v>52</v>
      </c>
      <c r="I32" s="3"/>
      <c r="J32" s="3" t="s">
        <v>667</v>
      </c>
      <c r="K32" s="3" t="s">
        <v>34</v>
      </c>
      <c r="L32" s="16" t="s">
        <v>668</v>
      </c>
      <c r="M32" s="3" t="s">
        <v>123</v>
      </c>
      <c r="N32" s="3" t="s">
        <v>669</v>
      </c>
      <c r="O32" s="16" t="s">
        <v>683</v>
      </c>
      <c r="P32" s="16"/>
      <c r="Q32" s="16"/>
      <c r="R32" s="3"/>
      <c r="S32" s="3"/>
      <c r="T32" s="3" t="s">
        <v>40</v>
      </c>
      <c r="U32" s="3" t="s">
        <v>35</v>
      </c>
      <c r="V32" s="4" t="s">
        <v>671</v>
      </c>
      <c r="W32" s="3" t="s">
        <v>87</v>
      </c>
      <c r="X32" s="4" t="s">
        <v>568</v>
      </c>
      <c r="Y32" s="5"/>
      <c r="Z32" s="5"/>
      <c r="AA32" s="5"/>
      <c r="AB32" s="5"/>
      <c r="AC32" s="5"/>
      <c r="AD32" s="4" t="s">
        <v>338</v>
      </c>
      <c r="AE32" s="17" t="s">
        <v>708</v>
      </c>
      <c r="AF32" s="3" t="s">
        <v>673</v>
      </c>
      <c r="AG32" s="5"/>
      <c r="AH32" s="5"/>
      <c r="AI32" s="5"/>
      <c r="AJ32" s="3" t="s">
        <v>125</v>
      </c>
      <c r="AK32" s="18">
        <v>0</v>
      </c>
    </row>
    <row r="33" ht="12" customHeight="1" spans="1:37" x14ac:dyDescent="0.25">
      <c r="A33" s="13" t="s">
        <v>176</v>
      </c>
      <c r="B33" s="13" t="s">
        <v>40</v>
      </c>
      <c r="C33" s="13" t="s">
        <v>665</v>
      </c>
      <c r="D33" s="14" t="s">
        <v>338</v>
      </c>
      <c r="E33" s="15" t="s">
        <v>737</v>
      </c>
      <c r="F33" s="3" t="s">
        <v>74</v>
      </c>
      <c r="G33" s="3" t="s">
        <v>459</v>
      </c>
      <c r="H33" s="16" t="s">
        <v>52</v>
      </c>
      <c r="I33" s="3"/>
      <c r="J33" s="3" t="s">
        <v>667</v>
      </c>
      <c r="K33" s="3" t="s">
        <v>34</v>
      </c>
      <c r="L33" s="16" t="s">
        <v>668</v>
      </c>
      <c r="M33" s="3" t="s">
        <v>74</v>
      </c>
      <c r="N33" s="3" t="s">
        <v>686</v>
      </c>
      <c r="O33" s="16" t="s">
        <v>670</v>
      </c>
      <c r="P33" s="16"/>
      <c r="Q33" s="16"/>
      <c r="R33" s="3"/>
      <c r="S33" s="3"/>
      <c r="T33" s="3" t="s">
        <v>40</v>
      </c>
      <c r="U33" s="3" t="s">
        <v>35</v>
      </c>
      <c r="V33" s="4" t="s">
        <v>671</v>
      </c>
      <c r="W33" s="3" t="s">
        <v>36</v>
      </c>
      <c r="X33" s="4" t="s">
        <v>326</v>
      </c>
      <c r="Y33" s="5"/>
      <c r="Z33" s="5"/>
      <c r="AA33" s="5"/>
      <c r="AB33" s="5"/>
      <c r="AC33" s="5"/>
      <c r="AD33" s="4" t="s">
        <v>359</v>
      </c>
      <c r="AE33" s="17" t="s">
        <v>688</v>
      </c>
      <c r="AF33" s="3" t="s">
        <v>673</v>
      </c>
      <c r="AG33" s="5"/>
      <c r="AH33" s="5"/>
      <c r="AI33" s="5"/>
      <c r="AJ33" s="3" t="s">
        <v>77</v>
      </c>
      <c r="AK33" s="18">
        <v>0</v>
      </c>
    </row>
    <row r="34" ht="12" customHeight="1" spans="1:37" x14ac:dyDescent="0.25">
      <c r="A34" s="13" t="s">
        <v>115</v>
      </c>
      <c r="B34" s="13" t="s">
        <v>40</v>
      </c>
      <c r="C34" s="13" t="s">
        <v>665</v>
      </c>
      <c r="D34" s="14" t="s">
        <v>337</v>
      </c>
      <c r="E34" s="15" t="s">
        <v>738</v>
      </c>
      <c r="F34" s="3" t="s">
        <v>117</v>
      </c>
      <c r="G34" s="3" t="s">
        <v>352</v>
      </c>
      <c r="H34" s="16" t="s">
        <v>52</v>
      </c>
      <c r="I34" s="3"/>
      <c r="J34" s="3" t="s">
        <v>667</v>
      </c>
      <c r="K34" s="3" t="s">
        <v>34</v>
      </c>
      <c r="L34" s="16" t="s">
        <v>668</v>
      </c>
      <c r="M34" s="3" t="s">
        <v>117</v>
      </c>
      <c r="N34" s="3" t="s">
        <v>711</v>
      </c>
      <c r="O34" s="16" t="s">
        <v>670</v>
      </c>
      <c r="P34" s="16"/>
      <c r="Q34" s="16"/>
      <c r="R34" s="3"/>
      <c r="S34" s="3"/>
      <c r="T34" s="3" t="s">
        <v>40</v>
      </c>
      <c r="U34" s="3" t="s">
        <v>35</v>
      </c>
      <c r="V34" s="4" t="s">
        <v>671</v>
      </c>
      <c r="W34" s="3" t="s">
        <v>36</v>
      </c>
      <c r="X34" s="4" t="s">
        <v>326</v>
      </c>
      <c r="Y34" s="5"/>
      <c r="Z34" s="5"/>
      <c r="AA34" s="5"/>
      <c r="AB34" s="5"/>
      <c r="AC34" s="5"/>
      <c r="AD34" s="4" t="s">
        <v>338</v>
      </c>
      <c r="AE34" s="17" t="s">
        <v>708</v>
      </c>
      <c r="AF34" s="3" t="s">
        <v>673</v>
      </c>
      <c r="AG34" s="5"/>
      <c r="AH34" s="5"/>
      <c r="AI34" s="5"/>
      <c r="AJ34" s="3" t="s">
        <v>120</v>
      </c>
      <c r="AK34" s="18">
        <v>0</v>
      </c>
    </row>
    <row r="35" ht="12" customHeight="1" spans="1:37" x14ac:dyDescent="0.25">
      <c r="A35" s="13" t="s">
        <v>148</v>
      </c>
      <c r="B35" s="13" t="s">
        <v>40</v>
      </c>
      <c r="C35" s="13" t="s">
        <v>665</v>
      </c>
      <c r="D35" s="14" t="s">
        <v>674</v>
      </c>
      <c r="E35" s="15" t="s">
        <v>739</v>
      </c>
      <c r="F35" s="3" t="s">
        <v>149</v>
      </c>
      <c r="G35" s="3" t="s">
        <v>150</v>
      </c>
      <c r="H35" s="16" t="s">
        <v>52</v>
      </c>
      <c r="I35" s="3"/>
      <c r="J35" s="3" t="s">
        <v>676</v>
      </c>
      <c r="K35" s="3" t="s">
        <v>34</v>
      </c>
      <c r="L35" s="16" t="s">
        <v>668</v>
      </c>
      <c r="M35" s="3" t="s">
        <v>149</v>
      </c>
      <c r="N35" s="3" t="s">
        <v>677</v>
      </c>
      <c r="O35" s="16" t="s">
        <v>731</v>
      </c>
      <c r="P35" s="16"/>
      <c r="Q35" s="16"/>
      <c r="R35" s="3"/>
      <c r="S35" s="3"/>
      <c r="T35" s="3" t="s">
        <v>40</v>
      </c>
      <c r="U35" s="3" t="s">
        <v>35</v>
      </c>
      <c r="V35" s="4" t="s">
        <v>671</v>
      </c>
      <c r="W35" s="3" t="s">
        <v>104</v>
      </c>
      <c r="X35" s="4" t="s">
        <v>529</v>
      </c>
      <c r="Y35" s="5"/>
      <c r="Z35" s="5"/>
      <c r="AA35" s="5"/>
      <c r="AB35" s="5"/>
      <c r="AC35" s="5"/>
      <c r="AD35" s="4" t="s">
        <v>674</v>
      </c>
      <c r="AE35" s="17" t="s">
        <v>679</v>
      </c>
      <c r="AF35" s="3" t="s">
        <v>680</v>
      </c>
      <c r="AG35" s="5"/>
      <c r="AH35" s="5"/>
      <c r="AI35" s="5"/>
      <c r="AJ35" s="3" t="s">
        <v>151</v>
      </c>
      <c r="AK35" s="18">
        <v>0</v>
      </c>
    </row>
    <row r="36" ht="12" customHeight="1" spans="1:37" x14ac:dyDescent="0.25">
      <c r="A36" s="13" t="s">
        <v>177</v>
      </c>
      <c r="B36" s="13" t="s">
        <v>40</v>
      </c>
      <c r="C36" s="13" t="s">
        <v>665</v>
      </c>
      <c r="D36" s="14" t="s">
        <v>338</v>
      </c>
      <c r="E36" s="15" t="s">
        <v>740</v>
      </c>
      <c r="F36" s="3" t="s">
        <v>74</v>
      </c>
      <c r="G36" s="3" t="s">
        <v>459</v>
      </c>
      <c r="H36" s="16" t="s">
        <v>52</v>
      </c>
      <c r="I36" s="3"/>
      <c r="J36" s="3" t="s">
        <v>667</v>
      </c>
      <c r="K36" s="3" t="s">
        <v>34</v>
      </c>
      <c r="L36" s="16" t="s">
        <v>668</v>
      </c>
      <c r="M36" s="3" t="s">
        <v>74</v>
      </c>
      <c r="N36" s="3" t="s">
        <v>686</v>
      </c>
      <c r="O36" s="16" t="s">
        <v>731</v>
      </c>
      <c r="P36" s="16"/>
      <c r="Q36" s="16"/>
      <c r="R36" s="3"/>
      <c r="S36" s="3"/>
      <c r="T36" s="3" t="s">
        <v>40</v>
      </c>
      <c r="U36" s="3" t="s">
        <v>35</v>
      </c>
      <c r="V36" s="4" t="s">
        <v>671</v>
      </c>
      <c r="W36" s="3" t="s">
        <v>36</v>
      </c>
      <c r="X36" s="4" t="s">
        <v>326</v>
      </c>
      <c r="Y36" s="5"/>
      <c r="Z36" s="5"/>
      <c r="AA36" s="5"/>
      <c r="AB36" s="5"/>
      <c r="AC36" s="5"/>
      <c r="AD36" s="4" t="s">
        <v>359</v>
      </c>
      <c r="AE36" s="17" t="s">
        <v>688</v>
      </c>
      <c r="AF36" s="3" t="s">
        <v>673</v>
      </c>
      <c r="AG36" s="5"/>
      <c r="AH36" s="5"/>
      <c r="AI36" s="5"/>
      <c r="AJ36" s="3" t="s">
        <v>77</v>
      </c>
      <c r="AK36" s="18">
        <v>0</v>
      </c>
    </row>
    <row r="37" ht="12" customHeight="1" spans="1:37" x14ac:dyDescent="0.25">
      <c r="A37" s="13" t="s">
        <v>86</v>
      </c>
      <c r="B37" s="13" t="s">
        <v>40</v>
      </c>
      <c r="C37" s="13" t="s">
        <v>665</v>
      </c>
      <c r="D37" s="14" t="s">
        <v>337</v>
      </c>
      <c r="E37" s="15" t="s">
        <v>741</v>
      </c>
      <c r="F37" s="3" t="s">
        <v>88</v>
      </c>
      <c r="G37" s="3" t="s">
        <v>569</v>
      </c>
      <c r="H37" s="16" t="s">
        <v>52</v>
      </c>
      <c r="I37" s="3"/>
      <c r="J37" s="3" t="s">
        <v>667</v>
      </c>
      <c r="K37" s="3" t="s">
        <v>34</v>
      </c>
      <c r="L37" s="16" t="s">
        <v>668</v>
      </c>
      <c r="M37" s="3" t="s">
        <v>88</v>
      </c>
      <c r="N37" s="3" t="s">
        <v>699</v>
      </c>
      <c r="O37" s="16" t="s">
        <v>731</v>
      </c>
      <c r="P37" s="16"/>
      <c r="Q37" s="16"/>
      <c r="R37" s="3"/>
      <c r="S37" s="3"/>
      <c r="T37" s="3" t="s">
        <v>40</v>
      </c>
      <c r="U37" s="3" t="s">
        <v>35</v>
      </c>
      <c r="V37" s="4" t="s">
        <v>671</v>
      </c>
      <c r="W37" s="3" t="s">
        <v>87</v>
      </c>
      <c r="X37" s="4" t="s">
        <v>568</v>
      </c>
      <c r="Y37" s="5"/>
      <c r="Z37" s="5"/>
      <c r="AA37" s="5"/>
      <c r="AB37" s="5"/>
      <c r="AC37" s="5"/>
      <c r="AD37" s="4" t="s">
        <v>359</v>
      </c>
      <c r="AE37" s="17" t="s">
        <v>672</v>
      </c>
      <c r="AF37" s="3" t="s">
        <v>673</v>
      </c>
      <c r="AG37" s="5"/>
      <c r="AH37" s="5"/>
      <c r="AI37" s="5"/>
      <c r="AJ37" s="3" t="s">
        <v>91</v>
      </c>
      <c r="AK37" s="18">
        <v>0</v>
      </c>
    </row>
    <row r="38" ht="12" customHeight="1" spans="1:37" x14ac:dyDescent="0.25">
      <c r="A38" s="13" t="s">
        <v>178</v>
      </c>
      <c r="B38" s="13" t="s">
        <v>40</v>
      </c>
      <c r="C38" s="13" t="s">
        <v>665</v>
      </c>
      <c r="D38" s="14" t="s">
        <v>338</v>
      </c>
      <c r="E38" s="15" t="s">
        <v>740</v>
      </c>
      <c r="F38" s="3" t="s">
        <v>74</v>
      </c>
      <c r="G38" s="3" t="s">
        <v>459</v>
      </c>
      <c r="H38" s="16" t="s">
        <v>52</v>
      </c>
      <c r="I38" s="3"/>
      <c r="J38" s="3" t="s">
        <v>667</v>
      </c>
      <c r="K38" s="3" t="s">
        <v>34</v>
      </c>
      <c r="L38" s="16" t="s">
        <v>668</v>
      </c>
      <c r="M38" s="3" t="s">
        <v>74</v>
      </c>
      <c r="N38" s="3" t="s">
        <v>686</v>
      </c>
      <c r="O38" s="16" t="s">
        <v>742</v>
      </c>
      <c r="P38" s="16"/>
      <c r="Q38" s="16"/>
      <c r="R38" s="3"/>
      <c r="S38" s="3"/>
      <c r="T38" s="3" t="s">
        <v>40</v>
      </c>
      <c r="U38" s="3" t="s">
        <v>35</v>
      </c>
      <c r="V38" s="4" t="s">
        <v>671</v>
      </c>
      <c r="W38" s="3" t="s">
        <v>36</v>
      </c>
      <c r="X38" s="4" t="s">
        <v>326</v>
      </c>
      <c r="Y38" s="5"/>
      <c r="Z38" s="5"/>
      <c r="AA38" s="5"/>
      <c r="AB38" s="5"/>
      <c r="AC38" s="5"/>
      <c r="AD38" s="4" t="s">
        <v>359</v>
      </c>
      <c r="AE38" s="17" t="s">
        <v>688</v>
      </c>
      <c r="AF38" s="3" t="s">
        <v>673</v>
      </c>
      <c r="AG38" s="5"/>
      <c r="AH38" s="5"/>
      <c r="AI38" s="5"/>
      <c r="AJ38" s="3" t="s">
        <v>77</v>
      </c>
      <c r="AK38" s="18">
        <v>0</v>
      </c>
    </row>
    <row r="39" ht="12" customHeight="1" spans="1:37" x14ac:dyDescent="0.25">
      <c r="A39" s="13" t="s">
        <v>138</v>
      </c>
      <c r="B39" s="13" t="s">
        <v>40</v>
      </c>
      <c r="C39" s="13" t="s">
        <v>665</v>
      </c>
      <c r="D39" s="14" t="s">
        <v>337</v>
      </c>
      <c r="E39" s="15" t="s">
        <v>743</v>
      </c>
      <c r="F39" s="3" t="s">
        <v>139</v>
      </c>
      <c r="G39" s="3" t="s">
        <v>531</v>
      </c>
      <c r="H39" s="16" t="s">
        <v>52</v>
      </c>
      <c r="I39" s="3"/>
      <c r="J39" s="3" t="s">
        <v>667</v>
      </c>
      <c r="K39" s="3" t="s">
        <v>34</v>
      </c>
      <c r="L39" s="16" t="s">
        <v>668</v>
      </c>
      <c r="M39" s="3" t="s">
        <v>139</v>
      </c>
      <c r="N39" s="3" t="s">
        <v>677</v>
      </c>
      <c r="O39" s="16" t="s">
        <v>742</v>
      </c>
      <c r="P39" s="16"/>
      <c r="Q39" s="16"/>
      <c r="R39" s="3"/>
      <c r="S39" s="3"/>
      <c r="T39" s="3" t="s">
        <v>40</v>
      </c>
      <c r="U39" s="3" t="s">
        <v>35</v>
      </c>
      <c r="V39" s="4" t="s">
        <v>671</v>
      </c>
      <c r="W39" s="3" t="s">
        <v>66</v>
      </c>
      <c r="X39" s="4" t="s">
        <v>529</v>
      </c>
      <c r="Y39" s="5"/>
      <c r="Z39" s="5"/>
      <c r="AA39" s="5"/>
      <c r="AB39" s="5"/>
      <c r="AC39" s="5"/>
      <c r="AD39" s="4" t="s">
        <v>338</v>
      </c>
      <c r="AE39" s="17" t="s">
        <v>744</v>
      </c>
      <c r="AF39" s="3" t="s">
        <v>673</v>
      </c>
      <c r="AG39" s="5"/>
      <c r="AH39" s="5"/>
      <c r="AI39" s="5"/>
      <c r="AJ39" s="3" t="s">
        <v>141</v>
      </c>
      <c r="AK39" s="18">
        <v>0</v>
      </c>
    </row>
    <row r="40" ht="12" customHeight="1" spans="1:37" x14ac:dyDescent="0.25">
      <c r="A40" s="13" t="s">
        <v>126</v>
      </c>
      <c r="B40" s="13" t="s">
        <v>40</v>
      </c>
      <c r="C40" s="13" t="s">
        <v>665</v>
      </c>
      <c r="D40" s="14" t="s">
        <v>337</v>
      </c>
      <c r="E40" s="15" t="s">
        <v>745</v>
      </c>
      <c r="F40" s="3" t="s">
        <v>123</v>
      </c>
      <c r="G40" s="3" t="s">
        <v>594</v>
      </c>
      <c r="H40" s="16" t="s">
        <v>52</v>
      </c>
      <c r="I40" s="3"/>
      <c r="J40" s="3" t="s">
        <v>667</v>
      </c>
      <c r="K40" s="3" t="s">
        <v>34</v>
      </c>
      <c r="L40" s="16" t="s">
        <v>668</v>
      </c>
      <c r="M40" s="3" t="s">
        <v>123</v>
      </c>
      <c r="N40" s="3" t="s">
        <v>669</v>
      </c>
      <c r="O40" s="16" t="s">
        <v>742</v>
      </c>
      <c r="P40" s="16"/>
      <c r="Q40" s="16"/>
      <c r="R40" s="3"/>
      <c r="S40" s="3"/>
      <c r="T40" s="3" t="s">
        <v>40</v>
      </c>
      <c r="U40" s="3" t="s">
        <v>35</v>
      </c>
      <c r="V40" s="4" t="s">
        <v>671</v>
      </c>
      <c r="W40" s="3" t="s">
        <v>87</v>
      </c>
      <c r="X40" s="4" t="s">
        <v>568</v>
      </c>
      <c r="Y40" s="5"/>
      <c r="Z40" s="5"/>
      <c r="AA40" s="5"/>
      <c r="AB40" s="5"/>
      <c r="AC40" s="5"/>
      <c r="AD40" s="4" t="s">
        <v>338</v>
      </c>
      <c r="AE40" s="17" t="s">
        <v>708</v>
      </c>
      <c r="AF40" s="3" t="s">
        <v>673</v>
      </c>
      <c r="AG40" s="5"/>
      <c r="AH40" s="5"/>
      <c r="AI40" s="5"/>
      <c r="AJ40" s="3" t="s">
        <v>125</v>
      </c>
      <c r="AK40" s="18">
        <v>0</v>
      </c>
    </row>
    <row r="41" ht="12" customHeight="1" spans="1:37" x14ac:dyDescent="0.25">
      <c r="A41" s="13" t="s">
        <v>121</v>
      </c>
      <c r="B41" s="13" t="s">
        <v>40</v>
      </c>
      <c r="C41" s="13" t="s">
        <v>665</v>
      </c>
      <c r="D41" s="14" t="s">
        <v>337</v>
      </c>
      <c r="E41" s="15" t="s">
        <v>746</v>
      </c>
      <c r="F41" s="3" t="s">
        <v>117</v>
      </c>
      <c r="G41" s="3" t="s">
        <v>352</v>
      </c>
      <c r="H41" s="16" t="s">
        <v>52</v>
      </c>
      <c r="I41" s="3"/>
      <c r="J41" s="3" t="s">
        <v>667</v>
      </c>
      <c r="K41" s="3" t="s">
        <v>34</v>
      </c>
      <c r="L41" s="16" t="s">
        <v>668</v>
      </c>
      <c r="M41" s="3" t="s">
        <v>117</v>
      </c>
      <c r="N41" s="3" t="s">
        <v>711</v>
      </c>
      <c r="O41" s="16" t="s">
        <v>742</v>
      </c>
      <c r="P41" s="16"/>
      <c r="Q41" s="16"/>
      <c r="R41" s="3"/>
      <c r="S41" s="3"/>
      <c r="T41" s="3" t="s">
        <v>40</v>
      </c>
      <c r="U41" s="3" t="s">
        <v>35</v>
      </c>
      <c r="V41" s="4" t="s">
        <v>671</v>
      </c>
      <c r="W41" s="3" t="s">
        <v>36</v>
      </c>
      <c r="X41" s="4" t="s">
        <v>326</v>
      </c>
      <c r="Y41" s="5"/>
      <c r="Z41" s="5"/>
      <c r="AA41" s="5"/>
      <c r="AB41" s="5"/>
      <c r="AC41" s="5"/>
      <c r="AD41" s="4" t="s">
        <v>338</v>
      </c>
      <c r="AE41" s="17" t="s">
        <v>708</v>
      </c>
      <c r="AF41" s="3" t="s">
        <v>673</v>
      </c>
      <c r="AG41" s="5"/>
      <c r="AH41" s="5"/>
      <c r="AI41" s="5"/>
      <c r="AJ41" s="3" t="s">
        <v>120</v>
      </c>
      <c r="AK41" s="18">
        <v>0</v>
      </c>
    </row>
    <row r="42" ht="12" customHeight="1" spans="1:37" x14ac:dyDescent="0.25">
      <c r="A42" s="13" t="s">
        <v>127</v>
      </c>
      <c r="B42" s="13" t="s">
        <v>40</v>
      </c>
      <c r="C42" s="13" t="s">
        <v>665</v>
      </c>
      <c r="D42" s="14" t="s">
        <v>337</v>
      </c>
      <c r="E42" s="15" t="s">
        <v>745</v>
      </c>
      <c r="F42" s="3" t="s">
        <v>123</v>
      </c>
      <c r="G42" s="3" t="s">
        <v>594</v>
      </c>
      <c r="H42" s="16" t="s">
        <v>52</v>
      </c>
      <c r="I42" s="3"/>
      <c r="J42" s="3" t="s">
        <v>667</v>
      </c>
      <c r="K42" s="3" t="s">
        <v>34</v>
      </c>
      <c r="L42" s="16" t="s">
        <v>668</v>
      </c>
      <c r="M42" s="3" t="s">
        <v>123</v>
      </c>
      <c r="N42" s="3" t="s">
        <v>669</v>
      </c>
      <c r="O42" s="16" t="s">
        <v>742</v>
      </c>
      <c r="P42" s="16"/>
      <c r="Q42" s="16"/>
      <c r="R42" s="3"/>
      <c r="S42" s="3"/>
      <c r="T42" s="3" t="s">
        <v>40</v>
      </c>
      <c r="U42" s="3" t="s">
        <v>35</v>
      </c>
      <c r="V42" s="4" t="s">
        <v>671</v>
      </c>
      <c r="W42" s="3" t="s">
        <v>87</v>
      </c>
      <c r="X42" s="4" t="s">
        <v>568</v>
      </c>
      <c r="Y42" s="5"/>
      <c r="Z42" s="5"/>
      <c r="AA42" s="5"/>
      <c r="AB42" s="5"/>
      <c r="AC42" s="5"/>
      <c r="AD42" s="4" t="s">
        <v>338</v>
      </c>
      <c r="AE42" s="17" t="s">
        <v>708</v>
      </c>
      <c r="AF42" s="3" t="s">
        <v>673</v>
      </c>
      <c r="AG42" s="5"/>
      <c r="AH42" s="5"/>
      <c r="AI42" s="5"/>
      <c r="AJ42" s="3" t="s">
        <v>125</v>
      </c>
      <c r="AK42" s="18">
        <v>0</v>
      </c>
    </row>
    <row r="43" ht="12" customHeight="1" spans="1:37" x14ac:dyDescent="0.25">
      <c r="A43" s="13" t="s">
        <v>142</v>
      </c>
      <c r="B43" s="13" t="s">
        <v>40</v>
      </c>
      <c r="C43" s="13" t="s">
        <v>665</v>
      </c>
      <c r="D43" s="14" t="s">
        <v>402</v>
      </c>
      <c r="E43" s="15" t="s">
        <v>666</v>
      </c>
      <c r="F43" s="3" t="s">
        <v>54</v>
      </c>
      <c r="G43" s="3" t="s">
        <v>56</v>
      </c>
      <c r="H43" s="16" t="s">
        <v>52</v>
      </c>
      <c r="I43" s="3"/>
      <c r="J43" s="3" t="s">
        <v>667</v>
      </c>
      <c r="K43" s="3" t="s">
        <v>34</v>
      </c>
      <c r="L43" s="16" t="s">
        <v>668</v>
      </c>
      <c r="M43" s="3" t="s">
        <v>54</v>
      </c>
      <c r="N43" s="3" t="s">
        <v>669</v>
      </c>
      <c r="O43" s="16" t="s">
        <v>742</v>
      </c>
      <c r="P43" s="16"/>
      <c r="Q43" s="16"/>
      <c r="R43" s="3"/>
      <c r="S43" s="3"/>
      <c r="T43" s="3" t="s">
        <v>40</v>
      </c>
      <c r="U43" s="3" t="s">
        <v>35</v>
      </c>
      <c r="V43" s="4" t="s">
        <v>671</v>
      </c>
      <c r="W43" s="3" t="s">
        <v>36</v>
      </c>
      <c r="X43" s="4" t="s">
        <v>326</v>
      </c>
      <c r="Y43" s="5"/>
      <c r="Z43" s="5"/>
      <c r="AA43" s="5"/>
      <c r="AB43" s="5"/>
      <c r="AC43" s="5"/>
      <c r="AD43" s="4" t="s">
        <v>359</v>
      </c>
      <c r="AE43" s="17" t="s">
        <v>672</v>
      </c>
      <c r="AF43" s="3" t="s">
        <v>673</v>
      </c>
      <c r="AG43" s="5"/>
      <c r="AH43" s="5"/>
      <c r="AI43" s="5"/>
      <c r="AJ43" s="3" t="s">
        <v>57</v>
      </c>
      <c r="AK43" s="18">
        <v>0</v>
      </c>
    </row>
    <row r="44" ht="12" customHeight="1" spans="1:37" x14ac:dyDescent="0.25">
      <c r="A44" s="13" t="s">
        <v>181</v>
      </c>
      <c r="B44" s="13" t="s">
        <v>40</v>
      </c>
      <c r="C44" s="13" t="s">
        <v>665</v>
      </c>
      <c r="D44" s="14" t="s">
        <v>362</v>
      </c>
      <c r="E44" s="15" t="s">
        <v>747</v>
      </c>
      <c r="F44" s="3" t="s">
        <v>182</v>
      </c>
      <c r="G44" s="3" t="s">
        <v>366</v>
      </c>
      <c r="H44" s="16" t="s">
        <v>52</v>
      </c>
      <c r="I44" s="3"/>
      <c r="J44" s="3" t="s">
        <v>676</v>
      </c>
      <c r="K44" s="3" t="s">
        <v>34</v>
      </c>
      <c r="L44" s="16" t="s">
        <v>668</v>
      </c>
      <c r="M44" s="3" t="s">
        <v>182</v>
      </c>
      <c r="N44" s="3" t="s">
        <v>677</v>
      </c>
      <c r="O44" s="16" t="s">
        <v>742</v>
      </c>
      <c r="P44" s="16"/>
      <c r="Q44" s="16"/>
      <c r="R44" s="3"/>
      <c r="S44" s="3"/>
      <c r="T44" s="3" t="s">
        <v>40</v>
      </c>
      <c r="U44" s="3" t="s">
        <v>35</v>
      </c>
      <c r="V44" s="4" t="s">
        <v>671</v>
      </c>
      <c r="W44" s="3" t="s">
        <v>36</v>
      </c>
      <c r="X44" s="4" t="s">
        <v>326</v>
      </c>
      <c r="Y44" s="5"/>
      <c r="Z44" s="5"/>
      <c r="AA44" s="5"/>
      <c r="AB44" s="5"/>
      <c r="AC44" s="5"/>
      <c r="AD44" s="4" t="s">
        <v>674</v>
      </c>
      <c r="AE44" s="17" t="s">
        <v>679</v>
      </c>
      <c r="AF44" s="3" t="s">
        <v>680</v>
      </c>
      <c r="AG44" s="5"/>
      <c r="AH44" s="5"/>
      <c r="AI44" s="5"/>
      <c r="AJ44" s="3" t="s">
        <v>184</v>
      </c>
      <c r="AK44" s="18">
        <v>0</v>
      </c>
    </row>
    <row r="45" ht="12" customHeight="1" spans="1:37" x14ac:dyDescent="0.25">
      <c r="A45" s="13" t="s">
        <v>157</v>
      </c>
      <c r="B45" s="13" t="s">
        <v>40</v>
      </c>
      <c r="C45" s="13" t="s">
        <v>665</v>
      </c>
      <c r="D45" s="14" t="s">
        <v>362</v>
      </c>
      <c r="E45" s="15" t="s">
        <v>748</v>
      </c>
      <c r="F45" s="3" t="s">
        <v>158</v>
      </c>
      <c r="G45" s="3" t="s">
        <v>612</v>
      </c>
      <c r="H45" s="16" t="s">
        <v>52</v>
      </c>
      <c r="I45" s="3"/>
      <c r="J45" s="3" t="s">
        <v>676</v>
      </c>
      <c r="K45" s="3" t="s">
        <v>34</v>
      </c>
      <c r="L45" s="16" t="s">
        <v>668</v>
      </c>
      <c r="M45" s="3" t="s">
        <v>158</v>
      </c>
      <c r="N45" s="3" t="s">
        <v>677</v>
      </c>
      <c r="O45" s="16" t="s">
        <v>749</v>
      </c>
      <c r="P45" s="16"/>
      <c r="Q45" s="16"/>
      <c r="R45" s="3"/>
      <c r="S45" s="3"/>
      <c r="T45" s="3" t="s">
        <v>40</v>
      </c>
      <c r="U45" s="3" t="s">
        <v>35</v>
      </c>
      <c r="V45" s="4" t="s">
        <v>671</v>
      </c>
      <c r="W45" s="3" t="s">
        <v>36</v>
      </c>
      <c r="X45" s="4" t="s">
        <v>326</v>
      </c>
      <c r="Y45" s="5"/>
      <c r="Z45" s="5"/>
      <c r="AA45" s="5"/>
      <c r="AB45" s="5"/>
      <c r="AC45" s="5"/>
      <c r="AD45" s="4" t="s">
        <v>362</v>
      </c>
      <c r="AE45" s="17" t="s">
        <v>692</v>
      </c>
      <c r="AF45" s="3" t="s">
        <v>680</v>
      </c>
      <c r="AG45" s="5"/>
      <c r="AH45" s="5"/>
      <c r="AI45" s="5"/>
      <c r="AJ45" s="3" t="s">
        <v>160</v>
      </c>
      <c r="AK45" s="18">
        <v>0</v>
      </c>
    </row>
    <row r="46" ht="12" customHeight="1" spans="1:37" x14ac:dyDescent="0.25">
      <c r="A46" s="13" t="s">
        <v>179</v>
      </c>
      <c r="B46" s="13" t="s">
        <v>40</v>
      </c>
      <c r="C46" s="13" t="s">
        <v>665</v>
      </c>
      <c r="D46" s="14" t="s">
        <v>338</v>
      </c>
      <c r="E46" s="15" t="s">
        <v>750</v>
      </c>
      <c r="F46" s="3" t="s">
        <v>74</v>
      </c>
      <c r="G46" s="3" t="s">
        <v>459</v>
      </c>
      <c r="H46" s="16" t="s">
        <v>52</v>
      </c>
      <c r="I46" s="3"/>
      <c r="J46" s="3" t="s">
        <v>667</v>
      </c>
      <c r="K46" s="3" t="s">
        <v>34</v>
      </c>
      <c r="L46" s="16" t="s">
        <v>668</v>
      </c>
      <c r="M46" s="3" t="s">
        <v>74</v>
      </c>
      <c r="N46" s="3" t="s">
        <v>686</v>
      </c>
      <c r="O46" s="16" t="s">
        <v>691</v>
      </c>
      <c r="P46" s="16"/>
      <c r="Q46" s="16"/>
      <c r="R46" s="3"/>
      <c r="S46" s="3"/>
      <c r="T46" s="3" t="s">
        <v>40</v>
      </c>
      <c r="U46" s="3" t="s">
        <v>35</v>
      </c>
      <c r="V46" s="4" t="s">
        <v>671</v>
      </c>
      <c r="W46" s="3" t="s">
        <v>36</v>
      </c>
      <c r="X46" s="4" t="s">
        <v>326</v>
      </c>
      <c r="Y46" s="5"/>
      <c r="Z46" s="5"/>
      <c r="AA46" s="5"/>
      <c r="AB46" s="5"/>
      <c r="AC46" s="5"/>
      <c r="AD46" s="4" t="s">
        <v>359</v>
      </c>
      <c r="AE46" s="17" t="s">
        <v>688</v>
      </c>
      <c r="AF46" s="3" t="s">
        <v>673</v>
      </c>
      <c r="AG46" s="5"/>
      <c r="AH46" s="5"/>
      <c r="AI46" s="5"/>
      <c r="AJ46" s="3" t="s">
        <v>77</v>
      </c>
      <c r="AK46" s="18">
        <v>0</v>
      </c>
    </row>
    <row r="47" ht="12" customHeight="1" spans="1:37" x14ac:dyDescent="0.25">
      <c r="A47" s="13" t="s">
        <v>153</v>
      </c>
      <c r="B47" s="13" t="s">
        <v>40</v>
      </c>
      <c r="C47" s="13" t="s">
        <v>665</v>
      </c>
      <c r="D47" s="14" t="s">
        <v>689</v>
      </c>
      <c r="E47" s="15" t="s">
        <v>751</v>
      </c>
      <c r="F47" s="3" t="s">
        <v>154</v>
      </c>
      <c r="G47" s="3" t="s">
        <v>557</v>
      </c>
      <c r="H47" s="16" t="s">
        <v>52</v>
      </c>
      <c r="I47" s="3"/>
      <c r="J47" s="3" t="s">
        <v>676</v>
      </c>
      <c r="K47" s="3" t="s">
        <v>34</v>
      </c>
      <c r="L47" s="16" t="s">
        <v>668</v>
      </c>
      <c r="M47" s="3" t="s">
        <v>154</v>
      </c>
      <c r="N47" s="3" t="s">
        <v>677</v>
      </c>
      <c r="O47" s="16" t="s">
        <v>691</v>
      </c>
      <c r="P47" s="16"/>
      <c r="Q47" s="16"/>
      <c r="R47" s="3"/>
      <c r="S47" s="3"/>
      <c r="T47" s="3" t="s">
        <v>40</v>
      </c>
      <c r="U47" s="3" t="s">
        <v>35</v>
      </c>
      <c r="V47" s="4" t="s">
        <v>671</v>
      </c>
      <c r="W47" s="3" t="s">
        <v>36</v>
      </c>
      <c r="X47" s="4" t="s">
        <v>326</v>
      </c>
      <c r="Y47" s="5"/>
      <c r="Z47" s="5"/>
      <c r="AA47" s="5"/>
      <c r="AB47" s="5"/>
      <c r="AC47" s="5"/>
      <c r="AD47" s="4" t="s">
        <v>362</v>
      </c>
      <c r="AE47" s="17" t="s">
        <v>692</v>
      </c>
      <c r="AF47" s="3" t="s">
        <v>680</v>
      </c>
      <c r="AG47" s="5"/>
      <c r="AH47" s="5"/>
      <c r="AI47" s="5"/>
      <c r="AJ47" s="3" t="s">
        <v>156</v>
      </c>
      <c r="AK47" s="18">
        <v>0</v>
      </c>
    </row>
    <row r="48" ht="12" customHeight="1" spans="1:37" x14ac:dyDescent="0.25">
      <c r="A48" s="13" t="s">
        <v>134</v>
      </c>
      <c r="B48" s="13" t="s">
        <v>40</v>
      </c>
      <c r="C48" s="13" t="s">
        <v>665</v>
      </c>
      <c r="D48" s="14" t="s">
        <v>337</v>
      </c>
      <c r="E48" s="15" t="s">
        <v>752</v>
      </c>
      <c r="F48" s="3" t="s">
        <v>135</v>
      </c>
      <c r="G48" s="3" t="s">
        <v>136</v>
      </c>
      <c r="H48" s="16" t="s">
        <v>52</v>
      </c>
      <c r="I48" s="3"/>
      <c r="J48" s="3" t="s">
        <v>667</v>
      </c>
      <c r="K48" s="3" t="s">
        <v>34</v>
      </c>
      <c r="L48" s="16" t="s">
        <v>668</v>
      </c>
      <c r="M48" s="3" t="s">
        <v>135</v>
      </c>
      <c r="N48" s="3" t="s">
        <v>677</v>
      </c>
      <c r="O48" s="16" t="s">
        <v>691</v>
      </c>
      <c r="P48" s="16"/>
      <c r="Q48" s="16"/>
      <c r="R48" s="3"/>
      <c r="S48" s="3"/>
      <c r="T48" s="3" t="s">
        <v>40</v>
      </c>
      <c r="U48" s="3" t="s">
        <v>35</v>
      </c>
      <c r="V48" s="4" t="s">
        <v>671</v>
      </c>
      <c r="W48" s="3" t="s">
        <v>66</v>
      </c>
      <c r="X48" s="4" t="s">
        <v>529</v>
      </c>
      <c r="Y48" s="5"/>
      <c r="Z48" s="5"/>
      <c r="AA48" s="5"/>
      <c r="AB48" s="5"/>
      <c r="AC48" s="5"/>
      <c r="AD48" s="4" t="s">
        <v>338</v>
      </c>
      <c r="AE48" s="17" t="s">
        <v>708</v>
      </c>
      <c r="AF48" s="3" t="s">
        <v>673</v>
      </c>
      <c r="AG48" s="5"/>
      <c r="AH48" s="5"/>
      <c r="AI48" s="5"/>
      <c r="AJ48" s="3" t="s">
        <v>137</v>
      </c>
      <c r="AK48" s="18">
        <v>0</v>
      </c>
    </row>
    <row r="49" ht="12" customHeight="1" spans="1:37" x14ac:dyDescent="0.25">
      <c r="A49" s="13" t="s">
        <v>167</v>
      </c>
      <c r="B49" s="13" t="s">
        <v>40</v>
      </c>
      <c r="C49" s="13" t="s">
        <v>665</v>
      </c>
      <c r="D49" s="14" t="s">
        <v>689</v>
      </c>
      <c r="E49" s="15" t="s">
        <v>753</v>
      </c>
      <c r="F49" s="3" t="s">
        <v>168</v>
      </c>
      <c r="G49" s="3" t="s">
        <v>505</v>
      </c>
      <c r="H49" s="16" t="s">
        <v>52</v>
      </c>
      <c r="I49" s="3"/>
      <c r="J49" s="3" t="s">
        <v>676</v>
      </c>
      <c r="K49" s="3" t="s">
        <v>34</v>
      </c>
      <c r="L49" s="16" t="s">
        <v>668</v>
      </c>
      <c r="M49" s="3" t="s">
        <v>168</v>
      </c>
      <c r="N49" s="3" t="s">
        <v>677</v>
      </c>
      <c r="O49" s="16" t="s">
        <v>701</v>
      </c>
      <c r="P49" s="16"/>
      <c r="Q49" s="16"/>
      <c r="R49" s="3"/>
      <c r="S49" s="3"/>
      <c r="T49" s="3" t="s">
        <v>40</v>
      </c>
      <c r="U49" s="3" t="s">
        <v>35</v>
      </c>
      <c r="V49" s="4" t="s">
        <v>671</v>
      </c>
      <c r="W49" s="3" t="s">
        <v>36</v>
      </c>
      <c r="X49" s="4" t="s">
        <v>326</v>
      </c>
      <c r="Y49" s="5"/>
      <c r="Z49" s="5"/>
      <c r="AA49" s="5"/>
      <c r="AB49" s="5"/>
      <c r="AC49" s="5"/>
      <c r="AD49" s="4" t="s">
        <v>362</v>
      </c>
      <c r="AE49" s="17" t="s">
        <v>692</v>
      </c>
      <c r="AF49" s="3" t="s">
        <v>680</v>
      </c>
      <c r="AG49" s="5"/>
      <c r="AH49" s="5"/>
      <c r="AI49" s="5"/>
      <c r="AJ49" s="3" t="s">
        <v>170</v>
      </c>
      <c r="AK49" s="18">
        <v>0</v>
      </c>
    </row>
    <row r="50" ht="12" customHeight="1" spans="1:37" x14ac:dyDescent="0.25">
      <c r="A50" s="13" t="s">
        <v>175</v>
      </c>
      <c r="B50" s="13" t="s">
        <v>40</v>
      </c>
      <c r="C50" s="13" t="s">
        <v>665</v>
      </c>
      <c r="D50" s="14" t="s">
        <v>359</v>
      </c>
      <c r="E50" s="15" t="s">
        <v>754</v>
      </c>
      <c r="F50" s="3" t="s">
        <v>74</v>
      </c>
      <c r="G50" s="3" t="s">
        <v>459</v>
      </c>
      <c r="H50" s="16" t="s">
        <v>52</v>
      </c>
      <c r="I50" s="3"/>
      <c r="J50" s="3" t="s">
        <v>667</v>
      </c>
      <c r="K50" s="3" t="s">
        <v>34</v>
      </c>
      <c r="L50" s="16" t="s">
        <v>668</v>
      </c>
      <c r="M50" s="3" t="s">
        <v>74</v>
      </c>
      <c r="N50" s="3" t="s">
        <v>686</v>
      </c>
      <c r="O50" s="16" t="s">
        <v>701</v>
      </c>
      <c r="P50" s="16"/>
      <c r="Q50" s="16"/>
      <c r="R50" s="3"/>
      <c r="S50" s="3"/>
      <c r="T50" s="3" t="s">
        <v>40</v>
      </c>
      <c r="U50" s="3" t="s">
        <v>35</v>
      </c>
      <c r="V50" s="4" t="s">
        <v>671</v>
      </c>
      <c r="W50" s="3" t="s">
        <v>36</v>
      </c>
      <c r="X50" s="4" t="s">
        <v>326</v>
      </c>
      <c r="Y50" s="5"/>
      <c r="Z50" s="5"/>
      <c r="AA50" s="5"/>
      <c r="AB50" s="5"/>
      <c r="AC50" s="5"/>
      <c r="AD50" s="4" t="s">
        <v>359</v>
      </c>
      <c r="AE50" s="17" t="s">
        <v>688</v>
      </c>
      <c r="AF50" s="3" t="s">
        <v>673</v>
      </c>
      <c r="AG50" s="5"/>
      <c r="AH50" s="5"/>
      <c r="AI50" s="5"/>
      <c r="AJ50" s="3" t="s">
        <v>77</v>
      </c>
      <c r="AK50" s="18">
        <v>0</v>
      </c>
    </row>
    <row r="51" ht="12" customHeight="1" spans="1:37" x14ac:dyDescent="0.25">
      <c r="A51" s="13" t="s">
        <v>171</v>
      </c>
      <c r="B51" s="13" t="s">
        <v>40</v>
      </c>
      <c r="C51" s="13" t="s">
        <v>665</v>
      </c>
      <c r="D51" s="14" t="s">
        <v>337</v>
      </c>
      <c r="E51" s="15" t="s">
        <v>755</v>
      </c>
      <c r="F51" s="3" t="s">
        <v>172</v>
      </c>
      <c r="G51" s="3" t="s">
        <v>173</v>
      </c>
      <c r="H51" s="16" t="s">
        <v>52</v>
      </c>
      <c r="I51" s="3"/>
      <c r="J51" s="3" t="s">
        <v>667</v>
      </c>
      <c r="K51" s="3" t="s">
        <v>34</v>
      </c>
      <c r="L51" s="16" t="s">
        <v>668</v>
      </c>
      <c r="M51" s="3" t="s">
        <v>172</v>
      </c>
      <c r="N51" s="3" t="s">
        <v>677</v>
      </c>
      <c r="O51" s="16" t="s">
        <v>670</v>
      </c>
      <c r="P51" s="16"/>
      <c r="Q51" s="16"/>
      <c r="R51" s="3"/>
      <c r="S51" s="3"/>
      <c r="T51" s="3" t="s">
        <v>40</v>
      </c>
      <c r="U51" s="3" t="s">
        <v>35</v>
      </c>
      <c r="V51" s="4" t="s">
        <v>671</v>
      </c>
      <c r="W51" s="3" t="s">
        <v>36</v>
      </c>
      <c r="X51" s="4" t="s">
        <v>326</v>
      </c>
      <c r="Y51" s="5"/>
      <c r="Z51" s="5"/>
      <c r="AA51" s="5"/>
      <c r="AB51" s="5"/>
      <c r="AC51" s="5"/>
      <c r="AD51" s="4" t="s">
        <v>338</v>
      </c>
      <c r="AE51" s="17" t="s">
        <v>708</v>
      </c>
      <c r="AF51" s="3" t="s">
        <v>673</v>
      </c>
      <c r="AG51" s="5"/>
      <c r="AH51" s="5"/>
      <c r="AI51" s="5"/>
      <c r="AJ51" s="3" t="s">
        <v>174</v>
      </c>
      <c r="AK51" s="18">
        <v>0</v>
      </c>
    </row>
    <row r="52" ht="12" customHeight="1" spans="1:37" x14ac:dyDescent="0.25">
      <c r="A52" s="13" t="s">
        <v>111</v>
      </c>
      <c r="B52" s="13" t="s">
        <v>756</v>
      </c>
      <c r="C52" s="13" t="s">
        <v>665</v>
      </c>
      <c r="D52" s="14" t="s">
        <v>338</v>
      </c>
      <c r="E52" s="15" t="s">
        <v>757</v>
      </c>
      <c r="F52" s="3" t="s">
        <v>112</v>
      </c>
      <c r="G52" s="3" t="s">
        <v>550</v>
      </c>
      <c r="H52" s="16" t="s">
        <v>33</v>
      </c>
      <c r="I52" s="3"/>
      <c r="J52" s="3" t="s">
        <v>667</v>
      </c>
      <c r="K52" s="3" t="s">
        <v>34</v>
      </c>
      <c r="L52" s="16" t="s">
        <v>668</v>
      </c>
      <c r="M52" s="3" t="s">
        <v>112</v>
      </c>
      <c r="N52" s="3" t="s">
        <v>758</v>
      </c>
      <c r="O52" s="16" t="s">
        <v>701</v>
      </c>
      <c r="P52" s="16"/>
      <c r="Q52" s="16"/>
      <c r="R52" s="3"/>
      <c r="S52" s="3"/>
      <c r="T52" s="3" t="s">
        <v>40</v>
      </c>
      <c r="U52" s="3" t="s">
        <v>35</v>
      </c>
      <c r="V52" s="4" t="s">
        <v>671</v>
      </c>
      <c r="W52" s="3" t="s">
        <v>36</v>
      </c>
      <c r="X52" s="4" t="s">
        <v>326</v>
      </c>
      <c r="Y52" s="5"/>
      <c r="Z52" s="5"/>
      <c r="AA52" s="5"/>
      <c r="AB52" s="5"/>
      <c r="AC52" s="5"/>
      <c r="AD52" s="4" t="s">
        <v>359</v>
      </c>
      <c r="AE52" s="17" t="s">
        <v>759</v>
      </c>
      <c r="AF52" s="3" t="s">
        <v>673</v>
      </c>
      <c r="AG52" s="5"/>
      <c r="AH52" s="5"/>
      <c r="AI52" s="5"/>
      <c r="AJ52" s="3" t="s">
        <v>114</v>
      </c>
      <c r="AK52" s="18">
        <v>0</v>
      </c>
    </row>
    <row r="53" ht="12" customHeight="1" spans="1:37" x14ac:dyDescent="0.25">
      <c r="A53" s="13" t="s">
        <v>185</v>
      </c>
      <c r="B53" s="13" t="s">
        <v>756</v>
      </c>
      <c r="C53" s="13" t="s">
        <v>665</v>
      </c>
      <c r="D53" s="14" t="s">
        <v>338</v>
      </c>
      <c r="E53" s="15" t="s">
        <v>760</v>
      </c>
      <c r="F53" s="3" t="s">
        <v>112</v>
      </c>
      <c r="G53" s="3" t="s">
        <v>550</v>
      </c>
      <c r="H53" s="16" t="s">
        <v>52</v>
      </c>
      <c r="I53" s="3"/>
      <c r="J53" s="3" t="s">
        <v>667</v>
      </c>
      <c r="K53" s="3" t="s">
        <v>34</v>
      </c>
      <c r="L53" s="16" t="s">
        <v>668</v>
      </c>
      <c r="M53" s="3" t="s">
        <v>112</v>
      </c>
      <c r="N53" s="3" t="s">
        <v>758</v>
      </c>
      <c r="O53" s="16" t="s">
        <v>701</v>
      </c>
      <c r="P53" s="16"/>
      <c r="Q53" s="16"/>
      <c r="R53" s="3"/>
      <c r="S53" s="3"/>
      <c r="T53" s="3" t="s">
        <v>40</v>
      </c>
      <c r="U53" s="3" t="s">
        <v>35</v>
      </c>
      <c r="V53" s="4" t="s">
        <v>671</v>
      </c>
      <c r="W53" s="3" t="s">
        <v>36</v>
      </c>
      <c r="X53" s="4" t="s">
        <v>326</v>
      </c>
      <c r="Y53" s="5"/>
      <c r="Z53" s="5"/>
      <c r="AA53" s="5"/>
      <c r="AB53" s="5"/>
      <c r="AC53" s="5"/>
      <c r="AD53" s="4" t="s">
        <v>359</v>
      </c>
      <c r="AE53" s="17" t="s">
        <v>759</v>
      </c>
      <c r="AF53" s="3" t="s">
        <v>673</v>
      </c>
      <c r="AG53" s="5"/>
      <c r="AH53" s="5"/>
      <c r="AI53" s="5"/>
      <c r="AJ53" s="3" t="s">
        <v>114</v>
      </c>
      <c r="AK53" s="18">
        <v>0</v>
      </c>
    </row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19" customWidth="1"/>
    <col min="2" max="2" width="4.75" style="20" customWidth="1"/>
    <col min="3" max="3" width="5.875" style="19" customWidth="1"/>
    <col min="4" max="4" width="13.125" style="19" customWidth="1"/>
    <col min="5" max="6" width="16.75" style="19" customWidth="1"/>
    <col min="7" max="7" width="7.875" style="21" customWidth="1"/>
    <col min="8" max="10" width="6.625" style="19" customWidth="1"/>
    <col min="11" max="11" width="3.875" style="19" customWidth="1"/>
    <col min="12" max="12" width="4.625" style="19" customWidth="1"/>
    <col min="13" max="13" width="2.625" style="19" customWidth="1"/>
    <col min="14" max="14" width="2.5" style="19" customWidth="1"/>
    <col min="15" max="15" width="4.625" style="19" customWidth="1"/>
    <col min="16" max="16" width="5.375" style="19" customWidth="1"/>
    <col min="17" max="17" width="4.5" style="19" customWidth="1"/>
    <col min="18" max="18" width="3.25" style="19" customWidth="1"/>
    <col min="19" max="19" width="3.375" style="22" customWidth="1"/>
    <col min="20" max="20" width="7.875" style="19" customWidth="1"/>
    <col min="21" max="21" width="6.875" style="19" customWidth="1"/>
    <col min="22" max="22" width="4" style="22" customWidth="1"/>
    <col min="23" max="23" width="7.875" style="19" customWidth="1"/>
    <col min="24" max="26" width="3.875" style="19" customWidth="1"/>
    <col min="27" max="27" width="11.625" style="22" customWidth="1"/>
    <col min="28" max="29" width="4.625" style="22" customWidth="1"/>
    <col min="30" max="30" width="7.75" style="19" customWidth="1"/>
    <col min="31" max="31" width="5.625" style="19" customWidth="1"/>
    <col min="32" max="32" width="4.625" style="19" customWidth="1"/>
    <col min="33" max="33" width="11.625" style="22" customWidth="1"/>
    <col min="34" max="34" width="4.625" style="22" customWidth="1"/>
    <col min="35" max="35" width="10.125" style="22" customWidth="1"/>
    <col min="36" max="36" width="4.25" style="21" customWidth="1"/>
    <col min="37" max="37" width="14.375" style="23" customWidth="1"/>
    <col min="38" max="38" width="7.875" style="21" customWidth="1"/>
    <col min="39" max="39" width="7.125" style="19" customWidth="1"/>
    <col min="40" max="40" width="15.375" style="19" customWidth="1"/>
    <col min="41" max="16384" width="7.125" style="19" customWidth="1"/>
  </cols>
  <sheetData>
    <row r="1" ht="39.95" customHeight="1" spans="1:38" s="24" customFormat="1" x14ac:dyDescent="0.25">
      <c r="A1" s="25" t="s">
        <v>761</v>
      </c>
      <c r="B1" s="26"/>
      <c r="C1" s="27"/>
      <c r="G1" s="27"/>
      <c r="R1" s="28" t="s">
        <v>762</v>
      </c>
      <c r="S1" s="29"/>
      <c r="U1" s="30"/>
      <c r="V1" s="31"/>
      <c r="W1" s="25" t="s">
        <v>763</v>
      </c>
      <c r="X1" s="25"/>
      <c r="Y1" s="30"/>
      <c r="Z1" s="32"/>
      <c r="AA1" s="33">
        <f>SUM(AA3:AA1353)</f>
        <v>43575</v>
      </c>
      <c r="AB1" s="34"/>
      <c r="AC1" s="34"/>
      <c r="AF1" s="32"/>
      <c r="AG1" s="33">
        <f>SUM(AG3:AG1353)</f>
        <v>0</v>
      </c>
      <c r="AH1" s="33">
        <f>SUM(AH3:AH1353)</f>
        <v>0</v>
      </c>
      <c r="AI1" s="33">
        <f>SUM(AI3:AI1353)</f>
        <v>43575</v>
      </c>
      <c r="AK1" s="35"/>
      <c r="AL1" s="27"/>
    </row>
    <row r="2" ht="39.95" customHeight="1" spans="1:41" s="36" customFormat="1" x14ac:dyDescent="0.25">
      <c r="A2" s="37" t="s">
        <v>0</v>
      </c>
      <c r="B2" s="38" t="s">
        <v>764</v>
      </c>
      <c r="C2" s="39" t="s">
        <v>13</v>
      </c>
      <c r="D2" s="40" t="s">
        <v>16</v>
      </c>
      <c r="E2" s="40" t="s">
        <v>22</v>
      </c>
      <c r="F2" s="40" t="s">
        <v>255</v>
      </c>
      <c r="G2" s="41" t="s">
        <v>233</v>
      </c>
      <c r="H2" s="40" t="s">
        <v>243</v>
      </c>
      <c r="I2" s="40" t="s">
        <v>247</v>
      </c>
      <c r="J2" s="42" t="s">
        <v>254</v>
      </c>
      <c r="K2" s="43" t="s">
        <v>4</v>
      </c>
      <c r="L2" s="43" t="s">
        <v>307</v>
      </c>
      <c r="M2" s="40" t="s">
        <v>270</v>
      </c>
      <c r="N2" s="40" t="s">
        <v>272</v>
      </c>
      <c r="O2" s="40" t="s">
        <v>2</v>
      </c>
      <c r="P2" s="40" t="s">
        <v>3</v>
      </c>
      <c r="Q2" s="40" t="s">
        <v>240</v>
      </c>
      <c r="R2" s="44" t="s">
        <v>765</v>
      </c>
      <c r="S2" s="45" t="s">
        <v>766</v>
      </c>
      <c r="T2" s="40" t="s">
        <v>246</v>
      </c>
      <c r="U2" s="46" t="s">
        <v>767</v>
      </c>
      <c r="V2" s="47" t="s">
        <v>768</v>
      </c>
      <c r="W2" s="39" t="s">
        <v>769</v>
      </c>
      <c r="X2" s="46" t="s">
        <v>770</v>
      </c>
      <c r="Y2" s="46" t="s">
        <v>771</v>
      </c>
      <c r="Z2" s="46" t="s">
        <v>772</v>
      </c>
      <c r="AA2" s="48" t="s">
        <v>773</v>
      </c>
      <c r="AB2" s="49" t="s">
        <v>774</v>
      </c>
      <c r="AC2" s="49" t="s">
        <v>775</v>
      </c>
      <c r="AD2" s="44" t="s">
        <v>776</v>
      </c>
      <c r="AE2" s="44" t="s">
        <v>777</v>
      </c>
      <c r="AF2" s="46" t="s">
        <v>778</v>
      </c>
      <c r="AG2" s="48" t="s">
        <v>779</v>
      </c>
      <c r="AH2" s="49" t="s">
        <v>780</v>
      </c>
      <c r="AI2" s="48" t="s">
        <v>781</v>
      </c>
      <c r="AJ2" s="50" t="s">
        <v>20</v>
      </c>
      <c r="AK2" s="40" t="s">
        <v>267</v>
      </c>
      <c r="AL2" s="41" t="s">
        <v>320</v>
      </c>
      <c r="AM2" s="51" t="s">
        <v>782</v>
      </c>
      <c r="AN2" s="52" t="s">
        <v>783</v>
      </c>
      <c r="AO2" s="52" t="s">
        <v>784</v>
      </c>
    </row>
    <row r="3" ht="12.95" customHeight="1" spans="1:41" x14ac:dyDescent="0.25">
      <c r="A3" s="3" t="s">
        <v>51</v>
      </c>
      <c r="B3" s="53" t="str">
        <f>IF(C3=Charge!$M$1,Charge!$J$1,IF(C3=Charge!$M$23,Charge!$J$23,IF(C3=Charge!$M$17,Charge!$J$17,IF(C3=Charge!$N$17,Charge!$J$17,Charge!$J$7))))</f>
        <v>G3</v>
      </c>
      <c r="C3" s="54" t="str">
        <f>VLOOKUP(A3,'1.Loading'!A:R,14,FALSE)</f>
        <v>BKK01</v>
      </c>
      <c r="D3" s="54" t="str">
        <f>VLOOKUP(A3,'1.Loading'!A:R,17,FALSE)</f>
        <v>HASLS22261000154</v>
      </c>
      <c r="E3" s="55" t="str">
        <f>VLOOKUP(D3,'2.Bookinglist'!A:CT,27,FALSE)</f>
        <v>DSV AIR &amp; SEA LTD.</v>
      </c>
      <c r="F3" s="55" t="str">
        <f>VLOOKUP(D3,'2.Bookinglist'!A:CT,28,FALSE)</f>
        <v>CHEVRON (THAILAND) LIMITED</v>
      </c>
      <c r="G3" s="56">
        <f>VLOOKUP(D3,'2.Bookinglist'!A:E,5,FALSE)</f>
        <v>0</v>
      </c>
      <c r="H3" s="54" t="str">
        <f>VLOOKUP(D3,'2.Bookinglist'!A:CT,15,FALSE)</f>
        <v>THBKK</v>
      </c>
      <c r="I3" s="54" t="str">
        <f>VLOOKUP(D3,'2.Bookinglist'!A:CT,19,FALSE)</f>
        <v>HKHKG</v>
      </c>
      <c r="J3" s="54">
        <f>VLOOKUP(D3,'2.Bookinglist'!A:CT,26,FALSE)</f>
        <v>0</v>
      </c>
      <c r="K3" s="54" t="str">
        <f>VLOOKUP(A3,'1.Loading'!A:R,5,FALSE)</f>
        <v>22GP</v>
      </c>
      <c r="L3" s="56" t="str">
        <f>VLOOKUP(D3,'2.Bookinglist'!A:CT,85,FALSE)</f>
        <v>CY/CY</v>
      </c>
      <c r="M3" s="56" t="str">
        <f>IF(VLOOKUP(D3,'2.Bookinglist'!A:CT,43,FALSE)=0,"","DG")</f>
        <v/>
      </c>
      <c r="N3" s="56" t="str">
        <f>IF(RIGHT(K3,2)="RE","RF","")</f>
        <v/>
      </c>
      <c r="O3" s="54" t="str">
        <f>VLOOKUP(A3,'1.Loading'!A:R,3,FALSE)</f>
        <v>SWVG</v>
      </c>
      <c r="P3" s="54" t="str">
        <f>VLOOKUP(A3,'1.Loading'!A:R,4,FALSE)</f>
        <v>2613N</v>
      </c>
      <c r="Q3" s="54" t="str">
        <f>VLOOKUP(D3,'2.Bookinglist'!A:CT,12,FALSE)</f>
        <v>VTS</v>
      </c>
      <c r="R3" s="56" t="str">
        <f>IF(LEFT(K3,2)="22","20'","40'")</f>
        <v>20'</v>
      </c>
      <c r="S3" s="38"/>
      <c r="T3" s="54" t="str">
        <f>VLOOKUP(A3,'1.Loading'!A:R,2,FALSE)</f>
        <v>2026-10-31</v>
      </c>
      <c r="U3" s="57">
        <f>T3-S3</f>
        <v>46326</v>
      </c>
      <c r="V3" s="58"/>
      <c r="W3" s="54" t="str">
        <f>VLOOKUP(A3,'3.GateMove'!A:D,4,FALSE)</f>
        <v>2026-10-20</v>
      </c>
      <c r="X3" s="57">
        <f>((T3-W3)+1)</f>
        <v>12</v>
      </c>
      <c r="Y3" s="59">
        <f>IF(AND(OR(C3="BKK01",C3="BKK04"),L3="CFS/CY"),0,IF(M3="DG",1,IF(LEFT(C3,3)="LCH",7,IF(C3="BKK02",5,3))))</f>
        <v>3</v>
      </c>
      <c r="Z3" s="57">
        <f>IF(IF(AND(AC3="TML",AB3&gt;0),((T3-W3)+1)-AB3,((T3-W3)+1)-Y3)&gt;0,IF(AND(AC3="TML",AB3&gt;0),((T3-W3)+1)-AB3,((T3-W3)+1)-Y3),0)</f>
        <v>9</v>
      </c>
      <c r="AA3" s="48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1670</v>
      </c>
      <c r="AB3" s="53"/>
      <c r="AC3" s="53"/>
      <c r="AD3" s="56">
        <f>IF(M3="DG",3,IF(N3="RF",3,5))+IF(AND(LEFT(C3,3)="BKK",N3="RF",Q3="KTS"),1,0)+IF(Q3="KHS",1,0)</f>
        <v>5</v>
      </c>
      <c r="AE3" s="57">
        <f>(T3-V3)+1</f>
        <v>46327</v>
      </c>
      <c r="AF3" s="57">
        <f>IF(AB3&gt;IF((V3-W3)&gt;0,V3-W3,0),0,IF(AB3&lt;IF((V3-W3)&gt;0,V3-W3,0),IF((V3-W3)&gt;0,V3-W3,0)-AB3,IF((V3-W3)&gt;0,V3-W3,0)))</f>
        <v>0</v>
      </c>
      <c r="AG3" s="48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0"/>
      <c r="AI3" s="60">
        <f>AA3-AH3</f>
        <v>1670</v>
      </c>
      <c r="AJ3" s="61"/>
      <c r="AK3" s="55" t="str">
        <f>VLOOKUP(D3,'2.Bookinglist'!A:CT,40,FALSE)</f>
        <v>Nannaapust Sukporntaweewat</v>
      </c>
      <c r="AL3" s="56" t="str">
        <f>VLOOKUP(D3,'2.Bookinglist'!A:CW,101,FALSE)</f>
        <v>2026-10-28</v>
      </c>
      <c r="AM3" s="56" t="str">
        <f>VLOOKUP(D3,'2.Bookinglist'!A:BK,63,FALSE)</f>
        <v>BKK27</v>
      </c>
      <c r="AN3" s="55" t="str">
        <f>VLOOKUP(D3,'2.Bookinglist'!A:AZ,52,FALSE)</f>
        <v>Pickup : 2026-10-19, Return : 2026-10-21 (EXTEND CLOSING DD.21/10/26 @15.00)</v>
      </c>
      <c r="AO3" s="55" t="str">
        <f>VLOOKUP(D3,'2.Bookinglist'!A:CY,103,FALSE)</f>
        <v>ROLL OVER FROM PREVIOUS VSL CMA 2615N BY ALLOCATION TEAM MS.TARN APPROVED COST IS UNDER HA DD.21/10</v>
      </c>
    </row>
    <row r="4" ht="12.95" customHeight="1" spans="1:41" x14ac:dyDescent="0.25">
      <c r="A4" s="3" t="s">
        <v>143</v>
      </c>
      <c r="B4" s="53" t="str">
        <f>IF(C4=Charge!$M$1,Charge!$J$1,IF(C4=Charge!$M$23,Charge!$J$23,IF(C4=Charge!$M$17,Charge!$J$17,IF(C4=Charge!$N$17,Charge!$J$17,Charge!$J$7))))</f>
        <v>G3</v>
      </c>
      <c r="C4" s="54" t="str">
        <f>VLOOKUP(A4,'1.Loading'!A:R,14,FALSE)</f>
        <v>BKK01</v>
      </c>
      <c r="D4" s="54" t="str">
        <f>VLOOKUP(A4,'1.Loading'!A:R,17,FALSE)</f>
        <v>HASLS22261001568</v>
      </c>
      <c r="E4" s="55" t="str">
        <f>VLOOKUP(D4,'2.Bookinglist'!A:CT,27,FALSE)</f>
        <v>GREATEST FREIGHT CO., LTD.</v>
      </c>
      <c r="F4" s="55" t="str">
        <f>VLOOKUP(D4,'2.Bookinglist'!A:CT,28,FALSE)</f>
        <v>SIAM TIN FOOD PRODUCT CO LTD</v>
      </c>
      <c r="G4" s="56">
        <f>VLOOKUP(D4,'2.Bookinglist'!A:E,5,FALSE)</f>
        <v>0</v>
      </c>
      <c r="H4" s="54" t="str">
        <f>VLOOKUP(D4,'2.Bookinglist'!A:CT,15,FALSE)</f>
        <v>THBKK</v>
      </c>
      <c r="I4" s="54" t="str">
        <f>VLOOKUP(D4,'2.Bookinglist'!A:CT,19,FALSE)</f>
        <v>HKHKG</v>
      </c>
      <c r="J4" s="54">
        <f>VLOOKUP(D4,'2.Bookinglist'!A:CT,26,FALSE)</f>
        <v>0</v>
      </c>
      <c r="K4" s="54" t="str">
        <f>VLOOKUP(A4,'1.Loading'!A:R,5,FALSE)</f>
        <v>22GP</v>
      </c>
      <c r="L4" s="56" t="str">
        <f>VLOOKUP(D4,'2.Bookinglist'!A:CT,85,FALSE)</f>
        <v>CY/CY</v>
      </c>
      <c r="M4" s="56" t="str">
        <f>IF(VLOOKUP(D4,'2.Bookinglist'!A:CT,43,FALSE)=0,"","DG")</f>
        <v/>
      </c>
      <c r="N4" s="56" t="str">
        <f>IF(RIGHT(K4,2)="RE","RF","")</f>
        <v/>
      </c>
      <c r="O4" s="54" t="str">
        <f>VLOOKUP(A4,'1.Loading'!A:R,3,FALSE)</f>
        <v>SWVG</v>
      </c>
      <c r="P4" s="54" t="str">
        <f>VLOOKUP(A4,'1.Loading'!A:R,4,FALSE)</f>
        <v>2613N</v>
      </c>
      <c r="Q4" s="54" t="str">
        <f>VLOOKUP(D4,'2.Bookinglist'!A:CT,12,FALSE)</f>
        <v>VTS</v>
      </c>
      <c r="R4" s="56" t="str">
        <f>IF(LEFT(K4,2)="22","20'","40'")</f>
        <v>20'</v>
      </c>
      <c r="S4" s="38"/>
      <c r="T4" s="54" t="str">
        <f>VLOOKUP(A4,'1.Loading'!A:R,2,FALSE)</f>
        <v>2026-10-31</v>
      </c>
      <c r="U4" s="57">
        <f>T4-S4</f>
        <v>46326</v>
      </c>
      <c r="V4" s="58"/>
      <c r="W4" s="54" t="str">
        <f>VLOOKUP(A4,'3.GateMove'!A:D,4,FALSE)</f>
        <v>2026-10-25</v>
      </c>
      <c r="X4" s="57">
        <f>((T4-W4)+1)</f>
        <v>7</v>
      </c>
      <c r="Y4" s="59">
        <f>IF(AND(OR(C4="BKK01",C4="BKK04"),L4="CFS/CY"),0,IF(M4="DG",1,IF(LEFT(C4,3)="LCH",7,IF(C4="BKK02",5,3))))</f>
        <v>3</v>
      </c>
      <c r="Z4" s="57">
        <f>IF(IF(AND(AC4="TML",AB4&gt;0),((T4-W4)+1)-AB4,((T4-W4)+1)-Y4)&gt;0,IF(AND(AC4="TML",AB4&gt;0),((T4-W4)+1)-AB4,((T4-W4)+1)-Y4),0)</f>
        <v>4</v>
      </c>
      <c r="AA4" s="48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640</v>
      </c>
      <c r="AB4" s="53"/>
      <c r="AC4" s="53"/>
      <c r="AD4" s="56">
        <f>IF(M4="DG",3,IF(N4="RF",3,5))+IF(AND(LEFT(C4,3)="BKK",N4="RF",Q4="KTS"),1,0)+IF(Q4="KHS",1,0)</f>
        <v>5</v>
      </c>
      <c r="AE4" s="57">
        <f>(T4-V4)+1</f>
        <v>46327</v>
      </c>
      <c r="AF4" s="57">
        <f>IF(AB4&gt;IF((V4-W4)&gt;0,V4-W4,0),0,IF(AB4&lt;IF((V4-W4)&gt;0,V4-W4,0),IF((V4-W4)&gt;0,V4-W4,0)-AB4,IF((V4-W4)&gt;0,V4-W4,0)))</f>
        <v>0</v>
      </c>
      <c r="AG4" s="48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0"/>
      <c r="AI4" s="60">
        <f>AA4-AH4</f>
        <v>640</v>
      </c>
      <c r="AJ4" s="61"/>
      <c r="AK4" s="55" t="str">
        <f>VLOOKUP(D4,'2.Bookinglist'!A:CT,40,FALSE)</f>
        <v>Sukunpoj Damrongying</v>
      </c>
      <c r="AL4" s="56" t="str">
        <f>VLOOKUP(D4,'2.Bookinglist'!A:CW,101,FALSE)</f>
        <v>2026-10-28</v>
      </c>
      <c r="AM4" s="56" t="str">
        <f>VLOOKUP(D4,'2.Bookinglist'!A:BK,63,FALSE)</f>
        <v>BKK27</v>
      </c>
      <c r="AN4" s="55" t="str">
        <f>VLOOKUP(D4,'2.Bookinglist'!A:AZ,52,FALSE)</f>
        <v>Pickup : 2026-10-21, Return : 2026-10-27</v>
      </c>
      <c r="AO4" s="55">
        <f>VLOOKUP(D4,'2.Bookinglist'!A:CY,103,FALSE)</f>
        <v>0</v>
      </c>
    </row>
    <row r="5" ht="12.95" customHeight="1" spans="1:41" x14ac:dyDescent="0.25">
      <c r="A5" s="3" t="s">
        <v>65</v>
      </c>
      <c r="B5" s="53" t="str">
        <f>IF(C5=Charge!$M$1,Charge!$J$1,IF(C5=Charge!$M$23,Charge!$J$23,IF(C5=Charge!$M$17,Charge!$J$17,IF(C5=Charge!$N$17,Charge!$J$17,Charge!$J$7))))</f>
        <v>G3</v>
      </c>
      <c r="C5" s="54" t="str">
        <f>VLOOKUP(A5,'1.Loading'!A:R,14,FALSE)</f>
        <v>BKK01</v>
      </c>
      <c r="D5" s="54" t="str">
        <f>VLOOKUP(A5,'1.Loading'!A:R,17,FALSE)</f>
        <v>HASLS22260901135</v>
      </c>
      <c r="E5" s="55" t="str">
        <f>VLOOKUP(D5,'2.Bookinglist'!A:CT,27,FALSE)</f>
        <v>CARGOPORT (THAILAND) LTD.</v>
      </c>
      <c r="F5" s="55" t="str">
        <f>VLOOKUP(D5,'2.Bookinglist'!A:CT,28,FALSE)</f>
        <v>CARGOPORT (THAILAND) LTD.</v>
      </c>
      <c r="G5" s="56">
        <f>VLOOKUP(D5,'2.Bookinglist'!A:E,5,FALSE)</f>
        <v>0</v>
      </c>
      <c r="H5" s="54" t="str">
        <f>VLOOKUP(D5,'2.Bookinglist'!A:CT,15,FALSE)</f>
        <v>THBKK</v>
      </c>
      <c r="I5" s="54" t="str">
        <f>VLOOKUP(D5,'2.Bookinglist'!A:CT,19,FALSE)</f>
        <v>KRPUS</v>
      </c>
      <c r="J5" s="54">
        <f>VLOOKUP(D5,'2.Bookinglist'!A:CT,26,FALSE)</f>
        <v>0</v>
      </c>
      <c r="K5" s="54" t="str">
        <f>VLOOKUP(A5,'1.Loading'!A:R,5,FALSE)</f>
        <v>22GP</v>
      </c>
      <c r="L5" s="56" t="str">
        <f>VLOOKUP(D5,'2.Bookinglist'!A:CT,85,FALSE)</f>
        <v>CY/CY</v>
      </c>
      <c r="M5" s="56" t="str">
        <f>IF(VLOOKUP(D5,'2.Bookinglist'!A:CT,43,FALSE)=0,"","DG")</f>
        <v/>
      </c>
      <c r="N5" s="56" t="str">
        <f>IF(RIGHT(K5,2)="RE","RF","")</f>
        <v/>
      </c>
      <c r="O5" s="54" t="str">
        <f>VLOOKUP(A5,'1.Loading'!A:R,3,FALSE)</f>
        <v>SWVG</v>
      </c>
      <c r="P5" s="54" t="str">
        <f>VLOOKUP(A5,'1.Loading'!A:R,4,FALSE)</f>
        <v>2613N</v>
      </c>
      <c r="Q5" s="54" t="str">
        <f>VLOOKUP(D5,'2.Bookinglist'!A:CT,12,FALSE)</f>
        <v>VTS</v>
      </c>
      <c r="R5" s="56" t="str">
        <f>IF(LEFT(K5,2)="22","20'","40'")</f>
        <v>20'</v>
      </c>
      <c r="S5" s="38"/>
      <c r="T5" s="54" t="str">
        <f>VLOOKUP(A5,'1.Loading'!A:R,2,FALSE)</f>
        <v>2026-10-31</v>
      </c>
      <c r="U5" s="57">
        <f>T5-S5</f>
        <v>46326</v>
      </c>
      <c r="V5" s="58"/>
      <c r="W5" s="54" t="str">
        <f>VLOOKUP(A5,'3.GateMove'!A:D,4,FALSE)</f>
        <v>2026-09-29</v>
      </c>
      <c r="X5" s="57">
        <f>((T5-W5)+1)</f>
        <v>33</v>
      </c>
      <c r="Y5" s="59">
        <f>IF(AND(OR(C5="BKK01",C5="BKK04"),L5="CFS/CY"),0,IF(M5="DG",1,IF(LEFT(C5,3)="LCH",7,IF(C5="BKK02",5,3))))</f>
        <v>3</v>
      </c>
      <c r="Z5" s="57">
        <f>IF(IF(AND(AC5="TML",AB5&gt;0),((T5-W5)+1)-AB5,((T5-W5)+1)-Y5)&gt;0,IF(AND(AC5="TML",AB5&gt;0),((T5-W5)+1)-AB5,((T5-W5)+1)-Y5),0)</f>
        <v>30</v>
      </c>
      <c r="AA5" s="48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9285</v>
      </c>
      <c r="AB5" s="53"/>
      <c r="AC5" s="53"/>
      <c r="AD5" s="56">
        <f>IF(M5="DG",3,IF(N5="RF",3,5))+IF(AND(LEFT(C5,3)="BKK",N5="RF",Q5="KTS"),1,0)+IF(Q5="KHS",1,0)</f>
        <v>5</v>
      </c>
      <c r="AE5" s="57">
        <f>(T5-V5)+1</f>
        <v>46327</v>
      </c>
      <c r="AF5" s="57">
        <f>IF(AB5&gt;IF((V5-W5)&gt;0,V5-W5,0),0,IF(AB5&lt;IF((V5-W5)&gt;0,V5-W5,0),IF((V5-W5)&gt;0,V5-W5,0)-AB5,IF((V5-W5)&gt;0,V5-W5,0)))</f>
        <v>0</v>
      </c>
      <c r="AG5" s="48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0"/>
      <c r="AI5" s="60">
        <f>AA5-AH5</f>
        <v>9285</v>
      </c>
      <c r="AJ5" s="61"/>
      <c r="AK5" s="55" t="str">
        <f>VLOOKUP(D5,'2.Bookinglist'!A:CT,40,FALSE)</f>
        <v>Papavadee Chiengchin</v>
      </c>
      <c r="AL5" s="56" t="str">
        <f>VLOOKUP(D5,'2.Bookinglist'!A:CW,101,FALSE)</f>
        <v>2026-10-28</v>
      </c>
      <c r="AM5" s="56" t="str">
        <f>VLOOKUP(D5,'2.Bookinglist'!A:BK,63,FALSE)</f>
        <v>BKK01</v>
      </c>
      <c r="AN5" s="55" t="str">
        <f>VLOOKUP(D5,'2.Bookinglist'!A:AZ,52,FALSE)</f>
        <v>CY-RTN :26-27/10/20206 (CONSOL)
</v>
      </c>
      <c r="AO5" s="55">
        <f>VLOOKUP(D5,'2.Bookinglist'!A:CY,103,FALSE)</f>
        <v>0</v>
      </c>
    </row>
    <row r="6" ht="12.95" customHeight="1" spans="1:41" x14ac:dyDescent="0.25">
      <c r="A6" s="3" t="s">
        <v>73</v>
      </c>
      <c r="B6" s="53" t="str">
        <f>IF(C6=Charge!$M$1,Charge!$J$1,IF(C6=Charge!$M$23,Charge!$J$23,IF(C6=Charge!$M$17,Charge!$J$17,IF(C6=Charge!$N$17,Charge!$J$17,Charge!$J$7))))</f>
        <v>G3</v>
      </c>
      <c r="C6" s="54" t="str">
        <f>VLOOKUP(A6,'1.Loading'!A:R,14,FALSE)</f>
        <v>BKK01</v>
      </c>
      <c r="D6" s="54" t="str">
        <f>VLOOKUP(A6,'1.Loading'!A:R,17,FALSE)</f>
        <v>HASLS22261000900</v>
      </c>
      <c r="E6" s="55" t="str">
        <f>VLOOKUP(D6,'2.Bookinglist'!A:CT,27,FALSE)</f>
        <v>SINSIMON ENTERPRISE CO., LTD.</v>
      </c>
      <c r="F6" s="55" t="str">
        <f>VLOOKUP(D6,'2.Bookinglist'!A:CT,28,FALSE)</f>
        <v>CHAITIP CO., LTD.</v>
      </c>
      <c r="G6" s="56">
        <f>VLOOKUP(D6,'2.Bookinglist'!A:E,5,FALSE)</f>
        <v>0</v>
      </c>
      <c r="H6" s="54" t="str">
        <f>VLOOKUP(D6,'2.Bookinglist'!A:CT,15,FALSE)</f>
        <v>THBKK</v>
      </c>
      <c r="I6" s="54" t="str">
        <f>VLOOKUP(D6,'2.Bookinglist'!A:CT,19,FALSE)</f>
        <v>HKHKG</v>
      </c>
      <c r="J6" s="54">
        <f>VLOOKUP(D6,'2.Bookinglist'!A:CT,26,FALSE)</f>
        <v>0</v>
      </c>
      <c r="K6" s="54" t="str">
        <f>VLOOKUP(A6,'1.Loading'!A:R,5,FALSE)</f>
        <v>22GP</v>
      </c>
      <c r="L6" s="56" t="str">
        <f>VLOOKUP(D6,'2.Bookinglist'!A:CT,85,FALSE)</f>
        <v>CY/CY</v>
      </c>
      <c r="M6" s="56" t="str">
        <f>IF(VLOOKUP(D6,'2.Bookinglist'!A:CT,43,FALSE)=0,"","DG")</f>
        <v/>
      </c>
      <c r="N6" s="56" t="str">
        <f>IF(RIGHT(K6,2)="RE","RF","")</f>
        <v/>
      </c>
      <c r="O6" s="54" t="str">
        <f>VLOOKUP(A6,'1.Loading'!A:R,3,FALSE)</f>
        <v>SWVG</v>
      </c>
      <c r="P6" s="54" t="str">
        <f>VLOOKUP(A6,'1.Loading'!A:R,4,FALSE)</f>
        <v>2613N</v>
      </c>
      <c r="Q6" s="54" t="str">
        <f>VLOOKUP(D6,'2.Bookinglist'!A:CT,12,FALSE)</f>
        <v>VTS</v>
      </c>
      <c r="R6" s="56" t="str">
        <f>IF(LEFT(K6,2)="22","20'","40'")</f>
        <v>20'</v>
      </c>
      <c r="S6" s="38"/>
      <c r="T6" s="54" t="str">
        <f>VLOOKUP(A6,'1.Loading'!A:R,2,FALSE)</f>
        <v>2026-10-31</v>
      </c>
      <c r="U6" s="57">
        <f>T6-S6</f>
        <v>46326</v>
      </c>
      <c r="V6" s="58"/>
      <c r="W6" s="54" t="str">
        <f>VLOOKUP(A6,'3.GateMove'!A:D,4,FALSE)</f>
        <v>2026-10-27</v>
      </c>
      <c r="X6" s="57">
        <f>((T6-W6)+1)</f>
        <v>5</v>
      </c>
      <c r="Y6" s="59">
        <f>IF(AND(OR(C6="BKK01",C6="BKK04"),L6="CFS/CY"),0,IF(M6="DG",1,IF(LEFT(C6,3)="LCH",7,IF(C6="BKK02",5,3))))</f>
        <v>3</v>
      </c>
      <c r="Z6" s="57">
        <f>IF(IF(AND(AC6="TML",AB6&gt;0),((T6-W6)+1)-AB6,((T6-W6)+1)-Y6)&gt;0,IF(AND(AC6="TML",AB6&gt;0),((T6-W6)+1)-AB6,((T6-W6)+1)-Y6),0)</f>
        <v>2</v>
      </c>
      <c r="AA6" s="48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320</v>
      </c>
      <c r="AB6" s="53"/>
      <c r="AC6" s="53"/>
      <c r="AD6" s="56">
        <f>IF(M6="DG",3,IF(N6="RF",3,5))+IF(AND(LEFT(C6,3)="BKK",N6="RF",Q6="KTS"),1,0)+IF(Q6="KHS",1,0)</f>
        <v>5</v>
      </c>
      <c r="AE6" s="57">
        <f>(T6-V6)+1</f>
        <v>46327</v>
      </c>
      <c r="AF6" s="57">
        <f>IF(AB6&gt;IF((V6-W6)&gt;0,V6-W6,0),0,IF(AB6&lt;IF((V6-W6)&gt;0,V6-W6,0),IF((V6-W6)&gt;0,V6-W6,0)-AB6,IF((V6-W6)&gt;0,V6-W6,0)))</f>
        <v>0</v>
      </c>
      <c r="AG6" s="48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0"/>
      <c r="AI6" s="60">
        <f>AA6-AH6</f>
        <v>320</v>
      </c>
      <c r="AJ6" s="61"/>
      <c r="AK6" s="55" t="str">
        <f>VLOOKUP(D6,'2.Bookinglist'!A:CT,40,FALSE)</f>
        <v>Dharaporn</v>
      </c>
      <c r="AL6" s="56" t="str">
        <f>VLOOKUP(D6,'2.Bookinglist'!A:CW,101,FALSE)</f>
        <v>2026-10-28</v>
      </c>
      <c r="AM6" s="56" t="str">
        <f>VLOOKUP(D6,'2.Bookinglist'!A:BK,63,FALSE)</f>
        <v>BKK25</v>
      </c>
      <c r="AN6" s="55" t="str">
        <f>VLOOKUP(D6,'2.Bookinglist'!A:AZ,52,FALSE)</f>
        <v>Pickup : 2026-10-26, Return : 2026-10-27 EXTEND CLS TIME DD.28/11.00HRS</v>
      </c>
      <c r="AO6" s="55">
        <f>VLOOKUP(D6,'2.Bookinglist'!A:CY,103,FALSE)</f>
        <v>0</v>
      </c>
    </row>
    <row r="7" ht="12.95" customHeight="1" spans="1:41" x14ac:dyDescent="0.25">
      <c r="A7" s="3" t="s">
        <v>190</v>
      </c>
      <c r="B7" s="53" t="str">
        <f>IF(C7=Charge!$M$1,Charge!$J$1,IF(C7=Charge!$M$23,Charge!$J$23,IF(C7=Charge!$M$17,Charge!$J$17,IF(C7=Charge!$N$17,Charge!$J$17,Charge!$J$7))))</f>
        <v>G3</v>
      </c>
      <c r="C7" s="54" t="str">
        <f>VLOOKUP(A7,'1.Loading'!A:R,14,FALSE)</f>
        <v>BKK01</v>
      </c>
      <c r="D7" s="54" t="str">
        <f>VLOOKUP(A7,'1.Loading'!A:R,17,FALSE)</f>
        <v>HASLS22261000072</v>
      </c>
      <c r="E7" s="55" t="str">
        <f>VLOOKUP(D7,'2.Bookinglist'!A:CT,27,FALSE)</f>
        <v>SONIC INTERFREIGHT PUBLIC COMPANY LIMITED</v>
      </c>
      <c r="F7" s="55" t="str">
        <f>VLOOKUP(D7,'2.Bookinglist'!A:CT,28,FALSE)</f>
        <v>THAI OTSUKA PHARMACEUTICAL CO., LTD.</v>
      </c>
      <c r="G7" s="56">
        <f>VLOOKUP(D7,'2.Bookinglist'!A:E,5,FALSE)</f>
        <v>0</v>
      </c>
      <c r="H7" s="54" t="str">
        <f>VLOOKUP(D7,'2.Bookinglist'!A:CT,15,FALSE)</f>
        <v>THBKK</v>
      </c>
      <c r="I7" s="54" t="str">
        <f>VLOOKUP(D7,'2.Bookinglist'!A:CT,19,FALSE)</f>
        <v>HKHKG</v>
      </c>
      <c r="J7" s="54">
        <f>VLOOKUP(D7,'2.Bookinglist'!A:CT,26,FALSE)</f>
        <v>0</v>
      </c>
      <c r="K7" s="54" t="str">
        <f>VLOOKUP(A7,'1.Loading'!A:R,5,FALSE)</f>
        <v>22GP</v>
      </c>
      <c r="L7" s="56" t="str">
        <f>VLOOKUP(D7,'2.Bookinglist'!A:CT,85,FALSE)</f>
        <v>CY/CY</v>
      </c>
      <c r="M7" s="56" t="str">
        <f>IF(VLOOKUP(D7,'2.Bookinglist'!A:CT,43,FALSE)=0,"","DG")</f>
        <v/>
      </c>
      <c r="N7" s="56" t="str">
        <f>IF(RIGHT(K7,2)="RE","RF","")</f>
        <v/>
      </c>
      <c r="O7" s="54" t="str">
        <f>VLOOKUP(A7,'1.Loading'!A:R,3,FALSE)</f>
        <v>SWVG</v>
      </c>
      <c r="P7" s="54" t="str">
        <f>VLOOKUP(A7,'1.Loading'!A:R,4,FALSE)</f>
        <v>2613N</v>
      </c>
      <c r="Q7" s="54" t="str">
        <f>VLOOKUP(D7,'2.Bookinglist'!A:CT,12,FALSE)</f>
        <v>VTS</v>
      </c>
      <c r="R7" s="56" t="str">
        <f>IF(LEFT(K7,2)="22","20'","40'")</f>
        <v>20'</v>
      </c>
      <c r="S7" s="38"/>
      <c r="T7" s="54" t="str">
        <f>VLOOKUP(A7,'1.Loading'!A:R,2,FALSE)</f>
        <v>2026-10-31</v>
      </c>
      <c r="U7" s="57">
        <f>T7-S7</f>
        <v>46326</v>
      </c>
      <c r="V7" s="58"/>
      <c r="W7" s="54" t="str">
        <f>VLOOKUP(A7,'3.GateMove'!A:D,4,FALSE)</f>
        <v>2026-10-23</v>
      </c>
      <c r="X7" s="57">
        <f>((T7-W7)+1)</f>
        <v>9</v>
      </c>
      <c r="Y7" s="59">
        <f>IF(AND(OR(C7="BKK01",C7="BKK04"),L7="CFS/CY"),0,IF(M7="DG",1,IF(LEFT(C7,3)="LCH",7,IF(C7="BKK02",5,3))))</f>
        <v>3</v>
      </c>
      <c r="Z7" s="57">
        <f>IF(IF(AND(AC7="TML",AB7&gt;0),((T7-W7)+1)-AB7,((T7-W7)+1)-Y7)&gt;0,IF(AND(AC7="TML",AB7&gt;0),((T7-W7)+1)-AB7,((T7-W7)+1)-Y7),0)</f>
        <v>6</v>
      </c>
      <c r="AA7" s="48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960</v>
      </c>
      <c r="AB7" s="53"/>
      <c r="AC7" s="53"/>
      <c r="AD7" s="56">
        <f>IF(M7="DG",3,IF(N7="RF",3,5))+IF(AND(LEFT(C7,3)="BKK",N7="RF",Q7="KTS"),1,0)+IF(Q7="KHS",1,0)</f>
        <v>5</v>
      </c>
      <c r="AE7" s="57">
        <f>(T7-V7)+1</f>
        <v>46327</v>
      </c>
      <c r="AF7" s="57">
        <f>IF(AB7&gt;IF((V7-W7)&gt;0,V7-W7,0),0,IF(AB7&lt;IF((V7-W7)&gt;0,V7-W7,0),IF((V7-W7)&gt;0,V7-W7,0)-AB7,IF((V7-W7)&gt;0,V7-W7,0)))</f>
        <v>0</v>
      </c>
      <c r="AG7" s="48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0"/>
      <c r="AI7" s="60">
        <f>AA7-AH7</f>
        <v>960</v>
      </c>
      <c r="AJ7" s="61"/>
      <c r="AK7" s="55" t="str">
        <f>VLOOKUP(D7,'2.Bookinglist'!A:CT,40,FALSE)</f>
        <v>Dharaporn</v>
      </c>
      <c r="AL7" s="56" t="str">
        <f>VLOOKUP(D7,'2.Bookinglist'!A:CW,101,FALSE)</f>
        <v>2026-10-28</v>
      </c>
      <c r="AM7" s="56" t="str">
        <f>VLOOKUP(D7,'2.Bookinglist'!A:BK,63,FALSE)</f>
        <v>BKK27</v>
      </c>
      <c r="AN7" s="55" t="str">
        <f>VLOOKUP(D7,'2.Bookinglist'!A:AZ,52,FALSE)</f>
        <v>Pickup : 2026-10-22, Return : 2026-10-24</v>
      </c>
      <c r="AO7" s="55">
        <f>VLOOKUP(D7,'2.Bookinglist'!A:CY,103,FALSE)</f>
        <v>0</v>
      </c>
    </row>
    <row r="8" ht="12.95" customHeight="1" spans="1:41" x14ac:dyDescent="0.25">
      <c r="A8" s="3" t="s">
        <v>186</v>
      </c>
      <c r="B8" s="53" t="str">
        <f>IF(C8=Charge!$M$1,Charge!$J$1,IF(C8=Charge!$M$23,Charge!$J$23,IF(C8=Charge!$M$17,Charge!$J$17,IF(C8=Charge!$N$17,Charge!$J$17,Charge!$J$7))))</f>
        <v>G3</v>
      </c>
      <c r="C8" s="54" t="str">
        <f>VLOOKUP(A8,'1.Loading'!A:R,14,FALSE)</f>
        <v>BKK01</v>
      </c>
      <c r="D8" s="54" t="str">
        <f>VLOOKUP(A8,'1.Loading'!A:R,17,FALSE)</f>
        <v>HASLS22261001097</v>
      </c>
      <c r="E8" s="55" t="str">
        <f>VLOOKUP(D8,'2.Bookinglist'!A:CT,27,FALSE)</f>
        <v>YUSEN LOGISTICS (THAILAND) CO., LTD.</v>
      </c>
      <c r="F8" s="55" t="str">
        <f>VLOOKUP(D8,'2.Bookinglist'!A:CT,28,FALSE)</f>
        <v>PANASONIC MANUFACTURING (THAILAND) CO.,LTD.</v>
      </c>
      <c r="G8" s="56">
        <f>VLOOKUP(D8,'2.Bookinglist'!A:E,5,FALSE)</f>
        <v>0</v>
      </c>
      <c r="H8" s="54" t="str">
        <f>VLOOKUP(D8,'2.Bookinglist'!A:CT,15,FALSE)</f>
        <v>THBKK</v>
      </c>
      <c r="I8" s="54" t="str">
        <f>VLOOKUP(D8,'2.Bookinglist'!A:CT,19,FALSE)</f>
        <v>HKHKG</v>
      </c>
      <c r="J8" s="54">
        <f>VLOOKUP(D8,'2.Bookinglist'!A:CT,26,FALSE)</f>
        <v>0</v>
      </c>
      <c r="K8" s="54" t="str">
        <f>VLOOKUP(A8,'1.Loading'!A:R,5,FALSE)</f>
        <v>22GP</v>
      </c>
      <c r="L8" s="56" t="str">
        <f>VLOOKUP(D8,'2.Bookinglist'!A:CT,85,FALSE)</f>
        <v>CFS/CY</v>
      </c>
      <c r="M8" s="56" t="str">
        <f>IF(VLOOKUP(D8,'2.Bookinglist'!A:CT,43,FALSE)=0,"","DG")</f>
        <v/>
      </c>
      <c r="N8" s="56" t="str">
        <f>IF(RIGHT(K8,2)="RE","RF","")</f>
        <v/>
      </c>
      <c r="O8" s="54" t="str">
        <f>VLOOKUP(A8,'1.Loading'!A:R,3,FALSE)</f>
        <v>SWVG</v>
      </c>
      <c r="P8" s="54" t="str">
        <f>VLOOKUP(A8,'1.Loading'!A:R,4,FALSE)</f>
        <v>2613N</v>
      </c>
      <c r="Q8" s="54" t="str">
        <f>VLOOKUP(D8,'2.Bookinglist'!A:CT,12,FALSE)</f>
        <v>VTS</v>
      </c>
      <c r="R8" s="56" t="str">
        <f>IF(LEFT(K8,2)="22","20'","40'")</f>
        <v>20'</v>
      </c>
      <c r="S8" s="38"/>
      <c r="T8" s="54" t="str">
        <f>VLOOKUP(A8,'1.Loading'!A:R,2,FALSE)</f>
        <v>2026-10-31</v>
      </c>
      <c r="U8" s="57">
        <f>T8-S8</f>
        <v>46326</v>
      </c>
      <c r="V8" s="58"/>
      <c r="W8" s="54" t="str">
        <f>VLOOKUP(A8,'3.GateMove'!A:D,4,FALSE)</f>
        <v>2026-10-26</v>
      </c>
      <c r="X8" s="57">
        <f>((T8-W8)+1)</f>
        <v>6</v>
      </c>
      <c r="Y8" s="59">
        <f>IF(AND(OR(C8="BKK01",C8="BKK04"),L8="CFS/CY"),0,IF(M8="DG",1,IF(LEFT(C8,3)="LCH",7,IF(C8="BKK02",5,3))))</f>
        <v>0</v>
      </c>
      <c r="Z8" s="57">
        <f>IF(IF(AND(AC8="TML",AB8&gt;0),((T8-W8)+1)-AB8,((T8-W8)+1)-Y8)&gt;0,IF(AND(AC8="TML",AB8&gt;0),((T8-W8)+1)-AB8,((T8-W8)+1)-Y8),0)</f>
        <v>6</v>
      </c>
      <c r="AA8" s="48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960</v>
      </c>
      <c r="AB8" s="53"/>
      <c r="AC8" s="53"/>
      <c r="AD8" s="56">
        <f>IF(M8="DG",3,IF(N8="RF",3,5))+IF(AND(LEFT(C8,3)="BKK",N8="RF",Q8="KTS"),1,0)+IF(Q8="KHS",1,0)</f>
        <v>5</v>
      </c>
      <c r="AE8" s="57">
        <f>(T8-V8)+1</f>
        <v>46327</v>
      </c>
      <c r="AF8" s="57">
        <f>IF(AB8&gt;IF((V8-W8)&gt;0,V8-W8,0),0,IF(AB8&lt;IF((V8-W8)&gt;0,V8-W8,0),IF((V8-W8)&gt;0,V8-W8,0)-AB8,IF((V8-W8)&gt;0,V8-W8,0)))</f>
        <v>0</v>
      </c>
      <c r="AG8" s="48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0"/>
      <c r="AI8" s="60">
        <f>AA8-AH8</f>
        <v>960</v>
      </c>
      <c r="AJ8" s="61"/>
      <c r="AK8" s="55" t="str">
        <f>VLOOKUP(D8,'2.Bookinglist'!A:CT,40,FALSE)</f>
        <v>Vilaiporn</v>
      </c>
      <c r="AL8" s="56" t="str">
        <f>VLOOKUP(D8,'2.Bookinglist'!A:CW,101,FALSE)</f>
        <v>2026-10-28</v>
      </c>
      <c r="AM8" s="56" t="str">
        <f>VLOOKUP(D8,'2.Bookinglist'!A:BK,63,FALSE)</f>
        <v>BKK01</v>
      </c>
      <c r="AN8" s="55" t="str">
        <f>VLOOKUP(D8,'2.Bookinglist'!A:AZ,52,FALSE)</f>
        <v>STUFFING DD.26/10/2026  @ PAT (SPORTLIGHT TOWER NO.2)
CLS TIME DD.27/10/2026 @ 17.00Hrs. **1ST CFS DD.26/10/2026**</v>
      </c>
      <c r="AO8" s="55">
        <f>VLOOKUP(D8,'2.Bookinglist'!A:CY,103,FALSE)</f>
        <v>0</v>
      </c>
    </row>
    <row r="9" ht="12.95" customHeight="1" spans="1:41" x14ac:dyDescent="0.25">
      <c r="A9" s="3" t="s">
        <v>193</v>
      </c>
      <c r="B9" s="53" t="str">
        <f>IF(C9=Charge!$M$1,Charge!$J$1,IF(C9=Charge!$M$23,Charge!$J$23,IF(C9=Charge!$M$17,Charge!$J$17,IF(C9=Charge!$N$17,Charge!$J$17,Charge!$J$7))))</f>
        <v>G3</v>
      </c>
      <c r="C9" s="54" t="str">
        <f>VLOOKUP(A9,'1.Loading'!A:R,14,FALSE)</f>
        <v>BKK01</v>
      </c>
      <c r="D9" s="54" t="str">
        <f>VLOOKUP(A9,'1.Loading'!A:R,17,FALSE)</f>
        <v>HASLS22260902619</v>
      </c>
      <c r="E9" s="55" t="str">
        <f>VLOOKUP(D9,'2.Bookinglist'!A:CT,27,FALSE)</f>
        <v>MARCH LOGISTICS CO., LTD.</v>
      </c>
      <c r="F9" s="55" t="str">
        <f>VLOOKUP(D9,'2.Bookinglist'!A:CT,28,FALSE)</f>
        <v>STARPRO SANWA AYUTTHAYA MODIFIED STARCH CO., LTD.</v>
      </c>
      <c r="G9" s="56">
        <f>VLOOKUP(D9,'2.Bookinglist'!A:E,5,FALSE)</f>
        <v>0</v>
      </c>
      <c r="H9" s="54" t="str">
        <f>VLOOKUP(D9,'2.Bookinglist'!A:CT,15,FALSE)</f>
        <v>THBKK</v>
      </c>
      <c r="I9" s="54" t="str">
        <f>VLOOKUP(D9,'2.Bookinglist'!A:CT,19,FALSE)</f>
        <v>CNXMN</v>
      </c>
      <c r="J9" s="54">
        <f>VLOOKUP(D9,'2.Bookinglist'!A:CT,26,FALSE)</f>
        <v>0</v>
      </c>
      <c r="K9" s="54" t="str">
        <f>VLOOKUP(A9,'1.Loading'!A:R,5,FALSE)</f>
        <v>22GP</v>
      </c>
      <c r="L9" s="56" t="str">
        <f>VLOOKUP(D9,'2.Bookinglist'!A:CT,85,FALSE)</f>
        <v>CY/CY</v>
      </c>
      <c r="M9" s="56" t="str">
        <f>IF(VLOOKUP(D9,'2.Bookinglist'!A:CT,43,FALSE)=0,"","DG")</f>
        <v/>
      </c>
      <c r="N9" s="56" t="str">
        <f>IF(RIGHT(K9,2)="RE","RF","")</f>
        <v/>
      </c>
      <c r="O9" s="54" t="str">
        <f>VLOOKUP(A9,'1.Loading'!A:R,3,FALSE)</f>
        <v>SWVG</v>
      </c>
      <c r="P9" s="54" t="str">
        <f>VLOOKUP(A9,'1.Loading'!A:R,4,FALSE)</f>
        <v>2613N</v>
      </c>
      <c r="Q9" s="54" t="str">
        <f>VLOOKUP(D9,'2.Bookinglist'!A:CT,12,FALSE)</f>
        <v>VTS</v>
      </c>
      <c r="R9" s="56" t="str">
        <f>IF(LEFT(K9,2)="22","20'","40'")</f>
        <v>20'</v>
      </c>
      <c r="S9" s="38"/>
      <c r="T9" s="54" t="str">
        <f>VLOOKUP(A9,'1.Loading'!A:R,2,FALSE)</f>
        <v>2026-10-31</v>
      </c>
      <c r="U9" s="57">
        <f>T9-S9</f>
        <v>46326</v>
      </c>
      <c r="V9" s="58"/>
      <c r="W9" s="54" t="str">
        <f>VLOOKUP(A9,'3.GateMove'!A:D,4,FALSE)</f>
        <v>2026-10-26</v>
      </c>
      <c r="X9" s="57">
        <f>((T9-W9)+1)</f>
        <v>6</v>
      </c>
      <c r="Y9" s="59">
        <f>IF(AND(OR(C9="BKK01",C9="BKK04"),L9="CFS/CY"),0,IF(M9="DG",1,IF(LEFT(C9,3)="LCH",7,IF(C9="BKK02",5,3))))</f>
        <v>3</v>
      </c>
      <c r="Z9" s="57">
        <f>IF(IF(AND(AC9="TML",AB9&gt;0),((T9-W9)+1)-AB9,((T9-W9)+1)-Y9)&gt;0,IF(AND(AC9="TML",AB9&gt;0),((T9-W9)+1)-AB9,((T9-W9)+1)-Y9),0)</f>
        <v>3</v>
      </c>
      <c r="AA9" s="48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480</v>
      </c>
      <c r="AB9" s="53"/>
      <c r="AC9" s="53"/>
      <c r="AD9" s="56">
        <f>IF(M9="DG",3,IF(N9="RF",3,5))+IF(AND(LEFT(C9,3)="BKK",N9="RF",Q9="KTS"),1,0)+IF(Q9="KHS",1,0)</f>
        <v>5</v>
      </c>
      <c r="AE9" s="57">
        <f>(T9-V9)+1</f>
        <v>46327</v>
      </c>
      <c r="AF9" s="57">
        <f>IF(AB9&gt;IF((V9-W9)&gt;0,V9-W9,0),0,IF(AB9&lt;IF((V9-W9)&gt;0,V9-W9,0),IF((V9-W9)&gt;0,V9-W9,0)-AB9,IF((V9-W9)&gt;0,V9-W9,0)))</f>
        <v>0</v>
      </c>
      <c r="AG9" s="48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0"/>
      <c r="AI9" s="60">
        <f>AA9-AH9</f>
        <v>480</v>
      </c>
      <c r="AJ9" s="61"/>
      <c r="AK9" s="55" t="str">
        <f>VLOOKUP(D9,'2.Bookinglist'!A:CT,40,FALSE)</f>
        <v>Pattarapong Saengthong</v>
      </c>
      <c r="AL9" s="56" t="str">
        <f>VLOOKUP(D9,'2.Bookinglist'!A:CW,101,FALSE)</f>
        <v>2026-10-28</v>
      </c>
      <c r="AM9" s="56" t="str">
        <f>VLOOKUP(D9,'2.Bookinglist'!A:BK,63,FALSE)</f>
        <v>BKK27</v>
      </c>
      <c r="AN9" s="55" t="str">
        <f>VLOOKUP(D9,'2.Bookinglist'!A:AZ,52,FALSE)</f>
        <v>Pickup : 2026-10-24, Return : 2026-10-26 </v>
      </c>
      <c r="AO9" s="55">
        <f>VLOOKUP(D9,'2.Bookinglist'!A:CY,103,FALSE)</f>
        <v>0</v>
      </c>
    </row>
    <row r="10" ht="12.95" customHeight="1" spans="1:41" x14ac:dyDescent="0.25">
      <c r="A10" s="3" t="s">
        <v>217</v>
      </c>
      <c r="B10" s="53" t="str">
        <f>IF(C10=Charge!$M$1,Charge!$J$1,IF(C10=Charge!$M$23,Charge!$J$23,IF(C10=Charge!$M$17,Charge!$J$17,IF(C10=Charge!$N$17,Charge!$J$17,Charge!$J$7))))</f>
        <v>G3</v>
      </c>
      <c r="C10" s="54" t="str">
        <f>VLOOKUP(A10,'1.Loading'!A:R,14,FALSE)</f>
        <v>BKK01</v>
      </c>
      <c r="D10" s="54" t="str">
        <f>VLOOKUP(A10,'1.Loading'!A:R,17,FALSE)</f>
        <v>HASLS22261000075</v>
      </c>
      <c r="E10" s="55" t="str">
        <f>VLOOKUP(D10,'2.Bookinglist'!A:CT,27,FALSE)</f>
        <v>SONIC INTERFREIGHT PUBLIC COMPANY LIMITED</v>
      </c>
      <c r="F10" s="55" t="str">
        <f>VLOOKUP(D10,'2.Bookinglist'!A:CT,28,FALSE)</f>
        <v>THAI OTSUKA PHARMACEUTICAL CO., LTD.</v>
      </c>
      <c r="G10" s="56">
        <f>VLOOKUP(D10,'2.Bookinglist'!A:E,5,FALSE)</f>
        <v>0</v>
      </c>
      <c r="H10" s="54" t="str">
        <f>VLOOKUP(D10,'2.Bookinglist'!A:CT,15,FALSE)</f>
        <v>THBKK</v>
      </c>
      <c r="I10" s="54" t="str">
        <f>VLOOKUP(D10,'2.Bookinglist'!A:CT,19,FALSE)</f>
        <v>HKHKG</v>
      </c>
      <c r="J10" s="54">
        <f>VLOOKUP(D10,'2.Bookinglist'!A:CT,26,FALSE)</f>
        <v>0</v>
      </c>
      <c r="K10" s="54" t="str">
        <f>VLOOKUP(A10,'1.Loading'!A:R,5,FALSE)</f>
        <v>22GP</v>
      </c>
      <c r="L10" s="56" t="str">
        <f>VLOOKUP(D10,'2.Bookinglist'!A:CT,85,FALSE)</f>
        <v>CY/CY</v>
      </c>
      <c r="M10" s="56" t="str">
        <f>IF(VLOOKUP(D10,'2.Bookinglist'!A:CT,43,FALSE)=0,"","DG")</f>
        <v/>
      </c>
      <c r="N10" s="56" t="str">
        <f>IF(RIGHT(K10,2)="RE","RF","")</f>
        <v/>
      </c>
      <c r="O10" s="54" t="str">
        <f>VLOOKUP(A10,'1.Loading'!A:R,3,FALSE)</f>
        <v>SWVG</v>
      </c>
      <c r="P10" s="54" t="str">
        <f>VLOOKUP(A10,'1.Loading'!A:R,4,FALSE)</f>
        <v>2613N</v>
      </c>
      <c r="Q10" s="54" t="str">
        <f>VLOOKUP(D10,'2.Bookinglist'!A:CT,12,FALSE)</f>
        <v>VTS</v>
      </c>
      <c r="R10" s="56" t="str">
        <f>IF(LEFT(K10,2)="22","20'","40'")</f>
        <v>20'</v>
      </c>
      <c r="S10" s="38"/>
      <c r="T10" s="54" t="str">
        <f>VLOOKUP(A10,'1.Loading'!A:R,2,FALSE)</f>
        <v>2026-10-31</v>
      </c>
      <c r="U10" s="57">
        <f>T10-S10</f>
        <v>46326</v>
      </c>
      <c r="V10" s="58"/>
      <c r="W10" s="54" t="str">
        <f>VLOOKUP(A10,'3.GateMove'!A:D,4,FALSE)</f>
        <v>2026-10-23</v>
      </c>
      <c r="X10" s="57">
        <f>((T10-W10)+1)</f>
        <v>9</v>
      </c>
      <c r="Y10" s="59">
        <f>IF(AND(OR(C10="BKK01",C10="BKK04"),L10="CFS/CY"),0,IF(M10="DG",1,IF(LEFT(C10,3)="LCH",7,IF(C10="BKK02",5,3))))</f>
        <v>3</v>
      </c>
      <c r="Z10" s="57">
        <f>IF(IF(AND(AC10="TML",AB10&gt;0),((T10-W10)+1)-AB10,((T10-W10)+1)-Y10)&gt;0,IF(AND(AC10="TML",AB10&gt;0),((T10-W10)+1)-AB10,((T10-W10)+1)-Y10),0)</f>
        <v>6</v>
      </c>
      <c r="AA10" s="48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960</v>
      </c>
      <c r="AB10" s="53"/>
      <c r="AC10" s="53"/>
      <c r="AD10" s="56">
        <f>IF(M10="DG",3,IF(N10="RF",3,5))+IF(AND(LEFT(C10,3)="BKK",N10="RF",Q10="KTS"),1,0)+IF(Q10="KHS",1,0)</f>
        <v>5</v>
      </c>
      <c r="AE10" s="57">
        <f>(T10-V10)+1</f>
        <v>46327</v>
      </c>
      <c r="AF10" s="57">
        <f>IF(AB10&gt;IF((V10-W10)&gt;0,V10-W10,0),0,IF(AB10&lt;IF((V10-W10)&gt;0,V10-W10,0),IF((V10-W10)&gt;0,V10-W10,0)-AB10,IF((V10-W10)&gt;0,V10-W10,0)))</f>
        <v>0</v>
      </c>
      <c r="AG10" s="48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0"/>
      <c r="AI10" s="60">
        <f>AA10-AH10</f>
        <v>960</v>
      </c>
      <c r="AJ10" s="61"/>
      <c r="AK10" s="55" t="str">
        <f>VLOOKUP(D10,'2.Bookinglist'!A:CT,40,FALSE)</f>
        <v>Dharaporn</v>
      </c>
      <c r="AL10" s="56" t="str">
        <f>VLOOKUP(D10,'2.Bookinglist'!A:CW,101,FALSE)</f>
        <v>2026-10-28</v>
      </c>
      <c r="AM10" s="56" t="str">
        <f>VLOOKUP(D10,'2.Bookinglist'!A:BK,63,FALSE)</f>
        <v>BKK27</v>
      </c>
      <c r="AN10" s="55" t="str">
        <f>VLOOKUP(D10,'2.Bookinglist'!A:AZ,52,FALSE)</f>
        <v>Pickup : 2026-10-22, Return : 2026-10-24</v>
      </c>
      <c r="AO10" s="55">
        <f>VLOOKUP(D10,'2.Bookinglist'!A:CY,103,FALSE)</f>
        <v>0</v>
      </c>
    </row>
    <row r="11" ht="12.95" customHeight="1" spans="1:41" x14ac:dyDescent="0.25">
      <c r="A11" s="3" t="s">
        <v>220</v>
      </c>
      <c r="B11" s="53" t="str">
        <f>IF(C11=Charge!$M$1,Charge!$J$1,IF(C11=Charge!$M$23,Charge!$J$23,IF(C11=Charge!$M$17,Charge!$J$17,IF(C11=Charge!$N$17,Charge!$J$17,Charge!$J$7))))</f>
        <v>G3</v>
      </c>
      <c r="C11" s="54" t="str">
        <f>VLOOKUP(A11,'1.Loading'!A:R,14,FALSE)</f>
        <v>BKK01</v>
      </c>
      <c r="D11" s="54" t="str">
        <f>VLOOKUP(A11,'1.Loading'!A:R,17,FALSE)</f>
        <v>HASLS22261000424</v>
      </c>
      <c r="E11" s="55" t="str">
        <f>VLOOKUP(D11,'2.Bookinglist'!A:CT,27,FALSE)</f>
        <v>POLAR STAR CO., LTD.</v>
      </c>
      <c r="F11" s="55" t="str">
        <f>VLOOKUP(D11,'2.Bookinglist'!A:CT,28,FALSE)</f>
        <v>CHAI SAN SAN TRADING LIMITED</v>
      </c>
      <c r="G11" s="56">
        <f>VLOOKUP(D11,'2.Bookinglist'!A:E,5,FALSE)</f>
        <v>0</v>
      </c>
      <c r="H11" s="54" t="str">
        <f>VLOOKUP(D11,'2.Bookinglist'!A:CT,15,FALSE)</f>
        <v>THBKK</v>
      </c>
      <c r="I11" s="54" t="str">
        <f>VLOOKUP(D11,'2.Bookinglist'!A:CT,19,FALSE)</f>
        <v>HKHKG</v>
      </c>
      <c r="J11" s="54">
        <f>VLOOKUP(D11,'2.Bookinglist'!A:CT,26,FALSE)</f>
        <v>0</v>
      </c>
      <c r="K11" s="54" t="str">
        <f>VLOOKUP(A11,'1.Loading'!A:R,5,FALSE)</f>
        <v>22GP</v>
      </c>
      <c r="L11" s="56" t="str">
        <f>VLOOKUP(D11,'2.Bookinglist'!A:CT,85,FALSE)</f>
        <v>CFS/CY</v>
      </c>
      <c r="M11" s="56" t="str">
        <f>IF(VLOOKUP(D11,'2.Bookinglist'!A:CT,43,FALSE)=0,"","DG")</f>
        <v/>
      </c>
      <c r="N11" s="56" t="str">
        <f>IF(RIGHT(K11,2)="RE","RF","")</f>
        <v/>
      </c>
      <c r="O11" s="54" t="str">
        <f>VLOOKUP(A11,'1.Loading'!A:R,3,FALSE)</f>
        <v>SWVG</v>
      </c>
      <c r="P11" s="54" t="str">
        <f>VLOOKUP(A11,'1.Loading'!A:R,4,FALSE)</f>
        <v>2613N</v>
      </c>
      <c r="Q11" s="54" t="str">
        <f>VLOOKUP(D11,'2.Bookinglist'!A:CT,12,FALSE)</f>
        <v>VTS</v>
      </c>
      <c r="R11" s="56" t="str">
        <f>IF(LEFT(K11,2)="22","20'","40'")</f>
        <v>20'</v>
      </c>
      <c r="S11" s="38"/>
      <c r="T11" s="54" t="str">
        <f>VLOOKUP(A11,'1.Loading'!A:R,2,FALSE)</f>
        <v>2026-10-31</v>
      </c>
      <c r="U11" s="57">
        <f>T11-S11</f>
        <v>46326</v>
      </c>
      <c r="V11" s="58"/>
      <c r="W11" s="54" t="str">
        <f>VLOOKUP(A11,'3.GateMove'!A:D,4,FALSE)</f>
        <v>2026-10-26</v>
      </c>
      <c r="X11" s="57">
        <f>((T11-W11)+1)</f>
        <v>6</v>
      </c>
      <c r="Y11" s="59">
        <f>IF(AND(OR(C11="BKK01",C11="BKK04"),L11="CFS/CY"),0,IF(M11="DG",1,IF(LEFT(C11,3)="LCH",7,IF(C11="BKK02",5,3))))</f>
        <v>0</v>
      </c>
      <c r="Z11" s="57">
        <f>IF(IF(AND(AC11="TML",AB11&gt;0),((T11-W11)+1)-AB11,((T11-W11)+1)-Y11)&gt;0,IF(AND(AC11="TML",AB11&gt;0),((T11-W11)+1)-AB11,((T11-W11)+1)-Y11),0)</f>
        <v>6</v>
      </c>
      <c r="AA11" s="48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960</v>
      </c>
      <c r="AB11" s="53"/>
      <c r="AC11" s="53"/>
      <c r="AD11" s="56">
        <f>IF(M11="DG",3,IF(N11="RF",3,5))+IF(AND(LEFT(C11,3)="BKK",N11="RF",Q11="KTS"),1,0)+IF(Q11="KHS",1,0)</f>
        <v>5</v>
      </c>
      <c r="AE11" s="57">
        <f>(T11-V11)+1</f>
        <v>46327</v>
      </c>
      <c r="AF11" s="57">
        <f>IF(AB11&gt;IF((V11-W11)&gt;0,V11-W11,0),0,IF(AB11&lt;IF((V11-W11)&gt;0,V11-W11,0),IF((V11-W11)&gt;0,V11-W11,0)-AB11,IF((V11-W11)&gt;0,V11-W11,0)))</f>
        <v>0</v>
      </c>
      <c r="AG11" s="48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0"/>
      <c r="AI11" s="60">
        <f>AA11-AH11</f>
        <v>960</v>
      </c>
      <c r="AJ11" s="61"/>
      <c r="AK11" s="55" t="str">
        <f>VLOOKUP(D11,'2.Bookinglist'!A:CT,40,FALSE)</f>
        <v>Kanokporn</v>
      </c>
      <c r="AL11" s="56" t="str">
        <f>VLOOKUP(D11,'2.Bookinglist'!A:CW,101,FALSE)</f>
        <v>2026-10-28</v>
      </c>
      <c r="AM11" s="56" t="str">
        <f>VLOOKUP(D11,'2.Bookinglist'!A:BK,63,FALSE)</f>
        <v>BKK01</v>
      </c>
      <c r="AN11" s="55" t="str">
        <f>VLOOKUP(D11,'2.Bookinglist'!A:AZ,52,FALSE)</f>
        <v>STUFFING @PAT (SPORT LIGHT TOWER 2) DD 26/10/26 CLS TIME 26/10 @17.00HRS 
</v>
      </c>
      <c r="AO11" s="55">
        <f>VLOOKUP(D11,'2.Bookinglist'!A:CY,103,FALSE)</f>
        <v>0</v>
      </c>
    </row>
    <row r="12" ht="12.95" customHeight="1" spans="1:41" x14ac:dyDescent="0.25">
      <c r="A12" s="3" t="s">
        <v>195</v>
      </c>
      <c r="B12" s="53" t="str">
        <f>IF(C12=Charge!$M$1,Charge!$J$1,IF(C12=Charge!$M$23,Charge!$J$23,IF(C12=Charge!$M$17,Charge!$J$17,IF(C12=Charge!$N$17,Charge!$J$17,Charge!$J$7))))</f>
        <v>G3</v>
      </c>
      <c r="C12" s="54" t="str">
        <f>VLOOKUP(A12,'1.Loading'!A:R,14,FALSE)</f>
        <v>BKK01</v>
      </c>
      <c r="D12" s="54" t="str">
        <f>VLOOKUP(A12,'1.Loading'!A:R,17,FALSE)</f>
        <v>HASLS22261000927</v>
      </c>
      <c r="E12" s="55" t="str">
        <f>VLOOKUP(D12,'2.Bookinglist'!A:CT,27,FALSE)</f>
        <v>SPC GLOBAL LOGISTICS CO., LTD.</v>
      </c>
      <c r="F12" s="55" t="str">
        <f>VLOOKUP(D12,'2.Bookinglist'!A:CT,28,FALSE)</f>
        <v>PACIFIC HEALTHCARE (THAILAND) CO.,LTD.</v>
      </c>
      <c r="G12" s="56">
        <f>VLOOKUP(D12,'2.Bookinglist'!A:E,5,FALSE)</f>
        <v>0</v>
      </c>
      <c r="H12" s="54" t="str">
        <f>VLOOKUP(D12,'2.Bookinglist'!A:CT,15,FALSE)</f>
        <v>THBKK</v>
      </c>
      <c r="I12" s="54" t="str">
        <f>VLOOKUP(D12,'2.Bookinglist'!A:CT,19,FALSE)</f>
        <v>HKHKG</v>
      </c>
      <c r="J12" s="54">
        <f>VLOOKUP(D12,'2.Bookinglist'!A:CT,26,FALSE)</f>
        <v>0</v>
      </c>
      <c r="K12" s="54" t="str">
        <f>VLOOKUP(A12,'1.Loading'!A:R,5,FALSE)</f>
        <v>22RE</v>
      </c>
      <c r="L12" s="56" t="str">
        <f>VLOOKUP(D12,'2.Bookinglist'!A:CT,85,FALSE)</f>
        <v>CY/CY</v>
      </c>
      <c r="M12" s="56" t="str">
        <f>IF(VLOOKUP(D12,'2.Bookinglist'!A:CT,43,FALSE)=0,"","DG")</f>
        <v/>
      </c>
      <c r="N12" s="56" t="str">
        <f>IF(RIGHT(K12,2)="RE","RF","")</f>
        <v>RF</v>
      </c>
      <c r="O12" s="54" t="str">
        <f>VLOOKUP(A12,'1.Loading'!A:R,3,FALSE)</f>
        <v>SWVG</v>
      </c>
      <c r="P12" s="54" t="str">
        <f>VLOOKUP(A12,'1.Loading'!A:R,4,FALSE)</f>
        <v>2613N</v>
      </c>
      <c r="Q12" s="54" t="str">
        <f>VLOOKUP(D12,'2.Bookinglist'!A:CT,12,FALSE)</f>
        <v>VTS</v>
      </c>
      <c r="R12" s="56" t="str">
        <f>IF(LEFT(K12,2)="22","20'","40'")</f>
        <v>20'</v>
      </c>
      <c r="S12" s="38"/>
      <c r="T12" s="54" t="str">
        <f>VLOOKUP(A12,'1.Loading'!A:R,2,FALSE)</f>
        <v>2026-10-31</v>
      </c>
      <c r="U12" s="57">
        <f>T12-S12</f>
        <v>46326</v>
      </c>
      <c r="V12" s="58"/>
      <c r="W12" s="54" t="str">
        <f>VLOOKUP(A12,'3.GateMove'!A:D,4,FALSE)</f>
        <v>2026-10-26</v>
      </c>
      <c r="X12" s="57">
        <f>((T12-W12)+1)</f>
        <v>6</v>
      </c>
      <c r="Y12" s="59">
        <f>IF(AND(OR(C12="BKK01",C12="BKK04"),L12="CFS/CY"),0,IF(M12="DG",1,IF(LEFT(C12,3)="LCH",7,IF(C12="BKK02",5,3))))</f>
        <v>3</v>
      </c>
      <c r="Z12" s="57">
        <f>IF(IF(AND(AC12="TML",AB12&gt;0),((T12-W12)+1)-AB12,((T12-W12)+1)-Y12)&gt;0,IF(AND(AC12="TML",AB12&gt;0),((T12-W12)+1)-AB12,((T12-W12)+1)-Y12),0)</f>
        <v>3</v>
      </c>
      <c r="AA12" s="48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480</v>
      </c>
      <c r="AB12" s="53"/>
      <c r="AC12" s="53"/>
      <c r="AD12" s="56">
        <f>IF(M12="DG",3,IF(N12="RF",3,5))+IF(AND(LEFT(C12,3)="BKK",N12="RF",Q12="KTS"),1,0)+IF(Q12="KHS",1,0)</f>
        <v>3</v>
      </c>
      <c r="AE12" s="57">
        <f>(T12-V12)+1</f>
        <v>46327</v>
      </c>
      <c r="AF12" s="57">
        <f>IF(AB12&gt;IF((V12-W12)&gt;0,V12-W12,0),0,IF(AB12&lt;IF((V12-W12)&gt;0,V12-W12,0),IF((V12-W12)&gt;0,V12-W12,0)-AB12,IF((V12-W12)&gt;0,V12-W12,0)))</f>
        <v>0</v>
      </c>
      <c r="AG12" s="48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0"/>
      <c r="AI12" s="60">
        <f>AA12-AH12</f>
        <v>480</v>
      </c>
      <c r="AJ12" s="61"/>
      <c r="AK12" s="55" t="str">
        <f>VLOOKUP(D12,'2.Bookinglist'!A:CT,40,FALSE)</f>
        <v>Dharaporn</v>
      </c>
      <c r="AL12" s="56" t="str">
        <f>VLOOKUP(D12,'2.Bookinglist'!A:CW,101,FALSE)</f>
        <v>2026-10-29</v>
      </c>
      <c r="AM12" s="56" t="str">
        <f>VLOOKUP(D12,'2.Bookinglist'!A:BK,63,FALSE)</f>
        <v>BKK27</v>
      </c>
      <c r="AN12" s="55" t="str">
        <f>VLOOKUP(D12,'2.Bookinglist'!A:AZ,52,FALSE)</f>
        <v>Pickup : 2026-10-24, Return : 2026-10-26 (Temp +15.0 / Vent Close) 
 CLS TIME 28/10/2026 @17.00 [1ST RTN 26/10 W/O ELECTRIC] 
 </v>
      </c>
      <c r="AO12" s="55">
        <f>VLOOKUP(D12,'2.Bookinglist'!A:CY,103,FALSE)</f>
        <v>0</v>
      </c>
    </row>
    <row r="13" ht="12.95" customHeight="1" spans="1:41" x14ac:dyDescent="0.25">
      <c r="A13" s="3" t="s">
        <v>202</v>
      </c>
      <c r="B13" s="53" t="str">
        <f>IF(C13=Charge!$M$1,Charge!$J$1,IF(C13=Charge!$M$23,Charge!$J$23,IF(C13=Charge!$M$17,Charge!$J$17,IF(C13=Charge!$N$17,Charge!$J$17,Charge!$J$7))))</f>
        <v>G3</v>
      </c>
      <c r="C13" s="54" t="str">
        <f>VLOOKUP(A13,'1.Loading'!A:R,14,FALSE)</f>
        <v>BKK01</v>
      </c>
      <c r="D13" s="54" t="str">
        <f>VLOOKUP(A13,'1.Loading'!A:R,17,FALSE)</f>
        <v>HASLS22261000900</v>
      </c>
      <c r="E13" s="55" t="str">
        <f>VLOOKUP(D13,'2.Bookinglist'!A:CT,27,FALSE)</f>
        <v>SINSIMON ENTERPRISE CO., LTD.</v>
      </c>
      <c r="F13" s="55" t="str">
        <f>VLOOKUP(D13,'2.Bookinglist'!A:CT,28,FALSE)</f>
        <v>CHAITIP CO., LTD.</v>
      </c>
      <c r="G13" s="56">
        <f>VLOOKUP(D13,'2.Bookinglist'!A:E,5,FALSE)</f>
        <v>0</v>
      </c>
      <c r="H13" s="54" t="str">
        <f>VLOOKUP(D13,'2.Bookinglist'!A:CT,15,FALSE)</f>
        <v>THBKK</v>
      </c>
      <c r="I13" s="54" t="str">
        <f>VLOOKUP(D13,'2.Bookinglist'!A:CT,19,FALSE)</f>
        <v>HKHKG</v>
      </c>
      <c r="J13" s="54">
        <f>VLOOKUP(D13,'2.Bookinglist'!A:CT,26,FALSE)</f>
        <v>0</v>
      </c>
      <c r="K13" s="54" t="str">
        <f>VLOOKUP(A13,'1.Loading'!A:R,5,FALSE)</f>
        <v>22GP</v>
      </c>
      <c r="L13" s="56" t="str">
        <f>VLOOKUP(D13,'2.Bookinglist'!A:CT,85,FALSE)</f>
        <v>CY/CY</v>
      </c>
      <c r="M13" s="56" t="str">
        <f>IF(VLOOKUP(D13,'2.Bookinglist'!A:CT,43,FALSE)=0,"","DG")</f>
        <v/>
      </c>
      <c r="N13" s="56" t="str">
        <f>IF(RIGHT(K13,2)="RE","RF","")</f>
        <v/>
      </c>
      <c r="O13" s="54" t="str">
        <f>VLOOKUP(A13,'1.Loading'!A:R,3,FALSE)</f>
        <v>SWVG</v>
      </c>
      <c r="P13" s="54" t="str">
        <f>VLOOKUP(A13,'1.Loading'!A:R,4,FALSE)</f>
        <v>2613N</v>
      </c>
      <c r="Q13" s="54" t="str">
        <f>VLOOKUP(D13,'2.Bookinglist'!A:CT,12,FALSE)</f>
        <v>VTS</v>
      </c>
      <c r="R13" s="56" t="str">
        <f>IF(LEFT(K13,2)="22","20'","40'")</f>
        <v>20'</v>
      </c>
      <c r="S13" s="38"/>
      <c r="T13" s="54" t="str">
        <f>VLOOKUP(A13,'1.Loading'!A:R,2,FALSE)</f>
        <v>2026-10-31</v>
      </c>
      <c r="U13" s="57">
        <f>T13-S13</f>
        <v>46326</v>
      </c>
      <c r="V13" s="58"/>
      <c r="W13" s="54" t="str">
        <f>VLOOKUP(A13,'3.GateMove'!A:D,4,FALSE)</f>
        <v>2026-10-27</v>
      </c>
      <c r="X13" s="57">
        <f>((T13-W13)+1)</f>
        <v>5</v>
      </c>
      <c r="Y13" s="59">
        <f>IF(AND(OR(C13="BKK01",C13="BKK04"),L13="CFS/CY"),0,IF(M13="DG",1,IF(LEFT(C13,3)="LCH",7,IF(C13="BKK02",5,3))))</f>
        <v>3</v>
      </c>
      <c r="Z13" s="57">
        <f>IF(IF(AND(AC13="TML",AB13&gt;0),((T13-W13)+1)-AB13,((T13-W13)+1)-Y13)&gt;0,IF(AND(AC13="TML",AB13&gt;0),((T13-W13)+1)-AB13,((T13-W13)+1)-Y13),0)</f>
        <v>2</v>
      </c>
      <c r="AA13" s="48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320</v>
      </c>
      <c r="AB13" s="53"/>
      <c r="AC13" s="53"/>
      <c r="AD13" s="56">
        <f>IF(M13="DG",3,IF(N13="RF",3,5))+IF(AND(LEFT(C13,3)="BKK",N13="RF",Q13="KTS"),1,0)+IF(Q13="KHS",1,0)</f>
        <v>5</v>
      </c>
      <c r="AE13" s="57">
        <f>(T13-V13)+1</f>
        <v>46327</v>
      </c>
      <c r="AF13" s="57">
        <f>IF(AB13&gt;IF((V13-W13)&gt;0,V13-W13,0),0,IF(AB13&lt;IF((V13-W13)&gt;0,V13-W13,0),IF((V13-W13)&gt;0,V13-W13,0)-AB13,IF((V13-W13)&gt;0,V13-W13,0)))</f>
        <v>0</v>
      </c>
      <c r="AG13" s="48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0"/>
      <c r="AI13" s="60">
        <f>AA13-AH13</f>
        <v>320</v>
      </c>
      <c r="AJ13" s="61"/>
      <c r="AK13" s="55" t="str">
        <f>VLOOKUP(D13,'2.Bookinglist'!A:CT,40,FALSE)</f>
        <v>Dharaporn</v>
      </c>
      <c r="AL13" s="56" t="str">
        <f>VLOOKUP(D13,'2.Bookinglist'!A:CW,101,FALSE)</f>
        <v>2026-10-28</v>
      </c>
      <c r="AM13" s="56" t="str">
        <f>VLOOKUP(D13,'2.Bookinglist'!A:BK,63,FALSE)</f>
        <v>BKK25</v>
      </c>
      <c r="AN13" s="55" t="str">
        <f>VLOOKUP(D13,'2.Bookinglist'!A:AZ,52,FALSE)</f>
        <v>Pickup : 2026-10-26, Return : 2026-10-27 EXTEND CLS TIME DD.28/11.00HRS</v>
      </c>
      <c r="AO13" s="55">
        <f>VLOOKUP(D13,'2.Bookinglist'!A:CY,103,FALSE)</f>
        <v>0</v>
      </c>
    </row>
    <row r="14" ht="12.95" customHeight="1" spans="1:41" x14ac:dyDescent="0.25">
      <c r="A14" s="3" t="s">
        <v>203</v>
      </c>
      <c r="B14" s="53" t="str">
        <f>IF(C14=Charge!$M$1,Charge!$J$1,IF(C14=Charge!$M$23,Charge!$J$23,IF(C14=Charge!$M$17,Charge!$J$17,IF(C14=Charge!$N$17,Charge!$J$17,Charge!$J$7))))</f>
        <v>G3</v>
      </c>
      <c r="C14" s="54" t="str">
        <f>VLOOKUP(A14,'1.Loading'!A:R,14,FALSE)</f>
        <v>BKK01</v>
      </c>
      <c r="D14" s="54" t="str">
        <f>VLOOKUP(A14,'1.Loading'!A:R,17,FALSE)</f>
        <v>HASLS22260902471</v>
      </c>
      <c r="E14" s="55" t="str">
        <f>VLOOKUP(D14,'2.Bookinglist'!A:CT,27,FALSE)</f>
        <v>BANGKOK STARCH INDUSTRIAL CO., LTD.</v>
      </c>
      <c r="F14" s="55" t="str">
        <f>VLOOKUP(D14,'2.Bookinglist'!A:CT,28,FALSE)</f>
        <v>BANGKOK STARCH INDUSTRIAL CO., LTD.</v>
      </c>
      <c r="G14" s="56">
        <f>VLOOKUP(D14,'2.Bookinglist'!A:E,5,FALSE)</f>
        <v>0</v>
      </c>
      <c r="H14" s="54" t="str">
        <f>VLOOKUP(D14,'2.Bookinglist'!A:CT,15,FALSE)</f>
        <v>THBKK</v>
      </c>
      <c r="I14" s="54" t="str">
        <f>VLOOKUP(D14,'2.Bookinglist'!A:CT,19,FALSE)</f>
        <v>JPSMZ</v>
      </c>
      <c r="J14" s="54" t="str">
        <f>VLOOKUP(D14,'2.Bookinglist'!A:CT,26,FALSE)</f>
        <v>KRPUS</v>
      </c>
      <c r="K14" s="54" t="str">
        <f>VLOOKUP(A14,'1.Loading'!A:R,5,FALSE)</f>
        <v>22GP</v>
      </c>
      <c r="L14" s="56" t="str">
        <f>VLOOKUP(D14,'2.Bookinglist'!A:CT,85,FALSE)</f>
        <v>CY/CY</v>
      </c>
      <c r="M14" s="56" t="str">
        <f>IF(VLOOKUP(D14,'2.Bookinglist'!A:CT,43,FALSE)=0,"","DG")</f>
        <v/>
      </c>
      <c r="N14" s="56" t="str">
        <f>IF(RIGHT(K14,2)="RE","RF","")</f>
        <v/>
      </c>
      <c r="O14" s="54" t="str">
        <f>VLOOKUP(A14,'1.Loading'!A:R,3,FALSE)</f>
        <v>SWVG</v>
      </c>
      <c r="P14" s="54" t="str">
        <f>VLOOKUP(A14,'1.Loading'!A:R,4,FALSE)</f>
        <v>2613N</v>
      </c>
      <c r="Q14" s="54" t="str">
        <f>VLOOKUP(D14,'2.Bookinglist'!A:CT,12,FALSE)</f>
        <v>VTS</v>
      </c>
      <c r="R14" s="56" t="str">
        <f>IF(LEFT(K14,2)="22","20'","40'")</f>
        <v>20'</v>
      </c>
      <c r="S14" s="38"/>
      <c r="T14" s="54" t="str">
        <f>VLOOKUP(A14,'1.Loading'!A:R,2,FALSE)</f>
        <v>2026-10-31</v>
      </c>
      <c r="U14" s="57">
        <f>T14-S14</f>
        <v>46326</v>
      </c>
      <c r="V14" s="58"/>
      <c r="W14" s="54" t="str">
        <f>VLOOKUP(A14,'3.GateMove'!A:D,4,FALSE)</f>
        <v>2026-10-26</v>
      </c>
      <c r="X14" s="57">
        <f>((T14-W14)+1)</f>
        <v>6</v>
      </c>
      <c r="Y14" s="59">
        <f>IF(AND(OR(C14="BKK01",C14="BKK04"),L14="CFS/CY"),0,IF(M14="DG",1,IF(LEFT(C14,3)="LCH",7,IF(C14="BKK02",5,3))))</f>
        <v>3</v>
      </c>
      <c r="Z14" s="57">
        <f>IF(IF(AND(AC14="TML",AB14&gt;0),((T14-W14)+1)-AB14,((T14-W14)+1)-Y14)&gt;0,IF(AND(AC14="TML",AB14&gt;0),((T14-W14)+1)-AB14,((T14-W14)+1)-Y14),0)</f>
        <v>3</v>
      </c>
      <c r="AA14" s="48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480</v>
      </c>
      <c r="AB14" s="53"/>
      <c r="AC14" s="53"/>
      <c r="AD14" s="56">
        <f>IF(M14="DG",3,IF(N14="RF",3,5))+IF(AND(LEFT(C14,3)="BKK",N14="RF",Q14="KTS"),1,0)+IF(Q14="KHS",1,0)</f>
        <v>5</v>
      </c>
      <c r="AE14" s="57">
        <f>(T14-V14)+1</f>
        <v>46327</v>
      </c>
      <c r="AF14" s="57">
        <f>IF(AB14&gt;IF((V14-W14)&gt;0,V14-W14,0),0,IF(AB14&lt;IF((V14-W14)&gt;0,V14-W14,0),IF((V14-W14)&gt;0,V14-W14,0)-AB14,IF((V14-W14)&gt;0,V14-W14,0)))</f>
        <v>0</v>
      </c>
      <c r="AG14" s="48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0"/>
      <c r="AI14" s="60">
        <f>AA14-AH14</f>
        <v>480</v>
      </c>
      <c r="AJ14" s="61"/>
      <c r="AK14" s="55" t="str">
        <f>VLOOKUP(D14,'2.Bookinglist'!A:CT,40,FALSE)</f>
        <v>Vilaiporn</v>
      </c>
      <c r="AL14" s="56" t="str">
        <f>VLOOKUP(D14,'2.Bookinglist'!A:CW,101,FALSE)</f>
        <v>2026-10-28</v>
      </c>
      <c r="AM14" s="56" t="str">
        <f>VLOOKUP(D14,'2.Bookinglist'!A:BK,63,FALSE)</f>
        <v>BKK25</v>
      </c>
      <c r="AN14" s="55" t="str">
        <f>VLOOKUP(D14,'2.Bookinglist'!A:AZ,52,FALSE)</f>
        <v>Pickup : 2026-10-24, Return : 2026-10-26 (EXTEND CLOSING DD.26/10/26 @23.59)</v>
      </c>
      <c r="AO14" s="55">
        <f>VLOOKUP(D14,'2.Bookinglist'!A:CY,103,FALSE)</f>
        <v>0</v>
      </c>
    </row>
    <row r="15" ht="12.95" customHeight="1" spans="1:41" x14ac:dyDescent="0.25">
      <c r="A15" s="3" t="s">
        <v>200</v>
      </c>
      <c r="B15" s="53" t="str">
        <f>IF(C15=Charge!$M$1,Charge!$J$1,IF(C15=Charge!$M$23,Charge!$J$23,IF(C15=Charge!$M$17,Charge!$J$17,IF(C15=Charge!$N$17,Charge!$J$17,Charge!$J$7))))</f>
        <v>G3</v>
      </c>
      <c r="C15" s="54" t="str">
        <f>VLOOKUP(A15,'1.Loading'!A:R,14,FALSE)</f>
        <v>BKK01</v>
      </c>
      <c r="D15" s="54" t="str">
        <f>VLOOKUP(A15,'1.Loading'!A:R,17,FALSE)</f>
        <v>HASLS22260902619</v>
      </c>
      <c r="E15" s="55" t="str">
        <f>VLOOKUP(D15,'2.Bookinglist'!A:CT,27,FALSE)</f>
        <v>MARCH LOGISTICS CO., LTD.</v>
      </c>
      <c r="F15" s="55" t="str">
        <f>VLOOKUP(D15,'2.Bookinglist'!A:CT,28,FALSE)</f>
        <v>STARPRO SANWA AYUTTHAYA MODIFIED STARCH CO., LTD.</v>
      </c>
      <c r="G15" s="56">
        <f>VLOOKUP(D15,'2.Bookinglist'!A:E,5,FALSE)</f>
        <v>0</v>
      </c>
      <c r="H15" s="54" t="str">
        <f>VLOOKUP(D15,'2.Bookinglist'!A:CT,15,FALSE)</f>
        <v>THBKK</v>
      </c>
      <c r="I15" s="54" t="str">
        <f>VLOOKUP(D15,'2.Bookinglist'!A:CT,19,FALSE)</f>
        <v>CNXMN</v>
      </c>
      <c r="J15" s="54">
        <f>VLOOKUP(D15,'2.Bookinglist'!A:CT,26,FALSE)</f>
        <v>0</v>
      </c>
      <c r="K15" s="54" t="str">
        <f>VLOOKUP(A15,'1.Loading'!A:R,5,FALSE)</f>
        <v>22GP</v>
      </c>
      <c r="L15" s="56" t="str">
        <f>VLOOKUP(D15,'2.Bookinglist'!A:CT,85,FALSE)</f>
        <v>CY/CY</v>
      </c>
      <c r="M15" s="56" t="str">
        <f>IF(VLOOKUP(D15,'2.Bookinglist'!A:CT,43,FALSE)=0,"","DG")</f>
        <v/>
      </c>
      <c r="N15" s="56" t="str">
        <f>IF(RIGHT(K15,2)="RE","RF","")</f>
        <v/>
      </c>
      <c r="O15" s="54" t="str">
        <f>VLOOKUP(A15,'1.Loading'!A:R,3,FALSE)</f>
        <v>SWVG</v>
      </c>
      <c r="P15" s="54" t="str">
        <f>VLOOKUP(A15,'1.Loading'!A:R,4,FALSE)</f>
        <v>2613N</v>
      </c>
      <c r="Q15" s="54" t="str">
        <f>VLOOKUP(D15,'2.Bookinglist'!A:CT,12,FALSE)</f>
        <v>VTS</v>
      </c>
      <c r="R15" s="56" t="str">
        <f>IF(LEFT(K15,2)="22","20'","40'")</f>
        <v>20'</v>
      </c>
      <c r="S15" s="38"/>
      <c r="T15" s="54" t="str">
        <f>VLOOKUP(A15,'1.Loading'!A:R,2,FALSE)</f>
        <v>2026-10-31</v>
      </c>
      <c r="U15" s="57">
        <f>T15-S15</f>
        <v>46326</v>
      </c>
      <c r="V15" s="58"/>
      <c r="W15" s="54" t="str">
        <f>VLOOKUP(A15,'3.GateMove'!A:D,4,FALSE)</f>
        <v>2026-10-26</v>
      </c>
      <c r="X15" s="57">
        <f>((T15-W15)+1)</f>
        <v>6</v>
      </c>
      <c r="Y15" s="59">
        <f>IF(AND(OR(C15="BKK01",C15="BKK04"),L15="CFS/CY"),0,IF(M15="DG",1,IF(LEFT(C15,3)="LCH",7,IF(C15="BKK02",5,3))))</f>
        <v>3</v>
      </c>
      <c r="Z15" s="57">
        <f>IF(IF(AND(AC15="TML",AB15&gt;0),((T15-W15)+1)-AB15,((T15-W15)+1)-Y15)&gt;0,IF(AND(AC15="TML",AB15&gt;0),((T15-W15)+1)-AB15,((T15-W15)+1)-Y15),0)</f>
        <v>3</v>
      </c>
      <c r="AA15" s="48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480</v>
      </c>
      <c r="AB15" s="53"/>
      <c r="AC15" s="53"/>
      <c r="AD15" s="56">
        <f>IF(M15="DG",3,IF(N15="RF",3,5))+IF(AND(LEFT(C15,3)="BKK",N15="RF",Q15="KTS"),1,0)+IF(Q15="KHS",1,0)</f>
        <v>5</v>
      </c>
      <c r="AE15" s="57">
        <f>(T15-V15)+1</f>
        <v>46327</v>
      </c>
      <c r="AF15" s="57">
        <f>IF(AB15&gt;IF((V15-W15)&gt;0,V15-W15,0),0,IF(AB15&lt;IF((V15-W15)&gt;0,V15-W15,0),IF((V15-W15)&gt;0,V15-W15,0)-AB15,IF((V15-W15)&gt;0,V15-W15,0)))</f>
        <v>0</v>
      </c>
      <c r="AG15" s="48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0"/>
      <c r="AI15" s="60">
        <f>AA15-AH15</f>
        <v>480</v>
      </c>
      <c r="AJ15" s="61"/>
      <c r="AK15" s="55" t="str">
        <f>VLOOKUP(D15,'2.Bookinglist'!A:CT,40,FALSE)</f>
        <v>Pattarapong Saengthong</v>
      </c>
      <c r="AL15" s="56" t="str">
        <f>VLOOKUP(D15,'2.Bookinglist'!A:CW,101,FALSE)</f>
        <v>2026-10-28</v>
      </c>
      <c r="AM15" s="56" t="str">
        <f>VLOOKUP(D15,'2.Bookinglist'!A:BK,63,FALSE)</f>
        <v>BKK27</v>
      </c>
      <c r="AN15" s="55" t="str">
        <f>VLOOKUP(D15,'2.Bookinglist'!A:AZ,52,FALSE)</f>
        <v>Pickup : 2026-10-24, Return : 2026-10-26 </v>
      </c>
      <c r="AO15" s="55">
        <f>VLOOKUP(D15,'2.Bookinglist'!A:CY,103,FALSE)</f>
        <v>0</v>
      </c>
    </row>
    <row r="16" ht="12.95" customHeight="1" spans="1:41" x14ac:dyDescent="0.25">
      <c r="A16" s="3" t="s">
        <v>210</v>
      </c>
      <c r="B16" s="53" t="str">
        <f>IF(C16=Charge!$M$1,Charge!$J$1,IF(C16=Charge!$M$23,Charge!$J$23,IF(C16=Charge!$M$17,Charge!$J$17,IF(C16=Charge!$N$17,Charge!$J$17,Charge!$J$7))))</f>
        <v>G3</v>
      </c>
      <c r="C16" s="54" t="str">
        <f>VLOOKUP(A16,'1.Loading'!A:R,14,FALSE)</f>
        <v>BKK01</v>
      </c>
      <c r="D16" s="54" t="str">
        <f>VLOOKUP(A16,'1.Loading'!A:R,17,FALSE)</f>
        <v>HASLS22261001990</v>
      </c>
      <c r="E16" s="55" t="str">
        <f>VLOOKUP(D16,'2.Bookinglist'!A:CT,27,FALSE)</f>
        <v>YUSEN LOGISTICS (THAILAND) CO., LTD.</v>
      </c>
      <c r="F16" s="55" t="str">
        <f>VLOOKUP(D16,'2.Bookinglist'!A:CT,28,FALSE)</f>
        <v>YUSEN LOGISTICS (THAILAND) CO., LTD.</v>
      </c>
      <c r="G16" s="56">
        <f>VLOOKUP(D16,'2.Bookinglist'!A:E,5,FALSE)</f>
        <v>0</v>
      </c>
      <c r="H16" s="54" t="str">
        <f>VLOOKUP(D16,'2.Bookinglist'!A:CT,15,FALSE)</f>
        <v>THBKK</v>
      </c>
      <c r="I16" s="54" t="str">
        <f>VLOOKUP(D16,'2.Bookinglist'!A:CT,19,FALSE)</f>
        <v>HKHKG</v>
      </c>
      <c r="J16" s="54">
        <f>VLOOKUP(D16,'2.Bookinglist'!A:CT,26,FALSE)</f>
        <v>0</v>
      </c>
      <c r="K16" s="54" t="str">
        <f>VLOOKUP(A16,'1.Loading'!A:R,5,FALSE)</f>
        <v>22GP</v>
      </c>
      <c r="L16" s="56" t="str">
        <f>VLOOKUP(D16,'2.Bookinglist'!A:CT,85,FALSE)</f>
        <v>CY/CY</v>
      </c>
      <c r="M16" s="56" t="str">
        <f>IF(VLOOKUP(D16,'2.Bookinglist'!A:CT,43,FALSE)=0,"","DG")</f>
        <v/>
      </c>
      <c r="N16" s="56" t="str">
        <f>IF(RIGHT(K16,2)="RE","RF","")</f>
        <v/>
      </c>
      <c r="O16" s="54" t="str">
        <f>VLOOKUP(A16,'1.Loading'!A:R,3,FALSE)</f>
        <v>SWVG</v>
      </c>
      <c r="P16" s="54" t="str">
        <f>VLOOKUP(A16,'1.Loading'!A:R,4,FALSE)</f>
        <v>2613N</v>
      </c>
      <c r="Q16" s="54" t="str">
        <f>VLOOKUP(D16,'2.Bookinglist'!A:CT,12,FALSE)</f>
        <v>VTS</v>
      </c>
      <c r="R16" s="56" t="str">
        <f>IF(LEFT(K16,2)="22","20'","40'")</f>
        <v>20'</v>
      </c>
      <c r="S16" s="38"/>
      <c r="T16" s="54" t="str">
        <f>VLOOKUP(A16,'1.Loading'!A:R,2,FALSE)</f>
        <v>2026-10-31</v>
      </c>
      <c r="U16" s="57">
        <f>T16-S16</f>
        <v>46326</v>
      </c>
      <c r="V16" s="58"/>
      <c r="W16" s="54" t="str">
        <f>VLOOKUP(A16,'3.GateMove'!A:D,4,FALSE)</f>
        <v>2026-10-28</v>
      </c>
      <c r="X16" s="57">
        <f>((T16-W16)+1)</f>
        <v>4</v>
      </c>
      <c r="Y16" s="59">
        <f>IF(AND(OR(C16="BKK01",C16="BKK04"),L16="CFS/CY"),0,IF(M16="DG",1,IF(LEFT(C16,3)="LCH",7,IF(C16="BKK02",5,3))))</f>
        <v>3</v>
      </c>
      <c r="Z16" s="57">
        <f>IF(IF(AND(AC16="TML",AB16&gt;0),((T16-W16)+1)-AB16,((T16-W16)+1)-Y16)&gt;0,IF(AND(AC16="TML",AB16&gt;0),((T16-W16)+1)-AB16,((T16-W16)+1)-Y16),0)</f>
        <v>1</v>
      </c>
      <c r="AA16" s="48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160</v>
      </c>
      <c r="AB16" s="53"/>
      <c r="AC16" s="53"/>
      <c r="AD16" s="56">
        <f>IF(M16="DG",3,IF(N16="RF",3,5))+IF(AND(LEFT(C16,3)="BKK",N16="RF",Q16="KTS"),1,0)+IF(Q16="KHS",1,0)</f>
        <v>5</v>
      </c>
      <c r="AE16" s="57">
        <f>(T16-V16)+1</f>
        <v>46327</v>
      </c>
      <c r="AF16" s="57">
        <f>IF(AB16&gt;IF((V16-W16)&gt;0,V16-W16,0),0,IF(AB16&lt;IF((V16-W16)&gt;0,V16-W16,0),IF((V16-W16)&gt;0,V16-W16,0)-AB16,IF((V16-W16)&gt;0,V16-W16,0)))</f>
        <v>0</v>
      </c>
      <c r="AG16" s="48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0"/>
      <c r="AI16" s="60">
        <f>AA16-AH16</f>
        <v>160</v>
      </c>
      <c r="AJ16" s="61"/>
      <c r="AK16" s="55" t="str">
        <f>VLOOKUP(D16,'2.Bookinglist'!A:CT,40,FALSE)</f>
        <v>Papavadee Chiengchin</v>
      </c>
      <c r="AL16" s="56" t="str">
        <f>VLOOKUP(D16,'2.Bookinglist'!A:CW,101,FALSE)</f>
        <v>2026-10-29</v>
      </c>
      <c r="AM16" s="56" t="str">
        <f>VLOOKUP(D16,'2.Bookinglist'!A:BK,63,FALSE)</f>
        <v>BKK01</v>
      </c>
      <c r="AN16" s="55" t="str">
        <f>VLOOKUP(D16,'2.Bookinglist'!A:AZ,52,FALSE)</f>
        <v>Pickup : 2026-10-27, Return : 2026-10-27 CONSOL</v>
      </c>
      <c r="AO16" s="55">
        <f>VLOOKUP(D16,'2.Bookinglist'!A:CY,103,FALSE)</f>
        <v>0</v>
      </c>
    </row>
    <row r="17" ht="12.95" customHeight="1" spans="1:41" x14ac:dyDescent="0.25">
      <c r="A17" s="3" t="s">
        <v>213</v>
      </c>
      <c r="B17" s="53" t="str">
        <f>IF(C17=Charge!$M$1,Charge!$J$1,IF(C17=Charge!$M$23,Charge!$J$23,IF(C17=Charge!$M$17,Charge!$J$17,IF(C17=Charge!$N$17,Charge!$J$17,Charge!$J$7))))</f>
        <v>G3</v>
      </c>
      <c r="C17" s="54" t="str">
        <f>VLOOKUP(A17,'1.Loading'!A:R,14,FALSE)</f>
        <v>BKK01</v>
      </c>
      <c r="D17" s="54" t="str">
        <f>VLOOKUP(A17,'1.Loading'!A:R,17,FALSE)</f>
        <v>HASLS22261000074</v>
      </c>
      <c r="E17" s="55" t="str">
        <f>VLOOKUP(D17,'2.Bookinglist'!A:CT,27,FALSE)</f>
        <v>SONIC INTERFREIGHT PUBLIC COMPANY LIMITED</v>
      </c>
      <c r="F17" s="55" t="str">
        <f>VLOOKUP(D17,'2.Bookinglist'!A:CT,28,FALSE)</f>
        <v>THAI OTSUKA PHARMACEUTICAL CO., LTD.</v>
      </c>
      <c r="G17" s="56">
        <f>VLOOKUP(D17,'2.Bookinglist'!A:E,5,FALSE)</f>
        <v>0</v>
      </c>
      <c r="H17" s="54" t="str">
        <f>VLOOKUP(D17,'2.Bookinglist'!A:CT,15,FALSE)</f>
        <v>THBKK</v>
      </c>
      <c r="I17" s="54" t="str">
        <f>VLOOKUP(D17,'2.Bookinglist'!A:CT,19,FALSE)</f>
        <v>HKHKG</v>
      </c>
      <c r="J17" s="54">
        <f>VLOOKUP(D17,'2.Bookinglist'!A:CT,26,FALSE)</f>
        <v>0</v>
      </c>
      <c r="K17" s="54" t="str">
        <f>VLOOKUP(A17,'1.Loading'!A:R,5,FALSE)</f>
        <v>22GP</v>
      </c>
      <c r="L17" s="56" t="str">
        <f>VLOOKUP(D17,'2.Bookinglist'!A:CT,85,FALSE)</f>
        <v>CY/CY</v>
      </c>
      <c r="M17" s="56" t="str">
        <f>IF(VLOOKUP(D17,'2.Bookinglist'!A:CT,43,FALSE)=0,"","DG")</f>
        <v/>
      </c>
      <c r="N17" s="56" t="str">
        <f>IF(RIGHT(K17,2)="RE","RF","")</f>
        <v/>
      </c>
      <c r="O17" s="54" t="str">
        <f>VLOOKUP(A17,'1.Loading'!A:R,3,FALSE)</f>
        <v>SWVG</v>
      </c>
      <c r="P17" s="54" t="str">
        <f>VLOOKUP(A17,'1.Loading'!A:R,4,FALSE)</f>
        <v>2613N</v>
      </c>
      <c r="Q17" s="54" t="str">
        <f>VLOOKUP(D17,'2.Bookinglist'!A:CT,12,FALSE)</f>
        <v>VTS</v>
      </c>
      <c r="R17" s="56" t="str">
        <f>IF(LEFT(K17,2)="22","20'","40'")</f>
        <v>20'</v>
      </c>
      <c r="S17" s="38"/>
      <c r="T17" s="54" t="str">
        <f>VLOOKUP(A17,'1.Loading'!A:R,2,FALSE)</f>
        <v>2026-10-31</v>
      </c>
      <c r="U17" s="57">
        <f>T17-S17</f>
        <v>46326</v>
      </c>
      <c r="V17" s="58"/>
      <c r="W17" s="54" t="str">
        <f>VLOOKUP(A17,'3.GateMove'!A:D,4,FALSE)</f>
        <v>2026-10-23</v>
      </c>
      <c r="X17" s="57">
        <f>((T17-W17)+1)</f>
        <v>9</v>
      </c>
      <c r="Y17" s="59">
        <f>IF(AND(OR(C17="BKK01",C17="BKK04"),L17="CFS/CY"),0,IF(M17="DG",1,IF(LEFT(C17,3)="LCH",7,IF(C17="BKK02",5,3))))</f>
        <v>3</v>
      </c>
      <c r="Z17" s="57">
        <f>IF(IF(AND(AC17="TML",AB17&gt;0),((T17-W17)+1)-AB17,((T17-W17)+1)-Y17)&gt;0,IF(AND(AC17="TML",AB17&gt;0),((T17-W17)+1)-AB17,((T17-W17)+1)-Y17),0)</f>
        <v>6</v>
      </c>
      <c r="AA17" s="48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960</v>
      </c>
      <c r="AB17" s="53"/>
      <c r="AC17" s="53"/>
      <c r="AD17" s="56">
        <f>IF(M17="DG",3,IF(N17="RF",3,5))+IF(AND(LEFT(C17,3)="BKK",N17="RF",Q17="KTS"),1,0)+IF(Q17="KHS",1,0)</f>
        <v>5</v>
      </c>
      <c r="AE17" s="57">
        <f>(T17-V17)+1</f>
        <v>46327</v>
      </c>
      <c r="AF17" s="57">
        <f>IF(AB17&gt;IF((V17-W17)&gt;0,V17-W17,0),0,IF(AB17&lt;IF((V17-W17)&gt;0,V17-W17,0),IF((V17-W17)&gt;0,V17-W17,0)-AB17,IF((V17-W17)&gt;0,V17-W17,0)))</f>
        <v>0</v>
      </c>
      <c r="AG17" s="48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0"/>
      <c r="AI17" s="60">
        <f>AA17-AH17</f>
        <v>960</v>
      </c>
      <c r="AJ17" s="61"/>
      <c r="AK17" s="55" t="str">
        <f>VLOOKUP(D17,'2.Bookinglist'!A:CT,40,FALSE)</f>
        <v>Dharaporn</v>
      </c>
      <c r="AL17" s="56" t="str">
        <f>VLOOKUP(D17,'2.Bookinglist'!A:CW,101,FALSE)</f>
        <v>2026-10-28</v>
      </c>
      <c r="AM17" s="56" t="str">
        <f>VLOOKUP(D17,'2.Bookinglist'!A:BK,63,FALSE)</f>
        <v>BKK27</v>
      </c>
      <c r="AN17" s="55" t="str">
        <f>VLOOKUP(D17,'2.Bookinglist'!A:AZ,52,FALSE)</f>
        <v>Pickup : 2026-10-22, Return : 2026-10-24</v>
      </c>
      <c r="AO17" s="55">
        <f>VLOOKUP(D17,'2.Bookinglist'!A:CY,103,FALSE)</f>
        <v>0</v>
      </c>
    </row>
    <row r="18" ht="12.95" customHeight="1" spans="1:41" x14ac:dyDescent="0.25">
      <c r="A18" s="3" t="s">
        <v>215</v>
      </c>
      <c r="B18" s="53" t="str">
        <f>IF(C18=Charge!$M$1,Charge!$J$1,IF(C18=Charge!$M$23,Charge!$J$23,IF(C18=Charge!$M$17,Charge!$J$17,IF(C18=Charge!$N$17,Charge!$J$17,Charge!$J$7))))</f>
        <v>G3</v>
      </c>
      <c r="C18" s="54" t="str">
        <f>VLOOKUP(A18,'1.Loading'!A:R,14,FALSE)</f>
        <v>BKK01</v>
      </c>
      <c r="D18" s="54" t="str">
        <f>VLOOKUP(A18,'1.Loading'!A:R,17,FALSE)</f>
        <v>HASLS22260902471</v>
      </c>
      <c r="E18" s="55" t="str">
        <f>VLOOKUP(D18,'2.Bookinglist'!A:CT,27,FALSE)</f>
        <v>BANGKOK STARCH INDUSTRIAL CO., LTD.</v>
      </c>
      <c r="F18" s="55" t="str">
        <f>VLOOKUP(D18,'2.Bookinglist'!A:CT,28,FALSE)</f>
        <v>BANGKOK STARCH INDUSTRIAL CO., LTD.</v>
      </c>
      <c r="G18" s="56">
        <f>VLOOKUP(D18,'2.Bookinglist'!A:E,5,FALSE)</f>
        <v>0</v>
      </c>
      <c r="H18" s="54" t="str">
        <f>VLOOKUP(D18,'2.Bookinglist'!A:CT,15,FALSE)</f>
        <v>THBKK</v>
      </c>
      <c r="I18" s="54" t="str">
        <f>VLOOKUP(D18,'2.Bookinglist'!A:CT,19,FALSE)</f>
        <v>JPSMZ</v>
      </c>
      <c r="J18" s="54" t="str">
        <f>VLOOKUP(D18,'2.Bookinglist'!A:CT,26,FALSE)</f>
        <v>KRPUS</v>
      </c>
      <c r="K18" s="54" t="str">
        <f>VLOOKUP(A18,'1.Loading'!A:R,5,FALSE)</f>
        <v>22GP</v>
      </c>
      <c r="L18" s="56" t="str">
        <f>VLOOKUP(D18,'2.Bookinglist'!A:CT,85,FALSE)</f>
        <v>CY/CY</v>
      </c>
      <c r="M18" s="56" t="str">
        <f>IF(VLOOKUP(D18,'2.Bookinglist'!A:CT,43,FALSE)=0,"","DG")</f>
        <v/>
      </c>
      <c r="N18" s="56" t="str">
        <f>IF(RIGHT(K18,2)="RE","RF","")</f>
        <v/>
      </c>
      <c r="O18" s="54" t="str">
        <f>VLOOKUP(A18,'1.Loading'!A:R,3,FALSE)</f>
        <v>SWVG</v>
      </c>
      <c r="P18" s="54" t="str">
        <f>VLOOKUP(A18,'1.Loading'!A:R,4,FALSE)</f>
        <v>2613N</v>
      </c>
      <c r="Q18" s="54" t="str">
        <f>VLOOKUP(D18,'2.Bookinglist'!A:CT,12,FALSE)</f>
        <v>VTS</v>
      </c>
      <c r="R18" s="56" t="str">
        <f>IF(LEFT(K18,2)="22","20'","40'")</f>
        <v>20'</v>
      </c>
      <c r="S18" s="38"/>
      <c r="T18" s="54" t="str">
        <f>VLOOKUP(A18,'1.Loading'!A:R,2,FALSE)</f>
        <v>2026-10-31</v>
      </c>
      <c r="U18" s="57">
        <f>T18-S18</f>
        <v>46326</v>
      </c>
      <c r="V18" s="58"/>
      <c r="W18" s="54" t="str">
        <f>VLOOKUP(A18,'3.GateMove'!A:D,4,FALSE)</f>
        <v>2026-10-26</v>
      </c>
      <c r="X18" s="57">
        <f>((T18-W18)+1)</f>
        <v>6</v>
      </c>
      <c r="Y18" s="59">
        <f>IF(AND(OR(C18="BKK01",C18="BKK04"),L18="CFS/CY"),0,IF(M18="DG",1,IF(LEFT(C18,3)="LCH",7,IF(C18="BKK02",5,3))))</f>
        <v>3</v>
      </c>
      <c r="Z18" s="57">
        <f>IF(IF(AND(AC18="TML",AB18&gt;0),((T18-W18)+1)-AB18,((T18-W18)+1)-Y18)&gt;0,IF(AND(AC18="TML",AB18&gt;0),((T18-W18)+1)-AB18,((T18-W18)+1)-Y18),0)</f>
        <v>3</v>
      </c>
      <c r="AA18" s="48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480</v>
      </c>
      <c r="AB18" s="53"/>
      <c r="AC18" s="53"/>
      <c r="AD18" s="56">
        <f>IF(M18="DG",3,IF(N18="RF",3,5))+IF(AND(LEFT(C18,3)="BKK",N18="RF",Q18="KTS"),1,0)+IF(Q18="KHS",1,0)</f>
        <v>5</v>
      </c>
      <c r="AE18" s="57">
        <f>(T18-V18)+1</f>
        <v>46327</v>
      </c>
      <c r="AF18" s="57">
        <f>IF(AB18&gt;IF((V18-W18)&gt;0,V18-W18,0),0,IF(AB18&lt;IF((V18-W18)&gt;0,V18-W18,0),IF((V18-W18)&gt;0,V18-W18,0)-AB18,IF((V18-W18)&gt;0,V18-W18,0)))</f>
        <v>0</v>
      </c>
      <c r="AG18" s="48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0"/>
      <c r="AI18" s="60">
        <f>AA18-AH18</f>
        <v>480</v>
      </c>
      <c r="AJ18" s="61"/>
      <c r="AK18" s="55" t="str">
        <f>VLOOKUP(D18,'2.Bookinglist'!A:CT,40,FALSE)</f>
        <v>Vilaiporn</v>
      </c>
      <c r="AL18" s="56" t="str">
        <f>VLOOKUP(D18,'2.Bookinglist'!A:CW,101,FALSE)</f>
        <v>2026-10-28</v>
      </c>
      <c r="AM18" s="56" t="str">
        <f>VLOOKUP(D18,'2.Bookinglist'!A:BK,63,FALSE)</f>
        <v>BKK25</v>
      </c>
      <c r="AN18" s="55" t="str">
        <f>VLOOKUP(D18,'2.Bookinglist'!A:AZ,52,FALSE)</f>
        <v>Pickup : 2026-10-24, Return : 2026-10-26 (EXTEND CLOSING DD.26/10/26 @23.59)</v>
      </c>
      <c r="AO18" s="55">
        <f>VLOOKUP(D18,'2.Bookinglist'!A:CY,103,FALSE)</f>
        <v>0</v>
      </c>
    </row>
    <row r="19" ht="12.95" customHeight="1" spans="1:41" x14ac:dyDescent="0.25">
      <c r="A19" s="3" t="s">
        <v>58</v>
      </c>
      <c r="B19" s="53" t="str">
        <f>IF(C19=Charge!$M$1,Charge!$J$1,IF(C19=Charge!$M$23,Charge!$J$23,IF(C19=Charge!$M$17,Charge!$J$17,IF(C19=Charge!$N$17,Charge!$J$17,Charge!$J$7))))</f>
        <v>G3</v>
      </c>
      <c r="C19" s="54" t="str">
        <f>VLOOKUP(A19,'1.Loading'!A:R,14,FALSE)</f>
        <v>BKK01</v>
      </c>
      <c r="D19" s="54" t="str">
        <f>VLOOKUP(A19,'1.Loading'!A:R,17,FALSE)</f>
        <v>HASLS22261000761</v>
      </c>
      <c r="E19" s="55" t="str">
        <f>VLOOKUP(D19,'2.Bookinglist'!A:CT,27,FALSE)</f>
        <v>TSL NIPPON (THAILAND) CO.,LTD.</v>
      </c>
      <c r="F19" s="55" t="str">
        <f>VLOOKUP(D19,'2.Bookinglist'!A:CT,28,FALSE)</f>
        <v>TK WAX COMPANY LIMITED</v>
      </c>
      <c r="G19" s="56">
        <f>VLOOKUP(D19,'2.Bookinglist'!A:E,5,FALSE)</f>
        <v>0</v>
      </c>
      <c r="H19" s="54" t="str">
        <f>VLOOKUP(D19,'2.Bookinglist'!A:CT,15,FALSE)</f>
        <v>THBKK</v>
      </c>
      <c r="I19" s="54" t="str">
        <f>VLOOKUP(D19,'2.Bookinglist'!A:CT,19,FALSE)</f>
        <v>HKHKG</v>
      </c>
      <c r="J19" s="54">
        <f>VLOOKUP(D19,'2.Bookinglist'!A:CT,26,FALSE)</f>
        <v>0</v>
      </c>
      <c r="K19" s="54" t="str">
        <f>VLOOKUP(A19,'1.Loading'!A:R,5,FALSE)</f>
        <v>45GP</v>
      </c>
      <c r="L19" s="56" t="str">
        <f>VLOOKUP(D19,'2.Bookinglist'!A:CT,85,FALSE)</f>
        <v>CY/CY</v>
      </c>
      <c r="M19" s="56" t="str">
        <f>IF(VLOOKUP(D19,'2.Bookinglist'!A:CT,43,FALSE)=0,"","DG")</f>
        <v/>
      </c>
      <c r="N19" s="56" t="str">
        <f>IF(RIGHT(K19,2)="RE","RF","")</f>
        <v/>
      </c>
      <c r="O19" s="54" t="str">
        <f>VLOOKUP(A19,'1.Loading'!A:R,3,FALSE)</f>
        <v>SWVG</v>
      </c>
      <c r="P19" s="54" t="str">
        <f>VLOOKUP(A19,'1.Loading'!A:R,4,FALSE)</f>
        <v>2613N</v>
      </c>
      <c r="Q19" s="54" t="str">
        <f>VLOOKUP(D19,'2.Bookinglist'!A:CT,12,FALSE)</f>
        <v>VTS</v>
      </c>
      <c r="R19" s="56" t="str">
        <f>IF(LEFT(K19,2)="22","20'","40'")</f>
        <v>40'</v>
      </c>
      <c r="S19" s="38"/>
      <c r="T19" s="54" t="str">
        <f>VLOOKUP(A19,'1.Loading'!A:R,2,FALSE)</f>
        <v>2026-10-31</v>
      </c>
      <c r="U19" s="57">
        <f>T19-S19</f>
        <v>46326</v>
      </c>
      <c r="V19" s="58"/>
      <c r="W19" s="54" t="str">
        <f>VLOOKUP(A19,'3.GateMove'!A:D,4,FALSE)</f>
        <v>2026-10-27</v>
      </c>
      <c r="X19" s="57">
        <f>((T19-W19)+1)</f>
        <v>5</v>
      </c>
      <c r="Y19" s="59">
        <f>IF(AND(OR(C19="BKK01",C19="BKK04"),L19="CFS/CY"),0,IF(M19="DG",1,IF(LEFT(C19,3)="LCH",7,IF(C19="BKK02",5,3))))</f>
        <v>3</v>
      </c>
      <c r="Z19" s="57">
        <f>IF(IF(AND(AC19="TML",AB19&gt;0),((T19-W19)+1)-AB19,((T19-W19)+1)-Y19)&gt;0,IF(AND(AC19="TML",AB19&gt;0),((T19-W19)+1)-AB19,((T19-W19)+1)-Y19),0)</f>
        <v>2</v>
      </c>
      <c r="AA19" s="48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640</v>
      </c>
      <c r="AB19" s="53"/>
      <c r="AC19" s="53"/>
      <c r="AD19" s="56">
        <f>IF(M19="DG",3,IF(N19="RF",3,5))+IF(AND(LEFT(C19,3)="BKK",N19="RF",Q19="KTS"),1,0)+IF(Q19="KHS",1,0)</f>
        <v>5</v>
      </c>
      <c r="AE19" s="57">
        <f>(T19-V19)+1</f>
        <v>46327</v>
      </c>
      <c r="AF19" s="57">
        <f>IF(AB19&gt;IF((V19-W19)&gt;0,V19-W19,0),0,IF(AB19&lt;IF((V19-W19)&gt;0,V19-W19,0),IF((V19-W19)&gt;0,V19-W19,0)-AB19,IF((V19-W19)&gt;0,V19-W19,0)))</f>
        <v>0</v>
      </c>
      <c r="AG19" s="48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0"/>
      <c r="AI19" s="60">
        <f>AA19-AH19</f>
        <v>640</v>
      </c>
      <c r="AJ19" s="61"/>
      <c r="AK19" s="55" t="str">
        <f>VLOOKUP(D19,'2.Bookinglist'!A:CT,40,FALSE)</f>
        <v>Nustsireerach</v>
      </c>
      <c r="AL19" s="56" t="str">
        <f>VLOOKUP(D19,'2.Bookinglist'!A:CW,101,FALSE)</f>
        <v>2026-10-29</v>
      </c>
      <c r="AM19" s="56" t="str">
        <f>VLOOKUP(D19,'2.Bookinglist'!A:BK,63,FALSE)</f>
        <v>BKK27</v>
      </c>
      <c r="AN19" s="55" t="str">
        <f>VLOOKUP(D19,'2.Bookinglist'!A:AZ,52,FALSE)</f>
        <v>Pickup : 2026-10-26, Return : 2026-10-27
CLS TIME DD.27/10/2026 @23.59</v>
      </c>
      <c r="AO19" s="55">
        <f>VLOOKUP(D19,'2.Bookinglist'!A:CY,103,FALSE)</f>
        <v>0</v>
      </c>
    </row>
    <row r="20" ht="12.95" customHeight="1" spans="1:41" x14ac:dyDescent="0.25">
      <c r="A20" s="3" t="s">
        <v>29</v>
      </c>
      <c r="B20" s="53" t="str">
        <f>IF(C20=Charge!$M$1,Charge!$J$1,IF(C20=Charge!$M$23,Charge!$J$23,IF(C20=Charge!$M$17,Charge!$J$17,IF(C20=Charge!$N$17,Charge!$J$17,Charge!$J$7))))</f>
        <v>G3</v>
      </c>
      <c r="C20" s="54" t="str">
        <f>VLOOKUP(A20,'1.Loading'!A:R,14,FALSE)</f>
        <v>BKK01</v>
      </c>
      <c r="D20" s="54" t="str">
        <f>VLOOKUP(A20,'1.Loading'!A:R,17,FALSE)</f>
        <v>HASLS22261001172</v>
      </c>
      <c r="E20" s="55" t="str">
        <f>VLOOKUP(D20,'2.Bookinglist'!A:CT,27,FALSE)</f>
        <v>JP FREIGHT INTERNATIONAL CO., LTD.</v>
      </c>
      <c r="F20" s="55" t="str">
        <f>VLOOKUP(D20,'2.Bookinglist'!A:CT,28,FALSE)</f>
        <v>SEOYOUNG RECYCLE CO.LTD.</v>
      </c>
      <c r="G20" s="56">
        <f>VLOOKUP(D20,'2.Bookinglist'!A:E,5,FALSE)</f>
        <v>0</v>
      </c>
      <c r="H20" s="54" t="str">
        <f>VLOOKUP(D20,'2.Bookinglist'!A:CT,15,FALSE)</f>
        <v>THBKK</v>
      </c>
      <c r="I20" s="54" t="str">
        <f>VLOOKUP(D20,'2.Bookinglist'!A:CT,19,FALSE)</f>
        <v>HKHKG</v>
      </c>
      <c r="J20" s="54">
        <f>VLOOKUP(D20,'2.Bookinglist'!A:CT,26,FALSE)</f>
        <v>0</v>
      </c>
      <c r="K20" s="54" t="str">
        <f>VLOOKUP(A20,'1.Loading'!A:R,5,FALSE)</f>
        <v>45GP</v>
      </c>
      <c r="L20" s="56" t="str">
        <f>VLOOKUP(D20,'2.Bookinglist'!A:CT,85,FALSE)</f>
        <v>CY/CY</v>
      </c>
      <c r="M20" s="56" t="str">
        <f>IF(VLOOKUP(D20,'2.Bookinglist'!A:CT,43,FALSE)=0,"","DG")</f>
        <v/>
      </c>
      <c r="N20" s="56" t="str">
        <f>IF(RIGHT(K20,2)="RE","RF","")</f>
        <v/>
      </c>
      <c r="O20" s="54" t="str">
        <f>VLOOKUP(A20,'1.Loading'!A:R,3,FALSE)</f>
        <v>SWVG</v>
      </c>
      <c r="P20" s="54" t="str">
        <f>VLOOKUP(A20,'1.Loading'!A:R,4,FALSE)</f>
        <v>2613N</v>
      </c>
      <c r="Q20" s="54" t="str">
        <f>VLOOKUP(D20,'2.Bookinglist'!A:CT,12,FALSE)</f>
        <v>VTS</v>
      </c>
      <c r="R20" s="56" t="str">
        <f>IF(LEFT(K20,2)="22","20'","40'")</f>
        <v>40'</v>
      </c>
      <c r="S20" s="38"/>
      <c r="T20" s="54" t="str">
        <f>VLOOKUP(A20,'1.Loading'!A:R,2,FALSE)</f>
        <v>2026-10-31</v>
      </c>
      <c r="U20" s="57">
        <f>T20-S20</f>
        <v>46326</v>
      </c>
      <c r="V20" s="58"/>
      <c r="W20" s="54" t="str">
        <f>VLOOKUP(A20,'3.GateMove'!A:D,4,FALSE)</f>
        <v>2026-10-25</v>
      </c>
      <c r="X20" s="57">
        <f>((T20-W20)+1)</f>
        <v>7</v>
      </c>
      <c r="Y20" s="59">
        <f>IF(AND(OR(C20="BKK01",C20="BKK04"),L20="CFS/CY"),0,IF(M20="DG",1,IF(LEFT(C20,3)="LCH",7,IF(C20="BKK02",5,3))))</f>
        <v>3</v>
      </c>
      <c r="Z20" s="57">
        <f>IF(IF(AND(AC20="TML",AB20&gt;0),((T20-W20)+1)-AB20,((T20-W20)+1)-Y20)&gt;0,IF(AND(AC20="TML",AB20&gt;0),((T20-W20)+1)-AB20,((T20-W20)+1)-Y20),0)</f>
        <v>4</v>
      </c>
      <c r="AA20" s="48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1280</v>
      </c>
      <c r="AB20" s="53"/>
      <c r="AC20" s="53"/>
      <c r="AD20" s="56">
        <f>IF(M20="DG",3,IF(N20="RF",3,5))+IF(AND(LEFT(C20,3)="BKK",N20="RF",Q20="KTS"),1,0)+IF(Q20="KHS",1,0)</f>
        <v>5</v>
      </c>
      <c r="AE20" s="57">
        <f>(T20-V20)+1</f>
        <v>46327</v>
      </c>
      <c r="AF20" s="57">
        <f>IF(AB20&gt;IF((V20-W20)&gt;0,V20-W20,0),0,IF(AB20&lt;IF((V20-W20)&gt;0,V20-W20,0),IF((V20-W20)&gt;0,V20-W20,0)-AB20,IF((V20-W20)&gt;0,V20-W20,0)))</f>
        <v>0</v>
      </c>
      <c r="AG20" s="48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0"/>
      <c r="AI20" s="60">
        <f>AA20-AH20</f>
        <v>1280</v>
      </c>
      <c r="AJ20" s="61"/>
      <c r="AK20" s="55" t="str">
        <f>VLOOKUP(D20,'2.Bookinglist'!A:CT,40,FALSE)</f>
        <v>Pattarapong Saengthong</v>
      </c>
      <c r="AL20" s="56" t="str">
        <f>VLOOKUP(D20,'2.Bookinglist'!A:CW,101,FALSE)</f>
        <v>2026-10-28</v>
      </c>
      <c r="AM20" s="56" t="str">
        <f>VLOOKUP(D20,'2.Bookinglist'!A:BK,63,FALSE)</f>
        <v>BKK27</v>
      </c>
      <c r="AN20" s="55" t="str">
        <f>VLOOKUP(D20,'2.Bookinglist'!A:AZ,52,FALSE)</f>
        <v>Pickup : 2026-10-24, Return : 2026-10-26</v>
      </c>
      <c r="AO20" s="55">
        <f>VLOOKUP(D20,'2.Bookinglist'!A:CY,103,FALSE)</f>
        <v>0</v>
      </c>
    </row>
    <row r="21" ht="12.95" customHeight="1" spans="1:41" x14ac:dyDescent="0.25">
      <c r="A21" s="3" t="s">
        <v>225</v>
      </c>
      <c r="B21" s="53" t="str">
        <f>IF(C21=Charge!$M$1,Charge!$J$1,IF(C21=Charge!$M$23,Charge!$J$23,IF(C21=Charge!$M$17,Charge!$J$17,IF(C21=Charge!$N$17,Charge!$J$17,Charge!$J$7))))</f>
        <v>G3</v>
      </c>
      <c r="C21" s="54" t="str">
        <f>VLOOKUP(A21,'1.Loading'!A:R,14,FALSE)</f>
        <v>BKK01</v>
      </c>
      <c r="D21" s="54" t="str">
        <f>VLOOKUP(A21,'1.Loading'!A:R,17,FALSE)</f>
        <v>HASLS22261000761</v>
      </c>
      <c r="E21" s="55" t="str">
        <f>VLOOKUP(D21,'2.Bookinglist'!A:CT,27,FALSE)</f>
        <v>TSL NIPPON (THAILAND) CO.,LTD.</v>
      </c>
      <c r="F21" s="55" t="str">
        <f>VLOOKUP(D21,'2.Bookinglist'!A:CT,28,FALSE)</f>
        <v>TK WAX COMPANY LIMITED</v>
      </c>
      <c r="G21" s="56">
        <f>VLOOKUP(D21,'2.Bookinglist'!A:E,5,FALSE)</f>
        <v>0</v>
      </c>
      <c r="H21" s="54" t="str">
        <f>VLOOKUP(D21,'2.Bookinglist'!A:CT,15,FALSE)</f>
        <v>THBKK</v>
      </c>
      <c r="I21" s="54" t="str">
        <f>VLOOKUP(D21,'2.Bookinglist'!A:CT,19,FALSE)</f>
        <v>HKHKG</v>
      </c>
      <c r="J21" s="54">
        <f>VLOOKUP(D21,'2.Bookinglist'!A:CT,26,FALSE)</f>
        <v>0</v>
      </c>
      <c r="K21" s="54" t="str">
        <f>VLOOKUP(A21,'1.Loading'!A:R,5,FALSE)</f>
        <v>45GP</v>
      </c>
      <c r="L21" s="56" t="str">
        <f>VLOOKUP(D21,'2.Bookinglist'!A:CT,85,FALSE)</f>
        <v>CY/CY</v>
      </c>
      <c r="M21" s="56" t="str">
        <f>IF(VLOOKUP(D21,'2.Bookinglist'!A:CT,43,FALSE)=0,"","DG")</f>
        <v/>
      </c>
      <c r="N21" s="56" t="str">
        <f>IF(RIGHT(K21,2)="RE","RF","")</f>
        <v/>
      </c>
      <c r="O21" s="54" t="str">
        <f>VLOOKUP(A21,'1.Loading'!A:R,3,FALSE)</f>
        <v>SWVG</v>
      </c>
      <c r="P21" s="54" t="str">
        <f>VLOOKUP(A21,'1.Loading'!A:R,4,FALSE)</f>
        <v>2613N</v>
      </c>
      <c r="Q21" s="54" t="str">
        <f>VLOOKUP(D21,'2.Bookinglist'!A:CT,12,FALSE)</f>
        <v>VTS</v>
      </c>
      <c r="R21" s="56" t="str">
        <f>IF(LEFT(K21,2)="22","20'","40'")</f>
        <v>40'</v>
      </c>
      <c r="S21" s="38"/>
      <c r="T21" s="54" t="str">
        <f>VLOOKUP(A21,'1.Loading'!A:R,2,FALSE)</f>
        <v>2026-10-31</v>
      </c>
      <c r="U21" s="57">
        <f>T21-S21</f>
        <v>46326</v>
      </c>
      <c r="V21" s="58"/>
      <c r="W21" s="54" t="str">
        <f>VLOOKUP(A21,'3.GateMove'!A:D,4,FALSE)</f>
        <v>2026-10-27</v>
      </c>
      <c r="X21" s="57">
        <f>((T21-W21)+1)</f>
        <v>5</v>
      </c>
      <c r="Y21" s="59">
        <f>IF(AND(OR(C21="BKK01",C21="BKK04"),L21="CFS/CY"),0,IF(M21="DG",1,IF(LEFT(C21,3)="LCH",7,IF(C21="BKK02",5,3))))</f>
        <v>3</v>
      </c>
      <c r="Z21" s="57">
        <f>IF(IF(AND(AC21="TML",AB21&gt;0),((T21-W21)+1)-AB21,((T21-W21)+1)-Y21)&gt;0,IF(AND(AC21="TML",AB21&gt;0),((T21-W21)+1)-AB21,((T21-W21)+1)-Y21),0)</f>
        <v>2</v>
      </c>
      <c r="AA21" s="48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640</v>
      </c>
      <c r="AB21" s="53"/>
      <c r="AC21" s="53"/>
      <c r="AD21" s="56">
        <f>IF(M21="DG",3,IF(N21="RF",3,5))+IF(AND(LEFT(C21,3)="BKK",N21="RF",Q21="KTS"),1,0)+IF(Q21="KHS",1,0)</f>
        <v>5</v>
      </c>
      <c r="AE21" s="57">
        <f>(T21-V21)+1</f>
        <v>46327</v>
      </c>
      <c r="AF21" s="57">
        <f>IF(AB21&gt;IF((V21-W21)&gt;0,V21-W21,0),0,IF(AB21&lt;IF((V21-W21)&gt;0,V21-W21,0),IF((V21-W21)&gt;0,V21-W21,0)-AB21,IF((V21-W21)&gt;0,V21-W21,0)))</f>
        <v>0</v>
      </c>
      <c r="AG21" s="48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0"/>
      <c r="AI21" s="60">
        <f>AA21-AH21</f>
        <v>640</v>
      </c>
      <c r="AJ21" s="61"/>
      <c r="AK21" s="55" t="str">
        <f>VLOOKUP(D21,'2.Bookinglist'!A:CT,40,FALSE)</f>
        <v>Nustsireerach</v>
      </c>
      <c r="AL21" s="56" t="str">
        <f>VLOOKUP(D21,'2.Bookinglist'!A:CW,101,FALSE)</f>
        <v>2026-10-29</v>
      </c>
      <c r="AM21" s="56" t="str">
        <f>VLOOKUP(D21,'2.Bookinglist'!A:BK,63,FALSE)</f>
        <v>BKK27</v>
      </c>
      <c r="AN21" s="55" t="str">
        <f>VLOOKUP(D21,'2.Bookinglist'!A:AZ,52,FALSE)</f>
        <v>Pickup : 2026-10-26, Return : 2026-10-27
CLS TIME DD.27/10/2026 @23.59</v>
      </c>
      <c r="AO21" s="55">
        <f>VLOOKUP(D21,'2.Bookinglist'!A:CY,103,FALSE)</f>
        <v>0</v>
      </c>
    </row>
    <row r="22" ht="12.95" customHeight="1" spans="1:41" x14ac:dyDescent="0.25">
      <c r="A22" s="3" t="s">
        <v>227</v>
      </c>
      <c r="B22" s="53" t="str">
        <f>IF(C22=Charge!$M$1,Charge!$J$1,IF(C22=Charge!$M$23,Charge!$J$23,IF(C22=Charge!$M$17,Charge!$J$17,IF(C22=Charge!$N$17,Charge!$J$17,Charge!$J$7))))</f>
        <v>G3</v>
      </c>
      <c r="C22" s="54" t="str">
        <f>VLOOKUP(A22,'1.Loading'!A:R,14,FALSE)</f>
        <v>BKK01</v>
      </c>
      <c r="D22" s="54" t="str">
        <f>VLOOKUP(A22,'1.Loading'!A:R,17,FALSE)</f>
        <v>HASLS22261000761</v>
      </c>
      <c r="E22" s="55" t="str">
        <f>VLOOKUP(D22,'2.Bookinglist'!A:CT,27,FALSE)</f>
        <v>TSL NIPPON (THAILAND) CO.,LTD.</v>
      </c>
      <c r="F22" s="55" t="str">
        <f>VLOOKUP(D22,'2.Bookinglist'!A:CT,28,FALSE)</f>
        <v>TK WAX COMPANY LIMITED</v>
      </c>
      <c r="G22" s="56">
        <f>VLOOKUP(D22,'2.Bookinglist'!A:E,5,FALSE)</f>
        <v>0</v>
      </c>
      <c r="H22" s="54" t="str">
        <f>VLOOKUP(D22,'2.Bookinglist'!A:CT,15,FALSE)</f>
        <v>THBKK</v>
      </c>
      <c r="I22" s="54" t="str">
        <f>VLOOKUP(D22,'2.Bookinglist'!A:CT,19,FALSE)</f>
        <v>HKHKG</v>
      </c>
      <c r="J22" s="54">
        <f>VLOOKUP(D22,'2.Bookinglist'!A:CT,26,FALSE)</f>
        <v>0</v>
      </c>
      <c r="K22" s="54" t="str">
        <f>VLOOKUP(A22,'1.Loading'!A:R,5,FALSE)</f>
        <v>45GP</v>
      </c>
      <c r="L22" s="56" t="str">
        <f>VLOOKUP(D22,'2.Bookinglist'!A:CT,85,FALSE)</f>
        <v>CY/CY</v>
      </c>
      <c r="M22" s="56" t="str">
        <f>IF(VLOOKUP(D22,'2.Bookinglist'!A:CT,43,FALSE)=0,"","DG")</f>
        <v/>
      </c>
      <c r="N22" s="56" t="str">
        <f>IF(RIGHT(K22,2)="RE","RF","")</f>
        <v/>
      </c>
      <c r="O22" s="54" t="str">
        <f>VLOOKUP(A22,'1.Loading'!A:R,3,FALSE)</f>
        <v>SWVG</v>
      </c>
      <c r="P22" s="54" t="str">
        <f>VLOOKUP(A22,'1.Loading'!A:R,4,FALSE)</f>
        <v>2613N</v>
      </c>
      <c r="Q22" s="54" t="str">
        <f>VLOOKUP(D22,'2.Bookinglist'!A:CT,12,FALSE)</f>
        <v>VTS</v>
      </c>
      <c r="R22" s="56" t="str">
        <f>IF(LEFT(K22,2)="22","20'","40'")</f>
        <v>40'</v>
      </c>
      <c r="S22" s="38"/>
      <c r="T22" s="54" t="str">
        <f>VLOOKUP(A22,'1.Loading'!A:R,2,FALSE)</f>
        <v>2026-10-31</v>
      </c>
      <c r="U22" s="57">
        <f>T22-S22</f>
        <v>46326</v>
      </c>
      <c r="V22" s="58"/>
      <c r="W22" s="54" t="str">
        <f>VLOOKUP(A22,'3.GateMove'!A:D,4,FALSE)</f>
        <v>2026-10-27</v>
      </c>
      <c r="X22" s="57">
        <f>((T22-W22)+1)</f>
        <v>5</v>
      </c>
      <c r="Y22" s="59">
        <f>IF(AND(OR(C22="BKK01",C22="BKK04"),L22="CFS/CY"),0,IF(M22="DG",1,IF(LEFT(C22,3)="LCH",7,IF(C22="BKK02",5,3))))</f>
        <v>3</v>
      </c>
      <c r="Z22" s="57">
        <f>IF(IF(AND(AC22="TML",AB22&gt;0),((T22-W22)+1)-AB22,((T22-W22)+1)-Y22)&gt;0,IF(AND(AC22="TML",AB22&gt;0),((T22-W22)+1)-AB22,((T22-W22)+1)-Y22),0)</f>
        <v>2</v>
      </c>
      <c r="AA22" s="48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640</v>
      </c>
      <c r="AB22" s="53"/>
      <c r="AC22" s="53"/>
      <c r="AD22" s="56">
        <f>IF(M22="DG",3,IF(N22="RF",3,5))+IF(AND(LEFT(C22,3)="BKK",N22="RF",Q22="KTS"),1,0)+IF(Q22="KHS",1,0)</f>
        <v>5</v>
      </c>
      <c r="AE22" s="57">
        <f>(T22-V22)+1</f>
        <v>46327</v>
      </c>
      <c r="AF22" s="57">
        <f>IF(AB22&gt;IF((V22-W22)&gt;0,V22-W22,0),0,IF(AB22&lt;IF((V22-W22)&gt;0,V22-W22,0),IF((V22-W22)&gt;0,V22-W22,0)-AB22,IF((V22-W22)&gt;0,V22-W22,0)))</f>
        <v>0</v>
      </c>
      <c r="AG22" s="48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0"/>
      <c r="AI22" s="60">
        <f>AA22-AH22</f>
        <v>640</v>
      </c>
      <c r="AJ22" s="61"/>
      <c r="AK22" s="55" t="str">
        <f>VLOOKUP(D22,'2.Bookinglist'!A:CT,40,FALSE)</f>
        <v>Nustsireerach</v>
      </c>
      <c r="AL22" s="56" t="str">
        <f>VLOOKUP(D22,'2.Bookinglist'!A:CW,101,FALSE)</f>
        <v>2026-10-29</v>
      </c>
      <c r="AM22" s="56" t="str">
        <f>VLOOKUP(D22,'2.Bookinglist'!A:BK,63,FALSE)</f>
        <v>BKK27</v>
      </c>
      <c r="AN22" s="55" t="str">
        <f>VLOOKUP(D22,'2.Bookinglist'!A:AZ,52,FALSE)</f>
        <v>Pickup : 2026-10-26, Return : 2026-10-27
CLS TIME DD.27/10/2026 @23.59</v>
      </c>
      <c r="AO22" s="55">
        <f>VLOOKUP(D22,'2.Bookinglist'!A:CY,103,FALSE)</f>
        <v>0</v>
      </c>
    </row>
    <row r="23" ht="12.95" customHeight="1" spans="1:41" x14ac:dyDescent="0.25">
      <c r="A23" s="3" t="s">
        <v>78</v>
      </c>
      <c r="B23" s="53" t="str">
        <f>IF(C23=Charge!$M$1,Charge!$J$1,IF(C23=Charge!$M$23,Charge!$J$23,IF(C23=Charge!$M$17,Charge!$J$17,IF(C23=Charge!$N$17,Charge!$J$17,Charge!$J$7))))</f>
        <v>G3</v>
      </c>
      <c r="C23" s="54" t="str">
        <f>VLOOKUP(A23,'1.Loading'!A:R,14,FALSE)</f>
        <v>BKK01</v>
      </c>
      <c r="D23" s="54" t="str">
        <f>VLOOKUP(A23,'1.Loading'!A:R,17,FALSE)</f>
        <v>HASLS22260900966</v>
      </c>
      <c r="E23" s="55" t="str">
        <f>VLOOKUP(D23,'2.Bookinglist'!A:CT,27,FALSE)</f>
        <v>YOTSIAM CO., LTD.</v>
      </c>
      <c r="F23" s="55" t="str">
        <f>VLOOKUP(D23,'2.Bookinglist'!A:CT,28,FALSE)</f>
        <v>YOTSIAM CO., LTD.</v>
      </c>
      <c r="G23" s="56">
        <f>VLOOKUP(D23,'2.Bookinglist'!A:E,5,FALSE)</f>
        <v>0</v>
      </c>
      <c r="H23" s="54" t="str">
        <f>VLOOKUP(D23,'2.Bookinglist'!A:CT,15,FALSE)</f>
        <v>THBKK</v>
      </c>
      <c r="I23" s="54" t="str">
        <f>VLOOKUP(D23,'2.Bookinglist'!A:CT,19,FALSE)</f>
        <v>HKHKG</v>
      </c>
      <c r="J23" s="54">
        <f>VLOOKUP(D23,'2.Bookinglist'!A:CT,26,FALSE)</f>
        <v>0</v>
      </c>
      <c r="K23" s="54" t="str">
        <f>VLOOKUP(A23,'1.Loading'!A:R,5,FALSE)</f>
        <v>22RE</v>
      </c>
      <c r="L23" s="56" t="str">
        <f>VLOOKUP(D23,'2.Bookinglist'!A:CT,85,FALSE)</f>
        <v>CY/CY</v>
      </c>
      <c r="M23" s="56" t="str">
        <f>IF(VLOOKUP(D23,'2.Bookinglist'!A:CT,43,FALSE)=0,"","DG")</f>
        <v/>
      </c>
      <c r="N23" s="56" t="str">
        <f>IF(RIGHT(K23,2)="RE","RF","")</f>
        <v>RF</v>
      </c>
      <c r="O23" s="54" t="str">
        <f>VLOOKUP(A23,'1.Loading'!A:R,3,FALSE)</f>
        <v>SWVG</v>
      </c>
      <c r="P23" s="54" t="str">
        <f>VLOOKUP(A23,'1.Loading'!A:R,4,FALSE)</f>
        <v>2613N</v>
      </c>
      <c r="Q23" s="54" t="str">
        <f>VLOOKUP(D23,'2.Bookinglist'!A:CT,12,FALSE)</f>
        <v>VTS</v>
      </c>
      <c r="R23" s="56" t="str">
        <f>IF(LEFT(K23,2)="22","20'","40'")</f>
        <v>20'</v>
      </c>
      <c r="S23" s="38"/>
      <c r="T23" s="54" t="str">
        <f>VLOOKUP(A23,'1.Loading'!A:R,2,FALSE)</f>
        <v>2026-10-31</v>
      </c>
      <c r="U23" s="57">
        <f>T23-S23</f>
        <v>46326</v>
      </c>
      <c r="V23" s="58"/>
      <c r="W23" s="54" t="str">
        <f>VLOOKUP(A23,'3.GateMove'!A:D,4,FALSE)</f>
        <v>2026-10-24</v>
      </c>
      <c r="X23" s="57">
        <f>((T23-W23)+1)</f>
        <v>8</v>
      </c>
      <c r="Y23" s="59">
        <f>IF(AND(OR(C23="BKK01",C23="BKK04"),L23="CFS/CY"),0,IF(M23="DG",1,IF(LEFT(C23,3)="LCH",7,IF(C23="BKK02",5,3))))</f>
        <v>3</v>
      </c>
      <c r="Z23" s="57">
        <f>IF(IF(AND(AC23="TML",AB23&gt;0),((T23-W23)+1)-AB23,((T23-W23)+1)-Y23)&gt;0,IF(AND(AC23="TML",AB23&gt;0),((T23-W23)+1)-AB23,((T23-W23)+1)-Y23),0)</f>
        <v>5</v>
      </c>
      <c r="AA23" s="48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800</v>
      </c>
      <c r="AB23" s="53"/>
      <c r="AC23" s="53"/>
      <c r="AD23" s="56">
        <f>IF(M23="DG",3,IF(N23="RF",3,5))+IF(AND(LEFT(C23,3)="BKK",N23="RF",Q23="KTS"),1,0)+IF(Q23="KHS",1,0)</f>
        <v>3</v>
      </c>
      <c r="AE23" s="57">
        <f>(T23-V23)+1</f>
        <v>46327</v>
      </c>
      <c r="AF23" s="57">
        <f>IF(AB23&gt;IF((V23-W23)&gt;0,V23-W23,0),0,IF(AB23&lt;IF((V23-W23)&gt;0,V23-W23,0),IF((V23-W23)&gt;0,V23-W23,0)-AB23,IF((V23-W23)&gt;0,V23-W23,0)))</f>
        <v>0</v>
      </c>
      <c r="AG23" s="48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0"/>
      <c r="AI23" s="60">
        <f>AA23-AH23</f>
        <v>800</v>
      </c>
      <c r="AJ23" s="61"/>
      <c r="AK23" s="55" t="str">
        <f>VLOOKUP(D23,'2.Bookinglist'!A:CT,40,FALSE)</f>
        <v>Tarn(Supaporn)</v>
      </c>
      <c r="AL23" s="56" t="str">
        <f>VLOOKUP(D23,'2.Bookinglist'!A:CW,101,FALSE)</f>
        <v>2026-10-28</v>
      </c>
      <c r="AM23" s="56" t="str">
        <f>VLOOKUP(D23,'2.Bookinglist'!A:BK,63,FALSE)</f>
        <v>BKK27</v>
      </c>
      <c r="AN23" s="55" t="str">
        <f>VLOOKUP(D23,'2.Bookinglist'!A:AZ,52,FALSE)</f>
        <v>Pickup : 2026-10-22, Return : 2026-10-24 (Temp +2.0 / Vent 10% Open)
 CLS TIME 26/10 @18.00 [1ST RTN 25/10 W/O ELECTRIC] 
3 SHPR LOAD 1 CNEE S/YOTSIAM CO.,LTD.  S/AMLINE SERVICES CO.,LTD  S/NITTAYA THAI CURRY</v>
      </c>
      <c r="AO23" s="55">
        <f>VLOOKUP(D23,'2.Bookinglist'!A:CY,103,FALSE)</f>
        <v>0</v>
      </c>
    </row>
    <row r="24" ht="12.95" customHeight="1" spans="1:41" x14ac:dyDescent="0.25">
      <c r="A24" s="3" t="s">
        <v>111</v>
      </c>
      <c r="B24" s="53" t="str">
        <f>IF(C24=Charge!$M$1,Charge!$J$1,IF(C24=Charge!$M$23,Charge!$J$23,IF(C24=Charge!$M$17,Charge!$J$17,IF(C24=Charge!$N$17,Charge!$J$17,Charge!$J$7))))</f>
        <v>G3</v>
      </c>
      <c r="C24" s="54" t="str">
        <f>VLOOKUP(A24,'1.Loading'!A:R,14,FALSE)</f>
        <v>BKK01</v>
      </c>
      <c r="D24" s="54" t="str">
        <f>VLOOKUP(A24,'1.Loading'!A:R,17,FALSE)</f>
        <v>HASLS22261000109</v>
      </c>
      <c r="E24" s="55" t="str">
        <f>VLOOKUP(D24,'2.Bookinglist'!A:CT,27,FALSE)</f>
        <v>NIPPON EXPRESS LOGISTICS (THAILAND) CO., LTD.</v>
      </c>
      <c r="F24" s="55" t="str">
        <f>VLOOKUP(D24,'2.Bookinglist'!A:CT,28,FALSE)</f>
        <v>TOYO SEIKAN (THAILAND) CO., LTD.</v>
      </c>
      <c r="G24" s="56">
        <f>VLOOKUP(D24,'2.Bookinglist'!A:E,5,FALSE)</f>
        <v>0</v>
      </c>
      <c r="H24" s="54" t="str">
        <f>VLOOKUP(D24,'2.Bookinglist'!A:CT,15,FALSE)</f>
        <v>THBKK</v>
      </c>
      <c r="I24" s="54" t="str">
        <f>VLOOKUP(D24,'2.Bookinglist'!A:CT,19,FALSE)</f>
        <v>HKHKG</v>
      </c>
      <c r="J24" s="54">
        <f>VLOOKUP(D24,'2.Bookinglist'!A:CT,26,FALSE)</f>
        <v>0</v>
      </c>
      <c r="K24" s="54" t="str">
        <f>VLOOKUP(A24,'1.Loading'!A:R,5,FALSE)</f>
        <v>45GP</v>
      </c>
      <c r="L24" s="56" t="str">
        <f>VLOOKUP(D24,'2.Bookinglist'!A:CT,85,FALSE)</f>
        <v>CY/CY</v>
      </c>
      <c r="M24" s="56" t="str">
        <f>IF(VLOOKUP(D24,'2.Bookinglist'!A:CT,43,FALSE)=0,"","DG")</f>
        <v/>
      </c>
      <c r="N24" s="56" t="str">
        <f>IF(RIGHT(K24,2)="RE","RF","")</f>
        <v/>
      </c>
      <c r="O24" s="54" t="str">
        <f>VLOOKUP(A24,'1.Loading'!A:R,3,FALSE)</f>
        <v>SWVG</v>
      </c>
      <c r="P24" s="54" t="str">
        <f>VLOOKUP(A24,'1.Loading'!A:R,4,FALSE)</f>
        <v>2613N</v>
      </c>
      <c r="Q24" s="54" t="str">
        <f>VLOOKUP(D24,'2.Bookinglist'!A:CT,12,FALSE)</f>
        <v>VTS</v>
      </c>
      <c r="R24" s="56" t="str">
        <f>IF(LEFT(K24,2)="22","20'","40'")</f>
        <v>40'</v>
      </c>
      <c r="S24" s="38"/>
      <c r="T24" s="54" t="str">
        <f>VLOOKUP(A24,'1.Loading'!A:R,2,FALSE)</f>
        <v>2026-10-31</v>
      </c>
      <c r="U24" s="57">
        <f>T24-S24</f>
        <v>46326</v>
      </c>
      <c r="V24" s="58"/>
      <c r="W24" s="54" t="str">
        <f>VLOOKUP(A24,'3.GateMove'!A:D,4,FALSE)</f>
        <v>2026-10-27</v>
      </c>
      <c r="X24" s="57">
        <f>((T24-W24)+1)</f>
        <v>5</v>
      </c>
      <c r="Y24" s="59">
        <f>IF(AND(OR(C24="BKK01",C24="BKK04"),L24="CFS/CY"),0,IF(M24="DG",1,IF(LEFT(C24,3)="LCH",7,IF(C24="BKK02",5,3))))</f>
        <v>3</v>
      </c>
      <c r="Z24" s="57">
        <f>IF(IF(AND(AC24="TML",AB24&gt;0),((T24-W24)+1)-AB24,((T24-W24)+1)-Y24)&gt;0,IF(AND(AC24="TML",AB24&gt;0),((T24-W24)+1)-AB24,((T24-W24)+1)-Y24),0)</f>
        <v>2</v>
      </c>
      <c r="AA24" s="48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640</v>
      </c>
      <c r="AB24" s="53"/>
      <c r="AC24" s="53"/>
      <c r="AD24" s="56">
        <f>IF(M24="DG",3,IF(N24="RF",3,5))+IF(AND(LEFT(C24,3)="BKK",N24="RF",Q24="KTS"),1,0)+IF(Q24="KHS",1,0)</f>
        <v>5</v>
      </c>
      <c r="AE24" s="57">
        <f>(T24-V24)+1</f>
        <v>46327</v>
      </c>
      <c r="AF24" s="57">
        <f>IF(AB24&gt;IF((V24-W24)&gt;0,V24-W24,0),0,IF(AB24&lt;IF((V24-W24)&gt;0,V24-W24,0),IF((V24-W24)&gt;0,V24-W24,0)-AB24,IF((V24-W24)&gt;0,V24-W24,0)))</f>
        <v>0</v>
      </c>
      <c r="AG24" s="48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0"/>
      <c r="AI24" s="60">
        <f>AA24-AH24</f>
        <v>640</v>
      </c>
      <c r="AJ24" s="61"/>
      <c r="AK24" s="55" t="str">
        <f>VLOOKUP(D24,'2.Bookinglist'!A:CT,40,FALSE)</f>
        <v>Vilaiporn</v>
      </c>
      <c r="AL24" s="56" t="str">
        <f>VLOOKUP(D24,'2.Bookinglist'!A:CW,101,FALSE)</f>
        <v>2026-10-28</v>
      </c>
      <c r="AM24" s="56" t="str">
        <f>VLOOKUP(D24,'2.Bookinglist'!A:BK,63,FALSE)</f>
        <v>BKK27</v>
      </c>
      <c r="AN24" s="55" t="str">
        <f>VLOOKUP(D24,'2.Bookinglist'!A:AZ,52,FALSE)</f>
        <v>Pickup : 2026-10-24, Return : 2026-10-26  CLS TIME DD.26/2359HRS
 </v>
      </c>
      <c r="AO24" s="55">
        <f>VLOOKUP(D24,'2.Bookinglist'!A:CY,103,FALSE)</f>
        <v>0</v>
      </c>
    </row>
    <row r="25" ht="12.95" customHeight="1" spans="1:41" x14ac:dyDescent="0.25">
      <c r="A25" s="3" t="s">
        <v>103</v>
      </c>
      <c r="B25" s="53" t="str">
        <f>IF(C25=Charge!$M$1,Charge!$J$1,IF(C25=Charge!$M$23,Charge!$J$23,IF(C25=Charge!$M$17,Charge!$J$17,IF(C25=Charge!$N$17,Charge!$J$17,Charge!$J$7))))</f>
        <v>G3</v>
      </c>
      <c r="C25" s="54" t="str">
        <f>VLOOKUP(A25,'1.Loading'!A:R,14,FALSE)</f>
        <v>BKK01</v>
      </c>
      <c r="D25" s="54" t="str">
        <f>VLOOKUP(A25,'1.Loading'!A:R,17,FALSE)</f>
        <v>HASLS22260901735</v>
      </c>
      <c r="E25" s="55" t="str">
        <f>VLOOKUP(D25,'2.Bookinglist'!A:CT,27,FALSE)</f>
        <v>I.P. ONE COMPANY LIMITED</v>
      </c>
      <c r="F25" s="55" t="str">
        <f>VLOOKUP(D25,'2.Bookinglist'!A:CT,28,FALSE)</f>
        <v>I.P. ONE COMPANY LIMITED</v>
      </c>
      <c r="G25" s="56">
        <f>VLOOKUP(D25,'2.Bookinglist'!A:E,5,FALSE)</f>
        <v>0</v>
      </c>
      <c r="H25" s="54" t="str">
        <f>VLOOKUP(D25,'2.Bookinglist'!A:CT,15,FALSE)</f>
        <v>THBKK</v>
      </c>
      <c r="I25" s="54" t="str">
        <f>VLOOKUP(D25,'2.Bookinglist'!A:CT,19,FALSE)</f>
        <v>RUVVO</v>
      </c>
      <c r="J25" s="54" t="str">
        <f>VLOOKUP(D25,'2.Bookinglist'!A:CT,26,FALSE)</f>
        <v>KRPUS</v>
      </c>
      <c r="K25" s="54" t="str">
        <f>VLOOKUP(A25,'1.Loading'!A:R,5,FALSE)</f>
        <v>45GP</v>
      </c>
      <c r="L25" s="56" t="str">
        <f>VLOOKUP(D25,'2.Bookinglist'!A:CT,85,FALSE)</f>
        <v>CY/CY</v>
      </c>
      <c r="M25" s="56" t="str">
        <f>IF(VLOOKUP(D25,'2.Bookinglist'!A:CT,43,FALSE)=0,"","DG")</f>
        <v/>
      </c>
      <c r="N25" s="56" t="str">
        <f>IF(RIGHT(K25,2)="RE","RF","")</f>
        <v/>
      </c>
      <c r="O25" s="54" t="str">
        <f>VLOOKUP(A25,'1.Loading'!A:R,3,FALSE)</f>
        <v>SWVG</v>
      </c>
      <c r="P25" s="54" t="str">
        <f>VLOOKUP(A25,'1.Loading'!A:R,4,FALSE)</f>
        <v>2613N</v>
      </c>
      <c r="Q25" s="54" t="str">
        <f>VLOOKUP(D25,'2.Bookinglist'!A:CT,12,FALSE)</f>
        <v>VTS</v>
      </c>
      <c r="R25" s="56" t="str">
        <f>IF(LEFT(K25,2)="22","20'","40'")</f>
        <v>40'</v>
      </c>
      <c r="S25" s="38"/>
      <c r="T25" s="54" t="str">
        <f>VLOOKUP(A25,'1.Loading'!A:R,2,FALSE)</f>
        <v>2026-10-31</v>
      </c>
      <c r="U25" s="57">
        <f>T25-S25</f>
        <v>46326</v>
      </c>
      <c r="V25" s="58"/>
      <c r="W25" s="54" t="str">
        <f>VLOOKUP(A25,'3.GateMove'!A:D,4,FALSE)</f>
        <v>2026-10-29</v>
      </c>
      <c r="X25" s="57">
        <f>((T25-W25)+1)</f>
        <v>3</v>
      </c>
      <c r="Y25" s="59">
        <f>IF(AND(OR(C25="BKK01",C25="BKK04"),L25="CFS/CY"),0,IF(M25="DG",1,IF(LEFT(C25,3)="LCH",7,IF(C25="BKK02",5,3))))</f>
        <v>3</v>
      </c>
      <c r="Z25" s="57">
        <f>IF(IF(AND(AC25="TML",AB25&gt;0),((T25-W25)+1)-AB25,((T25-W25)+1)-Y25)&gt;0,IF(AND(AC25="TML",AB25&gt;0),((T25-W25)+1)-AB25,((T25-W25)+1)-Y25),0)</f>
        <v>0</v>
      </c>
      <c r="AA25" s="48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53"/>
      <c r="AC25" s="53"/>
      <c r="AD25" s="56">
        <f>IF(M25="DG",3,IF(N25="RF",3,5))+IF(AND(LEFT(C25,3)="BKK",N25="RF",Q25="KTS"),1,0)+IF(Q25="KHS",1,0)</f>
        <v>5</v>
      </c>
      <c r="AE25" s="57">
        <f>(T25-V25)+1</f>
        <v>46327</v>
      </c>
      <c r="AF25" s="57">
        <f>IF(AB25&gt;IF((V25-W25)&gt;0,V25-W25,0),0,IF(AB25&lt;IF((V25-W25)&gt;0,V25-W25,0),IF((V25-W25)&gt;0,V25-W25,0)-AB25,IF((V25-W25)&gt;0,V25-W25,0)))</f>
        <v>0</v>
      </c>
      <c r="AG25" s="48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0"/>
      <c r="AI25" s="60">
        <f>AA25-AH25</f>
        <v>0</v>
      </c>
      <c r="AJ25" s="61"/>
      <c r="AK25" s="55" t="str">
        <f>VLOOKUP(D25,'2.Bookinglist'!A:CT,40,FALSE)</f>
        <v>KIM JEONG HWAN</v>
      </c>
      <c r="AL25" s="56" t="str">
        <f>VLOOKUP(D25,'2.Bookinglist'!A:CW,101,FALSE)</f>
        <v>2026-10-29</v>
      </c>
      <c r="AM25" s="56" t="str">
        <f>VLOOKUP(D25,'2.Bookinglist'!A:BK,63,FALSE)</f>
        <v>BKK27</v>
      </c>
      <c r="AN25" s="55" t="str">
        <f>VLOOKUP(D25,'2.Bookinglist'!A:AZ,52,FALSE)</f>
        <v>[FIX]SWVG/2613N/11/07[FIX] CY-RTN : 28-29/10/2026
Booking No.18715
RQST CNTR GRADE A
</v>
      </c>
      <c r="AO25" s="55">
        <f>VLOOKUP(D25,'2.Bookinglist'!A:CY,103,FALSE)</f>
        <v>0</v>
      </c>
    </row>
    <row r="26" ht="12.95" customHeight="1" spans="1:41" x14ac:dyDescent="0.25">
      <c r="A26" s="3" t="s">
        <v>98</v>
      </c>
      <c r="B26" s="53" t="str">
        <f>IF(C26=Charge!$M$1,Charge!$J$1,IF(C26=Charge!$M$23,Charge!$J$23,IF(C26=Charge!$M$17,Charge!$J$17,IF(C26=Charge!$N$17,Charge!$J$17,Charge!$J$7))))</f>
        <v>G3</v>
      </c>
      <c r="C26" s="54" t="str">
        <f>VLOOKUP(A26,'1.Loading'!A:R,14,FALSE)</f>
        <v>BKK01</v>
      </c>
      <c r="D26" s="54" t="str">
        <f>VLOOKUP(A26,'1.Loading'!A:R,17,FALSE)</f>
        <v>HASLS22261000762</v>
      </c>
      <c r="E26" s="55" t="str">
        <f>VLOOKUP(D26,'2.Bookinglist'!A:CT,27,FALSE)</f>
        <v>DIMERCO EXPRESS (THAILAND) CO., LTD.</v>
      </c>
      <c r="F26" s="55" t="str">
        <f>VLOOKUP(D26,'2.Bookinglist'!A:CT,28,FALSE)</f>
        <v>CAL-COMP ELECTRONICS (THAILAND) PUBLIC COMPANY LIMITED</v>
      </c>
      <c r="G26" s="56">
        <f>VLOOKUP(D26,'2.Bookinglist'!A:E,5,FALSE)</f>
        <v>0</v>
      </c>
      <c r="H26" s="54" t="str">
        <f>VLOOKUP(D26,'2.Bookinglist'!A:CT,15,FALSE)</f>
        <v>THBKK</v>
      </c>
      <c r="I26" s="54" t="str">
        <f>VLOOKUP(D26,'2.Bookinglist'!A:CT,19,FALSE)</f>
        <v>HKHKG</v>
      </c>
      <c r="J26" s="54">
        <f>VLOOKUP(D26,'2.Bookinglist'!A:CT,26,FALSE)</f>
        <v>0</v>
      </c>
      <c r="K26" s="54" t="str">
        <f>VLOOKUP(A26,'1.Loading'!A:R,5,FALSE)</f>
        <v>45GP</v>
      </c>
      <c r="L26" s="56" t="str">
        <f>VLOOKUP(D26,'2.Bookinglist'!A:CT,85,FALSE)</f>
        <v>CY/CY</v>
      </c>
      <c r="M26" s="56" t="str">
        <f>IF(VLOOKUP(D26,'2.Bookinglist'!A:CT,43,FALSE)=0,"","DG")</f>
        <v/>
      </c>
      <c r="N26" s="56" t="str">
        <f>IF(RIGHT(K26,2)="RE","RF","")</f>
        <v/>
      </c>
      <c r="O26" s="54" t="str">
        <f>VLOOKUP(A26,'1.Loading'!A:R,3,FALSE)</f>
        <v>SWVG</v>
      </c>
      <c r="P26" s="54" t="str">
        <f>VLOOKUP(A26,'1.Loading'!A:R,4,FALSE)</f>
        <v>2613N</v>
      </c>
      <c r="Q26" s="54" t="str">
        <f>VLOOKUP(D26,'2.Bookinglist'!A:CT,12,FALSE)</f>
        <v>VTS</v>
      </c>
      <c r="R26" s="56" t="str">
        <f>IF(LEFT(K26,2)="22","20'","40'")</f>
        <v>40'</v>
      </c>
      <c r="S26" s="38"/>
      <c r="T26" s="54" t="str">
        <f>VLOOKUP(A26,'1.Loading'!A:R,2,FALSE)</f>
        <v>2026-10-31</v>
      </c>
      <c r="U26" s="57">
        <f>T26-S26</f>
        <v>46326</v>
      </c>
      <c r="V26" s="58"/>
      <c r="W26" s="54" t="str">
        <f>VLOOKUP(A26,'3.GateMove'!A:D,4,FALSE)</f>
        <v>2026-10-26</v>
      </c>
      <c r="X26" s="57">
        <f>((T26-W26)+1)</f>
        <v>6</v>
      </c>
      <c r="Y26" s="59">
        <f>IF(AND(OR(C26="BKK01",C26="BKK04"),L26="CFS/CY"),0,IF(M26="DG",1,IF(LEFT(C26,3)="LCH",7,IF(C26="BKK02",5,3))))</f>
        <v>3</v>
      </c>
      <c r="Z26" s="57">
        <f>IF(IF(AND(AC26="TML",AB26&gt;0),((T26-W26)+1)-AB26,((T26-W26)+1)-Y26)&gt;0,IF(AND(AC26="TML",AB26&gt;0),((T26-W26)+1)-AB26,((T26-W26)+1)-Y26),0)</f>
        <v>3</v>
      </c>
      <c r="AA26" s="48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53"/>
      <c r="AC26" s="53"/>
      <c r="AD26" s="56">
        <f>IF(M26="DG",3,IF(N26="RF",3,5))+IF(AND(LEFT(C26,3)="BKK",N26="RF",Q26="KTS"),1,0)+IF(Q26="KHS",1,0)</f>
        <v>5</v>
      </c>
      <c r="AE26" s="57">
        <f>(T26-V26)+1</f>
        <v>46327</v>
      </c>
      <c r="AF26" s="57">
        <f>IF(AB26&gt;IF((V26-W26)&gt;0,V26-W26,0),0,IF(AB26&lt;IF((V26-W26)&gt;0,V26-W26,0),IF((V26-W26)&gt;0,V26-W26,0)-AB26,IF((V26-W26)&gt;0,V26-W26,0)))</f>
        <v>0</v>
      </c>
      <c r="AG26" s="48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0"/>
      <c r="AI26" s="60">
        <f>AA26-AH26</f>
        <v>960</v>
      </c>
      <c r="AJ26" s="61"/>
      <c r="AK26" s="55" t="str">
        <f>VLOOKUP(D26,'2.Bookinglist'!A:CT,40,FALSE)</f>
        <v>Nustsireerach</v>
      </c>
      <c r="AL26" s="56" t="str">
        <f>VLOOKUP(D26,'2.Bookinglist'!A:CW,101,FALSE)</f>
        <v>2026-10-28</v>
      </c>
      <c r="AM26" s="56" t="str">
        <f>VLOOKUP(D26,'2.Bookinglist'!A:BK,63,FALSE)</f>
        <v>BKK27</v>
      </c>
      <c r="AN26" s="55" t="str">
        <f>VLOOKUP(D26,'2.Bookinglist'!A:AZ,52,FALSE)</f>
        <v>Pickup : 2026-10-24, Return : 2026-10-26 *EXTEND CLS TIME : 26/10/2026 @23.59* </v>
      </c>
      <c r="AO26" s="55">
        <f>VLOOKUP(D26,'2.Bookinglist'!A:CY,103,FALSE)</f>
        <v>0</v>
      </c>
    </row>
    <row r="27" ht="12.95" customHeight="1" spans="1:41" x14ac:dyDescent="0.25">
      <c r="A27" s="3" t="s">
        <v>102</v>
      </c>
      <c r="B27" s="53" t="str">
        <f>IF(C27=Charge!$M$1,Charge!$J$1,IF(C27=Charge!$M$23,Charge!$J$23,IF(C27=Charge!$M$17,Charge!$J$17,IF(C27=Charge!$N$17,Charge!$J$17,Charge!$J$7))))</f>
        <v>G3</v>
      </c>
      <c r="C27" s="54" t="str">
        <f>VLOOKUP(A27,'1.Loading'!A:R,14,FALSE)</f>
        <v>BKK01</v>
      </c>
      <c r="D27" s="54" t="str">
        <f>VLOOKUP(A27,'1.Loading'!A:R,17,FALSE)</f>
        <v>HASLS22261000761</v>
      </c>
      <c r="E27" s="55" t="str">
        <f>VLOOKUP(D27,'2.Bookinglist'!A:CT,27,FALSE)</f>
        <v>TSL NIPPON (THAILAND) CO.,LTD.</v>
      </c>
      <c r="F27" s="55" t="str">
        <f>VLOOKUP(D27,'2.Bookinglist'!A:CT,28,FALSE)</f>
        <v>TK WAX COMPANY LIMITED</v>
      </c>
      <c r="G27" s="56">
        <f>VLOOKUP(D27,'2.Bookinglist'!A:E,5,FALSE)</f>
        <v>0</v>
      </c>
      <c r="H27" s="54" t="str">
        <f>VLOOKUP(D27,'2.Bookinglist'!A:CT,15,FALSE)</f>
        <v>THBKK</v>
      </c>
      <c r="I27" s="54" t="str">
        <f>VLOOKUP(D27,'2.Bookinglist'!A:CT,19,FALSE)</f>
        <v>HKHKG</v>
      </c>
      <c r="J27" s="54">
        <f>VLOOKUP(D27,'2.Bookinglist'!A:CT,26,FALSE)</f>
        <v>0</v>
      </c>
      <c r="K27" s="54" t="str">
        <f>VLOOKUP(A27,'1.Loading'!A:R,5,FALSE)</f>
        <v>45GP</v>
      </c>
      <c r="L27" s="56" t="str">
        <f>VLOOKUP(D27,'2.Bookinglist'!A:CT,85,FALSE)</f>
        <v>CY/CY</v>
      </c>
      <c r="M27" s="56" t="str">
        <f>IF(VLOOKUP(D27,'2.Bookinglist'!A:CT,43,FALSE)=0,"","DG")</f>
        <v/>
      </c>
      <c r="N27" s="56" t="str">
        <f>IF(RIGHT(K27,2)="RE","RF","")</f>
        <v/>
      </c>
      <c r="O27" s="54" t="str">
        <f>VLOOKUP(A27,'1.Loading'!A:R,3,FALSE)</f>
        <v>SWVG</v>
      </c>
      <c r="P27" s="54" t="str">
        <f>VLOOKUP(A27,'1.Loading'!A:R,4,FALSE)</f>
        <v>2613N</v>
      </c>
      <c r="Q27" s="54" t="str">
        <f>VLOOKUP(D27,'2.Bookinglist'!A:CT,12,FALSE)</f>
        <v>VTS</v>
      </c>
      <c r="R27" s="56" t="str">
        <f>IF(LEFT(K27,2)="22","20'","40'")</f>
        <v>40'</v>
      </c>
      <c r="S27" s="38"/>
      <c r="T27" s="54" t="str">
        <f>VLOOKUP(A27,'1.Loading'!A:R,2,FALSE)</f>
        <v>2026-10-31</v>
      </c>
      <c r="U27" s="57">
        <f>T27-S27</f>
        <v>46326</v>
      </c>
      <c r="V27" s="58"/>
      <c r="W27" s="54" t="str">
        <f>VLOOKUP(A27,'3.GateMove'!A:D,4,FALSE)</f>
        <v>2026-10-27</v>
      </c>
      <c r="X27" s="57">
        <f>((T27-W27)+1)</f>
        <v>5</v>
      </c>
      <c r="Y27" s="59">
        <f>IF(AND(OR(C27="BKK01",C27="BKK04"),L27="CFS/CY"),0,IF(M27="DG",1,IF(LEFT(C27,3)="LCH",7,IF(C27="BKK02",5,3))))</f>
        <v>3</v>
      </c>
      <c r="Z27" s="57">
        <f>IF(IF(AND(AC27="TML",AB27&gt;0),((T27-W27)+1)-AB27,((T27-W27)+1)-Y27)&gt;0,IF(AND(AC27="TML",AB27&gt;0),((T27-W27)+1)-AB27,((T27-W27)+1)-Y27),0)</f>
        <v>2</v>
      </c>
      <c r="AA27" s="48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640</v>
      </c>
      <c r="AB27" s="53"/>
      <c r="AC27" s="53"/>
      <c r="AD27" s="56">
        <f>IF(M27="DG",3,IF(N27="RF",3,5))+IF(AND(LEFT(C27,3)="BKK",N27="RF",Q27="KTS"),1,0)+IF(Q27="KHS",1,0)</f>
        <v>5</v>
      </c>
      <c r="AE27" s="57">
        <f>(T27-V27)+1</f>
        <v>46327</v>
      </c>
      <c r="AF27" s="57">
        <f>IF(AB27&gt;IF((V27-W27)&gt;0,V27-W27,0),0,IF(AB27&lt;IF((V27-W27)&gt;0,V27-W27,0),IF((V27-W27)&gt;0,V27-W27,0)-AB27,IF((V27-W27)&gt;0,V27-W27,0)))</f>
        <v>0</v>
      </c>
      <c r="AG27" s="48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0"/>
      <c r="AI27" s="60">
        <f>AA27-AH27</f>
        <v>640</v>
      </c>
      <c r="AJ27" s="61"/>
      <c r="AK27" s="55" t="str">
        <f>VLOOKUP(D27,'2.Bookinglist'!A:CT,40,FALSE)</f>
        <v>Nustsireerach</v>
      </c>
      <c r="AL27" s="56" t="str">
        <f>VLOOKUP(D27,'2.Bookinglist'!A:CW,101,FALSE)</f>
        <v>2026-10-29</v>
      </c>
      <c r="AM27" s="56" t="str">
        <f>VLOOKUP(D27,'2.Bookinglist'!A:BK,63,FALSE)</f>
        <v>BKK27</v>
      </c>
      <c r="AN27" s="55" t="str">
        <f>VLOOKUP(D27,'2.Bookinglist'!A:AZ,52,FALSE)</f>
        <v>Pickup : 2026-10-26, Return : 2026-10-27
CLS TIME DD.27/10/2026 @23.59</v>
      </c>
      <c r="AO27" s="55">
        <f>VLOOKUP(D27,'2.Bookinglist'!A:CY,103,FALSE)</f>
        <v>0</v>
      </c>
    </row>
    <row r="28" ht="12.95" customHeight="1" spans="1:41" x14ac:dyDescent="0.25">
      <c r="A28" s="3" t="s">
        <v>93</v>
      </c>
      <c r="B28" s="53" t="str">
        <f>IF(C28=Charge!$M$1,Charge!$J$1,IF(C28=Charge!$M$23,Charge!$J$23,IF(C28=Charge!$M$17,Charge!$J$17,IF(C28=Charge!$N$17,Charge!$J$17,Charge!$J$7))))</f>
        <v>G3</v>
      </c>
      <c r="C28" s="54" t="str">
        <f>VLOOKUP(A28,'1.Loading'!A:R,14,FALSE)</f>
        <v>BKK01</v>
      </c>
      <c r="D28" s="54" t="str">
        <f>VLOOKUP(A28,'1.Loading'!A:R,17,FALSE)</f>
        <v>HASLS22261000373</v>
      </c>
      <c r="E28" s="55" t="str">
        <f>VLOOKUP(D28,'2.Bookinglist'!A:CT,27,FALSE)</f>
        <v>YUSEN LOGISTICS (THAILAND) CO., LTD.</v>
      </c>
      <c r="F28" s="55" t="str">
        <f>VLOOKUP(D28,'2.Bookinglist'!A:CT,28,FALSE)</f>
        <v>THAI NISSHIN TECHNOMIC CO., LTD.</v>
      </c>
      <c r="G28" s="56">
        <f>VLOOKUP(D28,'2.Bookinglist'!A:E,5,FALSE)</f>
        <v>0</v>
      </c>
      <c r="H28" s="54" t="str">
        <f>VLOOKUP(D28,'2.Bookinglist'!A:CT,15,FALSE)</f>
        <v>THBKK</v>
      </c>
      <c r="I28" s="54" t="str">
        <f>VLOOKUP(D28,'2.Bookinglist'!A:CT,19,FALSE)</f>
        <v>HKHKG</v>
      </c>
      <c r="J28" s="54">
        <f>VLOOKUP(D28,'2.Bookinglist'!A:CT,26,FALSE)</f>
        <v>0</v>
      </c>
      <c r="K28" s="54" t="str">
        <f>VLOOKUP(A28,'1.Loading'!A:R,5,FALSE)</f>
        <v>45GP</v>
      </c>
      <c r="L28" s="56" t="str">
        <f>VLOOKUP(D28,'2.Bookinglist'!A:CT,85,FALSE)</f>
        <v>CY/CY</v>
      </c>
      <c r="M28" s="56" t="str">
        <f>IF(VLOOKUP(D28,'2.Bookinglist'!A:CT,43,FALSE)=0,"","DG")</f>
        <v/>
      </c>
      <c r="N28" s="56" t="str">
        <f>IF(RIGHT(K28,2)="RE","RF","")</f>
        <v/>
      </c>
      <c r="O28" s="54" t="str">
        <f>VLOOKUP(A28,'1.Loading'!A:R,3,FALSE)</f>
        <v>SWVG</v>
      </c>
      <c r="P28" s="54" t="str">
        <f>VLOOKUP(A28,'1.Loading'!A:R,4,FALSE)</f>
        <v>2613N</v>
      </c>
      <c r="Q28" s="54" t="str">
        <f>VLOOKUP(D28,'2.Bookinglist'!A:CT,12,FALSE)</f>
        <v>VTS</v>
      </c>
      <c r="R28" s="56" t="str">
        <f>IF(LEFT(K28,2)="22","20'","40'")</f>
        <v>40'</v>
      </c>
      <c r="S28" s="38"/>
      <c r="T28" s="54" t="str">
        <f>VLOOKUP(A28,'1.Loading'!A:R,2,FALSE)</f>
        <v>2026-10-31</v>
      </c>
      <c r="U28" s="57">
        <f>T28-S28</f>
        <v>46326</v>
      </c>
      <c r="V28" s="58"/>
      <c r="W28" s="54" t="str">
        <f>VLOOKUP(A28,'3.GateMove'!A:D,4,FALSE)</f>
        <v>2026-10-22</v>
      </c>
      <c r="X28" s="57">
        <f>((T28-W28)+1)</f>
        <v>10</v>
      </c>
      <c r="Y28" s="59">
        <f>IF(AND(OR(C28="BKK01",C28="BKK04"),L28="CFS/CY"),0,IF(M28="DG",1,IF(LEFT(C28,3)="LCH",7,IF(C28="BKK02",5,3))))</f>
        <v>3</v>
      </c>
      <c r="Z28" s="57">
        <f>IF(IF(AND(AC28="TML",AB28&gt;0),((T28-W28)+1)-AB28,((T28-W28)+1)-Y28)&gt;0,IF(AND(AC28="TML",AB28&gt;0),((T28-W28)+1)-AB28,((T28-W28)+1)-Y28),0)</f>
        <v>7</v>
      </c>
      <c r="AA28" s="48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2240</v>
      </c>
      <c r="AB28" s="53"/>
      <c r="AC28" s="53"/>
      <c r="AD28" s="56">
        <f>IF(M28="DG",3,IF(N28="RF",3,5))+IF(AND(LEFT(C28,3)="BKK",N28="RF",Q28="KTS"),1,0)+IF(Q28="KHS",1,0)</f>
        <v>5</v>
      </c>
      <c r="AE28" s="57">
        <f>(T28-V28)+1</f>
        <v>46327</v>
      </c>
      <c r="AF28" s="57">
        <f>IF(AB28&gt;IF((V28-W28)&gt;0,V28-W28,0),0,IF(AB28&lt;IF((V28-W28)&gt;0,V28-W28,0),IF((V28-W28)&gt;0,V28-W28,0)-AB28,IF((V28-W28)&gt;0,V28-W28,0)))</f>
        <v>0</v>
      </c>
      <c r="AG28" s="48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0"/>
      <c r="AI28" s="60">
        <f>AA28-AH28</f>
        <v>2240</v>
      </c>
      <c r="AJ28" s="61"/>
      <c r="AK28" s="55" t="str">
        <f>VLOOKUP(D28,'2.Bookinglist'!A:CT,40,FALSE)</f>
        <v>Vilaiporn</v>
      </c>
      <c r="AL28" s="56" t="str">
        <f>VLOOKUP(D28,'2.Bookinglist'!A:CW,101,FALSE)</f>
        <v>2026-10-28</v>
      </c>
      <c r="AM28" s="56" t="str">
        <f>VLOOKUP(D28,'2.Bookinglist'!A:BK,63,FALSE)</f>
        <v>BKK27</v>
      </c>
      <c r="AN28" s="55" t="str">
        <f>VLOOKUP(D28,'2.Bookinglist'!A:AZ,52,FALSE)</f>
        <v>Pickup : 2026-10-22, Return : 2026-10-22 // FM SWDN 2611N BY HALDD.21/10 (1ST RETURN 22/10 W/O RENT)</v>
      </c>
      <c r="AO28" s="55">
        <f>VLOOKUP(D28,'2.Bookinglist'!A:CY,103,FALSE)</f>
        <v>0</v>
      </c>
    </row>
    <row r="29" ht="12.95" customHeight="1" spans="1:41" x14ac:dyDescent="0.25">
      <c r="A29" s="3" t="s">
        <v>129</v>
      </c>
      <c r="B29" s="53" t="str">
        <f>IF(C29=Charge!$M$1,Charge!$J$1,IF(C29=Charge!$M$23,Charge!$J$23,IF(C29=Charge!$M$17,Charge!$J$17,IF(C29=Charge!$N$17,Charge!$J$17,Charge!$J$7))))</f>
        <v>G3</v>
      </c>
      <c r="C29" s="54" t="str">
        <f>VLOOKUP(A29,'1.Loading'!A:R,14,FALSE)</f>
        <v>BKK01</v>
      </c>
      <c r="D29" s="54" t="str">
        <f>VLOOKUP(A29,'1.Loading'!A:R,17,FALSE)</f>
        <v>HASLS22261000661</v>
      </c>
      <c r="E29" s="55" t="str">
        <f>VLOOKUP(D29,'2.Bookinglist'!A:CT,27,FALSE)</f>
        <v>OASIS LOGISTICS CO., LTD.</v>
      </c>
      <c r="F29" s="55" t="str">
        <f>VLOOKUP(D29,'2.Bookinglist'!A:CT,28,FALSE)</f>
        <v>KILIN BRAND BISCUITS CO., LTD.</v>
      </c>
      <c r="G29" s="56">
        <f>VLOOKUP(D29,'2.Bookinglist'!A:E,5,FALSE)</f>
        <v>0</v>
      </c>
      <c r="H29" s="54" t="str">
        <f>VLOOKUP(D29,'2.Bookinglist'!A:CT,15,FALSE)</f>
        <v>THBKK</v>
      </c>
      <c r="I29" s="54" t="str">
        <f>VLOOKUP(D29,'2.Bookinglist'!A:CT,19,FALSE)</f>
        <v>HKHKG</v>
      </c>
      <c r="J29" s="54">
        <f>VLOOKUP(D29,'2.Bookinglist'!A:CT,26,FALSE)</f>
        <v>0</v>
      </c>
      <c r="K29" s="54" t="str">
        <f>VLOOKUP(A29,'1.Loading'!A:R,5,FALSE)</f>
        <v>22GP</v>
      </c>
      <c r="L29" s="56" t="str">
        <f>VLOOKUP(D29,'2.Bookinglist'!A:CT,85,FALSE)</f>
        <v>CY/CY</v>
      </c>
      <c r="M29" s="56" t="str">
        <f>IF(VLOOKUP(D29,'2.Bookinglist'!A:CT,43,FALSE)=0,"","DG")</f>
        <v/>
      </c>
      <c r="N29" s="56" t="str">
        <f>IF(RIGHT(K29,2)="RE","RF","")</f>
        <v/>
      </c>
      <c r="O29" s="54" t="str">
        <f>VLOOKUP(A29,'1.Loading'!A:R,3,FALSE)</f>
        <v>SWVG</v>
      </c>
      <c r="P29" s="54" t="str">
        <f>VLOOKUP(A29,'1.Loading'!A:R,4,FALSE)</f>
        <v>2613N</v>
      </c>
      <c r="Q29" s="54" t="str">
        <f>VLOOKUP(D29,'2.Bookinglist'!A:CT,12,FALSE)</f>
        <v>VTS</v>
      </c>
      <c r="R29" s="56" t="str">
        <f>IF(LEFT(K29,2)="22","20'","40'")</f>
        <v>20'</v>
      </c>
      <c r="S29" s="38"/>
      <c r="T29" s="54" t="str">
        <f>VLOOKUP(A29,'1.Loading'!A:R,2,FALSE)</f>
        <v>2026-10-31</v>
      </c>
      <c r="U29" s="57">
        <f>T29-S29</f>
        <v>46326</v>
      </c>
      <c r="V29" s="58"/>
      <c r="W29" s="54" t="str">
        <f>VLOOKUP(A29,'3.GateMove'!A:D,4,FALSE)</f>
        <v>2026-10-27</v>
      </c>
      <c r="X29" s="57">
        <f>((T29-W29)+1)</f>
        <v>5</v>
      </c>
      <c r="Y29" s="59">
        <f>IF(AND(OR(C29="BKK01",C29="BKK04"),L29="CFS/CY"),0,IF(M29="DG",1,IF(LEFT(C29,3)="LCH",7,IF(C29="BKK02",5,3))))</f>
        <v>3</v>
      </c>
      <c r="Z29" s="57">
        <f>IF(IF(AND(AC29="TML",AB29&gt;0),((T29-W29)+1)-AB29,((T29-W29)+1)-Y29)&gt;0,IF(AND(AC29="TML",AB29&gt;0),((T29-W29)+1)-AB29,((T29-W29)+1)-Y29),0)</f>
        <v>2</v>
      </c>
      <c r="AA29" s="48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320</v>
      </c>
      <c r="AB29" s="53"/>
      <c r="AC29" s="53"/>
      <c r="AD29" s="56">
        <f>IF(M29="DG",3,IF(N29="RF",3,5))+IF(AND(LEFT(C29,3)="BKK",N29="RF",Q29="KTS"),1,0)+IF(Q29="KHS",1,0)</f>
        <v>5</v>
      </c>
      <c r="AE29" s="57">
        <f>(T29-V29)+1</f>
        <v>46327</v>
      </c>
      <c r="AF29" s="57">
        <f>IF(AB29&gt;IF((V29-W29)&gt;0,V29-W29,0),0,IF(AB29&lt;IF((V29-W29)&gt;0,V29-W29,0),IF((V29-W29)&gt;0,V29-W29,0)-AB29,IF((V29-W29)&gt;0,V29-W29,0)))</f>
        <v>0</v>
      </c>
      <c r="AG29" s="48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0"/>
      <c r="AI29" s="60">
        <f>AA29-AH29</f>
        <v>320</v>
      </c>
      <c r="AJ29" s="61"/>
      <c r="AK29" s="55" t="str">
        <f>VLOOKUP(D29,'2.Bookinglist'!A:CT,40,FALSE)</f>
        <v>Kanokporn</v>
      </c>
      <c r="AL29" s="56" t="str">
        <f>VLOOKUP(D29,'2.Bookinglist'!A:CW,101,FALSE)</f>
        <v>2026-10-29</v>
      </c>
      <c r="AM29" s="56" t="str">
        <f>VLOOKUP(D29,'2.Bookinglist'!A:BK,63,FALSE)</f>
        <v>BKK27</v>
      </c>
      <c r="AN29" s="55" t="str">
        <f>VLOOKUP(D29,'2.Bookinglist'!A:AZ,52,FALSE)</f>
        <v>Pickup : 2026-10-26, Return : 2026-10-26</v>
      </c>
      <c r="AO29" s="55">
        <f>VLOOKUP(D29,'2.Bookinglist'!A:CY,103,FALSE)</f>
        <v>0</v>
      </c>
    </row>
    <row r="30" ht="12.95" customHeight="1" spans="1:41" x14ac:dyDescent="0.25">
      <c r="A30" s="3" t="s">
        <v>180</v>
      </c>
      <c r="B30" s="53" t="str">
        <f>IF(C30=Charge!$M$1,Charge!$J$1,IF(C30=Charge!$M$23,Charge!$J$23,IF(C30=Charge!$M$17,Charge!$J$17,IF(C30=Charge!$N$17,Charge!$J$17,Charge!$J$7))))</f>
        <v>G3</v>
      </c>
      <c r="C30" s="54" t="str">
        <f>VLOOKUP(A30,'1.Loading'!A:R,14,FALSE)</f>
        <v>BKK01</v>
      </c>
      <c r="D30" s="54" t="str">
        <f>VLOOKUP(A30,'1.Loading'!A:R,17,FALSE)</f>
        <v>HASLS22261000900</v>
      </c>
      <c r="E30" s="55" t="str">
        <f>VLOOKUP(D30,'2.Bookinglist'!A:CT,27,FALSE)</f>
        <v>SINSIMON ENTERPRISE CO., LTD.</v>
      </c>
      <c r="F30" s="55" t="str">
        <f>VLOOKUP(D30,'2.Bookinglist'!A:CT,28,FALSE)</f>
        <v>CHAITIP CO., LTD.</v>
      </c>
      <c r="G30" s="56">
        <f>VLOOKUP(D30,'2.Bookinglist'!A:E,5,FALSE)</f>
        <v>0</v>
      </c>
      <c r="H30" s="54" t="str">
        <f>VLOOKUP(D30,'2.Bookinglist'!A:CT,15,FALSE)</f>
        <v>THBKK</v>
      </c>
      <c r="I30" s="54" t="str">
        <f>VLOOKUP(D30,'2.Bookinglist'!A:CT,19,FALSE)</f>
        <v>HKHKG</v>
      </c>
      <c r="J30" s="54">
        <f>VLOOKUP(D30,'2.Bookinglist'!A:CT,26,FALSE)</f>
        <v>0</v>
      </c>
      <c r="K30" s="54" t="str">
        <f>VLOOKUP(A30,'1.Loading'!A:R,5,FALSE)</f>
        <v>22GP</v>
      </c>
      <c r="L30" s="56" t="str">
        <f>VLOOKUP(D30,'2.Bookinglist'!A:CT,85,FALSE)</f>
        <v>CY/CY</v>
      </c>
      <c r="M30" s="56" t="str">
        <f>IF(VLOOKUP(D30,'2.Bookinglist'!A:CT,43,FALSE)=0,"","DG")</f>
        <v/>
      </c>
      <c r="N30" s="56" t="str">
        <f>IF(RIGHT(K30,2)="RE","RF","")</f>
        <v/>
      </c>
      <c r="O30" s="54" t="str">
        <f>VLOOKUP(A30,'1.Loading'!A:R,3,FALSE)</f>
        <v>SWVG</v>
      </c>
      <c r="P30" s="54" t="str">
        <f>VLOOKUP(A30,'1.Loading'!A:R,4,FALSE)</f>
        <v>2613N</v>
      </c>
      <c r="Q30" s="54" t="str">
        <f>VLOOKUP(D30,'2.Bookinglist'!A:CT,12,FALSE)</f>
        <v>VTS</v>
      </c>
      <c r="R30" s="56" t="str">
        <f>IF(LEFT(K30,2)="22","20'","40'")</f>
        <v>20'</v>
      </c>
      <c r="S30" s="38"/>
      <c r="T30" s="54" t="str">
        <f>VLOOKUP(A30,'1.Loading'!A:R,2,FALSE)</f>
        <v>2026-10-31</v>
      </c>
      <c r="U30" s="57">
        <f>T30-S30</f>
        <v>46326</v>
      </c>
      <c r="V30" s="58"/>
      <c r="W30" s="54" t="str">
        <f>VLOOKUP(A30,'3.GateMove'!A:D,4,FALSE)</f>
        <v>2026-10-28</v>
      </c>
      <c r="X30" s="57">
        <f>((T30-W30)+1)</f>
        <v>4</v>
      </c>
      <c r="Y30" s="59">
        <f>IF(AND(OR(C30="BKK01",C30="BKK04"),L30="CFS/CY"),0,IF(M30="DG",1,IF(LEFT(C30,3)="LCH",7,IF(C30="BKK02",5,3))))</f>
        <v>3</v>
      </c>
      <c r="Z30" s="57">
        <f>IF(IF(AND(AC30="TML",AB30&gt;0),((T30-W30)+1)-AB30,((T30-W30)+1)-Y30)&gt;0,IF(AND(AC30="TML",AB30&gt;0),((T30-W30)+1)-AB30,((T30-W30)+1)-Y30),0)</f>
        <v>1</v>
      </c>
      <c r="AA30" s="48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160</v>
      </c>
      <c r="AB30" s="53"/>
      <c r="AC30" s="53"/>
      <c r="AD30" s="56">
        <f>IF(M30="DG",3,IF(N30="RF",3,5))+IF(AND(LEFT(C30,3)="BKK",N30="RF",Q30="KTS"),1,0)+IF(Q30="KHS",1,0)</f>
        <v>5</v>
      </c>
      <c r="AE30" s="57">
        <f>(T30-V30)+1</f>
        <v>46327</v>
      </c>
      <c r="AF30" s="57">
        <f>IF(AB30&gt;IF((V30-W30)&gt;0,V30-W30,0),0,IF(AB30&lt;IF((V30-W30)&gt;0,V30-W30,0),IF((V30-W30)&gt;0,V30-W30,0)-AB30,IF((V30-W30)&gt;0,V30-W30,0)))</f>
        <v>0</v>
      </c>
      <c r="AG30" s="48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0"/>
      <c r="AI30" s="60">
        <f>AA30-AH30</f>
        <v>160</v>
      </c>
      <c r="AJ30" s="61"/>
      <c r="AK30" s="55" t="str">
        <f>VLOOKUP(D30,'2.Bookinglist'!A:CT,40,FALSE)</f>
        <v>Dharaporn</v>
      </c>
      <c r="AL30" s="56" t="str">
        <f>VLOOKUP(D30,'2.Bookinglist'!A:CW,101,FALSE)</f>
        <v>2026-10-28</v>
      </c>
      <c r="AM30" s="56" t="str">
        <f>VLOOKUP(D30,'2.Bookinglist'!A:BK,63,FALSE)</f>
        <v>BKK25</v>
      </c>
      <c r="AN30" s="55" t="str">
        <f>VLOOKUP(D30,'2.Bookinglist'!A:AZ,52,FALSE)</f>
        <v>Pickup : 2026-10-26, Return : 2026-10-27 EXTEND CLS TIME DD.28/11.00HRS</v>
      </c>
      <c r="AO30" s="55">
        <f>VLOOKUP(D30,'2.Bookinglist'!A:CY,103,FALSE)</f>
        <v>0</v>
      </c>
    </row>
    <row r="31" ht="12.95" customHeight="1" spans="1:41" x14ac:dyDescent="0.25">
      <c r="A31" s="3" t="s">
        <v>166</v>
      </c>
      <c r="B31" s="53" t="str">
        <f>IF(C31=Charge!$M$1,Charge!$J$1,IF(C31=Charge!$M$23,Charge!$J$23,IF(C31=Charge!$M$17,Charge!$J$17,IF(C31=Charge!$N$17,Charge!$J$17,Charge!$J$7))))</f>
        <v>G3</v>
      </c>
      <c r="C31" s="54" t="str">
        <f>VLOOKUP(A31,'1.Loading'!A:R,14,FALSE)</f>
        <v>BKK01</v>
      </c>
      <c r="D31" s="54" t="str">
        <f>VLOOKUP(A31,'1.Loading'!A:R,17,FALSE)</f>
        <v>HASLS22260902619</v>
      </c>
      <c r="E31" s="55" t="str">
        <f>VLOOKUP(D31,'2.Bookinglist'!A:CT,27,FALSE)</f>
        <v>MARCH LOGISTICS CO., LTD.</v>
      </c>
      <c r="F31" s="55" t="str">
        <f>VLOOKUP(D31,'2.Bookinglist'!A:CT,28,FALSE)</f>
        <v>STARPRO SANWA AYUTTHAYA MODIFIED STARCH CO., LTD.</v>
      </c>
      <c r="G31" s="56">
        <f>VLOOKUP(D31,'2.Bookinglist'!A:E,5,FALSE)</f>
        <v>0</v>
      </c>
      <c r="H31" s="54" t="str">
        <f>VLOOKUP(D31,'2.Bookinglist'!A:CT,15,FALSE)</f>
        <v>THBKK</v>
      </c>
      <c r="I31" s="54" t="str">
        <f>VLOOKUP(D31,'2.Bookinglist'!A:CT,19,FALSE)</f>
        <v>CNXMN</v>
      </c>
      <c r="J31" s="54">
        <f>VLOOKUP(D31,'2.Bookinglist'!A:CT,26,FALSE)</f>
        <v>0</v>
      </c>
      <c r="K31" s="54" t="str">
        <f>VLOOKUP(A31,'1.Loading'!A:R,5,FALSE)</f>
        <v>22GP</v>
      </c>
      <c r="L31" s="56" t="str">
        <f>VLOOKUP(D31,'2.Bookinglist'!A:CT,85,FALSE)</f>
        <v>CY/CY</v>
      </c>
      <c r="M31" s="56" t="str">
        <f>IF(VLOOKUP(D31,'2.Bookinglist'!A:CT,43,FALSE)=0,"","DG")</f>
        <v/>
      </c>
      <c r="N31" s="56" t="str">
        <f>IF(RIGHT(K31,2)="RE","RF","")</f>
        <v/>
      </c>
      <c r="O31" s="54" t="str">
        <f>VLOOKUP(A31,'1.Loading'!A:R,3,FALSE)</f>
        <v>SWVG</v>
      </c>
      <c r="P31" s="54" t="str">
        <f>VLOOKUP(A31,'1.Loading'!A:R,4,FALSE)</f>
        <v>2613N</v>
      </c>
      <c r="Q31" s="54" t="str">
        <f>VLOOKUP(D31,'2.Bookinglist'!A:CT,12,FALSE)</f>
        <v>VTS</v>
      </c>
      <c r="R31" s="56" t="str">
        <f>IF(LEFT(K31,2)="22","20'","40'")</f>
        <v>20'</v>
      </c>
      <c r="S31" s="38"/>
      <c r="T31" s="54" t="str">
        <f>VLOOKUP(A31,'1.Loading'!A:R,2,FALSE)</f>
        <v>2026-10-31</v>
      </c>
      <c r="U31" s="57">
        <f>T31-S31</f>
        <v>46326</v>
      </c>
      <c r="V31" s="58"/>
      <c r="W31" s="54" t="str">
        <f>VLOOKUP(A31,'3.GateMove'!A:D,4,FALSE)</f>
        <v>2026-10-26</v>
      </c>
      <c r="X31" s="57">
        <f>((T31-W31)+1)</f>
        <v>6</v>
      </c>
      <c r="Y31" s="59">
        <f>IF(AND(OR(C31="BKK01",C31="BKK04"),L31="CFS/CY"),0,IF(M31="DG",1,IF(LEFT(C31,3)="LCH",7,IF(C31="BKK02",5,3))))</f>
        <v>3</v>
      </c>
      <c r="Z31" s="57">
        <f>IF(IF(AND(AC31="TML",AB31&gt;0),((T31-W31)+1)-AB31,((T31-W31)+1)-Y31)&gt;0,IF(AND(AC31="TML",AB31&gt;0),((T31-W31)+1)-AB31,((T31-W31)+1)-Y31),0)</f>
        <v>3</v>
      </c>
      <c r="AA31" s="48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480</v>
      </c>
      <c r="AB31" s="53"/>
      <c r="AC31" s="53"/>
      <c r="AD31" s="56">
        <f>IF(M31="DG",3,IF(N31="RF",3,5))+IF(AND(LEFT(C31,3)="BKK",N31="RF",Q31="KTS"),1,0)+IF(Q31="KHS",1,0)</f>
        <v>5</v>
      </c>
      <c r="AE31" s="57">
        <f>(T31-V31)+1</f>
        <v>46327</v>
      </c>
      <c r="AF31" s="57">
        <f>IF(AB31&gt;IF((V31-W31)&gt;0,V31-W31,0),0,IF(AB31&lt;IF((V31-W31)&gt;0,V31-W31,0),IF((V31-W31)&gt;0,V31-W31,0)-AB31,IF((V31-W31)&gt;0,V31-W31,0)))</f>
        <v>0</v>
      </c>
      <c r="AG31" s="48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0"/>
      <c r="AI31" s="60">
        <f>AA31-AH31</f>
        <v>480</v>
      </c>
      <c r="AJ31" s="61"/>
      <c r="AK31" s="55" t="str">
        <f>VLOOKUP(D31,'2.Bookinglist'!A:CT,40,FALSE)</f>
        <v>Pattarapong Saengthong</v>
      </c>
      <c r="AL31" s="56" t="str">
        <f>VLOOKUP(D31,'2.Bookinglist'!A:CW,101,FALSE)</f>
        <v>2026-10-28</v>
      </c>
      <c r="AM31" s="56" t="str">
        <f>VLOOKUP(D31,'2.Bookinglist'!A:BK,63,FALSE)</f>
        <v>BKK27</v>
      </c>
      <c r="AN31" s="55" t="str">
        <f>VLOOKUP(D31,'2.Bookinglist'!A:AZ,52,FALSE)</f>
        <v>Pickup : 2026-10-24, Return : 2026-10-26 </v>
      </c>
      <c r="AO31" s="55">
        <f>VLOOKUP(D31,'2.Bookinglist'!A:CY,103,FALSE)</f>
        <v>0</v>
      </c>
    </row>
    <row r="32" ht="12.95" customHeight="1" spans="1:41" x14ac:dyDescent="0.25">
      <c r="A32" s="3" t="s">
        <v>162</v>
      </c>
      <c r="B32" s="53" t="str">
        <f>IF(C32=Charge!$M$1,Charge!$J$1,IF(C32=Charge!$M$23,Charge!$J$23,IF(C32=Charge!$M$17,Charge!$J$17,IF(C32=Charge!$N$17,Charge!$J$17,Charge!$J$7))))</f>
        <v>G3</v>
      </c>
      <c r="C32" s="54" t="str">
        <f>VLOOKUP(A32,'1.Loading'!A:R,14,FALSE)</f>
        <v>BKK01</v>
      </c>
      <c r="D32" s="54" t="str">
        <f>VLOOKUP(A32,'1.Loading'!A:R,17,FALSE)</f>
        <v>HASLS22261000967</v>
      </c>
      <c r="E32" s="55" t="str">
        <f>VLOOKUP(D32,'2.Bookinglist'!A:CT,27,FALSE)</f>
        <v>GTL OCS (THAILAND) CO.,LTD.</v>
      </c>
      <c r="F32" s="55" t="str">
        <f>VLOOKUP(D32,'2.Bookinglist'!A:CT,28,FALSE)</f>
        <v>FIVE PAGODAS PHARMACY CO.,LTD</v>
      </c>
      <c r="G32" s="56">
        <f>VLOOKUP(D32,'2.Bookinglist'!A:E,5,FALSE)</f>
        <v>0</v>
      </c>
      <c r="H32" s="54" t="str">
        <f>VLOOKUP(D32,'2.Bookinglist'!A:CT,15,FALSE)</f>
        <v>THBKK</v>
      </c>
      <c r="I32" s="54" t="str">
        <f>VLOOKUP(D32,'2.Bookinglist'!A:CT,19,FALSE)</f>
        <v>HKHKG</v>
      </c>
      <c r="J32" s="54">
        <f>VLOOKUP(D32,'2.Bookinglist'!A:CT,26,FALSE)</f>
        <v>0</v>
      </c>
      <c r="K32" s="54" t="str">
        <f>VLOOKUP(A32,'1.Loading'!A:R,5,FALSE)</f>
        <v>22GP</v>
      </c>
      <c r="L32" s="56" t="str">
        <f>VLOOKUP(D32,'2.Bookinglist'!A:CT,85,FALSE)</f>
        <v>CFS/CY</v>
      </c>
      <c r="M32" s="56" t="str">
        <f>IF(VLOOKUP(D32,'2.Bookinglist'!A:CT,43,FALSE)=0,"","DG")</f>
        <v/>
      </c>
      <c r="N32" s="56" t="str">
        <f>IF(RIGHT(K32,2)="RE","RF","")</f>
        <v/>
      </c>
      <c r="O32" s="54" t="str">
        <f>VLOOKUP(A32,'1.Loading'!A:R,3,FALSE)</f>
        <v>SWVG</v>
      </c>
      <c r="P32" s="54" t="str">
        <f>VLOOKUP(A32,'1.Loading'!A:R,4,FALSE)</f>
        <v>2613N</v>
      </c>
      <c r="Q32" s="54" t="str">
        <f>VLOOKUP(D32,'2.Bookinglist'!A:CT,12,FALSE)</f>
        <v>VTS</v>
      </c>
      <c r="R32" s="56" t="str">
        <f>IF(LEFT(K32,2)="22","20'","40'")</f>
        <v>20'</v>
      </c>
      <c r="S32" s="38"/>
      <c r="T32" s="54" t="str">
        <f>VLOOKUP(A32,'1.Loading'!A:R,2,FALSE)</f>
        <v>2026-10-31</v>
      </c>
      <c r="U32" s="57">
        <f>T32-S32</f>
        <v>46326</v>
      </c>
      <c r="V32" s="58"/>
      <c r="W32" s="54" t="str">
        <f>VLOOKUP(A32,'3.GateMove'!A:D,4,FALSE)</f>
        <v>2026-10-26</v>
      </c>
      <c r="X32" s="57">
        <f>((T32-W32)+1)</f>
        <v>6</v>
      </c>
      <c r="Y32" s="59">
        <f>IF(AND(OR(C32="BKK01",C32="BKK04"),L32="CFS/CY"),0,IF(M32="DG",1,IF(LEFT(C32,3)="LCH",7,IF(C32="BKK02",5,3))))</f>
        <v>0</v>
      </c>
      <c r="Z32" s="57">
        <f>IF(IF(AND(AC32="TML",AB32&gt;0),((T32-W32)+1)-AB32,((T32-W32)+1)-Y32)&gt;0,IF(AND(AC32="TML",AB32&gt;0),((T32-W32)+1)-AB32,((T32-W32)+1)-Y32),0)</f>
        <v>6</v>
      </c>
      <c r="AA32" s="48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960</v>
      </c>
      <c r="AB32" s="53"/>
      <c r="AC32" s="53"/>
      <c r="AD32" s="56">
        <f>IF(M32="DG",3,IF(N32="RF",3,5))+IF(AND(LEFT(C32,3)="BKK",N32="RF",Q32="KTS"),1,0)+IF(Q32="KHS",1,0)</f>
        <v>5</v>
      </c>
      <c r="AE32" s="57">
        <f>(T32-V32)+1</f>
        <v>46327</v>
      </c>
      <c r="AF32" s="57">
        <f>IF(AB32&gt;IF((V32-W32)&gt;0,V32-W32,0),0,IF(AB32&lt;IF((V32-W32)&gt;0,V32-W32,0),IF((V32-W32)&gt;0,V32-W32,0)-AB32,IF((V32-W32)&gt;0,V32-W32,0)))</f>
        <v>0</v>
      </c>
      <c r="AG32" s="48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0"/>
      <c r="AI32" s="60">
        <f>AA32-AH32</f>
        <v>960</v>
      </c>
      <c r="AJ32" s="61"/>
      <c r="AK32" s="55" t="str">
        <f>VLOOKUP(D32,'2.Bookinglist'!A:CT,40,FALSE)</f>
        <v>Pattarapong Saengthong</v>
      </c>
      <c r="AL32" s="56" t="str">
        <f>VLOOKUP(D32,'2.Bookinglist'!A:CW,101,FALSE)</f>
        <v>2026-10-28</v>
      </c>
      <c r="AM32" s="56" t="str">
        <f>VLOOKUP(D32,'2.Bookinglist'!A:BK,63,FALSE)</f>
        <v>BKK01</v>
      </c>
      <c r="AN32" s="55" t="str">
        <f>VLOOKUP(D32,'2.Bookinglist'!A:AZ,52,FALSE)</f>
        <v>STUFFING @PAT (SPORT LIGHT TOWER 2) DD.26/10/26 *CLS TIME CFS DD.26/10/26 - 17:00HRS.*
</v>
      </c>
      <c r="AO32" s="55">
        <f>VLOOKUP(D32,'2.Bookinglist'!A:CY,103,FALSE)</f>
        <v>0</v>
      </c>
    </row>
    <row r="33" ht="12.95" customHeight="1" spans="1:41" x14ac:dyDescent="0.25">
      <c r="A33" s="3" t="s">
        <v>128</v>
      </c>
      <c r="B33" s="53" t="str">
        <f>IF(C33=Charge!$M$1,Charge!$J$1,IF(C33=Charge!$M$23,Charge!$J$23,IF(C33=Charge!$M$17,Charge!$J$17,IF(C33=Charge!$N$17,Charge!$J$17,Charge!$J$7))))</f>
        <v>G3</v>
      </c>
      <c r="C33" s="54" t="str">
        <f>VLOOKUP(A33,'1.Loading'!A:R,14,FALSE)</f>
        <v>BKK01</v>
      </c>
      <c r="D33" s="54" t="str">
        <f>VLOOKUP(A33,'1.Loading'!A:R,17,FALSE)</f>
        <v>HASLS22261000154</v>
      </c>
      <c r="E33" s="55" t="str">
        <f>VLOOKUP(D33,'2.Bookinglist'!A:CT,27,FALSE)</f>
        <v>DSV AIR &amp; SEA LTD.</v>
      </c>
      <c r="F33" s="55" t="str">
        <f>VLOOKUP(D33,'2.Bookinglist'!A:CT,28,FALSE)</f>
        <v>CHEVRON (THAILAND) LIMITED</v>
      </c>
      <c r="G33" s="56">
        <f>VLOOKUP(D33,'2.Bookinglist'!A:E,5,FALSE)</f>
        <v>0</v>
      </c>
      <c r="H33" s="54" t="str">
        <f>VLOOKUP(D33,'2.Bookinglist'!A:CT,15,FALSE)</f>
        <v>THBKK</v>
      </c>
      <c r="I33" s="54" t="str">
        <f>VLOOKUP(D33,'2.Bookinglist'!A:CT,19,FALSE)</f>
        <v>HKHKG</v>
      </c>
      <c r="J33" s="54">
        <f>VLOOKUP(D33,'2.Bookinglist'!A:CT,26,FALSE)</f>
        <v>0</v>
      </c>
      <c r="K33" s="54" t="str">
        <f>VLOOKUP(A33,'1.Loading'!A:R,5,FALSE)</f>
        <v>22GP</v>
      </c>
      <c r="L33" s="56" t="str">
        <f>VLOOKUP(D33,'2.Bookinglist'!A:CT,85,FALSE)</f>
        <v>CY/CY</v>
      </c>
      <c r="M33" s="56" t="str">
        <f>IF(VLOOKUP(D33,'2.Bookinglist'!A:CT,43,FALSE)=0,"","DG")</f>
        <v/>
      </c>
      <c r="N33" s="56" t="str">
        <f>IF(RIGHT(K33,2)="RE","RF","")</f>
        <v/>
      </c>
      <c r="O33" s="54" t="str">
        <f>VLOOKUP(A33,'1.Loading'!A:R,3,FALSE)</f>
        <v>SWVG</v>
      </c>
      <c r="P33" s="54" t="str">
        <f>VLOOKUP(A33,'1.Loading'!A:R,4,FALSE)</f>
        <v>2613N</v>
      </c>
      <c r="Q33" s="54" t="str">
        <f>VLOOKUP(D33,'2.Bookinglist'!A:CT,12,FALSE)</f>
        <v>VTS</v>
      </c>
      <c r="R33" s="56" t="str">
        <f>IF(LEFT(K33,2)="22","20'","40'")</f>
        <v>20'</v>
      </c>
      <c r="S33" s="38"/>
      <c r="T33" s="54" t="str">
        <f>VLOOKUP(A33,'1.Loading'!A:R,2,FALSE)</f>
        <v>2026-10-31</v>
      </c>
      <c r="U33" s="57">
        <f>T33-S33</f>
        <v>46326</v>
      </c>
      <c r="V33" s="58"/>
      <c r="W33" s="54" t="str">
        <f>VLOOKUP(A33,'3.GateMove'!A:D,4,FALSE)</f>
        <v>2026-10-20</v>
      </c>
      <c r="X33" s="57">
        <f>((T33-W33)+1)</f>
        <v>12</v>
      </c>
      <c r="Y33" s="59">
        <f>IF(AND(OR(C33="BKK01",C33="BKK04"),L33="CFS/CY"),0,IF(M33="DG",1,IF(LEFT(C33,3)="LCH",7,IF(C33="BKK02",5,3))))</f>
        <v>3</v>
      </c>
      <c r="Z33" s="57">
        <f>IF(IF(AND(AC33="TML",AB33&gt;0),((T33-W33)+1)-AB33,((T33-W33)+1)-Y33)&gt;0,IF(AND(AC33="TML",AB33&gt;0),((T33-W33)+1)-AB33,((T33-W33)+1)-Y33),0)</f>
        <v>9</v>
      </c>
      <c r="AA33" s="48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1670</v>
      </c>
      <c r="AB33" s="53"/>
      <c r="AC33" s="53"/>
      <c r="AD33" s="56">
        <f>IF(M33="DG",3,IF(N33="RF",3,5))+IF(AND(LEFT(C33,3)="BKK",N33="RF",Q33="KTS"),1,0)+IF(Q33="KHS",1,0)</f>
        <v>5</v>
      </c>
      <c r="AE33" s="57">
        <f>(T33-V33)+1</f>
        <v>46327</v>
      </c>
      <c r="AF33" s="57">
        <f>IF(AB33&gt;IF((V33-W33)&gt;0,V33-W33,0),0,IF(AB33&lt;IF((V33-W33)&gt;0,V33-W33,0),IF((V33-W33)&gt;0,V33-W33,0)-AB33,IF((V33-W33)&gt;0,V33-W33,0)))</f>
        <v>0</v>
      </c>
      <c r="AG33" s="48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0"/>
      <c r="AI33" s="60">
        <f>AA33-AH33</f>
        <v>1670</v>
      </c>
      <c r="AJ33" s="61"/>
      <c r="AK33" s="55" t="str">
        <f>VLOOKUP(D33,'2.Bookinglist'!A:CT,40,FALSE)</f>
        <v>Nannaapust Sukporntaweewat</v>
      </c>
      <c r="AL33" s="56" t="str">
        <f>VLOOKUP(D33,'2.Bookinglist'!A:CW,101,FALSE)</f>
        <v>2026-10-28</v>
      </c>
      <c r="AM33" s="56" t="str">
        <f>VLOOKUP(D33,'2.Bookinglist'!A:BK,63,FALSE)</f>
        <v>BKK27</v>
      </c>
      <c r="AN33" s="55" t="str">
        <f>VLOOKUP(D33,'2.Bookinglist'!A:AZ,52,FALSE)</f>
        <v>Pickup : 2026-10-19, Return : 2026-10-21 (EXTEND CLOSING DD.21/10/26 @15.00)</v>
      </c>
      <c r="AO33" s="55" t="str">
        <f>VLOOKUP(D33,'2.Bookinglist'!A:CY,103,FALSE)</f>
        <v>ROLL OVER FROM PREVIOUS VSL CMA 2615N BY ALLOCATION TEAM MS.TARN APPROVED COST IS UNDER HA DD.21/10</v>
      </c>
    </row>
    <row r="34" ht="12.95" customHeight="1" spans="1:41" x14ac:dyDescent="0.25">
      <c r="A34" s="3" t="s">
        <v>122</v>
      </c>
      <c r="B34" s="53" t="str">
        <f>IF(C34=Charge!$M$1,Charge!$J$1,IF(C34=Charge!$M$23,Charge!$J$23,IF(C34=Charge!$M$17,Charge!$J$17,IF(C34=Charge!$N$17,Charge!$J$17,Charge!$J$7))))</f>
        <v>G3</v>
      </c>
      <c r="C34" s="54" t="str">
        <f>VLOOKUP(A34,'1.Loading'!A:R,14,FALSE)</f>
        <v>BKK01</v>
      </c>
      <c r="D34" s="54" t="str">
        <f>VLOOKUP(A34,'1.Loading'!A:R,17,FALSE)</f>
        <v>HASLS22260902195</v>
      </c>
      <c r="E34" s="55" t="str">
        <f>VLOOKUP(D34,'2.Bookinglist'!A:CT,27,FALSE)</f>
        <v>CSS LOGISTICS (THAILAND) CO., LTD.</v>
      </c>
      <c r="F34" s="55" t="str">
        <f>VLOOKUP(D34,'2.Bookinglist'!A:CT,28,FALSE)</f>
        <v>NORITAKE SCG PLASTER CO., LTD.</v>
      </c>
      <c r="G34" s="56">
        <f>VLOOKUP(D34,'2.Bookinglist'!A:E,5,FALSE)</f>
        <v>0</v>
      </c>
      <c r="H34" s="54" t="str">
        <f>VLOOKUP(D34,'2.Bookinglist'!A:CT,15,FALSE)</f>
        <v>THBKK</v>
      </c>
      <c r="I34" s="54" t="str">
        <f>VLOOKUP(D34,'2.Bookinglist'!A:CT,19,FALSE)</f>
        <v>CNXMN</v>
      </c>
      <c r="J34" s="54">
        <f>VLOOKUP(D34,'2.Bookinglist'!A:CT,26,FALSE)</f>
        <v>0</v>
      </c>
      <c r="K34" s="54" t="str">
        <f>VLOOKUP(A34,'1.Loading'!A:R,5,FALSE)</f>
        <v>22GP</v>
      </c>
      <c r="L34" s="56" t="str">
        <f>VLOOKUP(D34,'2.Bookinglist'!A:CT,85,FALSE)</f>
        <v>CY/CY</v>
      </c>
      <c r="M34" s="56" t="str">
        <f>IF(VLOOKUP(D34,'2.Bookinglist'!A:CT,43,FALSE)=0,"","DG")</f>
        <v/>
      </c>
      <c r="N34" s="56" t="str">
        <f>IF(RIGHT(K34,2)="RE","RF","")</f>
        <v/>
      </c>
      <c r="O34" s="54" t="str">
        <f>VLOOKUP(A34,'1.Loading'!A:R,3,FALSE)</f>
        <v>SWVG</v>
      </c>
      <c r="P34" s="54" t="str">
        <f>VLOOKUP(A34,'1.Loading'!A:R,4,FALSE)</f>
        <v>2613N</v>
      </c>
      <c r="Q34" s="54" t="str">
        <f>VLOOKUP(D34,'2.Bookinglist'!A:CT,12,FALSE)</f>
        <v>VTS</v>
      </c>
      <c r="R34" s="56" t="str">
        <f>IF(LEFT(K34,2)="22","20'","40'")</f>
        <v>20'</v>
      </c>
      <c r="S34" s="38"/>
      <c r="T34" s="54" t="str">
        <f>VLOOKUP(A34,'1.Loading'!A:R,2,FALSE)</f>
        <v>2026-10-31</v>
      </c>
      <c r="U34" s="57">
        <f>T34-S34</f>
        <v>46326</v>
      </c>
      <c r="V34" s="58"/>
      <c r="W34" s="54" t="str">
        <f>VLOOKUP(A34,'3.GateMove'!A:D,4,FALSE)</f>
        <v>2026-10-26</v>
      </c>
      <c r="X34" s="57">
        <f>((T34-W34)+1)</f>
        <v>6</v>
      </c>
      <c r="Y34" s="59">
        <f>IF(AND(OR(C34="BKK01",C34="BKK04"),L34="CFS/CY"),0,IF(M34="DG",1,IF(LEFT(C34,3)="LCH",7,IF(C34="BKK02",5,3))))</f>
        <v>3</v>
      </c>
      <c r="Z34" s="57">
        <f>IF(IF(AND(AC34="TML",AB34&gt;0),((T34-W34)+1)-AB34,((T34-W34)+1)-Y34)&gt;0,IF(AND(AC34="TML",AB34&gt;0),((T34-W34)+1)-AB34,((T34-W34)+1)-Y34),0)</f>
        <v>3</v>
      </c>
      <c r="AA34" s="48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480</v>
      </c>
      <c r="AB34" s="53"/>
      <c r="AC34" s="53"/>
      <c r="AD34" s="56">
        <f>IF(M34="DG",3,IF(N34="RF",3,5))+IF(AND(LEFT(C34,3)="BKK",N34="RF",Q34="KTS"),1,0)+IF(Q34="KHS",1,0)</f>
        <v>5</v>
      </c>
      <c r="AE34" s="57">
        <f>(T34-V34)+1</f>
        <v>46327</v>
      </c>
      <c r="AF34" s="57">
        <f>IF(AB34&gt;IF((V34-W34)&gt;0,V34-W34,0),0,IF(AB34&lt;IF((V34-W34)&gt;0,V34-W34,0),IF((V34-W34)&gt;0,V34-W34,0)-AB34,IF((V34-W34)&gt;0,V34-W34,0)))</f>
        <v>0</v>
      </c>
      <c r="AG34" s="48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0"/>
      <c r="AI34" s="60">
        <f>AA34-AH34</f>
        <v>480</v>
      </c>
      <c r="AJ34" s="61"/>
      <c r="AK34" s="55" t="str">
        <f>VLOOKUP(D34,'2.Bookinglist'!A:CT,40,FALSE)</f>
        <v>Pattarapong Saengthong</v>
      </c>
      <c r="AL34" s="56" t="str">
        <f>VLOOKUP(D34,'2.Bookinglist'!A:CW,101,FALSE)</f>
        <v>2026-10-29</v>
      </c>
      <c r="AM34" s="56" t="str">
        <f>VLOOKUP(D34,'2.Bookinglist'!A:BK,63,FALSE)</f>
        <v>BKK27</v>
      </c>
      <c r="AN34" s="55" t="str">
        <f>VLOOKUP(D34,'2.Bookinglist'!A:AZ,52,FALSE)</f>
        <v>Pickup : 2026-10-26, Return : 2026-10-26
CLS TIME DD.27/10/2026 @ 12.00</v>
      </c>
      <c r="AO34" s="55">
        <f>VLOOKUP(D34,'2.Bookinglist'!A:CY,103,FALSE)</f>
        <v>0</v>
      </c>
    </row>
    <row r="35" ht="12.95" customHeight="1" spans="1:41" x14ac:dyDescent="0.25">
      <c r="A35" s="3" t="s">
        <v>176</v>
      </c>
      <c r="B35" s="53" t="str">
        <f>IF(C35=Charge!$M$1,Charge!$J$1,IF(C35=Charge!$M$23,Charge!$J$23,IF(C35=Charge!$M$17,Charge!$J$17,IF(C35=Charge!$N$17,Charge!$J$17,Charge!$J$7))))</f>
        <v>G3</v>
      </c>
      <c r="C35" s="54" t="str">
        <f>VLOOKUP(A35,'1.Loading'!A:R,14,FALSE)</f>
        <v>BKK01</v>
      </c>
      <c r="D35" s="54" t="str">
        <f>VLOOKUP(A35,'1.Loading'!A:R,17,FALSE)</f>
        <v>HASLS22261000900</v>
      </c>
      <c r="E35" s="55" t="str">
        <f>VLOOKUP(D35,'2.Bookinglist'!A:CT,27,FALSE)</f>
        <v>SINSIMON ENTERPRISE CO., LTD.</v>
      </c>
      <c r="F35" s="55" t="str">
        <f>VLOOKUP(D35,'2.Bookinglist'!A:CT,28,FALSE)</f>
        <v>CHAITIP CO., LTD.</v>
      </c>
      <c r="G35" s="56">
        <f>VLOOKUP(D35,'2.Bookinglist'!A:E,5,FALSE)</f>
        <v>0</v>
      </c>
      <c r="H35" s="54" t="str">
        <f>VLOOKUP(D35,'2.Bookinglist'!A:CT,15,FALSE)</f>
        <v>THBKK</v>
      </c>
      <c r="I35" s="54" t="str">
        <f>VLOOKUP(D35,'2.Bookinglist'!A:CT,19,FALSE)</f>
        <v>HKHKG</v>
      </c>
      <c r="J35" s="54">
        <f>VLOOKUP(D35,'2.Bookinglist'!A:CT,26,FALSE)</f>
        <v>0</v>
      </c>
      <c r="K35" s="54" t="str">
        <f>VLOOKUP(A35,'1.Loading'!A:R,5,FALSE)</f>
        <v>22GP</v>
      </c>
      <c r="L35" s="56" t="str">
        <f>VLOOKUP(D35,'2.Bookinglist'!A:CT,85,FALSE)</f>
        <v>CY/CY</v>
      </c>
      <c r="M35" s="56" t="str">
        <f>IF(VLOOKUP(D35,'2.Bookinglist'!A:CT,43,FALSE)=0,"","DG")</f>
        <v/>
      </c>
      <c r="N35" s="56" t="str">
        <f>IF(RIGHT(K35,2)="RE","RF","")</f>
        <v/>
      </c>
      <c r="O35" s="54" t="str">
        <f>VLOOKUP(A35,'1.Loading'!A:R,3,FALSE)</f>
        <v>SWVG</v>
      </c>
      <c r="P35" s="54" t="str">
        <f>VLOOKUP(A35,'1.Loading'!A:R,4,FALSE)</f>
        <v>2613N</v>
      </c>
      <c r="Q35" s="54" t="str">
        <f>VLOOKUP(D35,'2.Bookinglist'!A:CT,12,FALSE)</f>
        <v>VTS</v>
      </c>
      <c r="R35" s="56" t="str">
        <f>IF(LEFT(K35,2)="22","20'","40'")</f>
        <v>20'</v>
      </c>
      <c r="S35" s="38"/>
      <c r="T35" s="54" t="str">
        <f>VLOOKUP(A35,'1.Loading'!A:R,2,FALSE)</f>
        <v>2026-10-31</v>
      </c>
      <c r="U35" s="57">
        <f>T35-S35</f>
        <v>46326</v>
      </c>
      <c r="V35" s="58"/>
      <c r="W35" s="54" t="str">
        <f>VLOOKUP(A35,'3.GateMove'!A:D,4,FALSE)</f>
        <v>2026-10-27</v>
      </c>
      <c r="X35" s="57">
        <f>((T35-W35)+1)</f>
        <v>5</v>
      </c>
      <c r="Y35" s="59">
        <f>IF(AND(OR(C35="BKK01",C35="BKK04"),L35="CFS/CY"),0,IF(M35="DG",1,IF(LEFT(C35,3)="LCH",7,IF(C35="BKK02",5,3))))</f>
        <v>3</v>
      </c>
      <c r="Z35" s="57">
        <f>IF(IF(AND(AC35="TML",AB35&gt;0),((T35-W35)+1)-AB35,((T35-W35)+1)-Y35)&gt;0,IF(AND(AC35="TML",AB35&gt;0),((T35-W35)+1)-AB35,((T35-W35)+1)-Y35),0)</f>
        <v>2</v>
      </c>
      <c r="AA35" s="48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320</v>
      </c>
      <c r="AB35" s="53"/>
      <c r="AC35" s="53"/>
      <c r="AD35" s="56">
        <f>IF(M35="DG",3,IF(N35="RF",3,5))+IF(AND(LEFT(C35,3)="BKK",N35="RF",Q35="KTS"),1,0)+IF(Q35="KHS",1,0)</f>
        <v>5</v>
      </c>
      <c r="AE35" s="57">
        <f>(T35-V35)+1</f>
        <v>46327</v>
      </c>
      <c r="AF35" s="57">
        <f>IF(AB35&gt;IF((V35-W35)&gt;0,V35-W35,0),0,IF(AB35&lt;IF((V35-W35)&gt;0,V35-W35,0),IF((V35-W35)&gt;0,V35-W35,0)-AB35,IF((V35-W35)&gt;0,V35-W35,0)))</f>
        <v>0</v>
      </c>
      <c r="AG35" s="48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0"/>
      <c r="AI35" s="60">
        <f>AA35-AH35</f>
        <v>320</v>
      </c>
      <c r="AJ35" s="61"/>
      <c r="AK35" s="55" t="str">
        <f>VLOOKUP(D35,'2.Bookinglist'!A:CT,40,FALSE)</f>
        <v>Dharaporn</v>
      </c>
      <c r="AL35" s="56" t="str">
        <f>VLOOKUP(D35,'2.Bookinglist'!A:CW,101,FALSE)</f>
        <v>2026-10-28</v>
      </c>
      <c r="AM35" s="56" t="str">
        <f>VLOOKUP(D35,'2.Bookinglist'!A:BK,63,FALSE)</f>
        <v>BKK25</v>
      </c>
      <c r="AN35" s="55" t="str">
        <f>VLOOKUP(D35,'2.Bookinglist'!A:AZ,52,FALSE)</f>
        <v>Pickup : 2026-10-26, Return : 2026-10-27 EXTEND CLS TIME DD.28/11.00HRS</v>
      </c>
      <c r="AO35" s="55">
        <f>VLOOKUP(D35,'2.Bookinglist'!A:CY,103,FALSE)</f>
        <v>0</v>
      </c>
    </row>
    <row r="36" ht="12.95" customHeight="1" spans="1:41" x14ac:dyDescent="0.25">
      <c r="A36" s="3" t="s">
        <v>115</v>
      </c>
      <c r="B36" s="53" t="str">
        <f>IF(C36=Charge!$M$1,Charge!$J$1,IF(C36=Charge!$M$23,Charge!$J$23,IF(C36=Charge!$M$17,Charge!$J$17,IF(C36=Charge!$N$17,Charge!$J$17,Charge!$J$7))))</f>
        <v>G3</v>
      </c>
      <c r="C36" s="54" t="str">
        <f>VLOOKUP(A36,'1.Loading'!A:R,14,FALSE)</f>
        <v>BKK01</v>
      </c>
      <c r="D36" s="54" t="str">
        <f>VLOOKUP(A36,'1.Loading'!A:R,17,FALSE)</f>
        <v>HASLS22261001877</v>
      </c>
      <c r="E36" s="55" t="str">
        <f>VLOOKUP(D36,'2.Bookinglist'!A:CT,27,FALSE)</f>
        <v>SS EXCELLENT NETWORK CO.,LTD</v>
      </c>
      <c r="F36" s="55" t="str">
        <f>VLOOKUP(D36,'2.Bookinglist'!A:CT,28,FALSE)</f>
        <v>SS EXCELLENT NETWORK CO.,LTD</v>
      </c>
      <c r="G36" s="56">
        <f>VLOOKUP(D36,'2.Bookinglist'!A:E,5,FALSE)</f>
        <v>0</v>
      </c>
      <c r="H36" s="54" t="str">
        <f>VLOOKUP(D36,'2.Bookinglist'!A:CT,15,FALSE)</f>
        <v>THBKK</v>
      </c>
      <c r="I36" s="54" t="str">
        <f>VLOOKUP(D36,'2.Bookinglist'!A:CT,19,FALSE)</f>
        <v>HKHKG</v>
      </c>
      <c r="J36" s="54">
        <f>VLOOKUP(D36,'2.Bookinglist'!A:CT,26,FALSE)</f>
        <v>0</v>
      </c>
      <c r="K36" s="54" t="str">
        <f>VLOOKUP(A36,'1.Loading'!A:R,5,FALSE)</f>
        <v>22GP</v>
      </c>
      <c r="L36" s="56" t="str">
        <f>VLOOKUP(D36,'2.Bookinglist'!A:CT,85,FALSE)</f>
        <v>CY/CY</v>
      </c>
      <c r="M36" s="56" t="str">
        <f>IF(VLOOKUP(D36,'2.Bookinglist'!A:CT,43,FALSE)=0,"","DG")</f>
        <v/>
      </c>
      <c r="N36" s="56" t="str">
        <f>IF(RIGHT(K36,2)="RE","RF","")</f>
        <v/>
      </c>
      <c r="O36" s="54" t="str">
        <f>VLOOKUP(A36,'1.Loading'!A:R,3,FALSE)</f>
        <v>SWVG</v>
      </c>
      <c r="P36" s="54" t="str">
        <f>VLOOKUP(A36,'1.Loading'!A:R,4,FALSE)</f>
        <v>2613N</v>
      </c>
      <c r="Q36" s="54" t="str">
        <f>VLOOKUP(D36,'2.Bookinglist'!A:CT,12,FALSE)</f>
        <v>VTS</v>
      </c>
      <c r="R36" s="56" t="str">
        <f>IF(LEFT(K36,2)="22","20'","40'")</f>
        <v>20'</v>
      </c>
      <c r="S36" s="38"/>
      <c r="T36" s="54" t="str">
        <f>VLOOKUP(A36,'1.Loading'!A:R,2,FALSE)</f>
        <v>2026-10-31</v>
      </c>
      <c r="U36" s="57">
        <f>T36-S36</f>
        <v>46326</v>
      </c>
      <c r="V36" s="58"/>
      <c r="W36" s="54" t="str">
        <f>VLOOKUP(A36,'3.GateMove'!A:D,4,FALSE)</f>
        <v>2026-10-26</v>
      </c>
      <c r="X36" s="57">
        <f>((T36-W36)+1)</f>
        <v>6</v>
      </c>
      <c r="Y36" s="59">
        <f>IF(AND(OR(C36="BKK01",C36="BKK04"),L36="CFS/CY"),0,IF(M36="DG",1,IF(LEFT(C36,3)="LCH",7,IF(C36="BKK02",5,3))))</f>
        <v>3</v>
      </c>
      <c r="Z36" s="57">
        <f>IF(IF(AND(AC36="TML",AB36&gt;0),((T36-W36)+1)-AB36,((T36-W36)+1)-Y36)&gt;0,IF(AND(AC36="TML",AB36&gt;0),((T36-W36)+1)-AB36,((T36-W36)+1)-Y36),0)</f>
        <v>3</v>
      </c>
      <c r="AA36" s="48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480</v>
      </c>
      <c r="AB36" s="53"/>
      <c r="AC36" s="53"/>
      <c r="AD36" s="56">
        <f>IF(M36="DG",3,IF(N36="RF",3,5))+IF(AND(LEFT(C36,3)="BKK",N36="RF",Q36="KTS"),1,0)+IF(Q36="KHS",1,0)</f>
        <v>5</v>
      </c>
      <c r="AE36" s="57">
        <f>(T36-V36)+1</f>
        <v>46327</v>
      </c>
      <c r="AF36" s="57">
        <f>IF(AB36&gt;IF((V36-W36)&gt;0,V36-W36,0),0,IF(AB36&lt;IF((V36-W36)&gt;0,V36-W36,0),IF((V36-W36)&gt;0,V36-W36,0)-AB36,IF((V36-W36)&gt;0,V36-W36,0)))</f>
        <v>0</v>
      </c>
      <c r="AG36" s="48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0"/>
      <c r="AI36" s="60">
        <f>AA36-AH36</f>
        <v>480</v>
      </c>
      <c r="AJ36" s="61"/>
      <c r="AK36" s="55" t="str">
        <f>VLOOKUP(D36,'2.Bookinglist'!A:CT,40,FALSE)</f>
        <v>Nannaapust Sukporntaweewat</v>
      </c>
      <c r="AL36" s="56" t="str">
        <f>VLOOKUP(D36,'2.Bookinglist'!A:CW,101,FALSE)</f>
        <v>2026-10-28</v>
      </c>
      <c r="AM36" s="56" t="str">
        <f>VLOOKUP(D36,'2.Bookinglist'!A:BK,63,FALSE)</f>
        <v>BKK27</v>
      </c>
      <c r="AN36" s="55" t="str">
        <f>VLOOKUP(D36,'2.Bookinglist'!A:AZ,52,FALSE)</f>
        <v>Pickup : 2026-10-24, Return : 2026-10-24</v>
      </c>
      <c r="AO36" s="55">
        <f>VLOOKUP(D36,'2.Bookinglist'!A:CY,103,FALSE)</f>
        <v>0</v>
      </c>
    </row>
    <row r="37" ht="12.95" customHeight="1" spans="1:41" x14ac:dyDescent="0.25">
      <c r="A37" s="3" t="s">
        <v>148</v>
      </c>
      <c r="B37" s="53" t="str">
        <f>IF(C37=Charge!$M$1,Charge!$J$1,IF(C37=Charge!$M$23,Charge!$J$23,IF(C37=Charge!$M$17,Charge!$J$17,IF(C37=Charge!$N$17,Charge!$J$17,Charge!$J$7))))</f>
        <v>G3</v>
      </c>
      <c r="C37" s="54" t="str">
        <f>VLOOKUP(A37,'1.Loading'!A:R,14,FALSE)</f>
        <v>BKK01</v>
      </c>
      <c r="D37" s="54" t="str">
        <f>VLOOKUP(A37,'1.Loading'!A:R,17,FALSE)</f>
        <v>HASLS22261001566</v>
      </c>
      <c r="E37" s="55" t="str">
        <f>VLOOKUP(D37,'2.Bookinglist'!A:CT,27,FALSE)</f>
        <v>VENTE TRADE CO.,LTD.</v>
      </c>
      <c r="F37" s="55" t="str">
        <f>VLOOKUP(D37,'2.Bookinglist'!A:CT,28,FALSE)</f>
        <v>VENTE TRADE CO.,LTD.</v>
      </c>
      <c r="G37" s="56">
        <f>VLOOKUP(D37,'2.Bookinglist'!A:E,5,FALSE)</f>
        <v>0</v>
      </c>
      <c r="H37" s="54" t="str">
        <f>VLOOKUP(D37,'2.Bookinglist'!A:CT,15,FALSE)</f>
        <v>THBKK</v>
      </c>
      <c r="I37" s="54" t="str">
        <f>VLOOKUP(D37,'2.Bookinglist'!A:CT,19,FALSE)</f>
        <v>RUVVO</v>
      </c>
      <c r="J37" s="54" t="str">
        <f>VLOOKUP(D37,'2.Bookinglist'!A:CT,26,FALSE)</f>
        <v>KRPUS</v>
      </c>
      <c r="K37" s="54" t="str">
        <f>VLOOKUP(A37,'1.Loading'!A:R,5,FALSE)</f>
        <v>22GP</v>
      </c>
      <c r="L37" s="56" t="str">
        <f>VLOOKUP(D37,'2.Bookinglist'!A:CT,85,FALSE)</f>
        <v>CY/CY</v>
      </c>
      <c r="M37" s="56" t="str">
        <f>IF(VLOOKUP(D37,'2.Bookinglist'!A:CT,43,FALSE)=0,"","DG")</f>
        <v/>
      </c>
      <c r="N37" s="56" t="str">
        <f>IF(RIGHT(K37,2)="RE","RF","")</f>
        <v/>
      </c>
      <c r="O37" s="54" t="str">
        <f>VLOOKUP(A37,'1.Loading'!A:R,3,FALSE)</f>
        <v>SWVG</v>
      </c>
      <c r="P37" s="54" t="str">
        <f>VLOOKUP(A37,'1.Loading'!A:R,4,FALSE)</f>
        <v>2613N</v>
      </c>
      <c r="Q37" s="54" t="str">
        <f>VLOOKUP(D37,'2.Bookinglist'!A:CT,12,FALSE)</f>
        <v>VTS</v>
      </c>
      <c r="R37" s="56" t="str">
        <f>IF(LEFT(K37,2)="22","20'","40'")</f>
        <v>20'</v>
      </c>
      <c r="S37" s="38"/>
      <c r="T37" s="54" t="str">
        <f>VLOOKUP(A37,'1.Loading'!A:R,2,FALSE)</f>
        <v>2026-10-31</v>
      </c>
      <c r="U37" s="57">
        <f>T37-S37</f>
        <v>46326</v>
      </c>
      <c r="V37" s="58"/>
      <c r="W37" s="54" t="str">
        <f>VLOOKUP(A37,'3.GateMove'!A:D,4,FALSE)</f>
        <v>2026-10-25</v>
      </c>
      <c r="X37" s="57">
        <f>((T37-W37)+1)</f>
        <v>7</v>
      </c>
      <c r="Y37" s="59">
        <f>IF(AND(OR(C37="BKK01",C37="BKK04"),L37="CFS/CY"),0,IF(M37="DG",1,IF(LEFT(C37,3)="LCH",7,IF(C37="BKK02",5,3))))</f>
        <v>3</v>
      </c>
      <c r="Z37" s="57">
        <f>IF(IF(AND(AC37="TML",AB37&gt;0),((T37-W37)+1)-AB37,((T37-W37)+1)-Y37)&gt;0,IF(AND(AC37="TML",AB37&gt;0),((T37-W37)+1)-AB37,((T37-W37)+1)-Y37),0)</f>
        <v>4</v>
      </c>
      <c r="AA37" s="48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640</v>
      </c>
      <c r="AB37" s="53"/>
      <c r="AC37" s="53"/>
      <c r="AD37" s="56">
        <f>IF(M37="DG",3,IF(N37="RF",3,5))+IF(AND(LEFT(C37,3)="BKK",N37="RF",Q37="KTS"),1,0)+IF(Q37="KHS",1,0)</f>
        <v>5</v>
      </c>
      <c r="AE37" s="57">
        <f>(T37-V37)+1</f>
        <v>46327</v>
      </c>
      <c r="AF37" s="57">
        <f>IF(AB37&gt;IF((V37-W37)&gt;0,V37-W37,0),0,IF(AB37&lt;IF((V37-W37)&gt;0,V37-W37,0),IF((V37-W37)&gt;0,V37-W37,0)-AB37,IF((V37-W37)&gt;0,V37-W37,0)))</f>
        <v>0</v>
      </c>
      <c r="AG37" s="48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0"/>
      <c r="AI37" s="60">
        <f>AA37-AH37</f>
        <v>640</v>
      </c>
      <c r="AJ37" s="61"/>
      <c r="AK37" s="55" t="str">
        <f>VLOOKUP(D37,'2.Bookinglist'!A:CT,40,FALSE)</f>
        <v>KIM JEONG HWAN</v>
      </c>
      <c r="AL37" s="56" t="str">
        <f>VLOOKUP(D37,'2.Bookinglist'!A:CW,101,FALSE)</f>
        <v>2026-10-28</v>
      </c>
      <c r="AM37" s="56" t="str">
        <f>VLOOKUP(D37,'2.Bookinglist'!A:BK,63,FALSE)</f>
        <v>BKK27</v>
      </c>
      <c r="AN37" s="55" t="str">
        <f>VLOOKUP(D37,'2.Bookinglist'!A:AZ,52,FALSE)</f>
        <v>[FIX]SWVG/2613N/11/06[FIX] CY-RTN : 22-24/10/2026 
RQST CNTR FOOD GRADE
</v>
      </c>
      <c r="AO37" s="55">
        <f>VLOOKUP(D37,'2.Bookinglist'!A:CY,103,FALSE)</f>
        <v>0</v>
      </c>
    </row>
    <row r="38" ht="12.95" customHeight="1" spans="1:41" x14ac:dyDescent="0.25">
      <c r="A38" s="3" t="s">
        <v>177</v>
      </c>
      <c r="B38" s="53" t="str">
        <f>IF(C38=Charge!$M$1,Charge!$J$1,IF(C38=Charge!$M$23,Charge!$J$23,IF(C38=Charge!$M$17,Charge!$J$17,IF(C38=Charge!$N$17,Charge!$J$17,Charge!$J$7))))</f>
        <v>G3</v>
      </c>
      <c r="C38" s="54" t="str">
        <f>VLOOKUP(A38,'1.Loading'!A:R,14,FALSE)</f>
        <v>BKK01</v>
      </c>
      <c r="D38" s="54" t="str">
        <f>VLOOKUP(A38,'1.Loading'!A:R,17,FALSE)</f>
        <v>HASLS22261000900</v>
      </c>
      <c r="E38" s="55" t="str">
        <f>VLOOKUP(D38,'2.Bookinglist'!A:CT,27,FALSE)</f>
        <v>SINSIMON ENTERPRISE CO., LTD.</v>
      </c>
      <c r="F38" s="55" t="str">
        <f>VLOOKUP(D38,'2.Bookinglist'!A:CT,28,FALSE)</f>
        <v>CHAITIP CO., LTD.</v>
      </c>
      <c r="G38" s="56">
        <f>VLOOKUP(D38,'2.Bookinglist'!A:E,5,FALSE)</f>
        <v>0</v>
      </c>
      <c r="H38" s="54" t="str">
        <f>VLOOKUP(D38,'2.Bookinglist'!A:CT,15,FALSE)</f>
        <v>THBKK</v>
      </c>
      <c r="I38" s="54" t="str">
        <f>VLOOKUP(D38,'2.Bookinglist'!A:CT,19,FALSE)</f>
        <v>HKHKG</v>
      </c>
      <c r="J38" s="54">
        <f>VLOOKUP(D38,'2.Bookinglist'!A:CT,26,FALSE)</f>
        <v>0</v>
      </c>
      <c r="K38" s="54" t="str">
        <f>VLOOKUP(A38,'1.Loading'!A:R,5,FALSE)</f>
        <v>22GP</v>
      </c>
      <c r="L38" s="56" t="str">
        <f>VLOOKUP(D38,'2.Bookinglist'!A:CT,85,FALSE)</f>
        <v>CY/CY</v>
      </c>
      <c r="M38" s="56" t="str">
        <f>IF(VLOOKUP(D38,'2.Bookinglist'!A:CT,43,FALSE)=0,"","DG")</f>
        <v/>
      </c>
      <c r="N38" s="56" t="str">
        <f>IF(RIGHT(K38,2)="RE","RF","")</f>
        <v/>
      </c>
      <c r="O38" s="54" t="str">
        <f>VLOOKUP(A38,'1.Loading'!A:R,3,FALSE)</f>
        <v>SWVG</v>
      </c>
      <c r="P38" s="54" t="str">
        <f>VLOOKUP(A38,'1.Loading'!A:R,4,FALSE)</f>
        <v>2613N</v>
      </c>
      <c r="Q38" s="54" t="str">
        <f>VLOOKUP(D38,'2.Bookinglist'!A:CT,12,FALSE)</f>
        <v>VTS</v>
      </c>
      <c r="R38" s="56" t="str">
        <f>IF(LEFT(K38,2)="22","20'","40'")</f>
        <v>20'</v>
      </c>
      <c r="S38" s="38"/>
      <c r="T38" s="54" t="str">
        <f>VLOOKUP(A38,'1.Loading'!A:R,2,FALSE)</f>
        <v>2026-10-31</v>
      </c>
      <c r="U38" s="57">
        <f>T38-S38</f>
        <v>46326</v>
      </c>
      <c r="V38" s="58"/>
      <c r="W38" s="54" t="str">
        <f>VLOOKUP(A38,'3.GateMove'!A:D,4,FALSE)</f>
        <v>2026-10-27</v>
      </c>
      <c r="X38" s="57">
        <f>((T38-W38)+1)</f>
        <v>5</v>
      </c>
      <c r="Y38" s="59">
        <f>IF(AND(OR(C38="BKK01",C38="BKK04"),L38="CFS/CY"),0,IF(M38="DG",1,IF(LEFT(C38,3)="LCH",7,IF(C38="BKK02",5,3))))</f>
        <v>3</v>
      </c>
      <c r="Z38" s="57">
        <f>IF(IF(AND(AC38="TML",AB38&gt;0),((T38-W38)+1)-AB38,((T38-W38)+1)-Y38)&gt;0,IF(AND(AC38="TML",AB38&gt;0),((T38-W38)+1)-AB38,((T38-W38)+1)-Y38),0)</f>
        <v>2</v>
      </c>
      <c r="AA38" s="48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320</v>
      </c>
      <c r="AB38" s="53"/>
      <c r="AC38" s="53"/>
      <c r="AD38" s="56">
        <f>IF(M38="DG",3,IF(N38="RF",3,5))+IF(AND(LEFT(C38,3)="BKK",N38="RF",Q38="KTS"),1,0)+IF(Q38="KHS",1,0)</f>
        <v>5</v>
      </c>
      <c r="AE38" s="57">
        <f>(T38-V38)+1</f>
        <v>46327</v>
      </c>
      <c r="AF38" s="57">
        <f>IF(AB38&gt;IF((V38-W38)&gt;0,V38-W38,0),0,IF(AB38&lt;IF((V38-W38)&gt;0,V38-W38,0),IF((V38-W38)&gt;0,V38-W38,0)-AB38,IF((V38-W38)&gt;0,V38-W38,0)))</f>
        <v>0</v>
      </c>
      <c r="AG38" s="48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0"/>
      <c r="AI38" s="60">
        <f>AA38-AH38</f>
        <v>320</v>
      </c>
      <c r="AJ38" s="61"/>
      <c r="AK38" s="55" t="str">
        <f>VLOOKUP(D38,'2.Bookinglist'!A:CT,40,FALSE)</f>
        <v>Dharaporn</v>
      </c>
      <c r="AL38" s="56" t="str">
        <f>VLOOKUP(D38,'2.Bookinglist'!A:CW,101,FALSE)</f>
        <v>2026-10-28</v>
      </c>
      <c r="AM38" s="56" t="str">
        <f>VLOOKUP(D38,'2.Bookinglist'!A:BK,63,FALSE)</f>
        <v>BKK25</v>
      </c>
      <c r="AN38" s="55" t="str">
        <f>VLOOKUP(D38,'2.Bookinglist'!A:AZ,52,FALSE)</f>
        <v>Pickup : 2026-10-26, Return : 2026-10-27 EXTEND CLS TIME DD.28/11.00HRS</v>
      </c>
      <c r="AO38" s="55">
        <f>VLOOKUP(D38,'2.Bookinglist'!A:CY,103,FALSE)</f>
        <v>0</v>
      </c>
    </row>
    <row r="39" ht="12.95" customHeight="1" spans="1:41" x14ac:dyDescent="0.25">
      <c r="A39" s="3" t="s">
        <v>86</v>
      </c>
      <c r="B39" s="53" t="str">
        <f>IF(C39=Charge!$M$1,Charge!$J$1,IF(C39=Charge!$M$23,Charge!$J$23,IF(C39=Charge!$M$17,Charge!$J$17,IF(C39=Charge!$N$17,Charge!$J$17,Charge!$J$7))))</f>
        <v>G3</v>
      </c>
      <c r="C39" s="54" t="str">
        <f>VLOOKUP(A39,'1.Loading'!A:R,14,FALSE)</f>
        <v>BKK01</v>
      </c>
      <c r="D39" s="54" t="str">
        <f>VLOOKUP(A39,'1.Loading'!A:R,17,FALSE)</f>
        <v>HASLS22260902619</v>
      </c>
      <c r="E39" s="55" t="str">
        <f>VLOOKUP(D39,'2.Bookinglist'!A:CT,27,FALSE)</f>
        <v>MARCH LOGISTICS CO., LTD.</v>
      </c>
      <c r="F39" s="55" t="str">
        <f>VLOOKUP(D39,'2.Bookinglist'!A:CT,28,FALSE)</f>
        <v>STARPRO SANWA AYUTTHAYA MODIFIED STARCH CO., LTD.</v>
      </c>
      <c r="G39" s="56">
        <f>VLOOKUP(D39,'2.Bookinglist'!A:E,5,FALSE)</f>
        <v>0</v>
      </c>
      <c r="H39" s="54" t="str">
        <f>VLOOKUP(D39,'2.Bookinglist'!A:CT,15,FALSE)</f>
        <v>THBKK</v>
      </c>
      <c r="I39" s="54" t="str">
        <f>VLOOKUP(D39,'2.Bookinglist'!A:CT,19,FALSE)</f>
        <v>CNXMN</v>
      </c>
      <c r="J39" s="54">
        <f>VLOOKUP(D39,'2.Bookinglist'!A:CT,26,FALSE)</f>
        <v>0</v>
      </c>
      <c r="K39" s="54" t="str">
        <f>VLOOKUP(A39,'1.Loading'!A:R,5,FALSE)</f>
        <v>22GP</v>
      </c>
      <c r="L39" s="56" t="str">
        <f>VLOOKUP(D39,'2.Bookinglist'!A:CT,85,FALSE)</f>
        <v>CY/CY</v>
      </c>
      <c r="M39" s="56" t="str">
        <f>IF(VLOOKUP(D39,'2.Bookinglist'!A:CT,43,FALSE)=0,"","DG")</f>
        <v/>
      </c>
      <c r="N39" s="56" t="str">
        <f>IF(RIGHT(K39,2)="RE","RF","")</f>
        <v/>
      </c>
      <c r="O39" s="54" t="str">
        <f>VLOOKUP(A39,'1.Loading'!A:R,3,FALSE)</f>
        <v>SWVG</v>
      </c>
      <c r="P39" s="54" t="str">
        <f>VLOOKUP(A39,'1.Loading'!A:R,4,FALSE)</f>
        <v>2613N</v>
      </c>
      <c r="Q39" s="54" t="str">
        <f>VLOOKUP(D39,'2.Bookinglist'!A:CT,12,FALSE)</f>
        <v>VTS</v>
      </c>
      <c r="R39" s="56" t="str">
        <f>IF(LEFT(K39,2)="22","20'","40'")</f>
        <v>20'</v>
      </c>
      <c r="S39" s="38"/>
      <c r="T39" s="54" t="str">
        <f>VLOOKUP(A39,'1.Loading'!A:R,2,FALSE)</f>
        <v>2026-10-31</v>
      </c>
      <c r="U39" s="57">
        <f>T39-S39</f>
        <v>46326</v>
      </c>
      <c r="V39" s="58"/>
      <c r="W39" s="54" t="str">
        <f>VLOOKUP(A39,'3.GateMove'!A:D,4,FALSE)</f>
        <v>2026-10-26</v>
      </c>
      <c r="X39" s="57">
        <f>((T39-W39)+1)</f>
        <v>6</v>
      </c>
      <c r="Y39" s="59">
        <f>IF(AND(OR(C39="BKK01",C39="BKK04"),L39="CFS/CY"),0,IF(M39="DG",1,IF(LEFT(C39,3)="LCH",7,IF(C39="BKK02",5,3))))</f>
        <v>3</v>
      </c>
      <c r="Z39" s="57">
        <f>IF(IF(AND(AC39="TML",AB39&gt;0),((T39-W39)+1)-AB39,((T39-W39)+1)-Y39)&gt;0,IF(AND(AC39="TML",AB39&gt;0),((T39-W39)+1)-AB39,((T39-W39)+1)-Y39),0)</f>
        <v>3</v>
      </c>
      <c r="AA39" s="48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480</v>
      </c>
      <c r="AB39" s="53"/>
      <c r="AC39" s="53"/>
      <c r="AD39" s="56">
        <f>IF(M39="DG",3,IF(N39="RF",3,5))+IF(AND(LEFT(C39,3)="BKK",N39="RF",Q39="KTS"),1,0)+IF(Q39="KHS",1,0)</f>
        <v>5</v>
      </c>
      <c r="AE39" s="57">
        <f>(T39-V39)+1</f>
        <v>46327</v>
      </c>
      <c r="AF39" s="57">
        <f>IF(AB39&gt;IF((V39-W39)&gt;0,V39-W39,0),0,IF(AB39&lt;IF((V39-W39)&gt;0,V39-W39,0),IF((V39-W39)&gt;0,V39-W39,0)-AB39,IF((V39-W39)&gt;0,V39-W39,0)))</f>
        <v>0</v>
      </c>
      <c r="AG39" s="48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0"/>
      <c r="AI39" s="60">
        <f>AA39-AH39</f>
        <v>480</v>
      </c>
      <c r="AJ39" s="61"/>
      <c r="AK39" s="55" t="str">
        <f>VLOOKUP(D39,'2.Bookinglist'!A:CT,40,FALSE)</f>
        <v>Pattarapong Saengthong</v>
      </c>
      <c r="AL39" s="56" t="str">
        <f>VLOOKUP(D39,'2.Bookinglist'!A:CW,101,FALSE)</f>
        <v>2026-10-28</v>
      </c>
      <c r="AM39" s="56" t="str">
        <f>VLOOKUP(D39,'2.Bookinglist'!A:BK,63,FALSE)</f>
        <v>BKK27</v>
      </c>
      <c r="AN39" s="55" t="str">
        <f>VLOOKUP(D39,'2.Bookinglist'!A:AZ,52,FALSE)</f>
        <v>Pickup : 2026-10-24, Return : 2026-10-26 </v>
      </c>
      <c r="AO39" s="55">
        <f>VLOOKUP(D39,'2.Bookinglist'!A:CY,103,FALSE)</f>
        <v>0</v>
      </c>
    </row>
    <row r="40" ht="12.95" customHeight="1" spans="1:41" x14ac:dyDescent="0.25">
      <c r="A40" s="3" t="s">
        <v>178</v>
      </c>
      <c r="B40" s="53" t="str">
        <f>IF(C40=Charge!$M$1,Charge!$J$1,IF(C40=Charge!$M$23,Charge!$J$23,IF(C40=Charge!$M$17,Charge!$J$17,IF(C40=Charge!$N$17,Charge!$J$17,Charge!$J$7))))</f>
        <v>G3</v>
      </c>
      <c r="C40" s="54" t="str">
        <f>VLOOKUP(A40,'1.Loading'!A:R,14,FALSE)</f>
        <v>BKK01</v>
      </c>
      <c r="D40" s="54" t="str">
        <f>VLOOKUP(A40,'1.Loading'!A:R,17,FALSE)</f>
        <v>HASLS22261000900</v>
      </c>
      <c r="E40" s="55" t="str">
        <f>VLOOKUP(D40,'2.Bookinglist'!A:CT,27,FALSE)</f>
        <v>SINSIMON ENTERPRISE CO., LTD.</v>
      </c>
      <c r="F40" s="55" t="str">
        <f>VLOOKUP(D40,'2.Bookinglist'!A:CT,28,FALSE)</f>
        <v>CHAITIP CO., LTD.</v>
      </c>
      <c r="G40" s="56">
        <f>VLOOKUP(D40,'2.Bookinglist'!A:E,5,FALSE)</f>
        <v>0</v>
      </c>
      <c r="H40" s="54" t="str">
        <f>VLOOKUP(D40,'2.Bookinglist'!A:CT,15,FALSE)</f>
        <v>THBKK</v>
      </c>
      <c r="I40" s="54" t="str">
        <f>VLOOKUP(D40,'2.Bookinglist'!A:CT,19,FALSE)</f>
        <v>HKHKG</v>
      </c>
      <c r="J40" s="54">
        <f>VLOOKUP(D40,'2.Bookinglist'!A:CT,26,FALSE)</f>
        <v>0</v>
      </c>
      <c r="K40" s="54" t="str">
        <f>VLOOKUP(A40,'1.Loading'!A:R,5,FALSE)</f>
        <v>22GP</v>
      </c>
      <c r="L40" s="56" t="str">
        <f>VLOOKUP(D40,'2.Bookinglist'!A:CT,85,FALSE)</f>
        <v>CY/CY</v>
      </c>
      <c r="M40" s="56" t="str">
        <f>IF(VLOOKUP(D40,'2.Bookinglist'!A:CT,43,FALSE)=0,"","DG")</f>
        <v/>
      </c>
      <c r="N40" s="56" t="str">
        <f>IF(RIGHT(K40,2)="RE","RF","")</f>
        <v/>
      </c>
      <c r="O40" s="54" t="str">
        <f>VLOOKUP(A40,'1.Loading'!A:R,3,FALSE)</f>
        <v>SWVG</v>
      </c>
      <c r="P40" s="54" t="str">
        <f>VLOOKUP(A40,'1.Loading'!A:R,4,FALSE)</f>
        <v>2613N</v>
      </c>
      <c r="Q40" s="54" t="str">
        <f>VLOOKUP(D40,'2.Bookinglist'!A:CT,12,FALSE)</f>
        <v>VTS</v>
      </c>
      <c r="R40" s="56" t="str">
        <f>IF(LEFT(K40,2)="22","20'","40'")</f>
        <v>20'</v>
      </c>
      <c r="S40" s="38"/>
      <c r="T40" s="54" t="str">
        <f>VLOOKUP(A40,'1.Loading'!A:R,2,FALSE)</f>
        <v>2026-10-31</v>
      </c>
      <c r="U40" s="57">
        <f>T40-S40</f>
        <v>46326</v>
      </c>
      <c r="V40" s="58"/>
      <c r="W40" s="54" t="str">
        <f>VLOOKUP(A40,'3.GateMove'!A:D,4,FALSE)</f>
        <v>2026-10-27</v>
      </c>
      <c r="X40" s="57">
        <f>((T40-W40)+1)</f>
        <v>5</v>
      </c>
      <c r="Y40" s="59">
        <f>IF(AND(OR(C40="BKK01",C40="BKK04"),L40="CFS/CY"),0,IF(M40="DG",1,IF(LEFT(C40,3)="LCH",7,IF(C40="BKK02",5,3))))</f>
        <v>3</v>
      </c>
      <c r="Z40" s="57">
        <f>IF(IF(AND(AC40="TML",AB40&gt;0),((T40-W40)+1)-AB40,((T40-W40)+1)-Y40)&gt;0,IF(AND(AC40="TML",AB40&gt;0),((T40-W40)+1)-AB40,((T40-W40)+1)-Y40),0)</f>
        <v>2</v>
      </c>
      <c r="AA40" s="48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320</v>
      </c>
      <c r="AB40" s="53"/>
      <c r="AC40" s="53"/>
      <c r="AD40" s="56">
        <f>IF(M40="DG",3,IF(N40="RF",3,5))+IF(AND(LEFT(C40,3)="BKK",N40="RF",Q40="KTS"),1,0)+IF(Q40="KHS",1,0)</f>
        <v>5</v>
      </c>
      <c r="AE40" s="57">
        <f>(T40-V40)+1</f>
        <v>46327</v>
      </c>
      <c r="AF40" s="57">
        <f>IF(AB40&gt;IF((V40-W40)&gt;0,V40-W40,0),0,IF(AB40&lt;IF((V40-W40)&gt;0,V40-W40,0),IF((V40-W40)&gt;0,V40-W40,0)-AB40,IF((V40-W40)&gt;0,V40-W40,0)))</f>
        <v>0</v>
      </c>
      <c r="AG40" s="48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0"/>
      <c r="AI40" s="60">
        <f>AA40-AH40</f>
        <v>320</v>
      </c>
      <c r="AJ40" s="61"/>
      <c r="AK40" s="55" t="str">
        <f>VLOOKUP(D40,'2.Bookinglist'!A:CT,40,FALSE)</f>
        <v>Dharaporn</v>
      </c>
      <c r="AL40" s="56" t="str">
        <f>VLOOKUP(D40,'2.Bookinglist'!A:CW,101,FALSE)</f>
        <v>2026-10-28</v>
      </c>
      <c r="AM40" s="56" t="str">
        <f>VLOOKUP(D40,'2.Bookinglist'!A:BK,63,FALSE)</f>
        <v>BKK25</v>
      </c>
      <c r="AN40" s="55" t="str">
        <f>VLOOKUP(D40,'2.Bookinglist'!A:AZ,52,FALSE)</f>
        <v>Pickup : 2026-10-26, Return : 2026-10-27 EXTEND CLS TIME DD.28/11.00HRS</v>
      </c>
      <c r="AO40" s="55">
        <f>VLOOKUP(D40,'2.Bookinglist'!A:CY,103,FALSE)</f>
        <v>0</v>
      </c>
    </row>
    <row r="41" ht="12.95" customHeight="1" spans="1:41" x14ac:dyDescent="0.25">
      <c r="A41" s="3" t="s">
        <v>138</v>
      </c>
      <c r="B41" s="53" t="str">
        <f>IF(C41=Charge!$M$1,Charge!$J$1,IF(C41=Charge!$M$23,Charge!$J$23,IF(C41=Charge!$M$17,Charge!$J$17,IF(C41=Charge!$N$17,Charge!$J$17,Charge!$J$7))))</f>
        <v>G3</v>
      </c>
      <c r="C41" s="54" t="str">
        <f>VLOOKUP(A41,'1.Loading'!A:R,14,FALSE)</f>
        <v>BKK01</v>
      </c>
      <c r="D41" s="54" t="str">
        <f>VLOOKUP(A41,'1.Loading'!A:R,17,FALSE)</f>
        <v>HASLS22261000219</v>
      </c>
      <c r="E41" s="55" t="str">
        <f>VLOOKUP(D41,'2.Bookinglist'!A:CT,27,FALSE)</f>
        <v>INTERCONNECTIVITY SERVICE CO., LTD.</v>
      </c>
      <c r="F41" s="55" t="str">
        <f>VLOOKUP(D41,'2.Bookinglist'!A:CT,28,FALSE)</f>
        <v>UNICORD PUBLIC COMPANY LIMITED</v>
      </c>
      <c r="G41" s="56">
        <f>VLOOKUP(D41,'2.Bookinglist'!A:E,5,FALSE)</f>
        <v>0</v>
      </c>
      <c r="H41" s="54" t="str">
        <f>VLOOKUP(D41,'2.Bookinglist'!A:CT,15,FALSE)</f>
        <v>THBKK</v>
      </c>
      <c r="I41" s="54" t="str">
        <f>VLOOKUP(D41,'2.Bookinglist'!A:CT,19,FALSE)</f>
        <v>KRPUS</v>
      </c>
      <c r="J41" s="54">
        <f>VLOOKUP(D41,'2.Bookinglist'!A:CT,26,FALSE)</f>
        <v>0</v>
      </c>
      <c r="K41" s="54" t="str">
        <f>VLOOKUP(A41,'1.Loading'!A:R,5,FALSE)</f>
        <v>22GP</v>
      </c>
      <c r="L41" s="56" t="str">
        <f>VLOOKUP(D41,'2.Bookinglist'!A:CT,85,FALSE)</f>
        <v>CY/CY</v>
      </c>
      <c r="M41" s="56" t="str">
        <f>IF(VLOOKUP(D41,'2.Bookinglist'!A:CT,43,FALSE)=0,"","DG")</f>
        <v/>
      </c>
      <c r="N41" s="56" t="str">
        <f>IF(RIGHT(K41,2)="RE","RF","")</f>
        <v/>
      </c>
      <c r="O41" s="54" t="str">
        <f>VLOOKUP(A41,'1.Loading'!A:R,3,FALSE)</f>
        <v>SWVG</v>
      </c>
      <c r="P41" s="54" t="str">
        <f>VLOOKUP(A41,'1.Loading'!A:R,4,FALSE)</f>
        <v>2613N</v>
      </c>
      <c r="Q41" s="54" t="str">
        <f>VLOOKUP(D41,'2.Bookinglist'!A:CT,12,FALSE)</f>
        <v>VTS</v>
      </c>
      <c r="R41" s="56" t="str">
        <f>IF(LEFT(K41,2)="22","20'","40'")</f>
        <v>20'</v>
      </c>
      <c r="S41" s="38"/>
      <c r="T41" s="54" t="str">
        <f>VLOOKUP(A41,'1.Loading'!A:R,2,FALSE)</f>
        <v>2026-10-31</v>
      </c>
      <c r="U41" s="57">
        <f>T41-S41</f>
        <v>46326</v>
      </c>
      <c r="V41" s="58"/>
      <c r="W41" s="54" t="str">
        <f>VLOOKUP(A41,'3.GateMove'!A:D,4,FALSE)</f>
        <v>2026-10-26</v>
      </c>
      <c r="X41" s="57">
        <f>((T41-W41)+1)</f>
        <v>6</v>
      </c>
      <c r="Y41" s="59">
        <f>IF(AND(OR(C41="BKK01",C41="BKK04"),L41="CFS/CY"),0,IF(M41="DG",1,IF(LEFT(C41,3)="LCH",7,IF(C41="BKK02",5,3))))</f>
        <v>3</v>
      </c>
      <c r="Z41" s="57">
        <f>IF(IF(AND(AC41="TML",AB41&gt;0),((T41-W41)+1)-AB41,((T41-W41)+1)-Y41)&gt;0,IF(AND(AC41="TML",AB41&gt;0),((T41-W41)+1)-AB41,((T41-W41)+1)-Y41),0)</f>
        <v>3</v>
      </c>
      <c r="AA41" s="48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480</v>
      </c>
      <c r="AB41" s="53"/>
      <c r="AC41" s="53"/>
      <c r="AD41" s="56">
        <f>IF(M41="DG",3,IF(N41="RF",3,5))+IF(AND(LEFT(C41,3)="BKK",N41="RF",Q41="KTS"),1,0)+IF(Q41="KHS",1,0)</f>
        <v>5</v>
      </c>
      <c r="AE41" s="57">
        <f>(T41-V41)+1</f>
        <v>46327</v>
      </c>
      <c r="AF41" s="57">
        <f>IF(AB41&gt;IF((V41-W41)&gt;0,V41-W41,0),0,IF(AB41&lt;IF((V41-W41)&gt;0,V41-W41,0),IF((V41-W41)&gt;0,V41-W41,0)-AB41,IF((V41-W41)&gt;0,V41-W41,0)))</f>
        <v>0</v>
      </c>
      <c r="AG41" s="48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0"/>
      <c r="AI41" s="60">
        <f>AA41-AH41</f>
        <v>480</v>
      </c>
      <c r="AJ41" s="61"/>
      <c r="AK41" s="55" t="str">
        <f>VLOOKUP(D41,'2.Bookinglist'!A:CT,40,FALSE)</f>
        <v>Nustsireerach</v>
      </c>
      <c r="AL41" s="56" t="str">
        <f>VLOOKUP(D41,'2.Bookinglist'!A:CW,101,FALSE)</f>
        <v>2026-10-29</v>
      </c>
      <c r="AM41" s="56" t="str">
        <f>VLOOKUP(D41,'2.Bookinglist'!A:BK,63,FALSE)</f>
        <v>BKK27</v>
      </c>
      <c r="AN41" s="55" t="str">
        <f>VLOOKUP(D41,'2.Bookinglist'!A:AZ,52,FALSE)</f>
        <v>Pickup : 2026-10-24, Return : 2026-10-26
</v>
      </c>
      <c r="AO41" s="55">
        <f>VLOOKUP(D41,'2.Bookinglist'!A:CY,103,FALSE)</f>
        <v>0</v>
      </c>
    </row>
    <row r="42" ht="12.95" customHeight="1" spans="1:41" x14ac:dyDescent="0.25">
      <c r="A42" s="3" t="s">
        <v>126</v>
      </c>
      <c r="B42" s="53" t="str">
        <f>IF(C42=Charge!$M$1,Charge!$J$1,IF(C42=Charge!$M$23,Charge!$J$23,IF(C42=Charge!$M$17,Charge!$J$17,IF(C42=Charge!$N$17,Charge!$J$17,Charge!$J$7))))</f>
        <v>G3</v>
      </c>
      <c r="C42" s="54" t="str">
        <f>VLOOKUP(A42,'1.Loading'!A:R,14,FALSE)</f>
        <v>BKK01</v>
      </c>
      <c r="D42" s="54" t="str">
        <f>VLOOKUP(A42,'1.Loading'!A:R,17,FALSE)</f>
        <v>HASLS22260902195</v>
      </c>
      <c r="E42" s="55" t="str">
        <f>VLOOKUP(D42,'2.Bookinglist'!A:CT,27,FALSE)</f>
        <v>CSS LOGISTICS (THAILAND) CO., LTD.</v>
      </c>
      <c r="F42" s="55" t="str">
        <f>VLOOKUP(D42,'2.Bookinglist'!A:CT,28,FALSE)</f>
        <v>NORITAKE SCG PLASTER CO., LTD.</v>
      </c>
      <c r="G42" s="56">
        <f>VLOOKUP(D42,'2.Bookinglist'!A:E,5,FALSE)</f>
        <v>0</v>
      </c>
      <c r="H42" s="54" t="str">
        <f>VLOOKUP(D42,'2.Bookinglist'!A:CT,15,FALSE)</f>
        <v>THBKK</v>
      </c>
      <c r="I42" s="54" t="str">
        <f>VLOOKUP(D42,'2.Bookinglist'!A:CT,19,FALSE)</f>
        <v>CNXMN</v>
      </c>
      <c r="J42" s="54">
        <f>VLOOKUP(D42,'2.Bookinglist'!A:CT,26,FALSE)</f>
        <v>0</v>
      </c>
      <c r="K42" s="54" t="str">
        <f>VLOOKUP(A42,'1.Loading'!A:R,5,FALSE)</f>
        <v>22GP</v>
      </c>
      <c r="L42" s="56" t="str">
        <f>VLOOKUP(D42,'2.Bookinglist'!A:CT,85,FALSE)</f>
        <v>CY/CY</v>
      </c>
      <c r="M42" s="56" t="str">
        <f>IF(VLOOKUP(D42,'2.Bookinglist'!A:CT,43,FALSE)=0,"","DG")</f>
        <v/>
      </c>
      <c r="N42" s="56" t="str">
        <f>IF(RIGHT(K42,2)="RE","RF","")</f>
        <v/>
      </c>
      <c r="O42" s="54" t="str">
        <f>VLOOKUP(A42,'1.Loading'!A:R,3,FALSE)</f>
        <v>SWVG</v>
      </c>
      <c r="P42" s="54" t="str">
        <f>VLOOKUP(A42,'1.Loading'!A:R,4,FALSE)</f>
        <v>2613N</v>
      </c>
      <c r="Q42" s="54" t="str">
        <f>VLOOKUP(D42,'2.Bookinglist'!A:CT,12,FALSE)</f>
        <v>VTS</v>
      </c>
      <c r="R42" s="56" t="str">
        <f>IF(LEFT(K42,2)="22","20'","40'")</f>
        <v>20'</v>
      </c>
      <c r="S42" s="38"/>
      <c r="T42" s="54" t="str">
        <f>VLOOKUP(A42,'1.Loading'!A:R,2,FALSE)</f>
        <v>2026-10-31</v>
      </c>
      <c r="U42" s="57">
        <f>T42-S42</f>
        <v>46326</v>
      </c>
      <c r="V42" s="58"/>
      <c r="W42" s="54" t="str">
        <f>VLOOKUP(A42,'3.GateMove'!A:D,4,FALSE)</f>
        <v>2026-10-26</v>
      </c>
      <c r="X42" s="57">
        <f>((T42-W42)+1)</f>
        <v>6</v>
      </c>
      <c r="Y42" s="59">
        <f>IF(AND(OR(C42="BKK01",C42="BKK04"),L42="CFS/CY"),0,IF(M42="DG",1,IF(LEFT(C42,3)="LCH",7,IF(C42="BKK02",5,3))))</f>
        <v>3</v>
      </c>
      <c r="Z42" s="57">
        <f>IF(IF(AND(AC42="TML",AB42&gt;0),((T42-W42)+1)-AB42,((T42-W42)+1)-Y42)&gt;0,IF(AND(AC42="TML",AB42&gt;0),((T42-W42)+1)-AB42,((T42-W42)+1)-Y42),0)</f>
        <v>3</v>
      </c>
      <c r="AA42" s="48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480</v>
      </c>
      <c r="AB42" s="53"/>
      <c r="AC42" s="53"/>
      <c r="AD42" s="56">
        <f>IF(M42="DG",3,IF(N42="RF",3,5))+IF(AND(LEFT(C42,3)="BKK",N42="RF",Q42="KTS"),1,0)+IF(Q42="KHS",1,0)</f>
        <v>5</v>
      </c>
      <c r="AE42" s="57">
        <f>(T42-V42)+1</f>
        <v>46327</v>
      </c>
      <c r="AF42" s="57">
        <f>IF(AB42&gt;IF((V42-W42)&gt;0,V42-W42,0),0,IF(AB42&lt;IF((V42-W42)&gt;0,V42-W42,0),IF((V42-W42)&gt;0,V42-W42,0)-AB42,IF((V42-W42)&gt;0,V42-W42,0)))</f>
        <v>0</v>
      </c>
      <c r="AG42" s="48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0"/>
      <c r="AI42" s="60">
        <f>AA42-AH42</f>
        <v>480</v>
      </c>
      <c r="AJ42" s="61"/>
      <c r="AK42" s="55" t="str">
        <f>VLOOKUP(D42,'2.Bookinglist'!A:CT,40,FALSE)</f>
        <v>Pattarapong Saengthong</v>
      </c>
      <c r="AL42" s="56" t="str">
        <f>VLOOKUP(D42,'2.Bookinglist'!A:CW,101,FALSE)</f>
        <v>2026-10-29</v>
      </c>
      <c r="AM42" s="56" t="str">
        <f>VLOOKUP(D42,'2.Bookinglist'!A:BK,63,FALSE)</f>
        <v>BKK27</v>
      </c>
      <c r="AN42" s="55" t="str">
        <f>VLOOKUP(D42,'2.Bookinglist'!A:AZ,52,FALSE)</f>
        <v>Pickup : 2026-10-26, Return : 2026-10-26
CLS TIME DD.27/10/2026 @ 12.00</v>
      </c>
      <c r="AO42" s="55">
        <f>VLOOKUP(D42,'2.Bookinglist'!A:CY,103,FALSE)</f>
        <v>0</v>
      </c>
    </row>
    <row r="43" ht="12.95" customHeight="1" spans="1:41" x14ac:dyDescent="0.25">
      <c r="A43" s="3" t="s">
        <v>121</v>
      </c>
      <c r="B43" s="53" t="str">
        <f>IF(C43=Charge!$M$1,Charge!$J$1,IF(C43=Charge!$M$23,Charge!$J$23,IF(C43=Charge!$M$17,Charge!$J$17,IF(C43=Charge!$N$17,Charge!$J$17,Charge!$J$7))))</f>
        <v>G3</v>
      </c>
      <c r="C43" s="54" t="str">
        <f>VLOOKUP(A43,'1.Loading'!A:R,14,FALSE)</f>
        <v>BKK01</v>
      </c>
      <c r="D43" s="54" t="str">
        <f>VLOOKUP(A43,'1.Loading'!A:R,17,FALSE)</f>
        <v>HASLS22261001877</v>
      </c>
      <c r="E43" s="55" t="str">
        <f>VLOOKUP(D43,'2.Bookinglist'!A:CT,27,FALSE)</f>
        <v>SS EXCELLENT NETWORK CO.,LTD</v>
      </c>
      <c r="F43" s="55" t="str">
        <f>VLOOKUP(D43,'2.Bookinglist'!A:CT,28,FALSE)</f>
        <v>SS EXCELLENT NETWORK CO.,LTD</v>
      </c>
      <c r="G43" s="56">
        <f>VLOOKUP(D43,'2.Bookinglist'!A:E,5,FALSE)</f>
        <v>0</v>
      </c>
      <c r="H43" s="54" t="str">
        <f>VLOOKUP(D43,'2.Bookinglist'!A:CT,15,FALSE)</f>
        <v>THBKK</v>
      </c>
      <c r="I43" s="54" t="str">
        <f>VLOOKUP(D43,'2.Bookinglist'!A:CT,19,FALSE)</f>
        <v>HKHKG</v>
      </c>
      <c r="J43" s="54">
        <f>VLOOKUP(D43,'2.Bookinglist'!A:CT,26,FALSE)</f>
        <v>0</v>
      </c>
      <c r="K43" s="54" t="str">
        <f>VLOOKUP(A43,'1.Loading'!A:R,5,FALSE)</f>
        <v>22GP</v>
      </c>
      <c r="L43" s="56" t="str">
        <f>VLOOKUP(D43,'2.Bookinglist'!A:CT,85,FALSE)</f>
        <v>CY/CY</v>
      </c>
      <c r="M43" s="56" t="str">
        <f>IF(VLOOKUP(D43,'2.Bookinglist'!A:CT,43,FALSE)=0,"","DG")</f>
        <v/>
      </c>
      <c r="N43" s="56" t="str">
        <f>IF(RIGHT(K43,2)="RE","RF","")</f>
        <v/>
      </c>
      <c r="O43" s="54" t="str">
        <f>VLOOKUP(A43,'1.Loading'!A:R,3,FALSE)</f>
        <v>SWVG</v>
      </c>
      <c r="P43" s="54" t="str">
        <f>VLOOKUP(A43,'1.Loading'!A:R,4,FALSE)</f>
        <v>2613N</v>
      </c>
      <c r="Q43" s="54" t="str">
        <f>VLOOKUP(D43,'2.Bookinglist'!A:CT,12,FALSE)</f>
        <v>VTS</v>
      </c>
      <c r="R43" s="56" t="str">
        <f>IF(LEFT(K43,2)="22","20'","40'")</f>
        <v>20'</v>
      </c>
      <c r="S43" s="38"/>
      <c r="T43" s="54" t="str">
        <f>VLOOKUP(A43,'1.Loading'!A:R,2,FALSE)</f>
        <v>2026-10-31</v>
      </c>
      <c r="U43" s="57">
        <f>T43-S43</f>
        <v>46326</v>
      </c>
      <c r="V43" s="58"/>
      <c r="W43" s="54" t="str">
        <f>VLOOKUP(A43,'3.GateMove'!A:D,4,FALSE)</f>
        <v>2026-10-26</v>
      </c>
      <c r="X43" s="57">
        <f>((T43-W43)+1)</f>
        <v>6</v>
      </c>
      <c r="Y43" s="59">
        <f>IF(AND(OR(C43="BKK01",C43="BKK04"),L43="CFS/CY"),0,IF(M43="DG",1,IF(LEFT(C43,3)="LCH",7,IF(C43="BKK02",5,3))))</f>
        <v>3</v>
      </c>
      <c r="Z43" s="57">
        <f>IF(IF(AND(AC43="TML",AB43&gt;0),((T43-W43)+1)-AB43,((T43-W43)+1)-Y43)&gt;0,IF(AND(AC43="TML",AB43&gt;0),((T43-W43)+1)-AB43,((T43-W43)+1)-Y43),0)</f>
        <v>3</v>
      </c>
      <c r="AA43" s="48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480</v>
      </c>
      <c r="AB43" s="53"/>
      <c r="AC43" s="53"/>
      <c r="AD43" s="56">
        <f>IF(M43="DG",3,IF(N43="RF",3,5))+IF(AND(LEFT(C43,3)="BKK",N43="RF",Q43="KTS"),1,0)+IF(Q43="KHS",1,0)</f>
        <v>5</v>
      </c>
      <c r="AE43" s="57">
        <f>(T43-V43)+1</f>
        <v>46327</v>
      </c>
      <c r="AF43" s="57">
        <f>IF(AB43&gt;IF((V43-W43)&gt;0,V43-W43,0),0,IF(AB43&lt;IF((V43-W43)&gt;0,V43-W43,0),IF((V43-W43)&gt;0,V43-W43,0)-AB43,IF((V43-W43)&gt;0,V43-W43,0)))</f>
        <v>0</v>
      </c>
      <c r="AG43" s="48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0"/>
      <c r="AI43" s="60">
        <f>AA43-AH43</f>
        <v>480</v>
      </c>
      <c r="AJ43" s="61"/>
      <c r="AK43" s="55" t="str">
        <f>VLOOKUP(D43,'2.Bookinglist'!A:CT,40,FALSE)</f>
        <v>Nannaapust Sukporntaweewat</v>
      </c>
      <c r="AL43" s="56" t="str">
        <f>VLOOKUP(D43,'2.Bookinglist'!A:CW,101,FALSE)</f>
        <v>2026-10-28</v>
      </c>
      <c r="AM43" s="56" t="str">
        <f>VLOOKUP(D43,'2.Bookinglist'!A:BK,63,FALSE)</f>
        <v>BKK27</v>
      </c>
      <c r="AN43" s="55" t="str">
        <f>VLOOKUP(D43,'2.Bookinglist'!A:AZ,52,FALSE)</f>
        <v>Pickup : 2026-10-24, Return : 2026-10-24</v>
      </c>
      <c r="AO43" s="55">
        <f>VLOOKUP(D43,'2.Bookinglist'!A:CY,103,FALSE)</f>
        <v>0</v>
      </c>
    </row>
    <row r="44" ht="12.95" customHeight="1" spans="1:41" x14ac:dyDescent="0.25">
      <c r="A44" s="3" t="s">
        <v>127</v>
      </c>
      <c r="B44" s="53" t="str">
        <f>IF(C44=Charge!$M$1,Charge!$J$1,IF(C44=Charge!$M$23,Charge!$J$23,IF(C44=Charge!$M$17,Charge!$J$17,IF(C44=Charge!$N$17,Charge!$J$17,Charge!$J$7))))</f>
        <v>G3</v>
      </c>
      <c r="C44" s="54" t="str">
        <f>VLOOKUP(A44,'1.Loading'!A:R,14,FALSE)</f>
        <v>BKK01</v>
      </c>
      <c r="D44" s="54" t="str">
        <f>VLOOKUP(A44,'1.Loading'!A:R,17,FALSE)</f>
        <v>HASLS22260902195</v>
      </c>
      <c r="E44" s="55" t="str">
        <f>VLOOKUP(D44,'2.Bookinglist'!A:CT,27,FALSE)</f>
        <v>CSS LOGISTICS (THAILAND) CO., LTD.</v>
      </c>
      <c r="F44" s="55" t="str">
        <f>VLOOKUP(D44,'2.Bookinglist'!A:CT,28,FALSE)</f>
        <v>NORITAKE SCG PLASTER CO., LTD.</v>
      </c>
      <c r="G44" s="56">
        <f>VLOOKUP(D44,'2.Bookinglist'!A:E,5,FALSE)</f>
        <v>0</v>
      </c>
      <c r="H44" s="54" t="str">
        <f>VLOOKUP(D44,'2.Bookinglist'!A:CT,15,FALSE)</f>
        <v>THBKK</v>
      </c>
      <c r="I44" s="54" t="str">
        <f>VLOOKUP(D44,'2.Bookinglist'!A:CT,19,FALSE)</f>
        <v>CNXMN</v>
      </c>
      <c r="J44" s="54">
        <f>VLOOKUP(D44,'2.Bookinglist'!A:CT,26,FALSE)</f>
        <v>0</v>
      </c>
      <c r="K44" s="54" t="str">
        <f>VLOOKUP(A44,'1.Loading'!A:R,5,FALSE)</f>
        <v>22GP</v>
      </c>
      <c r="L44" s="56" t="str">
        <f>VLOOKUP(D44,'2.Bookinglist'!A:CT,85,FALSE)</f>
        <v>CY/CY</v>
      </c>
      <c r="M44" s="56" t="str">
        <f>IF(VLOOKUP(D44,'2.Bookinglist'!A:CT,43,FALSE)=0,"","DG")</f>
        <v/>
      </c>
      <c r="N44" s="56" t="str">
        <f>IF(RIGHT(K44,2)="RE","RF","")</f>
        <v/>
      </c>
      <c r="O44" s="54" t="str">
        <f>VLOOKUP(A44,'1.Loading'!A:R,3,FALSE)</f>
        <v>SWVG</v>
      </c>
      <c r="P44" s="54" t="str">
        <f>VLOOKUP(A44,'1.Loading'!A:R,4,FALSE)</f>
        <v>2613N</v>
      </c>
      <c r="Q44" s="54" t="str">
        <f>VLOOKUP(D44,'2.Bookinglist'!A:CT,12,FALSE)</f>
        <v>VTS</v>
      </c>
      <c r="R44" s="56" t="str">
        <f>IF(LEFT(K44,2)="22","20'","40'")</f>
        <v>20'</v>
      </c>
      <c r="S44" s="38"/>
      <c r="T44" s="54" t="str">
        <f>VLOOKUP(A44,'1.Loading'!A:R,2,FALSE)</f>
        <v>2026-10-31</v>
      </c>
      <c r="U44" s="57">
        <f>T44-S44</f>
        <v>46326</v>
      </c>
      <c r="V44" s="58"/>
      <c r="W44" s="54" t="str">
        <f>VLOOKUP(A44,'3.GateMove'!A:D,4,FALSE)</f>
        <v>2026-10-26</v>
      </c>
      <c r="X44" s="57">
        <f>((T44-W44)+1)</f>
        <v>6</v>
      </c>
      <c r="Y44" s="59">
        <f>IF(AND(OR(C44="BKK01",C44="BKK04"),L44="CFS/CY"),0,IF(M44="DG",1,IF(LEFT(C44,3)="LCH",7,IF(C44="BKK02",5,3))))</f>
        <v>3</v>
      </c>
      <c r="Z44" s="57">
        <f>IF(IF(AND(AC44="TML",AB44&gt;0),((T44-W44)+1)-AB44,((T44-W44)+1)-Y44)&gt;0,IF(AND(AC44="TML",AB44&gt;0),((T44-W44)+1)-AB44,((T44-W44)+1)-Y44),0)</f>
        <v>3</v>
      </c>
      <c r="AA44" s="48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480</v>
      </c>
      <c r="AB44" s="53"/>
      <c r="AC44" s="53"/>
      <c r="AD44" s="56">
        <f>IF(M44="DG",3,IF(N44="RF",3,5))+IF(AND(LEFT(C44,3)="BKK",N44="RF",Q44="KTS"),1,0)+IF(Q44="KHS",1,0)</f>
        <v>5</v>
      </c>
      <c r="AE44" s="57">
        <f>(T44-V44)+1</f>
        <v>46327</v>
      </c>
      <c r="AF44" s="57">
        <f>IF(AB44&gt;IF((V44-W44)&gt;0,V44-W44,0),0,IF(AB44&lt;IF((V44-W44)&gt;0,V44-W44,0),IF((V44-W44)&gt;0,V44-W44,0)-AB44,IF((V44-W44)&gt;0,V44-W44,0)))</f>
        <v>0</v>
      </c>
      <c r="AG44" s="48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0"/>
      <c r="AI44" s="60">
        <f>AA44-AH44</f>
        <v>480</v>
      </c>
      <c r="AJ44" s="61"/>
      <c r="AK44" s="55" t="str">
        <f>VLOOKUP(D44,'2.Bookinglist'!A:CT,40,FALSE)</f>
        <v>Pattarapong Saengthong</v>
      </c>
      <c r="AL44" s="56" t="str">
        <f>VLOOKUP(D44,'2.Bookinglist'!A:CW,101,FALSE)</f>
        <v>2026-10-29</v>
      </c>
      <c r="AM44" s="56" t="str">
        <f>VLOOKUP(D44,'2.Bookinglist'!A:BK,63,FALSE)</f>
        <v>BKK27</v>
      </c>
      <c r="AN44" s="55" t="str">
        <f>VLOOKUP(D44,'2.Bookinglist'!A:AZ,52,FALSE)</f>
        <v>Pickup : 2026-10-26, Return : 2026-10-26
CLS TIME DD.27/10/2026 @ 12.00</v>
      </c>
      <c r="AO44" s="55">
        <f>VLOOKUP(D44,'2.Bookinglist'!A:CY,103,FALSE)</f>
        <v>0</v>
      </c>
    </row>
    <row r="45" ht="12.95" customHeight="1" spans="1:41" x14ac:dyDescent="0.25">
      <c r="A45" s="3" t="s">
        <v>142</v>
      </c>
      <c r="B45" s="53" t="str">
        <f>IF(C45=Charge!$M$1,Charge!$J$1,IF(C45=Charge!$M$23,Charge!$J$23,IF(C45=Charge!$M$17,Charge!$J$17,IF(C45=Charge!$N$17,Charge!$J$17,Charge!$J$7))))</f>
        <v>G3</v>
      </c>
      <c r="C45" s="54" t="str">
        <f>VLOOKUP(A45,'1.Loading'!A:R,14,FALSE)</f>
        <v>BKK01</v>
      </c>
      <c r="D45" s="54" t="str">
        <f>VLOOKUP(A45,'1.Loading'!A:R,17,FALSE)</f>
        <v>HASLS22261000154</v>
      </c>
      <c r="E45" s="55" t="str">
        <f>VLOOKUP(D45,'2.Bookinglist'!A:CT,27,FALSE)</f>
        <v>DSV AIR &amp; SEA LTD.</v>
      </c>
      <c r="F45" s="55" t="str">
        <f>VLOOKUP(D45,'2.Bookinglist'!A:CT,28,FALSE)</f>
        <v>CHEVRON (THAILAND) LIMITED</v>
      </c>
      <c r="G45" s="56">
        <f>VLOOKUP(D45,'2.Bookinglist'!A:E,5,FALSE)</f>
        <v>0</v>
      </c>
      <c r="H45" s="54" t="str">
        <f>VLOOKUP(D45,'2.Bookinglist'!A:CT,15,FALSE)</f>
        <v>THBKK</v>
      </c>
      <c r="I45" s="54" t="str">
        <f>VLOOKUP(D45,'2.Bookinglist'!A:CT,19,FALSE)</f>
        <v>HKHKG</v>
      </c>
      <c r="J45" s="54">
        <f>VLOOKUP(D45,'2.Bookinglist'!A:CT,26,FALSE)</f>
        <v>0</v>
      </c>
      <c r="K45" s="54" t="str">
        <f>VLOOKUP(A45,'1.Loading'!A:R,5,FALSE)</f>
        <v>22GP</v>
      </c>
      <c r="L45" s="56" t="str">
        <f>VLOOKUP(D45,'2.Bookinglist'!A:CT,85,FALSE)</f>
        <v>CY/CY</v>
      </c>
      <c r="M45" s="56" t="str">
        <f>IF(VLOOKUP(D45,'2.Bookinglist'!A:CT,43,FALSE)=0,"","DG")</f>
        <v/>
      </c>
      <c r="N45" s="56" t="str">
        <f>IF(RIGHT(K45,2)="RE","RF","")</f>
        <v/>
      </c>
      <c r="O45" s="54" t="str">
        <f>VLOOKUP(A45,'1.Loading'!A:R,3,FALSE)</f>
        <v>SWVG</v>
      </c>
      <c r="P45" s="54" t="str">
        <f>VLOOKUP(A45,'1.Loading'!A:R,4,FALSE)</f>
        <v>2613N</v>
      </c>
      <c r="Q45" s="54" t="str">
        <f>VLOOKUP(D45,'2.Bookinglist'!A:CT,12,FALSE)</f>
        <v>VTS</v>
      </c>
      <c r="R45" s="56" t="str">
        <f>IF(LEFT(K45,2)="22","20'","40'")</f>
        <v>20'</v>
      </c>
      <c r="S45" s="38"/>
      <c r="T45" s="54" t="str">
        <f>VLOOKUP(A45,'1.Loading'!A:R,2,FALSE)</f>
        <v>2026-10-31</v>
      </c>
      <c r="U45" s="57">
        <f>T45-S45</f>
        <v>46326</v>
      </c>
      <c r="V45" s="58"/>
      <c r="W45" s="54" t="str">
        <f>VLOOKUP(A45,'3.GateMove'!A:D,4,FALSE)</f>
        <v>2026-10-20</v>
      </c>
      <c r="X45" s="57">
        <f>((T45-W45)+1)</f>
        <v>12</v>
      </c>
      <c r="Y45" s="59">
        <f>IF(AND(OR(C45="BKK01",C45="BKK04"),L45="CFS/CY"),0,IF(M45="DG",1,IF(LEFT(C45,3)="LCH",7,IF(C45="BKK02",5,3))))</f>
        <v>3</v>
      </c>
      <c r="Z45" s="57">
        <f>IF(IF(AND(AC45="TML",AB45&gt;0),((T45-W45)+1)-AB45,((T45-W45)+1)-Y45)&gt;0,IF(AND(AC45="TML",AB45&gt;0),((T45-W45)+1)-AB45,((T45-W45)+1)-Y45),0)</f>
        <v>9</v>
      </c>
      <c r="AA45" s="48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1670</v>
      </c>
      <c r="AB45" s="53"/>
      <c r="AC45" s="53"/>
      <c r="AD45" s="56">
        <f>IF(M45="DG",3,IF(N45="RF",3,5))+IF(AND(LEFT(C45,3)="BKK",N45="RF",Q45="KTS"),1,0)+IF(Q45="KHS",1,0)</f>
        <v>5</v>
      </c>
      <c r="AE45" s="57">
        <f>(T45-V45)+1</f>
        <v>46327</v>
      </c>
      <c r="AF45" s="57">
        <f>IF(AB45&gt;IF((V45-W45)&gt;0,V45-W45,0),0,IF(AB45&lt;IF((V45-W45)&gt;0,V45-W45,0),IF((V45-W45)&gt;0,V45-W45,0)-AB45,IF((V45-W45)&gt;0,V45-W45,0)))</f>
        <v>0</v>
      </c>
      <c r="AG45" s="48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0"/>
      <c r="AI45" s="60">
        <f>AA45-AH45</f>
        <v>1670</v>
      </c>
      <c r="AJ45" s="61"/>
      <c r="AK45" s="55" t="str">
        <f>VLOOKUP(D45,'2.Bookinglist'!A:CT,40,FALSE)</f>
        <v>Nannaapust Sukporntaweewat</v>
      </c>
      <c r="AL45" s="56" t="str">
        <f>VLOOKUP(D45,'2.Bookinglist'!A:CW,101,FALSE)</f>
        <v>2026-10-28</v>
      </c>
      <c r="AM45" s="56" t="str">
        <f>VLOOKUP(D45,'2.Bookinglist'!A:BK,63,FALSE)</f>
        <v>BKK27</v>
      </c>
      <c r="AN45" s="55" t="str">
        <f>VLOOKUP(D45,'2.Bookinglist'!A:AZ,52,FALSE)</f>
        <v>Pickup : 2026-10-19, Return : 2026-10-21 (EXTEND CLOSING DD.21/10/26 @15.00)</v>
      </c>
      <c r="AO45" s="55" t="str">
        <f>VLOOKUP(D45,'2.Bookinglist'!A:CY,103,FALSE)</f>
        <v>ROLL OVER FROM PREVIOUS VSL CMA 2615N BY ALLOCATION TEAM MS.TARN APPROVED COST IS UNDER HA DD.21/10</v>
      </c>
    </row>
    <row r="46" ht="12.95" customHeight="1" spans="1:41" x14ac:dyDescent="0.25">
      <c r="A46" s="3" t="s">
        <v>181</v>
      </c>
      <c r="B46" s="53" t="str">
        <f>IF(C46=Charge!$M$1,Charge!$J$1,IF(C46=Charge!$M$23,Charge!$J$23,IF(C46=Charge!$M$17,Charge!$J$17,IF(C46=Charge!$N$17,Charge!$J$17,Charge!$J$7))))</f>
        <v>G3</v>
      </c>
      <c r="C46" s="54" t="str">
        <f>VLOOKUP(A46,'1.Loading'!A:R,14,FALSE)</f>
        <v>BKK01</v>
      </c>
      <c r="D46" s="54" t="str">
        <f>VLOOKUP(A46,'1.Loading'!A:R,17,FALSE)</f>
        <v>HASLS22261001727</v>
      </c>
      <c r="E46" s="55" t="str">
        <f>VLOOKUP(D46,'2.Bookinglist'!A:CT,27,FALSE)</f>
        <v>WORLDNET EXPRESS CO., LTD.</v>
      </c>
      <c r="F46" s="55" t="str">
        <f>VLOOKUP(D46,'2.Bookinglist'!A:CT,28,FALSE)</f>
        <v>ROFU (THAILAND) LTD.</v>
      </c>
      <c r="G46" s="56">
        <f>VLOOKUP(D46,'2.Bookinglist'!A:E,5,FALSE)</f>
        <v>0</v>
      </c>
      <c r="H46" s="54" t="str">
        <f>VLOOKUP(D46,'2.Bookinglist'!A:CT,15,FALSE)</f>
        <v>THBKK</v>
      </c>
      <c r="I46" s="54" t="str">
        <f>VLOOKUP(D46,'2.Bookinglist'!A:CT,19,FALSE)</f>
        <v>HKHKG</v>
      </c>
      <c r="J46" s="54">
        <f>VLOOKUP(D46,'2.Bookinglist'!A:CT,26,FALSE)</f>
        <v>0</v>
      </c>
      <c r="K46" s="54" t="str">
        <f>VLOOKUP(A46,'1.Loading'!A:R,5,FALSE)</f>
        <v>22GP</v>
      </c>
      <c r="L46" s="56" t="str">
        <f>VLOOKUP(D46,'2.Bookinglist'!A:CT,85,FALSE)</f>
        <v>CY/CY</v>
      </c>
      <c r="M46" s="56" t="str">
        <f>IF(VLOOKUP(D46,'2.Bookinglist'!A:CT,43,FALSE)=0,"","DG")</f>
        <v/>
      </c>
      <c r="N46" s="56" t="str">
        <f>IF(RIGHT(K46,2)="RE","RF","")</f>
        <v/>
      </c>
      <c r="O46" s="54" t="str">
        <f>VLOOKUP(A46,'1.Loading'!A:R,3,FALSE)</f>
        <v>SWVG</v>
      </c>
      <c r="P46" s="54" t="str">
        <f>VLOOKUP(A46,'1.Loading'!A:R,4,FALSE)</f>
        <v>2613N</v>
      </c>
      <c r="Q46" s="54" t="str">
        <f>VLOOKUP(D46,'2.Bookinglist'!A:CT,12,FALSE)</f>
        <v>VTS</v>
      </c>
      <c r="R46" s="56" t="str">
        <f>IF(LEFT(K46,2)="22","20'","40'")</f>
        <v>20'</v>
      </c>
      <c r="S46" s="38"/>
      <c r="T46" s="54" t="str">
        <f>VLOOKUP(A46,'1.Loading'!A:R,2,FALSE)</f>
        <v>2026-10-31</v>
      </c>
      <c r="U46" s="57">
        <f>T46-S46</f>
        <v>46326</v>
      </c>
      <c r="V46" s="58"/>
      <c r="W46" s="54" t="str">
        <f>VLOOKUP(A46,'3.GateMove'!A:D,4,FALSE)</f>
        <v>2026-10-24</v>
      </c>
      <c r="X46" s="57">
        <f>((T46-W46)+1)</f>
        <v>8</v>
      </c>
      <c r="Y46" s="59">
        <f>IF(AND(OR(C46="BKK01",C46="BKK04"),L46="CFS/CY"),0,IF(M46="DG",1,IF(LEFT(C46,3)="LCH",7,IF(C46="BKK02",5,3))))</f>
        <v>3</v>
      </c>
      <c r="Z46" s="57">
        <f>IF(IF(AND(AC46="TML",AB46&gt;0),((T46-W46)+1)-AB46,((T46-W46)+1)-Y46)&gt;0,IF(AND(AC46="TML",AB46&gt;0),((T46-W46)+1)-AB46,((T46-W46)+1)-Y46),0)</f>
        <v>5</v>
      </c>
      <c r="AA46" s="48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800</v>
      </c>
      <c r="AB46" s="53"/>
      <c r="AC46" s="53"/>
      <c r="AD46" s="56">
        <f>IF(M46="DG",3,IF(N46="RF",3,5))+IF(AND(LEFT(C46,3)="BKK",N46="RF",Q46="KTS"),1,0)+IF(Q46="KHS",1,0)</f>
        <v>5</v>
      </c>
      <c r="AE46" s="57">
        <f>(T46-V46)+1</f>
        <v>46327</v>
      </c>
      <c r="AF46" s="57">
        <f>IF(AB46&gt;IF((V46-W46)&gt;0,V46-W46,0),0,IF(AB46&lt;IF((V46-W46)&gt;0,V46-W46,0),IF((V46-W46)&gt;0,V46-W46,0)-AB46,IF((V46-W46)&gt;0,V46-W46,0)))</f>
        <v>0</v>
      </c>
      <c r="AG46" s="48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0"/>
      <c r="AI46" s="60">
        <f>AA46-AH46</f>
        <v>800</v>
      </c>
      <c r="AJ46" s="61"/>
      <c r="AK46" s="55" t="str">
        <f>VLOOKUP(D46,'2.Bookinglist'!A:CT,40,FALSE)</f>
        <v>Kanokporn</v>
      </c>
      <c r="AL46" s="56" t="str">
        <f>VLOOKUP(D46,'2.Bookinglist'!A:CW,101,FALSE)</f>
        <v>2026-10-28</v>
      </c>
      <c r="AM46" s="56" t="str">
        <f>VLOOKUP(D46,'2.Bookinglist'!A:BK,63,FALSE)</f>
        <v>BKK27</v>
      </c>
      <c r="AN46" s="55" t="str">
        <f>VLOOKUP(D46,'2.Bookinglist'!A:AZ,52,FALSE)</f>
        <v>Pickup : 2026-10-22, Return : 2026-10-24 (1ST RTN DD: 24/10/26 WO/RENT)</v>
      </c>
      <c r="AO46" s="55">
        <f>VLOOKUP(D46,'2.Bookinglist'!A:CY,103,FALSE)</f>
        <v>0</v>
      </c>
    </row>
    <row r="47" ht="12.95" customHeight="1" spans="1:41" x14ac:dyDescent="0.25">
      <c r="A47" s="3" t="s">
        <v>157</v>
      </c>
      <c r="B47" s="53" t="str">
        <f>IF(C47=Charge!$M$1,Charge!$J$1,IF(C47=Charge!$M$23,Charge!$J$23,IF(C47=Charge!$M$17,Charge!$J$17,IF(C47=Charge!$N$17,Charge!$J$17,Charge!$J$7))))</f>
        <v>G3</v>
      </c>
      <c r="C47" s="54" t="str">
        <f>VLOOKUP(A47,'1.Loading'!A:R,14,FALSE)</f>
        <v>BKK01</v>
      </c>
      <c r="D47" s="54" t="str">
        <f>VLOOKUP(A47,'1.Loading'!A:R,17,FALSE)</f>
        <v>HASLS22260901716</v>
      </c>
      <c r="E47" s="55" t="str">
        <f>VLOOKUP(D47,'2.Bookinglist'!A:CT,27,FALSE)</f>
        <v>EVERGREEN LOGISTICS (THAILAND) CO., LTD.</v>
      </c>
      <c r="F47" s="55" t="str">
        <f>VLOOKUP(D47,'2.Bookinglist'!A:CT,28,FALSE)</f>
        <v>SOUTHEAST ASIAN PACKAGING AND CANNING LIMITED</v>
      </c>
      <c r="G47" s="56">
        <f>VLOOKUP(D47,'2.Bookinglist'!A:E,5,FALSE)</f>
        <v>0</v>
      </c>
      <c r="H47" s="54" t="str">
        <f>VLOOKUP(D47,'2.Bookinglist'!A:CT,15,FALSE)</f>
        <v>THBKK</v>
      </c>
      <c r="I47" s="54" t="str">
        <f>VLOOKUP(D47,'2.Bookinglist'!A:CT,19,FALSE)</f>
        <v>HKHKG</v>
      </c>
      <c r="J47" s="54">
        <f>VLOOKUP(D47,'2.Bookinglist'!A:CT,26,FALSE)</f>
        <v>0</v>
      </c>
      <c r="K47" s="54" t="str">
        <f>VLOOKUP(A47,'1.Loading'!A:R,5,FALSE)</f>
        <v>22GP</v>
      </c>
      <c r="L47" s="56" t="str">
        <f>VLOOKUP(D47,'2.Bookinglist'!A:CT,85,FALSE)</f>
        <v>CY/CY</v>
      </c>
      <c r="M47" s="56" t="str">
        <f>IF(VLOOKUP(D47,'2.Bookinglist'!A:CT,43,FALSE)=0,"","DG")</f>
        <v/>
      </c>
      <c r="N47" s="56" t="str">
        <f>IF(RIGHT(K47,2)="RE","RF","")</f>
        <v/>
      </c>
      <c r="O47" s="54" t="str">
        <f>VLOOKUP(A47,'1.Loading'!A:R,3,FALSE)</f>
        <v>SWVG</v>
      </c>
      <c r="P47" s="54" t="str">
        <f>VLOOKUP(A47,'1.Loading'!A:R,4,FALSE)</f>
        <v>2613N</v>
      </c>
      <c r="Q47" s="54" t="str">
        <f>VLOOKUP(D47,'2.Bookinglist'!A:CT,12,FALSE)</f>
        <v>VTS</v>
      </c>
      <c r="R47" s="56" t="str">
        <f>IF(LEFT(K47,2)="22","20'","40'")</f>
        <v>20'</v>
      </c>
      <c r="S47" s="38"/>
      <c r="T47" s="54" t="str">
        <f>VLOOKUP(A47,'1.Loading'!A:R,2,FALSE)</f>
        <v>2026-10-31</v>
      </c>
      <c r="U47" s="57">
        <f>T47-S47</f>
        <v>46326</v>
      </c>
      <c r="V47" s="58"/>
      <c r="W47" s="54" t="str">
        <f>VLOOKUP(A47,'3.GateMove'!A:D,4,FALSE)</f>
        <v>2026-10-24</v>
      </c>
      <c r="X47" s="57">
        <f>((T47-W47)+1)</f>
        <v>8</v>
      </c>
      <c r="Y47" s="59">
        <f>IF(AND(OR(C47="BKK01",C47="BKK04"),L47="CFS/CY"),0,IF(M47="DG",1,IF(LEFT(C47,3)="LCH",7,IF(C47="BKK02",5,3))))</f>
        <v>3</v>
      </c>
      <c r="Z47" s="57">
        <f>IF(IF(AND(AC47="TML",AB47&gt;0),((T47-W47)+1)-AB47,((T47-W47)+1)-Y47)&gt;0,IF(AND(AC47="TML",AB47&gt;0),((T47-W47)+1)-AB47,((T47-W47)+1)-Y47),0)</f>
        <v>5</v>
      </c>
      <c r="AA47" s="48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800</v>
      </c>
      <c r="AB47" s="53"/>
      <c r="AC47" s="53"/>
      <c r="AD47" s="56">
        <f>IF(M47="DG",3,IF(N47="RF",3,5))+IF(AND(LEFT(C47,3)="BKK",N47="RF",Q47="KTS"),1,0)+IF(Q47="KHS",1,0)</f>
        <v>5</v>
      </c>
      <c r="AE47" s="57">
        <f>(T47-V47)+1</f>
        <v>46327</v>
      </c>
      <c r="AF47" s="57">
        <f>IF(AB47&gt;IF((V47-W47)&gt;0,V47-W47,0),0,IF(AB47&lt;IF((V47-W47)&gt;0,V47-W47,0),IF((V47-W47)&gt;0,V47-W47,0)-AB47,IF((V47-W47)&gt;0,V47-W47,0)))</f>
        <v>0</v>
      </c>
      <c r="AG47" s="48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0"/>
      <c r="AI47" s="60">
        <f>AA47-AH47</f>
        <v>800</v>
      </c>
      <c r="AJ47" s="61"/>
      <c r="AK47" s="55" t="str">
        <f>VLOOKUP(D47,'2.Bookinglist'!A:CT,40,FALSE)</f>
        <v>Pattarapong Saengthong</v>
      </c>
      <c r="AL47" s="56" t="str">
        <f>VLOOKUP(D47,'2.Bookinglist'!A:CW,101,FALSE)</f>
        <v>2026-10-28</v>
      </c>
      <c r="AM47" s="56" t="str">
        <f>VLOOKUP(D47,'2.Bookinglist'!A:BK,63,FALSE)</f>
        <v>BKK27</v>
      </c>
      <c r="AN47" s="55" t="str">
        <f>VLOOKUP(D47,'2.Bookinglist'!A:AZ,52,FALSE)</f>
        <v>Pickup : 2026-10-22, Return : 2026-10-23 </v>
      </c>
      <c r="AO47" s="55">
        <f>VLOOKUP(D47,'2.Bookinglist'!A:CY,103,FALSE)</f>
        <v>0</v>
      </c>
    </row>
    <row r="48" ht="12.95" customHeight="1" spans="1:41" x14ac:dyDescent="0.25">
      <c r="A48" s="3" t="s">
        <v>179</v>
      </c>
      <c r="B48" s="53" t="str">
        <f>IF(C48=Charge!$M$1,Charge!$J$1,IF(C48=Charge!$M$23,Charge!$J$23,IF(C48=Charge!$M$17,Charge!$J$17,IF(C48=Charge!$N$17,Charge!$J$17,Charge!$J$7))))</f>
        <v>G3</v>
      </c>
      <c r="C48" s="54" t="str">
        <f>VLOOKUP(A48,'1.Loading'!A:R,14,FALSE)</f>
        <v>BKK01</v>
      </c>
      <c r="D48" s="54" t="str">
        <f>VLOOKUP(A48,'1.Loading'!A:R,17,FALSE)</f>
        <v>HASLS22261000900</v>
      </c>
      <c r="E48" s="55" t="str">
        <f>VLOOKUP(D48,'2.Bookinglist'!A:CT,27,FALSE)</f>
        <v>SINSIMON ENTERPRISE CO., LTD.</v>
      </c>
      <c r="F48" s="55" t="str">
        <f>VLOOKUP(D48,'2.Bookinglist'!A:CT,28,FALSE)</f>
        <v>CHAITIP CO., LTD.</v>
      </c>
      <c r="G48" s="56">
        <f>VLOOKUP(D48,'2.Bookinglist'!A:E,5,FALSE)</f>
        <v>0</v>
      </c>
      <c r="H48" s="54" t="str">
        <f>VLOOKUP(D48,'2.Bookinglist'!A:CT,15,FALSE)</f>
        <v>THBKK</v>
      </c>
      <c r="I48" s="54" t="str">
        <f>VLOOKUP(D48,'2.Bookinglist'!A:CT,19,FALSE)</f>
        <v>HKHKG</v>
      </c>
      <c r="J48" s="54">
        <f>VLOOKUP(D48,'2.Bookinglist'!A:CT,26,FALSE)</f>
        <v>0</v>
      </c>
      <c r="K48" s="54" t="str">
        <f>VLOOKUP(A48,'1.Loading'!A:R,5,FALSE)</f>
        <v>22GP</v>
      </c>
      <c r="L48" s="56" t="str">
        <f>VLOOKUP(D48,'2.Bookinglist'!A:CT,85,FALSE)</f>
        <v>CY/CY</v>
      </c>
      <c r="M48" s="56" t="str">
        <f>IF(VLOOKUP(D48,'2.Bookinglist'!A:CT,43,FALSE)=0,"","DG")</f>
        <v/>
      </c>
      <c r="N48" s="56" t="str">
        <f>IF(RIGHT(K48,2)="RE","RF","")</f>
        <v/>
      </c>
      <c r="O48" s="54" t="str">
        <f>VLOOKUP(A48,'1.Loading'!A:R,3,FALSE)</f>
        <v>SWVG</v>
      </c>
      <c r="P48" s="54" t="str">
        <f>VLOOKUP(A48,'1.Loading'!A:R,4,FALSE)</f>
        <v>2613N</v>
      </c>
      <c r="Q48" s="54" t="str">
        <f>VLOOKUP(D48,'2.Bookinglist'!A:CT,12,FALSE)</f>
        <v>VTS</v>
      </c>
      <c r="R48" s="56" t="str">
        <f>IF(LEFT(K48,2)="22","20'","40'")</f>
        <v>20'</v>
      </c>
      <c r="S48" s="38"/>
      <c r="T48" s="54" t="str">
        <f>VLOOKUP(A48,'1.Loading'!A:R,2,FALSE)</f>
        <v>2026-10-31</v>
      </c>
      <c r="U48" s="57">
        <f>T48-S48</f>
        <v>46326</v>
      </c>
      <c r="V48" s="58"/>
      <c r="W48" s="54" t="str">
        <f>VLOOKUP(A48,'3.GateMove'!A:D,4,FALSE)</f>
        <v>2026-10-27</v>
      </c>
      <c r="X48" s="57">
        <f>((T48-W48)+1)</f>
        <v>5</v>
      </c>
      <c r="Y48" s="59">
        <f>IF(AND(OR(C48="BKK01",C48="BKK04"),L48="CFS/CY"),0,IF(M48="DG",1,IF(LEFT(C48,3)="LCH",7,IF(C48="BKK02",5,3))))</f>
        <v>3</v>
      </c>
      <c r="Z48" s="57">
        <f>IF(IF(AND(AC48="TML",AB48&gt;0),((T48-W48)+1)-AB48,((T48-W48)+1)-Y48)&gt;0,IF(AND(AC48="TML",AB48&gt;0),((T48-W48)+1)-AB48,((T48-W48)+1)-Y48),0)</f>
        <v>2</v>
      </c>
      <c r="AA48" s="48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320</v>
      </c>
      <c r="AB48" s="53"/>
      <c r="AC48" s="53"/>
      <c r="AD48" s="56">
        <f>IF(M48="DG",3,IF(N48="RF",3,5))+IF(AND(LEFT(C48,3)="BKK",N48="RF",Q48="KTS"),1,0)+IF(Q48="KHS",1,0)</f>
        <v>5</v>
      </c>
      <c r="AE48" s="57">
        <f>(T48-V48)+1</f>
        <v>46327</v>
      </c>
      <c r="AF48" s="57">
        <f>IF(AB48&gt;IF((V48-W48)&gt;0,V48-W48,0),0,IF(AB48&lt;IF((V48-W48)&gt;0,V48-W48,0),IF((V48-W48)&gt;0,V48-W48,0)-AB48,IF((V48-W48)&gt;0,V48-W48,0)))</f>
        <v>0</v>
      </c>
      <c r="AG48" s="48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0"/>
      <c r="AI48" s="60">
        <f>AA48-AH48</f>
        <v>320</v>
      </c>
      <c r="AJ48" s="61"/>
      <c r="AK48" s="55" t="str">
        <f>VLOOKUP(D48,'2.Bookinglist'!A:CT,40,FALSE)</f>
        <v>Dharaporn</v>
      </c>
      <c r="AL48" s="56" t="str">
        <f>VLOOKUP(D48,'2.Bookinglist'!A:CW,101,FALSE)</f>
        <v>2026-10-28</v>
      </c>
      <c r="AM48" s="56" t="str">
        <f>VLOOKUP(D48,'2.Bookinglist'!A:BK,63,FALSE)</f>
        <v>BKK25</v>
      </c>
      <c r="AN48" s="55" t="str">
        <f>VLOOKUP(D48,'2.Bookinglist'!A:AZ,52,FALSE)</f>
        <v>Pickup : 2026-10-26, Return : 2026-10-27 EXTEND CLS TIME DD.28/11.00HRS</v>
      </c>
      <c r="AO48" s="55">
        <f>VLOOKUP(D48,'2.Bookinglist'!A:CY,103,FALSE)</f>
        <v>0</v>
      </c>
    </row>
    <row r="49" ht="12.95" customHeight="1" spans="1:41" x14ac:dyDescent="0.25">
      <c r="A49" s="3" t="s">
        <v>153</v>
      </c>
      <c r="B49" s="53" t="str">
        <f>IF(C49=Charge!$M$1,Charge!$J$1,IF(C49=Charge!$M$23,Charge!$J$23,IF(C49=Charge!$M$17,Charge!$J$17,IF(C49=Charge!$N$17,Charge!$J$17,Charge!$J$7))))</f>
        <v>G3</v>
      </c>
      <c r="C49" s="54" t="str">
        <f>VLOOKUP(A49,'1.Loading'!A:R,14,FALSE)</f>
        <v>BKK01</v>
      </c>
      <c r="D49" s="54" t="str">
        <f>VLOOKUP(A49,'1.Loading'!A:R,17,FALSE)</f>
        <v>HASLS22261000073</v>
      </c>
      <c r="E49" s="55" t="str">
        <f>VLOOKUP(D49,'2.Bookinglist'!A:CT,27,FALSE)</f>
        <v>SONIC INTERFREIGHT PUBLIC COMPANY LIMITED</v>
      </c>
      <c r="F49" s="55" t="str">
        <f>VLOOKUP(D49,'2.Bookinglist'!A:CT,28,FALSE)</f>
        <v>THAI OTSUKA PHARMACEUTICAL CO., LTD.</v>
      </c>
      <c r="G49" s="56">
        <f>VLOOKUP(D49,'2.Bookinglist'!A:E,5,FALSE)</f>
        <v>0</v>
      </c>
      <c r="H49" s="54" t="str">
        <f>VLOOKUP(D49,'2.Bookinglist'!A:CT,15,FALSE)</f>
        <v>THBKK</v>
      </c>
      <c r="I49" s="54" t="str">
        <f>VLOOKUP(D49,'2.Bookinglist'!A:CT,19,FALSE)</f>
        <v>HKHKG</v>
      </c>
      <c r="J49" s="54">
        <f>VLOOKUP(D49,'2.Bookinglist'!A:CT,26,FALSE)</f>
        <v>0</v>
      </c>
      <c r="K49" s="54" t="str">
        <f>VLOOKUP(A49,'1.Loading'!A:R,5,FALSE)</f>
        <v>22GP</v>
      </c>
      <c r="L49" s="56" t="str">
        <f>VLOOKUP(D49,'2.Bookinglist'!A:CT,85,FALSE)</f>
        <v>CY/CY</v>
      </c>
      <c r="M49" s="56" t="str">
        <f>IF(VLOOKUP(D49,'2.Bookinglist'!A:CT,43,FALSE)=0,"","DG")</f>
        <v/>
      </c>
      <c r="N49" s="56" t="str">
        <f>IF(RIGHT(K49,2)="RE","RF","")</f>
        <v/>
      </c>
      <c r="O49" s="54" t="str">
        <f>VLOOKUP(A49,'1.Loading'!A:R,3,FALSE)</f>
        <v>SWVG</v>
      </c>
      <c r="P49" s="54" t="str">
        <f>VLOOKUP(A49,'1.Loading'!A:R,4,FALSE)</f>
        <v>2613N</v>
      </c>
      <c r="Q49" s="54" t="str">
        <f>VLOOKUP(D49,'2.Bookinglist'!A:CT,12,FALSE)</f>
        <v>VTS</v>
      </c>
      <c r="R49" s="56" t="str">
        <f>IF(LEFT(K49,2)="22","20'","40'")</f>
        <v>20'</v>
      </c>
      <c r="S49" s="38"/>
      <c r="T49" s="54" t="str">
        <f>VLOOKUP(A49,'1.Loading'!A:R,2,FALSE)</f>
        <v>2026-10-31</v>
      </c>
      <c r="U49" s="57">
        <f>T49-S49</f>
        <v>46326</v>
      </c>
      <c r="V49" s="58"/>
      <c r="W49" s="54" t="str">
        <f>VLOOKUP(A49,'3.GateMove'!A:D,4,FALSE)</f>
        <v>2026-10-23</v>
      </c>
      <c r="X49" s="57">
        <f>((T49-W49)+1)</f>
        <v>9</v>
      </c>
      <c r="Y49" s="59">
        <f>IF(AND(OR(C49="BKK01",C49="BKK04"),L49="CFS/CY"),0,IF(M49="DG",1,IF(LEFT(C49,3)="LCH",7,IF(C49="BKK02",5,3))))</f>
        <v>3</v>
      </c>
      <c r="Z49" s="57">
        <f>IF(IF(AND(AC49="TML",AB49&gt;0),((T49-W49)+1)-AB49,((T49-W49)+1)-Y49)&gt;0,IF(AND(AC49="TML",AB49&gt;0),((T49-W49)+1)-AB49,((T49-W49)+1)-Y49),0)</f>
        <v>6</v>
      </c>
      <c r="AA49" s="48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960</v>
      </c>
      <c r="AB49" s="53"/>
      <c r="AC49" s="53"/>
      <c r="AD49" s="56">
        <f>IF(M49="DG",3,IF(N49="RF",3,5))+IF(AND(LEFT(C49,3)="BKK",N49="RF",Q49="KTS"),1,0)+IF(Q49="KHS",1,0)</f>
        <v>5</v>
      </c>
      <c r="AE49" s="57">
        <f>(T49-V49)+1</f>
        <v>46327</v>
      </c>
      <c r="AF49" s="57">
        <f>IF(AB49&gt;IF((V49-W49)&gt;0,V49-W49,0),0,IF(AB49&lt;IF((V49-W49)&gt;0,V49-W49,0),IF((V49-W49)&gt;0,V49-W49,0)-AB49,IF((V49-W49)&gt;0,V49-W49,0)))</f>
        <v>0</v>
      </c>
      <c r="AG49" s="48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0"/>
      <c r="AI49" s="60">
        <f>AA49-AH49</f>
        <v>960</v>
      </c>
      <c r="AJ49" s="61"/>
      <c r="AK49" s="55" t="str">
        <f>VLOOKUP(D49,'2.Bookinglist'!A:CT,40,FALSE)</f>
        <v>Dharaporn</v>
      </c>
      <c r="AL49" s="56" t="str">
        <f>VLOOKUP(D49,'2.Bookinglist'!A:CW,101,FALSE)</f>
        <v>2026-10-28</v>
      </c>
      <c r="AM49" s="56" t="str">
        <f>VLOOKUP(D49,'2.Bookinglist'!A:BK,63,FALSE)</f>
        <v>BKK27</v>
      </c>
      <c r="AN49" s="55" t="str">
        <f>VLOOKUP(D49,'2.Bookinglist'!A:AZ,52,FALSE)</f>
        <v>Pickup : 2026-10-22, Return : 2026-10-24</v>
      </c>
      <c r="AO49" s="55">
        <f>VLOOKUP(D49,'2.Bookinglist'!A:CY,103,FALSE)</f>
        <v>0</v>
      </c>
    </row>
    <row r="50" ht="12.95" customHeight="1" spans="1:41" x14ac:dyDescent="0.25">
      <c r="A50" s="3" t="s">
        <v>134</v>
      </c>
      <c r="B50" s="53" t="str">
        <f>IF(C50=Charge!$M$1,Charge!$J$1,IF(C50=Charge!$M$23,Charge!$J$23,IF(C50=Charge!$M$17,Charge!$J$17,IF(C50=Charge!$N$17,Charge!$J$17,Charge!$J$7))))</f>
        <v>G3</v>
      </c>
      <c r="C50" s="54" t="str">
        <f>VLOOKUP(A50,'1.Loading'!A:R,14,FALSE)</f>
        <v>BKK01</v>
      </c>
      <c r="D50" s="54" t="str">
        <f>VLOOKUP(A50,'1.Loading'!A:R,17,FALSE)</f>
        <v>HASLS22260902400</v>
      </c>
      <c r="E50" s="55" t="str">
        <f>VLOOKUP(D50,'2.Bookinglist'!A:CT,27,FALSE)</f>
        <v>BANGKOK STARCH INDUSTRIAL CO., LTD.</v>
      </c>
      <c r="F50" s="55" t="str">
        <f>VLOOKUP(D50,'2.Bookinglist'!A:CT,28,FALSE)</f>
        <v>BANGKOK STARCH INDUSTRIAL CO., LTD.</v>
      </c>
      <c r="G50" s="56">
        <f>VLOOKUP(D50,'2.Bookinglist'!A:E,5,FALSE)</f>
        <v>0</v>
      </c>
      <c r="H50" s="54" t="str">
        <f>VLOOKUP(D50,'2.Bookinglist'!A:CT,15,FALSE)</f>
        <v>THBKK</v>
      </c>
      <c r="I50" s="54" t="str">
        <f>VLOOKUP(D50,'2.Bookinglist'!A:CT,19,FALSE)</f>
        <v>KRPUS</v>
      </c>
      <c r="J50" s="54">
        <f>VLOOKUP(D50,'2.Bookinglist'!A:CT,26,FALSE)</f>
        <v>0</v>
      </c>
      <c r="K50" s="54" t="str">
        <f>VLOOKUP(A50,'1.Loading'!A:R,5,FALSE)</f>
        <v>22GP</v>
      </c>
      <c r="L50" s="56" t="str">
        <f>VLOOKUP(D50,'2.Bookinglist'!A:CT,85,FALSE)</f>
        <v>CY/CY</v>
      </c>
      <c r="M50" s="56" t="str">
        <f>IF(VLOOKUP(D50,'2.Bookinglist'!A:CT,43,FALSE)=0,"","DG")</f>
        <v/>
      </c>
      <c r="N50" s="56" t="str">
        <f>IF(RIGHT(K50,2)="RE","RF","")</f>
        <v/>
      </c>
      <c r="O50" s="54" t="str">
        <f>VLOOKUP(A50,'1.Loading'!A:R,3,FALSE)</f>
        <v>SWVG</v>
      </c>
      <c r="P50" s="54" t="str">
        <f>VLOOKUP(A50,'1.Loading'!A:R,4,FALSE)</f>
        <v>2613N</v>
      </c>
      <c r="Q50" s="54" t="str">
        <f>VLOOKUP(D50,'2.Bookinglist'!A:CT,12,FALSE)</f>
        <v>VTS</v>
      </c>
      <c r="R50" s="56" t="str">
        <f>IF(LEFT(K50,2)="22","20'","40'")</f>
        <v>20'</v>
      </c>
      <c r="S50" s="38"/>
      <c r="T50" s="54" t="str">
        <f>VLOOKUP(A50,'1.Loading'!A:R,2,FALSE)</f>
        <v>2026-10-31</v>
      </c>
      <c r="U50" s="57">
        <f>T50-S50</f>
        <v>46326</v>
      </c>
      <c r="V50" s="58"/>
      <c r="W50" s="54" t="str">
        <f>VLOOKUP(A50,'3.GateMove'!A:D,4,FALSE)</f>
        <v>2026-10-26</v>
      </c>
      <c r="X50" s="57">
        <f>((T50-W50)+1)</f>
        <v>6</v>
      </c>
      <c r="Y50" s="59">
        <f>IF(AND(OR(C50="BKK01",C50="BKK04"),L50="CFS/CY"),0,IF(M50="DG",1,IF(LEFT(C50,3)="LCH",7,IF(C50="BKK02",5,3))))</f>
        <v>3</v>
      </c>
      <c r="Z50" s="57">
        <f>IF(IF(AND(AC50="TML",AB50&gt;0),((T50-W50)+1)-AB50,((T50-W50)+1)-Y50)&gt;0,IF(AND(AC50="TML",AB50&gt;0),((T50-W50)+1)-AB50,((T50-W50)+1)-Y50),0)</f>
        <v>3</v>
      </c>
      <c r="AA50" s="48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480</v>
      </c>
      <c r="AB50" s="53"/>
      <c r="AC50" s="53"/>
      <c r="AD50" s="56">
        <f>IF(M50="DG",3,IF(N50="RF",3,5))+IF(AND(LEFT(C50,3)="BKK",N50="RF",Q50="KTS"),1,0)+IF(Q50="KHS",1,0)</f>
        <v>5</v>
      </c>
      <c r="AE50" s="57">
        <f>(T50-V50)+1</f>
        <v>46327</v>
      </c>
      <c r="AF50" s="57">
        <f>IF(AB50&gt;IF((V50-W50)&gt;0,V50-W50,0),0,IF(AB50&lt;IF((V50-W50)&gt;0,V50-W50,0),IF((V50-W50)&gt;0,V50-W50,0)-AB50,IF((V50-W50)&gt;0,V50-W50,0)))</f>
        <v>0</v>
      </c>
      <c r="AG50" s="48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0"/>
      <c r="AI50" s="60">
        <f>AA50-AH50</f>
        <v>480</v>
      </c>
      <c r="AJ50" s="61"/>
      <c r="AK50" s="55" t="str">
        <f>VLOOKUP(D50,'2.Bookinglist'!A:CT,40,FALSE)</f>
        <v>Vilaiporn</v>
      </c>
      <c r="AL50" s="56" t="str">
        <f>VLOOKUP(D50,'2.Bookinglist'!A:CW,101,FALSE)</f>
        <v>2026-10-29</v>
      </c>
      <c r="AM50" s="56" t="str">
        <f>VLOOKUP(D50,'2.Bookinglist'!A:BK,63,FALSE)</f>
        <v>BKK25</v>
      </c>
      <c r="AN50" s="55" t="str">
        <f>VLOOKUP(D50,'2.Bookinglist'!A:AZ,52,FALSE)</f>
        <v>Pickup : 2026-10-24, Return : 2026-10-26 (EXTEND CLOSING DD.26/10/26 @23.59)</v>
      </c>
      <c r="AO50" s="55">
        <f>VLOOKUP(D50,'2.Bookinglist'!A:CY,103,FALSE)</f>
        <v>0</v>
      </c>
    </row>
    <row r="51" ht="12.95" customHeight="1" spans="1:41" x14ac:dyDescent="0.25">
      <c r="A51" s="3" t="s">
        <v>167</v>
      </c>
      <c r="B51" s="53" t="str">
        <f>IF(C51=Charge!$M$1,Charge!$J$1,IF(C51=Charge!$M$23,Charge!$J$23,IF(C51=Charge!$M$17,Charge!$J$17,IF(C51=Charge!$N$17,Charge!$J$17,Charge!$J$7))))</f>
        <v>G3</v>
      </c>
      <c r="C51" s="54" t="str">
        <f>VLOOKUP(A51,'1.Loading'!A:R,14,FALSE)</f>
        <v>BKK01</v>
      </c>
      <c r="D51" s="54" t="str">
        <f>VLOOKUP(A51,'1.Loading'!A:R,17,FALSE)</f>
        <v>HASLS22261000617</v>
      </c>
      <c r="E51" s="55" t="str">
        <f>VLOOKUP(D51,'2.Bookinglist'!A:CT,27,FALSE)</f>
        <v>SUCCESS INTERTRANS SOLUTIONS CO., LTD.</v>
      </c>
      <c r="F51" s="55" t="str">
        <f>VLOOKUP(D51,'2.Bookinglist'!A:CT,28,FALSE)</f>
        <v>J.C.P. PLASTIC CO., LTD.</v>
      </c>
      <c r="G51" s="56">
        <f>VLOOKUP(D51,'2.Bookinglist'!A:E,5,FALSE)</f>
        <v>0</v>
      </c>
      <c r="H51" s="54" t="str">
        <f>VLOOKUP(D51,'2.Bookinglist'!A:CT,15,FALSE)</f>
        <v>THBKK</v>
      </c>
      <c r="I51" s="54" t="str">
        <f>VLOOKUP(D51,'2.Bookinglist'!A:CT,19,FALSE)</f>
        <v>HKHKG</v>
      </c>
      <c r="J51" s="54">
        <f>VLOOKUP(D51,'2.Bookinglist'!A:CT,26,FALSE)</f>
        <v>0</v>
      </c>
      <c r="K51" s="54" t="str">
        <f>VLOOKUP(A51,'1.Loading'!A:R,5,FALSE)</f>
        <v>22GP</v>
      </c>
      <c r="L51" s="56" t="str">
        <f>VLOOKUP(D51,'2.Bookinglist'!A:CT,85,FALSE)</f>
        <v>CY/CY</v>
      </c>
      <c r="M51" s="56" t="str">
        <f>IF(VLOOKUP(D51,'2.Bookinglist'!A:CT,43,FALSE)=0,"","DG")</f>
        <v/>
      </c>
      <c r="N51" s="56" t="str">
        <f>IF(RIGHT(K51,2)="RE","RF","")</f>
        <v/>
      </c>
      <c r="O51" s="54" t="str">
        <f>VLOOKUP(A51,'1.Loading'!A:R,3,FALSE)</f>
        <v>SWVG</v>
      </c>
      <c r="P51" s="54" t="str">
        <f>VLOOKUP(A51,'1.Loading'!A:R,4,FALSE)</f>
        <v>2613N</v>
      </c>
      <c r="Q51" s="54" t="str">
        <f>VLOOKUP(D51,'2.Bookinglist'!A:CT,12,FALSE)</f>
        <v>VTS</v>
      </c>
      <c r="R51" s="56" t="str">
        <f>IF(LEFT(K51,2)="22","20'","40'")</f>
        <v>20'</v>
      </c>
      <c r="S51" s="38"/>
      <c r="T51" s="54" t="str">
        <f>VLOOKUP(A51,'1.Loading'!A:R,2,FALSE)</f>
        <v>2026-10-31</v>
      </c>
      <c r="U51" s="57">
        <f>T51-S51</f>
        <v>46326</v>
      </c>
      <c r="V51" s="58"/>
      <c r="W51" s="54" t="str">
        <f>VLOOKUP(A51,'3.GateMove'!A:D,4,FALSE)</f>
        <v>2026-10-23</v>
      </c>
      <c r="X51" s="57">
        <f>((T51-W51)+1)</f>
        <v>9</v>
      </c>
      <c r="Y51" s="59">
        <f>IF(AND(OR(C51="BKK01",C51="BKK04"),L51="CFS/CY"),0,IF(M51="DG",1,IF(LEFT(C51,3)="LCH",7,IF(C51="BKK02",5,3))))</f>
        <v>3</v>
      </c>
      <c r="Z51" s="57">
        <f>IF(IF(AND(AC51="TML",AB51&gt;0),((T51-W51)+1)-AB51,((T51-W51)+1)-Y51)&gt;0,IF(AND(AC51="TML",AB51&gt;0),((T51-W51)+1)-AB51,((T51-W51)+1)-Y51),0)</f>
        <v>6</v>
      </c>
      <c r="AA51" s="48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960</v>
      </c>
      <c r="AB51" s="53"/>
      <c r="AC51" s="53"/>
      <c r="AD51" s="56">
        <f>IF(M51="DG",3,IF(N51="RF",3,5))+IF(AND(LEFT(C51,3)="BKK",N51="RF",Q51="KTS"),1,0)+IF(Q51="KHS",1,0)</f>
        <v>5</v>
      </c>
      <c r="AE51" s="57">
        <f>(T51-V51)+1</f>
        <v>46327</v>
      </c>
      <c r="AF51" s="57">
        <f>IF(AB51&gt;IF((V51-W51)&gt;0,V51-W51,0),0,IF(AB51&lt;IF((V51-W51)&gt;0,V51-W51,0),IF((V51-W51)&gt;0,V51-W51,0)-AB51,IF((V51-W51)&gt;0,V51-W51,0)))</f>
        <v>0</v>
      </c>
      <c r="AG51" s="48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0"/>
      <c r="AI51" s="60">
        <f>AA51-AH51</f>
        <v>960</v>
      </c>
      <c r="AJ51" s="61"/>
      <c r="AK51" s="55" t="str">
        <f>VLOOKUP(D51,'2.Bookinglist'!A:CT,40,FALSE)</f>
        <v>Sukunpoj Damrongying</v>
      </c>
      <c r="AL51" s="56" t="str">
        <f>VLOOKUP(D51,'2.Bookinglist'!A:CW,101,FALSE)</f>
        <v>2026-10-28</v>
      </c>
      <c r="AM51" s="56" t="str">
        <f>VLOOKUP(D51,'2.Bookinglist'!A:BK,63,FALSE)</f>
        <v>BKK27</v>
      </c>
      <c r="AN51" s="55" t="str">
        <f>VLOOKUP(D51,'2.Bookinglist'!A:AZ,52,FALSE)</f>
        <v>Pickup : 2026-10-22, Return : 2026-10-24 [1ST RTN 24/10/2026 W/O RENT] // FM SWDN 2611N BY HAL DD.21/10
</v>
      </c>
      <c r="AO51" s="55">
        <f>VLOOKUP(D51,'2.Bookinglist'!A:CY,103,FALSE)</f>
        <v>0</v>
      </c>
    </row>
    <row r="52" ht="12.95" customHeight="1" spans="1:41" x14ac:dyDescent="0.25">
      <c r="A52" s="3" t="s">
        <v>185</v>
      </c>
      <c r="B52" s="53" t="str">
        <f>IF(C52=Charge!$M$1,Charge!$J$1,IF(C52=Charge!$M$23,Charge!$J$23,IF(C52=Charge!$M$17,Charge!$J$17,IF(C52=Charge!$N$17,Charge!$J$17,Charge!$J$7))))</f>
        <v>G3</v>
      </c>
      <c r="C52" s="54" t="str">
        <f>VLOOKUP(A52,'1.Loading'!A:R,14,FALSE)</f>
        <v>BKK01</v>
      </c>
      <c r="D52" s="54" t="str">
        <f>VLOOKUP(A52,'1.Loading'!A:R,17,FALSE)</f>
        <v>HASLS22261000109</v>
      </c>
      <c r="E52" s="55" t="str">
        <f>VLOOKUP(D52,'2.Bookinglist'!A:CT,27,FALSE)</f>
        <v>NIPPON EXPRESS LOGISTICS (THAILAND) CO., LTD.</v>
      </c>
      <c r="F52" s="55" t="str">
        <f>VLOOKUP(D52,'2.Bookinglist'!A:CT,28,FALSE)</f>
        <v>TOYO SEIKAN (THAILAND) CO., LTD.</v>
      </c>
      <c r="G52" s="56">
        <f>VLOOKUP(D52,'2.Bookinglist'!A:E,5,FALSE)</f>
        <v>0</v>
      </c>
      <c r="H52" s="54" t="str">
        <f>VLOOKUP(D52,'2.Bookinglist'!A:CT,15,FALSE)</f>
        <v>THBKK</v>
      </c>
      <c r="I52" s="54" t="str">
        <f>VLOOKUP(D52,'2.Bookinglist'!A:CT,19,FALSE)</f>
        <v>HKHKG</v>
      </c>
      <c r="J52" s="54">
        <f>VLOOKUP(D52,'2.Bookinglist'!A:CT,26,FALSE)</f>
        <v>0</v>
      </c>
      <c r="K52" s="54" t="str">
        <f>VLOOKUP(A52,'1.Loading'!A:R,5,FALSE)</f>
        <v>22GP</v>
      </c>
      <c r="L52" s="56" t="str">
        <f>VLOOKUP(D52,'2.Bookinglist'!A:CT,85,FALSE)</f>
        <v>CY/CY</v>
      </c>
      <c r="M52" s="56" t="str">
        <f>IF(VLOOKUP(D52,'2.Bookinglist'!A:CT,43,FALSE)=0,"","DG")</f>
        <v/>
      </c>
      <c r="N52" s="56" t="str">
        <f>IF(RIGHT(K52,2)="RE","RF","")</f>
        <v/>
      </c>
      <c r="O52" s="54" t="str">
        <f>VLOOKUP(A52,'1.Loading'!A:R,3,FALSE)</f>
        <v>SWVG</v>
      </c>
      <c r="P52" s="54" t="str">
        <f>VLOOKUP(A52,'1.Loading'!A:R,4,FALSE)</f>
        <v>2613N</v>
      </c>
      <c r="Q52" s="54" t="str">
        <f>VLOOKUP(D52,'2.Bookinglist'!A:CT,12,FALSE)</f>
        <v>VTS</v>
      </c>
      <c r="R52" s="56" t="str">
        <f>IF(LEFT(K52,2)="22","20'","40'")</f>
        <v>20'</v>
      </c>
      <c r="S52" s="38"/>
      <c r="T52" s="54" t="str">
        <f>VLOOKUP(A52,'1.Loading'!A:R,2,FALSE)</f>
        <v>2026-10-31</v>
      </c>
      <c r="U52" s="57">
        <f>T52-S52</f>
        <v>46326</v>
      </c>
      <c r="V52" s="58"/>
      <c r="W52" s="54" t="str">
        <f>VLOOKUP(A52,'3.GateMove'!A:D,4,FALSE)</f>
        <v>2026-10-27</v>
      </c>
      <c r="X52" s="57">
        <f>((T52-W52)+1)</f>
        <v>5</v>
      </c>
      <c r="Y52" s="59">
        <f>IF(AND(OR(C52="BKK01",C52="BKK04"),L52="CFS/CY"),0,IF(M52="DG",1,IF(LEFT(C52,3)="LCH",7,IF(C52="BKK02",5,3))))</f>
        <v>3</v>
      </c>
      <c r="Z52" s="57">
        <f>IF(IF(AND(AC52="TML",AB52&gt;0),((T52-W52)+1)-AB52,((T52-W52)+1)-Y52)&gt;0,IF(AND(AC52="TML",AB52&gt;0),((T52-W52)+1)-AB52,((T52-W52)+1)-Y52),0)</f>
        <v>2</v>
      </c>
      <c r="AA52" s="48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320</v>
      </c>
      <c r="AB52" s="53"/>
      <c r="AC52" s="53"/>
      <c r="AD52" s="56">
        <f>IF(M52="DG",3,IF(N52="RF",3,5))+IF(AND(LEFT(C52,3)="BKK",N52="RF",Q52="KTS"),1,0)+IF(Q52="KHS",1,0)</f>
        <v>5</v>
      </c>
      <c r="AE52" s="57">
        <f>(T52-V52)+1</f>
        <v>46327</v>
      </c>
      <c r="AF52" s="57">
        <f>IF(AB52&gt;IF((V52-W52)&gt;0,V52-W52,0),0,IF(AB52&lt;IF((V52-W52)&gt;0,V52-W52,0),IF((V52-W52)&gt;0,V52-W52,0)-AB52,IF((V52-W52)&gt;0,V52-W52,0)))</f>
        <v>0</v>
      </c>
      <c r="AG52" s="48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0"/>
      <c r="AI52" s="60">
        <f>AA52-AH52</f>
        <v>320</v>
      </c>
      <c r="AJ52" s="61"/>
      <c r="AK52" s="55" t="str">
        <f>VLOOKUP(D52,'2.Bookinglist'!A:CT,40,FALSE)</f>
        <v>Vilaiporn</v>
      </c>
      <c r="AL52" s="56" t="str">
        <f>VLOOKUP(D52,'2.Bookinglist'!A:CW,101,FALSE)</f>
        <v>2026-10-28</v>
      </c>
      <c r="AM52" s="56" t="str">
        <f>VLOOKUP(D52,'2.Bookinglist'!A:BK,63,FALSE)</f>
        <v>BKK27</v>
      </c>
      <c r="AN52" s="55" t="str">
        <f>VLOOKUP(D52,'2.Bookinglist'!A:AZ,52,FALSE)</f>
        <v>Pickup : 2026-10-24, Return : 2026-10-26  CLS TIME DD.26/2359HRS
 </v>
      </c>
      <c r="AO52" s="55">
        <f>VLOOKUP(D52,'2.Bookinglist'!A:CY,103,FALSE)</f>
        <v>0</v>
      </c>
    </row>
    <row r="53" ht="12.95" customHeight="1" spans="1:41" x14ac:dyDescent="0.25">
      <c r="A53" s="3" t="s">
        <v>175</v>
      </c>
      <c r="B53" s="53" t="str">
        <f>IF(C53=Charge!$M$1,Charge!$J$1,IF(C53=Charge!$M$23,Charge!$J$23,IF(C53=Charge!$M$17,Charge!$J$17,IF(C53=Charge!$N$17,Charge!$J$17,Charge!$J$7))))</f>
        <v>G3</v>
      </c>
      <c r="C53" s="54" t="str">
        <f>VLOOKUP(A53,'1.Loading'!A:R,14,FALSE)</f>
        <v>BKK01</v>
      </c>
      <c r="D53" s="54" t="str">
        <f>VLOOKUP(A53,'1.Loading'!A:R,17,FALSE)</f>
        <v>HASLS22261000900</v>
      </c>
      <c r="E53" s="55" t="str">
        <f>VLOOKUP(D53,'2.Bookinglist'!A:CT,27,FALSE)</f>
        <v>SINSIMON ENTERPRISE CO., LTD.</v>
      </c>
      <c r="F53" s="55" t="str">
        <f>VLOOKUP(D53,'2.Bookinglist'!A:CT,28,FALSE)</f>
        <v>CHAITIP CO., LTD.</v>
      </c>
      <c r="G53" s="56">
        <f>VLOOKUP(D53,'2.Bookinglist'!A:E,5,FALSE)</f>
        <v>0</v>
      </c>
      <c r="H53" s="54" t="str">
        <f>VLOOKUP(D53,'2.Bookinglist'!A:CT,15,FALSE)</f>
        <v>THBKK</v>
      </c>
      <c r="I53" s="54" t="str">
        <f>VLOOKUP(D53,'2.Bookinglist'!A:CT,19,FALSE)</f>
        <v>HKHKG</v>
      </c>
      <c r="J53" s="54">
        <f>VLOOKUP(D53,'2.Bookinglist'!A:CT,26,FALSE)</f>
        <v>0</v>
      </c>
      <c r="K53" s="54" t="str">
        <f>VLOOKUP(A53,'1.Loading'!A:R,5,FALSE)</f>
        <v>22GP</v>
      </c>
      <c r="L53" s="56" t="str">
        <f>VLOOKUP(D53,'2.Bookinglist'!A:CT,85,FALSE)</f>
        <v>CY/CY</v>
      </c>
      <c r="M53" s="56" t="str">
        <f>IF(VLOOKUP(D53,'2.Bookinglist'!A:CT,43,FALSE)=0,"","DG")</f>
        <v/>
      </c>
      <c r="N53" s="56" t="str">
        <f>IF(RIGHT(K53,2)="RE","RF","")</f>
        <v/>
      </c>
      <c r="O53" s="54" t="str">
        <f>VLOOKUP(A53,'1.Loading'!A:R,3,FALSE)</f>
        <v>SWVG</v>
      </c>
      <c r="P53" s="54" t="str">
        <f>VLOOKUP(A53,'1.Loading'!A:R,4,FALSE)</f>
        <v>2613N</v>
      </c>
      <c r="Q53" s="54" t="str">
        <f>VLOOKUP(D53,'2.Bookinglist'!A:CT,12,FALSE)</f>
        <v>VTS</v>
      </c>
      <c r="R53" s="56" t="str">
        <f>IF(LEFT(K53,2)="22","20'","40'")</f>
        <v>20'</v>
      </c>
      <c r="S53" s="38"/>
      <c r="T53" s="54" t="str">
        <f>VLOOKUP(A53,'1.Loading'!A:R,2,FALSE)</f>
        <v>2026-10-31</v>
      </c>
      <c r="U53" s="57">
        <f>T53-S53</f>
        <v>46326</v>
      </c>
      <c r="V53" s="58"/>
      <c r="W53" s="54" t="str">
        <f>VLOOKUP(A53,'3.GateMove'!A:D,4,FALSE)</f>
        <v>2026-10-28</v>
      </c>
      <c r="X53" s="57">
        <f>((T53-W53)+1)</f>
        <v>4</v>
      </c>
      <c r="Y53" s="59">
        <f>IF(AND(OR(C53="BKK01",C53="BKK04"),L53="CFS/CY"),0,IF(M53="DG",1,IF(LEFT(C53,3)="LCH",7,IF(C53="BKK02",5,3))))</f>
        <v>3</v>
      </c>
      <c r="Z53" s="57">
        <f>IF(IF(AND(AC53="TML",AB53&gt;0),((T53-W53)+1)-AB53,((T53-W53)+1)-Y53)&gt;0,IF(AND(AC53="TML",AB53&gt;0),((T53-W53)+1)-AB53,((T53-W53)+1)-Y53),0)</f>
        <v>1</v>
      </c>
      <c r="AA53" s="48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160</v>
      </c>
      <c r="AB53" s="53"/>
      <c r="AC53" s="53"/>
      <c r="AD53" s="56">
        <f>IF(M53="DG",3,IF(N53="RF",3,5))+IF(AND(LEFT(C53,3)="BKK",N53="RF",Q53="KTS"),1,0)+IF(Q53="KHS",1,0)</f>
        <v>5</v>
      </c>
      <c r="AE53" s="57">
        <f>(T53-V53)+1</f>
        <v>46327</v>
      </c>
      <c r="AF53" s="57">
        <f>IF(AB53&gt;IF((V53-W53)&gt;0,V53-W53,0),0,IF(AB53&lt;IF((V53-W53)&gt;0,V53-W53,0),IF((V53-W53)&gt;0,V53-W53,0)-AB53,IF((V53-W53)&gt;0,V53-W53,0)))</f>
        <v>0</v>
      </c>
      <c r="AG53" s="48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0"/>
      <c r="AI53" s="60">
        <f>AA53-AH53</f>
        <v>160</v>
      </c>
      <c r="AJ53" s="61"/>
      <c r="AK53" s="55" t="str">
        <f>VLOOKUP(D53,'2.Bookinglist'!A:CT,40,FALSE)</f>
        <v>Dharaporn</v>
      </c>
      <c r="AL53" s="56" t="str">
        <f>VLOOKUP(D53,'2.Bookinglist'!A:CW,101,FALSE)</f>
        <v>2026-10-28</v>
      </c>
      <c r="AM53" s="56" t="str">
        <f>VLOOKUP(D53,'2.Bookinglist'!A:BK,63,FALSE)</f>
        <v>BKK25</v>
      </c>
      <c r="AN53" s="55" t="str">
        <f>VLOOKUP(D53,'2.Bookinglist'!A:AZ,52,FALSE)</f>
        <v>Pickup : 2026-10-26, Return : 2026-10-27 EXTEND CLS TIME DD.28/11.00HRS</v>
      </c>
      <c r="AO53" s="55">
        <f>VLOOKUP(D53,'2.Bookinglist'!A:CY,103,FALSE)</f>
        <v>0</v>
      </c>
    </row>
    <row r="54" ht="12.95" customHeight="1" spans="1:41" x14ac:dyDescent="0.25">
      <c r="A54" s="3" t="s">
        <v>171</v>
      </c>
      <c r="B54" s="53" t="str">
        <f>IF(C54=Charge!$M$1,Charge!$J$1,IF(C54=Charge!$M$23,Charge!$J$23,IF(C54=Charge!$M$17,Charge!$J$17,IF(C54=Charge!$N$17,Charge!$J$17,Charge!$J$7))))</f>
        <v>G3</v>
      </c>
      <c r="C54" s="54" t="str">
        <f>VLOOKUP(A54,'1.Loading'!A:R,14,FALSE)</f>
        <v>BKK01</v>
      </c>
      <c r="D54" s="54" t="str">
        <f>VLOOKUP(A54,'1.Loading'!A:R,17,FALSE)</f>
        <v>HASLS22261000627</v>
      </c>
      <c r="E54" s="55" t="str">
        <f>VLOOKUP(D54,'2.Bookinglist'!A:CT,27,FALSE)</f>
        <v>SPACE GLOBAL FORWARDING CO.,LTD</v>
      </c>
      <c r="F54" s="55" t="str">
        <f>VLOOKUP(D54,'2.Bookinglist'!A:CT,28,FALSE)</f>
        <v>SPACE GLOBAL FORWARDING CO.,LTD</v>
      </c>
      <c r="G54" s="56">
        <f>VLOOKUP(D54,'2.Bookinglist'!A:E,5,FALSE)</f>
        <v>0</v>
      </c>
      <c r="H54" s="54" t="str">
        <f>VLOOKUP(D54,'2.Bookinglist'!A:CT,15,FALSE)</f>
        <v>THBKK</v>
      </c>
      <c r="I54" s="54" t="str">
        <f>VLOOKUP(D54,'2.Bookinglist'!A:CT,19,FALSE)</f>
        <v>HKHKG</v>
      </c>
      <c r="J54" s="54">
        <f>VLOOKUP(D54,'2.Bookinglist'!A:CT,26,FALSE)</f>
        <v>0</v>
      </c>
      <c r="K54" s="54" t="str">
        <f>VLOOKUP(A54,'1.Loading'!A:R,5,FALSE)</f>
        <v>22GP</v>
      </c>
      <c r="L54" s="56" t="str">
        <f>VLOOKUP(D54,'2.Bookinglist'!A:CT,85,FALSE)</f>
        <v>CY/CY</v>
      </c>
      <c r="M54" s="56" t="str">
        <f>IF(VLOOKUP(D54,'2.Bookinglist'!A:CT,43,FALSE)=0,"","DG")</f>
        <v/>
      </c>
      <c r="N54" s="56" t="str">
        <f>IF(RIGHT(K54,2)="RE","RF","")</f>
        <v/>
      </c>
      <c r="O54" s="54" t="str">
        <f>VLOOKUP(A54,'1.Loading'!A:R,3,FALSE)</f>
        <v>SWVG</v>
      </c>
      <c r="P54" s="54" t="str">
        <f>VLOOKUP(A54,'1.Loading'!A:R,4,FALSE)</f>
        <v>2613N</v>
      </c>
      <c r="Q54" s="54" t="str">
        <f>VLOOKUP(D54,'2.Bookinglist'!A:CT,12,FALSE)</f>
        <v>VTS</v>
      </c>
      <c r="R54" s="56" t="str">
        <f>IF(LEFT(K54,2)="22","20'","40'")</f>
        <v>20'</v>
      </c>
      <c r="S54" s="38"/>
      <c r="T54" s="54" t="str">
        <f>VLOOKUP(A54,'1.Loading'!A:R,2,FALSE)</f>
        <v>2026-10-31</v>
      </c>
      <c r="U54" s="57">
        <f>T54-S54</f>
        <v>46326</v>
      </c>
      <c r="V54" s="58"/>
      <c r="W54" s="54" t="str">
        <f>VLOOKUP(A54,'3.GateMove'!A:D,4,FALSE)</f>
        <v>2026-10-26</v>
      </c>
      <c r="X54" s="57">
        <f>((T54-W54)+1)</f>
        <v>6</v>
      </c>
      <c r="Y54" s="59">
        <f>IF(AND(OR(C54="BKK01",C54="BKK04"),L54="CFS/CY"),0,IF(M54="DG",1,IF(LEFT(C54,3)="LCH",7,IF(C54="BKK02",5,3))))</f>
        <v>3</v>
      </c>
      <c r="Z54" s="57">
        <f>IF(IF(AND(AC54="TML",AB54&gt;0),((T54-W54)+1)-AB54,((T54-W54)+1)-Y54)&gt;0,IF(AND(AC54="TML",AB54&gt;0),((T54-W54)+1)-AB54,((T54-W54)+1)-Y54),0)</f>
        <v>3</v>
      </c>
      <c r="AA54" s="48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480</v>
      </c>
      <c r="AB54" s="53"/>
      <c r="AC54" s="53"/>
      <c r="AD54" s="56">
        <f>IF(M54="DG",3,IF(N54="RF",3,5))+IF(AND(LEFT(C54,3)="BKK",N54="RF",Q54="KTS"),1,0)+IF(Q54="KHS",1,0)</f>
        <v>5</v>
      </c>
      <c r="AE54" s="57">
        <f>(T54-V54)+1</f>
        <v>46327</v>
      </c>
      <c r="AF54" s="57">
        <f>IF(AB54&gt;IF((V54-W54)&gt;0,V54-W54,0),0,IF(AB54&lt;IF((V54-W54)&gt;0,V54-W54,0),IF((V54-W54)&gt;0,V54-W54,0)-AB54,IF((V54-W54)&gt;0,V54-W54,0)))</f>
        <v>0</v>
      </c>
      <c r="AG54" s="48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0"/>
      <c r="AI54" s="60">
        <f>AA54-AH54</f>
        <v>480</v>
      </c>
      <c r="AJ54" s="61"/>
      <c r="AK54" s="55" t="str">
        <f>VLOOKUP(D54,'2.Bookinglist'!A:CT,40,FALSE)</f>
        <v>Nustsireerach</v>
      </c>
      <c r="AL54" s="56" t="str">
        <f>VLOOKUP(D54,'2.Bookinglist'!A:CW,101,FALSE)</f>
        <v>2026-10-28</v>
      </c>
      <c r="AM54" s="56" t="str">
        <f>VLOOKUP(D54,'2.Bookinglist'!A:BK,63,FALSE)</f>
        <v>BKK27</v>
      </c>
      <c r="AN54" s="55" t="str">
        <f>VLOOKUP(D54,'2.Bookinglist'!A:AZ,52,FALSE)</f>
        <v>Pickup : 2026-10-26, Return : 2026-10-26 CLS TIME DD.27/1200AM 
 </v>
      </c>
      <c r="AO54" s="55">
        <f>VLOOKUP(D54,'2.Bookinglist'!A:CY,103,FALSE)</f>
        <v>0</v>
      </c>
    </row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SUM(R4:R661)</f>
      </c>
      <c r="S2" s="21" t="s">
        <v>785</v>
      </c>
      <c r="T2" s="32">
        <f>SUM(T4:T661)</f>
      </c>
      <c r="U2" s="32">
        <f>SUM(U4:U661)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243</v>
      </c>
      <c r="F3" s="40" t="s">
        <v>247</v>
      </c>
      <c r="G3" s="43" t="s">
        <v>4</v>
      </c>
      <c r="H3" s="40" t="s">
        <v>2</v>
      </c>
      <c r="I3" s="40" t="s">
        <v>3</v>
      </c>
      <c r="J3" s="44" t="s">
        <v>766</v>
      </c>
      <c r="K3" s="62" t="s">
        <v>786</v>
      </c>
      <c r="L3" s="44" t="s">
        <v>767</v>
      </c>
      <c r="M3" s="63" t="s">
        <v>769</v>
      </c>
      <c r="N3" s="63" t="s">
        <v>787</v>
      </c>
      <c r="O3" s="46" t="s">
        <v>770</v>
      </c>
      <c r="P3" s="46" t="s">
        <v>788</v>
      </c>
      <c r="Q3" s="46" t="s">
        <v>789</v>
      </c>
      <c r="R3" s="64" t="s">
        <v>790</v>
      </c>
      <c r="S3" s="46" t="s">
        <v>776</v>
      </c>
      <c r="T3" s="49" t="s">
        <v>791</v>
      </c>
      <c r="U3" s="64" t="s">
        <v>792</v>
      </c>
      <c r="V3" s="54" t="s">
        <v>20</v>
      </c>
      <c r="W3" s="65" t="s">
        <v>267</v>
      </c>
      <c r="X3" s="66"/>
    </row>
    <row r="4" ht="16.5" customHeight="1" spans="1:23" x14ac:dyDescent="0.25">
      <c r="A4" s="3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67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68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68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68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68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68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68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68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68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68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68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68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8"/>
      <c r="B476" s="54">
        <f>IFERROR(VLOOKUP($A:$A,CS!$A:$AK,3,FALSE),"")</f>
      </c>
      <c r="C476" s="54">
        <f>IFERROR(VLOOKUP($A:$A,CS!$A:$AK,4,FALSE),"")</f>
      </c>
      <c r="D476" s="54">
        <f>IFERROR(VLOOKUP($A:$A,CS!$A:$AK,5,FALSE),"")</f>
      </c>
      <c r="E476" s="54">
        <f>IFERROR(VLOOKUP($A:$A,CS!$A:$AK,7,FALSE),"")</f>
      </c>
      <c r="F476" s="54">
        <f>IFERROR(VLOOKUP($A:$A,CS!$A:$AK,8,FALSE),"")</f>
      </c>
      <c r="G476" s="54">
        <f>IFERROR(VLOOKUP($A:$A,CS!$A:$AK,10,FALSE),"")</f>
      </c>
      <c r="H476" s="54">
        <f>IFERROR(VLOOKUP($A:$A,CS!$A:$AK,14,FALSE),"")</f>
      </c>
      <c r="I476" s="54">
        <f>IFERROR(VLOOKUP($A:$A,CS!$A:$AK,15,FALSE),"")</f>
      </c>
      <c r="J476" s="54">
        <f>IFERROR(VLOOKUP($A:$A,CS!$A:$AK,18,FALSE),"")</f>
      </c>
      <c r="K476" s="54">
        <f>IFERROR(VLOOKUP($A:$A,CS!$A:$AK,19,FALSE),"")</f>
      </c>
      <c r="L476" s="54">
        <f>IFERROR(VLOOKUP($A:$A,CS!$A:$AK,20,FALSE),"")</f>
      </c>
      <c r="M476" s="54">
        <f>IFERROR(VLOOKUP($A:$A,CS!$A:$AK,22,FALSE),"")</f>
      </c>
      <c r="N476" s="54">
        <f>IFERROR(VLOOKUP($A:$A,CS!$A:$AK,19,FALSE),"")</f>
      </c>
      <c r="O476" s="54">
        <f>IFERROR(VLOOKUP($A:$A,CS!$A:$AK,23,FALSE),"")</f>
      </c>
      <c r="P476" s="54">
        <f>IFERROR(VLOOKUP($A:$A,CS!$A:$AK,24,FALSE),"")</f>
      </c>
      <c r="Q476" s="54">
        <f>IFERROR(VLOOKUP($A:$A,CS!$A:$AK,25,FALSE),"")</f>
      </c>
      <c r="R476" s="54">
        <f>IFERROR(VLOOKUP($A:$A,CS!$A:$AK,26,FALSE),"")</f>
      </c>
      <c r="S476" s="54">
        <f>IFERROR(VLOOKUP($A:$A,CS!$A:$AK,29,FALSE),"")</f>
      </c>
      <c r="T476" s="54">
        <f>IFERROR(VLOOKUP($A:$A,CS!$A:$AK,33,FALSE),"")</f>
      </c>
      <c r="U476" s="54">
        <f>IFERROR(VLOOKUP($A:$A,CS!$A:$AK,34,FALSE),"")</f>
      </c>
      <c r="V476" s="54">
        <f>IFERROR(VLOOKUP($A:$A,CS!$A:$AK,35,FALSE),"")</f>
      </c>
      <c r="W476" s="54">
        <f>IFERROR(VLOOKUP($A:$A,CS!$A:$AK,36,FALSE),"")</f>
      </c>
    </row>
    <row r="477" ht="16.5" customHeight="1" spans="1:23" x14ac:dyDescent="0.25">
      <c r="A477" s="68"/>
      <c r="B477" s="54">
        <f>IFERROR(VLOOKUP($A:$A,CS!$A:$AK,3,FALSE),"")</f>
      </c>
      <c r="C477" s="54">
        <f>IFERROR(VLOOKUP($A:$A,CS!$A:$AK,4,FALSE),"")</f>
      </c>
      <c r="D477" s="54">
        <f>IFERROR(VLOOKUP($A:$A,CS!$A:$AK,5,FALSE),"")</f>
      </c>
      <c r="E477" s="54">
        <f>IFERROR(VLOOKUP($A:$A,CS!$A:$AK,7,FALSE),"")</f>
      </c>
      <c r="F477" s="54">
        <f>IFERROR(VLOOKUP($A:$A,CS!$A:$AK,8,FALSE),"")</f>
      </c>
      <c r="G477" s="54">
        <f>IFERROR(VLOOKUP($A:$A,CS!$A:$AK,10,FALSE),"")</f>
      </c>
      <c r="H477" s="54">
        <f>IFERROR(VLOOKUP($A:$A,CS!$A:$AK,14,FALSE),"")</f>
      </c>
      <c r="I477" s="54">
        <f>IFERROR(VLOOKUP($A:$A,CS!$A:$AK,15,FALSE),"")</f>
      </c>
      <c r="J477" s="54">
        <f>IFERROR(VLOOKUP($A:$A,CS!$A:$AK,18,FALSE),"")</f>
      </c>
      <c r="K477" s="54">
        <f>IFERROR(VLOOKUP($A:$A,CS!$A:$AK,19,FALSE),"")</f>
      </c>
      <c r="L477" s="54">
        <f>IFERROR(VLOOKUP($A:$A,CS!$A:$AK,20,FALSE),"")</f>
      </c>
      <c r="M477" s="54">
        <f>IFERROR(VLOOKUP($A:$A,CS!$A:$AK,22,FALSE),"")</f>
      </c>
      <c r="N477" s="54">
        <f>IFERROR(VLOOKUP($A:$A,CS!$A:$AK,19,FALSE),"")</f>
      </c>
      <c r="O477" s="54">
        <f>IFERROR(VLOOKUP($A:$A,CS!$A:$AK,23,FALSE),"")</f>
      </c>
      <c r="P477" s="54">
        <f>IFERROR(VLOOKUP($A:$A,CS!$A:$AK,24,FALSE),"")</f>
      </c>
      <c r="Q477" s="54">
        <f>IFERROR(VLOOKUP($A:$A,CS!$A:$AK,25,FALSE),"")</f>
      </c>
      <c r="R477" s="54">
        <f>IFERROR(VLOOKUP($A:$A,CS!$A:$AK,26,FALSE),"")</f>
      </c>
      <c r="S477" s="54">
        <f>IFERROR(VLOOKUP($A:$A,CS!$A:$AK,29,FALSE),"")</f>
      </c>
      <c r="T477" s="54">
        <f>IFERROR(VLOOKUP($A:$A,CS!$A:$AK,33,FALSE),"")</f>
      </c>
      <c r="U477" s="54">
        <f>IFERROR(VLOOKUP($A:$A,CS!$A:$AK,34,FALSE),"")</f>
      </c>
      <c r="V477" s="54">
        <f>IFERROR(VLOOKUP($A:$A,CS!$A:$AK,35,FALSE),"")</f>
      </c>
      <c r="W477" s="54">
        <f>IFERROR(VLOOKUP($A:$A,CS!$A:$AK,36,FALSE),"")</f>
      </c>
    </row>
    <row r="478" ht="16.5" customHeight="1" spans="1:23" x14ac:dyDescent="0.25">
      <c r="A478" s="68"/>
      <c r="B478" s="54">
        <f>IFERROR(VLOOKUP($A:$A,CS!$A:$AK,3,FALSE),"")</f>
      </c>
      <c r="C478" s="54">
        <f>IFERROR(VLOOKUP($A:$A,CS!$A:$AK,4,FALSE),"")</f>
      </c>
      <c r="D478" s="54">
        <f>IFERROR(VLOOKUP($A:$A,CS!$A:$AK,5,FALSE),"")</f>
      </c>
      <c r="E478" s="54">
        <f>IFERROR(VLOOKUP($A:$A,CS!$A:$AK,7,FALSE),"")</f>
      </c>
      <c r="F478" s="54">
        <f>IFERROR(VLOOKUP($A:$A,CS!$A:$AK,8,FALSE),"")</f>
      </c>
      <c r="G478" s="54">
        <f>IFERROR(VLOOKUP($A:$A,CS!$A:$AK,10,FALSE),"")</f>
      </c>
      <c r="H478" s="54">
        <f>IFERROR(VLOOKUP($A:$A,CS!$A:$AK,14,FALSE),"")</f>
      </c>
      <c r="I478" s="54">
        <f>IFERROR(VLOOKUP($A:$A,CS!$A:$AK,15,FALSE),"")</f>
      </c>
      <c r="J478" s="54">
        <f>IFERROR(VLOOKUP($A:$A,CS!$A:$AK,18,FALSE),"")</f>
      </c>
      <c r="K478" s="54">
        <f>IFERROR(VLOOKUP($A:$A,CS!$A:$AK,19,FALSE),"")</f>
      </c>
      <c r="L478" s="54">
        <f>IFERROR(VLOOKUP($A:$A,CS!$A:$AK,20,FALSE),"")</f>
      </c>
      <c r="M478" s="54">
        <f>IFERROR(VLOOKUP($A:$A,CS!$A:$AK,22,FALSE),"")</f>
      </c>
      <c r="N478" s="54">
        <f>IFERROR(VLOOKUP($A:$A,CS!$A:$AK,19,FALSE),"")</f>
      </c>
      <c r="O478" s="54">
        <f>IFERROR(VLOOKUP($A:$A,CS!$A:$AK,23,FALSE),"")</f>
      </c>
      <c r="P478" s="54">
        <f>IFERROR(VLOOKUP($A:$A,CS!$A:$AK,24,FALSE),"")</f>
      </c>
      <c r="Q478" s="54">
        <f>IFERROR(VLOOKUP($A:$A,CS!$A:$AK,25,FALSE),"")</f>
      </c>
      <c r="R478" s="54">
        <f>IFERROR(VLOOKUP($A:$A,CS!$A:$AK,26,FALSE),"")</f>
      </c>
      <c r="S478" s="54">
        <f>IFERROR(VLOOKUP($A:$A,CS!$A:$AK,29,FALSE),"")</f>
      </c>
      <c r="T478" s="54">
        <f>IFERROR(VLOOKUP($A:$A,CS!$A:$AK,33,FALSE),"")</f>
      </c>
      <c r="U478" s="54">
        <f>IFERROR(VLOOKUP($A:$A,CS!$A:$AK,34,FALSE),"")</f>
      </c>
      <c r="V478" s="54">
        <f>IFERROR(VLOOKUP($A:$A,CS!$A:$AK,35,FALSE),"")</f>
      </c>
      <c r="W478" s="54">
        <f>IFERROR(VLOOKUP($A:$A,CS!$A:$AK,36,FALSE),"")</f>
      </c>
    </row>
    <row r="479" ht="16.5" customHeight="1" spans="1:23" x14ac:dyDescent="0.25">
      <c r="A479" s="68"/>
      <c r="B479" s="54">
        <f>IFERROR(VLOOKUP($A:$A,CS!$A:$AK,3,FALSE),"")</f>
      </c>
      <c r="C479" s="54">
        <f>IFERROR(VLOOKUP($A:$A,CS!$A:$AK,4,FALSE),"")</f>
      </c>
      <c r="D479" s="54">
        <f>IFERROR(VLOOKUP($A:$A,CS!$A:$AK,5,FALSE),"")</f>
      </c>
      <c r="E479" s="54">
        <f>IFERROR(VLOOKUP($A:$A,CS!$A:$AK,7,FALSE),"")</f>
      </c>
      <c r="F479" s="54">
        <f>IFERROR(VLOOKUP($A:$A,CS!$A:$AK,8,FALSE),"")</f>
      </c>
      <c r="G479" s="54">
        <f>IFERROR(VLOOKUP($A:$A,CS!$A:$AK,10,FALSE),"")</f>
      </c>
      <c r="H479" s="54">
        <f>IFERROR(VLOOKUP($A:$A,CS!$A:$AK,14,FALSE),"")</f>
      </c>
      <c r="I479" s="54">
        <f>IFERROR(VLOOKUP($A:$A,CS!$A:$AK,15,FALSE),"")</f>
      </c>
      <c r="J479" s="54">
        <f>IFERROR(VLOOKUP($A:$A,CS!$A:$AK,18,FALSE),"")</f>
      </c>
      <c r="K479" s="54">
        <f>IFERROR(VLOOKUP($A:$A,CS!$A:$AK,19,FALSE),"")</f>
      </c>
      <c r="L479" s="54">
        <f>IFERROR(VLOOKUP($A:$A,CS!$A:$AK,20,FALSE),"")</f>
      </c>
      <c r="M479" s="54">
        <f>IFERROR(VLOOKUP($A:$A,CS!$A:$AK,22,FALSE),"")</f>
      </c>
      <c r="N479" s="54">
        <f>IFERROR(VLOOKUP($A:$A,CS!$A:$AK,19,FALSE),"")</f>
      </c>
      <c r="O479" s="54">
        <f>IFERROR(VLOOKUP($A:$A,CS!$A:$AK,23,FALSE),"")</f>
      </c>
      <c r="P479" s="54">
        <f>IFERROR(VLOOKUP($A:$A,CS!$A:$AK,24,FALSE),"")</f>
      </c>
      <c r="Q479" s="54">
        <f>IFERROR(VLOOKUP($A:$A,CS!$A:$AK,25,FALSE),"")</f>
      </c>
      <c r="R479" s="54">
        <f>IFERROR(VLOOKUP($A:$A,CS!$A:$AK,26,FALSE),"")</f>
      </c>
      <c r="S479" s="54">
        <f>IFERROR(VLOOKUP($A:$A,CS!$A:$AK,29,FALSE),"")</f>
      </c>
      <c r="T479" s="54">
        <f>IFERROR(VLOOKUP($A:$A,CS!$A:$AK,33,FALSE),"")</f>
      </c>
      <c r="U479" s="54">
        <f>IFERROR(VLOOKUP($A:$A,CS!$A:$AK,34,FALSE),"")</f>
      </c>
      <c r="V479" s="54">
        <f>IFERROR(VLOOKUP($A:$A,CS!$A:$AK,35,FALSE),"")</f>
      </c>
      <c r="W479" s="54">
        <f>IFERROR(VLOOKUP($A:$A,CS!$A:$AK,36,FALSE),"")</f>
      </c>
    </row>
    <row r="480" ht="16.5" customHeight="1" spans="1:23" x14ac:dyDescent="0.25">
      <c r="A480" s="68"/>
      <c r="B480" s="54">
        <f>IFERROR(VLOOKUP($A:$A,CS!$A:$AK,3,FALSE),"")</f>
      </c>
      <c r="C480" s="54">
        <f>IFERROR(VLOOKUP($A:$A,CS!$A:$AK,4,FALSE),"")</f>
      </c>
      <c r="D480" s="54">
        <f>IFERROR(VLOOKUP($A:$A,CS!$A:$AK,5,FALSE),"")</f>
      </c>
      <c r="E480" s="54">
        <f>IFERROR(VLOOKUP($A:$A,CS!$A:$AK,7,FALSE),"")</f>
      </c>
      <c r="F480" s="54">
        <f>IFERROR(VLOOKUP($A:$A,CS!$A:$AK,8,FALSE),"")</f>
      </c>
      <c r="G480" s="54">
        <f>IFERROR(VLOOKUP($A:$A,CS!$A:$AK,10,FALSE),"")</f>
      </c>
      <c r="H480" s="54">
        <f>IFERROR(VLOOKUP($A:$A,CS!$A:$AK,14,FALSE),"")</f>
      </c>
      <c r="I480" s="54">
        <f>IFERROR(VLOOKUP($A:$A,CS!$A:$AK,15,FALSE),"")</f>
      </c>
      <c r="J480" s="54">
        <f>IFERROR(VLOOKUP($A:$A,CS!$A:$AK,18,FALSE),"")</f>
      </c>
      <c r="K480" s="54">
        <f>IFERROR(VLOOKUP($A:$A,CS!$A:$AK,19,FALSE),"")</f>
      </c>
      <c r="L480" s="54">
        <f>IFERROR(VLOOKUP($A:$A,CS!$A:$AK,20,FALSE),"")</f>
      </c>
      <c r="M480" s="54">
        <f>IFERROR(VLOOKUP($A:$A,CS!$A:$AK,22,FALSE),"")</f>
      </c>
      <c r="N480" s="54">
        <f>IFERROR(VLOOKUP($A:$A,CS!$A:$AK,19,FALSE),"")</f>
      </c>
      <c r="O480" s="54">
        <f>IFERROR(VLOOKUP($A:$A,CS!$A:$AK,23,FALSE),"")</f>
      </c>
      <c r="P480" s="54">
        <f>IFERROR(VLOOKUP($A:$A,CS!$A:$AK,24,FALSE),"")</f>
      </c>
      <c r="Q480" s="54">
        <f>IFERROR(VLOOKUP($A:$A,CS!$A:$AK,25,FALSE),"")</f>
      </c>
      <c r="R480" s="54">
        <f>IFERROR(VLOOKUP($A:$A,CS!$A:$AK,26,FALSE),"")</f>
      </c>
      <c r="S480" s="54">
        <f>IFERROR(VLOOKUP($A:$A,CS!$A:$AK,29,FALSE),"")</f>
      </c>
      <c r="T480" s="54">
        <f>IFERROR(VLOOKUP($A:$A,CS!$A:$AK,33,FALSE),"")</f>
      </c>
      <c r="U480" s="54">
        <f>IFERROR(VLOOKUP($A:$A,CS!$A:$AK,34,FALSE),"")</f>
      </c>
      <c r="V480" s="54">
        <f>IFERROR(VLOOKUP($A:$A,CS!$A:$AK,35,FALSE),"")</f>
      </c>
      <c r="W480" s="54">
        <f>IFERROR(VLOOKUP($A:$A,CS!$A:$AK,36,FALSE),"")</f>
      </c>
    </row>
    <row r="481" ht="16.5" customHeight="1" spans="1:23" x14ac:dyDescent="0.25">
      <c r="A481" s="68"/>
      <c r="B481" s="54">
        <f>IFERROR(VLOOKUP($A:$A,CS!$A:$AK,3,FALSE),"")</f>
      </c>
      <c r="C481" s="54">
        <f>IFERROR(VLOOKUP($A:$A,CS!$A:$AK,4,FALSE),"")</f>
      </c>
      <c r="D481" s="54">
        <f>IFERROR(VLOOKUP($A:$A,CS!$A:$AK,5,FALSE),"")</f>
      </c>
      <c r="E481" s="54">
        <f>IFERROR(VLOOKUP($A:$A,CS!$A:$AK,7,FALSE),"")</f>
      </c>
      <c r="F481" s="54">
        <f>IFERROR(VLOOKUP($A:$A,CS!$A:$AK,8,FALSE),"")</f>
      </c>
      <c r="G481" s="54">
        <f>IFERROR(VLOOKUP($A:$A,CS!$A:$AK,10,FALSE),"")</f>
      </c>
      <c r="H481" s="54">
        <f>IFERROR(VLOOKUP($A:$A,CS!$A:$AK,14,FALSE),"")</f>
      </c>
      <c r="I481" s="54">
        <f>IFERROR(VLOOKUP($A:$A,CS!$A:$AK,15,FALSE),"")</f>
      </c>
      <c r="J481" s="54">
        <f>IFERROR(VLOOKUP($A:$A,CS!$A:$AK,18,FALSE),"")</f>
      </c>
      <c r="K481" s="54">
        <f>IFERROR(VLOOKUP($A:$A,CS!$A:$AK,19,FALSE),"")</f>
      </c>
      <c r="L481" s="54">
        <f>IFERROR(VLOOKUP($A:$A,CS!$A:$AK,20,FALSE),"")</f>
      </c>
      <c r="M481" s="54">
        <f>IFERROR(VLOOKUP($A:$A,CS!$A:$AK,22,FALSE),"")</f>
      </c>
      <c r="N481" s="54">
        <f>IFERROR(VLOOKUP($A:$A,CS!$A:$AK,19,FALSE),"")</f>
      </c>
      <c r="O481" s="54">
        <f>IFERROR(VLOOKUP($A:$A,CS!$A:$AK,23,FALSE),"")</f>
      </c>
      <c r="P481" s="54">
        <f>IFERROR(VLOOKUP($A:$A,CS!$A:$AK,24,FALSE),"")</f>
      </c>
      <c r="Q481" s="54">
        <f>IFERROR(VLOOKUP($A:$A,CS!$A:$AK,25,FALSE),"")</f>
      </c>
      <c r="R481" s="54">
        <f>IFERROR(VLOOKUP($A:$A,CS!$A:$AK,26,FALSE),"")</f>
      </c>
      <c r="S481" s="54">
        <f>IFERROR(VLOOKUP($A:$A,CS!$A:$AK,29,FALSE),"")</f>
      </c>
      <c r="T481" s="54">
        <f>IFERROR(VLOOKUP($A:$A,CS!$A:$AK,33,FALSE),"")</f>
      </c>
      <c r="U481" s="54">
        <f>IFERROR(VLOOKUP($A:$A,CS!$A:$AK,34,FALSE),"")</f>
      </c>
      <c r="V481" s="54">
        <f>IFERROR(VLOOKUP($A:$A,CS!$A:$AK,35,FALSE),"")</f>
      </c>
      <c r="W481" s="54">
        <f>IFERROR(VLOOKUP($A:$A,CS!$A:$AK,36,FALSE),"")</f>
      </c>
    </row>
    <row r="482" ht="16.5" customHeight="1" spans="1:23" x14ac:dyDescent="0.25">
      <c r="A482" s="68"/>
      <c r="B482" s="54">
        <f>IFERROR(VLOOKUP($A:$A,CS!$A:$AK,3,FALSE),"")</f>
      </c>
      <c r="C482" s="54">
        <f>IFERROR(VLOOKUP($A:$A,CS!$A:$AK,4,FALSE),"")</f>
      </c>
      <c r="D482" s="54">
        <f>IFERROR(VLOOKUP($A:$A,CS!$A:$AK,5,FALSE),"")</f>
      </c>
      <c r="E482" s="54">
        <f>IFERROR(VLOOKUP($A:$A,CS!$A:$AK,7,FALSE),"")</f>
      </c>
      <c r="F482" s="54">
        <f>IFERROR(VLOOKUP($A:$A,CS!$A:$AK,8,FALSE),"")</f>
      </c>
      <c r="G482" s="54">
        <f>IFERROR(VLOOKUP($A:$A,CS!$A:$AK,10,FALSE),"")</f>
      </c>
      <c r="H482" s="54">
        <f>IFERROR(VLOOKUP($A:$A,CS!$A:$AK,14,FALSE),"")</f>
      </c>
      <c r="I482" s="54">
        <f>IFERROR(VLOOKUP($A:$A,CS!$A:$AK,15,FALSE),"")</f>
      </c>
      <c r="J482" s="54">
        <f>IFERROR(VLOOKUP($A:$A,CS!$A:$AK,18,FALSE),"")</f>
      </c>
      <c r="K482" s="54">
        <f>IFERROR(VLOOKUP($A:$A,CS!$A:$AK,19,FALSE),"")</f>
      </c>
      <c r="L482" s="54">
        <f>IFERROR(VLOOKUP($A:$A,CS!$A:$AK,20,FALSE),"")</f>
      </c>
      <c r="M482" s="54">
        <f>IFERROR(VLOOKUP($A:$A,CS!$A:$AK,22,FALSE),"")</f>
      </c>
      <c r="N482" s="54">
        <f>IFERROR(VLOOKUP($A:$A,CS!$A:$AK,19,FALSE),"")</f>
      </c>
      <c r="O482" s="54">
        <f>IFERROR(VLOOKUP($A:$A,CS!$A:$AK,23,FALSE),"")</f>
      </c>
      <c r="P482" s="54">
        <f>IFERROR(VLOOKUP($A:$A,CS!$A:$AK,24,FALSE),"")</f>
      </c>
      <c r="Q482" s="54">
        <f>IFERROR(VLOOKUP($A:$A,CS!$A:$AK,25,FALSE),"")</f>
      </c>
      <c r="R482" s="54">
        <f>IFERROR(VLOOKUP($A:$A,CS!$A:$AK,26,FALSE),"")</f>
      </c>
      <c r="S482" s="54">
        <f>IFERROR(VLOOKUP($A:$A,CS!$A:$AK,29,FALSE),"")</f>
      </c>
      <c r="T482" s="54">
        <f>IFERROR(VLOOKUP($A:$A,CS!$A:$AK,33,FALSE),"")</f>
      </c>
      <c r="U482" s="54">
        <f>IFERROR(VLOOKUP($A:$A,CS!$A:$AK,34,FALSE),"")</f>
      </c>
      <c r="V482" s="54">
        <f>IFERROR(VLOOKUP($A:$A,CS!$A:$AK,35,FALSE),"")</f>
      </c>
      <c r="W482" s="54">
        <f>IFERROR(VLOOKUP($A:$A,CS!$A:$AK,36,FALSE),"")</f>
      </c>
    </row>
    <row r="483" ht="16.5" customHeight="1" spans="1:23" x14ac:dyDescent="0.25">
      <c r="A483" s="68"/>
      <c r="B483" s="54">
        <f>IFERROR(VLOOKUP($A:$A,CS!$A:$AK,3,FALSE),"")</f>
      </c>
      <c r="C483" s="54">
        <f>IFERROR(VLOOKUP($A:$A,CS!$A:$AK,4,FALSE),"")</f>
      </c>
      <c r="D483" s="54">
        <f>IFERROR(VLOOKUP($A:$A,CS!$A:$AK,5,FALSE),"")</f>
      </c>
      <c r="E483" s="54">
        <f>IFERROR(VLOOKUP($A:$A,CS!$A:$AK,7,FALSE),"")</f>
      </c>
      <c r="F483" s="54">
        <f>IFERROR(VLOOKUP($A:$A,CS!$A:$AK,8,FALSE),"")</f>
      </c>
      <c r="G483" s="54">
        <f>IFERROR(VLOOKUP($A:$A,CS!$A:$AK,10,FALSE),"")</f>
      </c>
      <c r="H483" s="54">
        <f>IFERROR(VLOOKUP($A:$A,CS!$A:$AK,14,FALSE),"")</f>
      </c>
      <c r="I483" s="54">
        <f>IFERROR(VLOOKUP($A:$A,CS!$A:$AK,15,FALSE),"")</f>
      </c>
      <c r="J483" s="54">
        <f>IFERROR(VLOOKUP($A:$A,CS!$A:$AK,18,FALSE),"")</f>
      </c>
      <c r="K483" s="54">
        <f>IFERROR(VLOOKUP($A:$A,CS!$A:$AK,19,FALSE),"")</f>
      </c>
      <c r="L483" s="54">
        <f>IFERROR(VLOOKUP($A:$A,CS!$A:$AK,20,FALSE),"")</f>
      </c>
      <c r="M483" s="54">
        <f>IFERROR(VLOOKUP($A:$A,CS!$A:$AK,22,FALSE),"")</f>
      </c>
      <c r="N483" s="54">
        <f>IFERROR(VLOOKUP($A:$A,CS!$A:$AK,19,FALSE),"")</f>
      </c>
      <c r="O483" s="54">
        <f>IFERROR(VLOOKUP($A:$A,CS!$A:$AK,23,FALSE),"")</f>
      </c>
      <c r="P483" s="54">
        <f>IFERROR(VLOOKUP($A:$A,CS!$A:$AK,24,FALSE),"")</f>
      </c>
      <c r="Q483" s="54">
        <f>IFERROR(VLOOKUP($A:$A,CS!$A:$AK,25,FALSE),"")</f>
      </c>
      <c r="R483" s="54">
        <f>IFERROR(VLOOKUP($A:$A,CS!$A:$AK,26,FALSE),"")</f>
      </c>
      <c r="S483" s="54">
        <f>IFERROR(VLOOKUP($A:$A,CS!$A:$AK,29,FALSE),"")</f>
      </c>
      <c r="T483" s="54">
        <f>IFERROR(VLOOKUP($A:$A,CS!$A:$AK,33,FALSE),"")</f>
      </c>
      <c r="U483" s="54">
        <f>IFERROR(VLOOKUP($A:$A,CS!$A:$AK,34,FALSE),"")</f>
      </c>
      <c r="V483" s="54">
        <f>IFERROR(VLOOKUP($A:$A,CS!$A:$AK,35,FALSE),"")</f>
      </c>
      <c r="W483" s="54">
        <f>IFERROR(VLOOKUP($A:$A,CS!$A:$AK,36,FALSE),"")</f>
      </c>
    </row>
    <row r="484" ht="16.5" customHeight="1" spans="1:23" x14ac:dyDescent="0.25">
      <c r="A484" s="68"/>
      <c r="B484" s="54">
        <f>IFERROR(VLOOKUP($A:$A,CS!$A:$AK,3,FALSE),"")</f>
      </c>
      <c r="C484" s="54">
        <f>IFERROR(VLOOKUP($A:$A,CS!$A:$AK,4,FALSE),"")</f>
      </c>
      <c r="D484" s="54">
        <f>IFERROR(VLOOKUP($A:$A,CS!$A:$AK,5,FALSE),"")</f>
      </c>
      <c r="E484" s="54">
        <f>IFERROR(VLOOKUP($A:$A,CS!$A:$AK,7,FALSE),"")</f>
      </c>
      <c r="F484" s="54">
        <f>IFERROR(VLOOKUP($A:$A,CS!$A:$AK,8,FALSE),"")</f>
      </c>
      <c r="G484" s="54">
        <f>IFERROR(VLOOKUP($A:$A,CS!$A:$AK,10,FALSE),"")</f>
      </c>
      <c r="H484" s="54">
        <f>IFERROR(VLOOKUP($A:$A,CS!$A:$AK,14,FALSE),"")</f>
      </c>
      <c r="I484" s="54">
        <f>IFERROR(VLOOKUP($A:$A,CS!$A:$AK,15,FALSE),"")</f>
      </c>
      <c r="J484" s="54">
        <f>IFERROR(VLOOKUP($A:$A,CS!$A:$AK,18,FALSE),"")</f>
      </c>
      <c r="K484" s="54">
        <f>IFERROR(VLOOKUP($A:$A,CS!$A:$AK,19,FALSE),"")</f>
      </c>
      <c r="L484" s="54">
        <f>IFERROR(VLOOKUP($A:$A,CS!$A:$AK,20,FALSE),"")</f>
      </c>
      <c r="M484" s="54">
        <f>IFERROR(VLOOKUP($A:$A,CS!$A:$AK,22,FALSE),"")</f>
      </c>
      <c r="N484" s="54">
        <f>IFERROR(VLOOKUP($A:$A,CS!$A:$AK,19,FALSE),"")</f>
      </c>
      <c r="O484" s="54">
        <f>IFERROR(VLOOKUP($A:$A,CS!$A:$AK,23,FALSE),"")</f>
      </c>
      <c r="P484" s="54">
        <f>IFERROR(VLOOKUP($A:$A,CS!$A:$AK,24,FALSE),"")</f>
      </c>
      <c r="Q484" s="54">
        <f>IFERROR(VLOOKUP($A:$A,CS!$A:$AK,25,FALSE),"")</f>
      </c>
      <c r="R484" s="54">
        <f>IFERROR(VLOOKUP($A:$A,CS!$A:$AK,26,FALSE),"")</f>
      </c>
      <c r="S484" s="54">
        <f>IFERROR(VLOOKUP($A:$A,CS!$A:$AK,29,FALSE),"")</f>
      </c>
      <c r="T484" s="54">
        <f>IFERROR(VLOOKUP($A:$A,CS!$A:$AK,33,FALSE),"")</f>
      </c>
      <c r="U484" s="54">
        <f>IFERROR(VLOOKUP($A:$A,CS!$A:$AK,34,FALSE),"")</f>
      </c>
      <c r="V484" s="54">
        <f>IFERROR(VLOOKUP($A:$A,CS!$A:$AK,35,FALSE),"")</f>
      </c>
      <c r="W484" s="54">
        <f>IFERROR(VLOOKUP($A:$A,CS!$A:$AK,36,FALSE),"")</f>
      </c>
    </row>
    <row r="485" ht="16.5" customHeight="1" spans="1:23" x14ac:dyDescent="0.25">
      <c r="A485" s="68"/>
      <c r="B485" s="54">
        <f>IFERROR(VLOOKUP($A:$A,CS!$A:$AK,3,FALSE),"")</f>
      </c>
      <c r="C485" s="54">
        <f>IFERROR(VLOOKUP($A:$A,CS!$A:$AK,4,FALSE),"")</f>
      </c>
      <c r="D485" s="54">
        <f>IFERROR(VLOOKUP($A:$A,CS!$A:$AK,5,FALSE),"")</f>
      </c>
      <c r="E485" s="54">
        <f>IFERROR(VLOOKUP($A:$A,CS!$A:$AK,7,FALSE),"")</f>
      </c>
      <c r="F485" s="54">
        <f>IFERROR(VLOOKUP($A:$A,CS!$A:$AK,8,FALSE),"")</f>
      </c>
      <c r="G485" s="54">
        <f>IFERROR(VLOOKUP($A:$A,CS!$A:$AK,10,FALSE),"")</f>
      </c>
      <c r="H485" s="54">
        <f>IFERROR(VLOOKUP($A:$A,CS!$A:$AK,14,FALSE),"")</f>
      </c>
      <c r="I485" s="54">
        <f>IFERROR(VLOOKUP($A:$A,CS!$A:$AK,15,FALSE),"")</f>
      </c>
      <c r="J485" s="54">
        <f>IFERROR(VLOOKUP($A:$A,CS!$A:$AK,18,FALSE),"")</f>
      </c>
      <c r="K485" s="54">
        <f>IFERROR(VLOOKUP($A:$A,CS!$A:$AK,19,FALSE),"")</f>
      </c>
      <c r="L485" s="54">
        <f>IFERROR(VLOOKUP($A:$A,CS!$A:$AK,20,FALSE),"")</f>
      </c>
      <c r="M485" s="54">
        <f>IFERROR(VLOOKUP($A:$A,CS!$A:$AK,22,FALSE),"")</f>
      </c>
      <c r="N485" s="54">
        <f>IFERROR(VLOOKUP($A:$A,CS!$A:$AK,19,FALSE),"")</f>
      </c>
      <c r="O485" s="54">
        <f>IFERROR(VLOOKUP($A:$A,CS!$A:$AK,23,FALSE),"")</f>
      </c>
      <c r="P485" s="54">
        <f>IFERROR(VLOOKUP($A:$A,CS!$A:$AK,24,FALSE),"")</f>
      </c>
      <c r="Q485" s="54">
        <f>IFERROR(VLOOKUP($A:$A,CS!$A:$AK,25,FALSE),"")</f>
      </c>
      <c r="R485" s="54">
        <f>IFERROR(VLOOKUP($A:$A,CS!$A:$AK,26,FALSE),"")</f>
      </c>
      <c r="S485" s="54">
        <f>IFERROR(VLOOKUP($A:$A,CS!$A:$AK,29,FALSE),"")</f>
      </c>
      <c r="T485" s="54">
        <f>IFERROR(VLOOKUP($A:$A,CS!$A:$AK,33,FALSE),"")</f>
      </c>
      <c r="U485" s="54">
        <f>IFERROR(VLOOKUP($A:$A,CS!$A:$AK,34,FALSE),"")</f>
      </c>
      <c r="V485" s="54">
        <f>IFERROR(VLOOKUP($A:$A,CS!$A:$AK,35,FALSE),"")</f>
      </c>
      <c r="W485" s="54">
        <f>IFERROR(VLOOKUP($A:$A,CS!$A:$AK,36,FALSE),"")</f>
      </c>
    </row>
    <row r="486" ht="16.5" customHeight="1" spans="1:23" x14ac:dyDescent="0.25">
      <c r="A486" s="68"/>
      <c r="B486" s="54">
        <f>IFERROR(VLOOKUP($A:$A,CS!$A:$AK,3,FALSE),"")</f>
      </c>
      <c r="C486" s="54">
        <f>IFERROR(VLOOKUP($A:$A,CS!$A:$AK,4,FALSE),"")</f>
      </c>
      <c r="D486" s="54">
        <f>IFERROR(VLOOKUP($A:$A,CS!$A:$AK,5,FALSE),"")</f>
      </c>
      <c r="E486" s="54">
        <f>IFERROR(VLOOKUP($A:$A,CS!$A:$AK,7,FALSE),"")</f>
      </c>
      <c r="F486" s="54">
        <f>IFERROR(VLOOKUP($A:$A,CS!$A:$AK,8,FALSE),"")</f>
      </c>
      <c r="G486" s="54">
        <f>IFERROR(VLOOKUP($A:$A,CS!$A:$AK,10,FALSE),"")</f>
      </c>
      <c r="H486" s="54">
        <f>IFERROR(VLOOKUP($A:$A,CS!$A:$AK,14,FALSE),"")</f>
      </c>
      <c r="I486" s="54">
        <f>IFERROR(VLOOKUP($A:$A,CS!$A:$AK,15,FALSE),"")</f>
      </c>
      <c r="J486" s="54">
        <f>IFERROR(VLOOKUP($A:$A,CS!$A:$AK,18,FALSE),"")</f>
      </c>
      <c r="K486" s="54">
        <f>IFERROR(VLOOKUP($A:$A,CS!$A:$AK,19,FALSE),"")</f>
      </c>
      <c r="L486" s="54">
        <f>IFERROR(VLOOKUP($A:$A,CS!$A:$AK,20,FALSE),"")</f>
      </c>
      <c r="M486" s="54">
        <f>IFERROR(VLOOKUP($A:$A,CS!$A:$AK,22,FALSE),"")</f>
      </c>
      <c r="N486" s="54">
        <f>IFERROR(VLOOKUP($A:$A,CS!$A:$AK,19,FALSE),"")</f>
      </c>
      <c r="O486" s="54">
        <f>IFERROR(VLOOKUP($A:$A,CS!$A:$AK,23,FALSE),"")</f>
      </c>
      <c r="P486" s="54">
        <f>IFERROR(VLOOKUP($A:$A,CS!$A:$AK,24,FALSE),"")</f>
      </c>
      <c r="Q486" s="54">
        <f>IFERROR(VLOOKUP($A:$A,CS!$A:$AK,25,FALSE),"")</f>
      </c>
      <c r="R486" s="54">
        <f>IFERROR(VLOOKUP($A:$A,CS!$A:$AK,26,FALSE),"")</f>
      </c>
      <c r="S486" s="54">
        <f>IFERROR(VLOOKUP($A:$A,CS!$A:$AK,29,FALSE),"")</f>
      </c>
      <c r="T486" s="54">
        <f>IFERROR(VLOOKUP($A:$A,CS!$A:$AK,33,FALSE),"")</f>
      </c>
      <c r="U486" s="54">
        <f>IFERROR(VLOOKUP($A:$A,CS!$A:$AK,34,FALSE),"")</f>
      </c>
      <c r="V486" s="54">
        <f>IFERROR(VLOOKUP($A:$A,CS!$A:$AK,35,FALSE),"")</f>
      </c>
      <c r="W486" s="54">
        <f>IFERROR(VLOOKUP($A:$A,CS!$A:$AK,36,FALSE),"")</f>
      </c>
    </row>
    <row r="487" ht="16.5" customHeight="1" spans="1:23" x14ac:dyDescent="0.25">
      <c r="A487" s="68"/>
      <c r="B487" s="54">
        <f>IFERROR(VLOOKUP($A:$A,CS!$A:$AK,3,FALSE),"")</f>
      </c>
      <c r="C487" s="54">
        <f>IFERROR(VLOOKUP($A:$A,CS!$A:$AK,4,FALSE),"")</f>
      </c>
      <c r="D487" s="54">
        <f>IFERROR(VLOOKUP($A:$A,CS!$A:$AK,5,FALSE),"")</f>
      </c>
      <c r="E487" s="54">
        <f>IFERROR(VLOOKUP($A:$A,CS!$A:$AK,7,FALSE),"")</f>
      </c>
      <c r="F487" s="54">
        <f>IFERROR(VLOOKUP($A:$A,CS!$A:$AK,8,FALSE),"")</f>
      </c>
      <c r="G487" s="54">
        <f>IFERROR(VLOOKUP($A:$A,CS!$A:$AK,10,FALSE),"")</f>
      </c>
      <c r="H487" s="54">
        <f>IFERROR(VLOOKUP($A:$A,CS!$A:$AK,14,FALSE),"")</f>
      </c>
      <c r="I487" s="54">
        <f>IFERROR(VLOOKUP($A:$A,CS!$A:$AK,15,FALSE),"")</f>
      </c>
      <c r="J487" s="54">
        <f>IFERROR(VLOOKUP($A:$A,CS!$A:$AK,18,FALSE),"")</f>
      </c>
      <c r="K487" s="54">
        <f>IFERROR(VLOOKUP($A:$A,CS!$A:$AK,19,FALSE),"")</f>
      </c>
      <c r="L487" s="54">
        <f>IFERROR(VLOOKUP($A:$A,CS!$A:$AK,20,FALSE),"")</f>
      </c>
      <c r="M487" s="54">
        <f>IFERROR(VLOOKUP($A:$A,CS!$A:$AK,22,FALSE),"")</f>
      </c>
      <c r="N487" s="54">
        <f>IFERROR(VLOOKUP($A:$A,CS!$A:$AK,19,FALSE),"")</f>
      </c>
      <c r="O487" s="54">
        <f>IFERROR(VLOOKUP($A:$A,CS!$A:$AK,23,FALSE),"")</f>
      </c>
      <c r="P487" s="54">
        <f>IFERROR(VLOOKUP($A:$A,CS!$A:$AK,24,FALSE),"")</f>
      </c>
      <c r="Q487" s="54">
        <f>IFERROR(VLOOKUP($A:$A,CS!$A:$AK,25,FALSE),"")</f>
      </c>
      <c r="R487" s="54">
        <f>IFERROR(VLOOKUP($A:$A,CS!$A:$AK,26,FALSE),"")</f>
      </c>
      <c r="S487" s="54">
        <f>IFERROR(VLOOKUP($A:$A,CS!$A:$AK,29,FALSE),"")</f>
      </c>
      <c r="T487" s="54">
        <f>IFERROR(VLOOKUP($A:$A,CS!$A:$AK,33,FALSE),"")</f>
      </c>
      <c r="U487" s="54">
        <f>IFERROR(VLOOKUP($A:$A,CS!$A:$AK,34,FALSE),"")</f>
      </c>
      <c r="V487" s="54">
        <f>IFERROR(VLOOKUP($A:$A,CS!$A:$AK,35,FALSE),"")</f>
      </c>
      <c r="W487" s="54">
        <f>IFERROR(VLOOKUP($A:$A,CS!$A:$AK,36,FALSE),"")</f>
      </c>
    </row>
    <row r="488" ht="16.5" customHeight="1" spans="1:23" x14ac:dyDescent="0.25">
      <c r="A488" s="68"/>
      <c r="B488" s="54">
        <f>IFERROR(VLOOKUP($A:$A,CS!$A:$AK,3,FALSE),"")</f>
      </c>
      <c r="C488" s="54">
        <f>IFERROR(VLOOKUP($A:$A,CS!$A:$AK,4,FALSE),"")</f>
      </c>
      <c r="D488" s="54">
        <f>IFERROR(VLOOKUP($A:$A,CS!$A:$AK,5,FALSE),"")</f>
      </c>
      <c r="E488" s="54">
        <f>IFERROR(VLOOKUP($A:$A,CS!$A:$AK,7,FALSE),"")</f>
      </c>
      <c r="F488" s="54">
        <f>IFERROR(VLOOKUP($A:$A,CS!$A:$AK,8,FALSE),"")</f>
      </c>
      <c r="G488" s="54">
        <f>IFERROR(VLOOKUP($A:$A,CS!$A:$AK,10,FALSE),"")</f>
      </c>
      <c r="H488" s="54">
        <f>IFERROR(VLOOKUP($A:$A,CS!$A:$AK,14,FALSE),"")</f>
      </c>
      <c r="I488" s="54">
        <f>IFERROR(VLOOKUP($A:$A,CS!$A:$AK,15,FALSE),"")</f>
      </c>
      <c r="J488" s="54">
        <f>IFERROR(VLOOKUP($A:$A,CS!$A:$AK,18,FALSE),"")</f>
      </c>
      <c r="K488" s="54">
        <f>IFERROR(VLOOKUP($A:$A,CS!$A:$AK,19,FALSE),"")</f>
      </c>
      <c r="L488" s="54">
        <f>IFERROR(VLOOKUP($A:$A,CS!$A:$AK,20,FALSE),"")</f>
      </c>
      <c r="M488" s="54">
        <f>IFERROR(VLOOKUP($A:$A,CS!$A:$AK,22,FALSE),"")</f>
      </c>
      <c r="N488" s="54">
        <f>IFERROR(VLOOKUP($A:$A,CS!$A:$AK,19,FALSE),"")</f>
      </c>
      <c r="O488" s="54">
        <f>IFERROR(VLOOKUP($A:$A,CS!$A:$AK,23,FALSE),"")</f>
      </c>
      <c r="P488" s="54">
        <f>IFERROR(VLOOKUP($A:$A,CS!$A:$AK,24,FALSE),"")</f>
      </c>
      <c r="Q488" s="54">
        <f>IFERROR(VLOOKUP($A:$A,CS!$A:$AK,25,FALSE),"")</f>
      </c>
      <c r="R488" s="54">
        <f>IFERROR(VLOOKUP($A:$A,CS!$A:$AK,26,FALSE),"")</f>
      </c>
      <c r="S488" s="54">
        <f>IFERROR(VLOOKUP($A:$A,CS!$A:$AK,29,FALSE),"")</f>
      </c>
      <c r="T488" s="54">
        <f>IFERROR(VLOOKUP($A:$A,CS!$A:$AK,33,FALSE),"")</f>
      </c>
      <c r="U488" s="54">
        <f>IFERROR(VLOOKUP($A:$A,CS!$A:$AK,34,FALSE),"")</f>
      </c>
      <c r="V488" s="54">
        <f>IFERROR(VLOOKUP($A:$A,CS!$A:$AK,35,FALSE),"")</f>
      </c>
      <c r="W488" s="54">
        <f>IFERROR(VLOOKUP($A:$A,CS!$A:$AK,36,FALSE),"")</f>
      </c>
    </row>
    <row r="489" ht="16.5" customHeight="1" spans="1:23" x14ac:dyDescent="0.25">
      <c r="A489" s="68"/>
      <c r="B489" s="54">
        <f>IFERROR(VLOOKUP($A:$A,CS!$A:$AK,3,FALSE),"")</f>
      </c>
      <c r="C489" s="54">
        <f>IFERROR(VLOOKUP($A:$A,CS!$A:$AK,4,FALSE),"")</f>
      </c>
      <c r="D489" s="54">
        <f>IFERROR(VLOOKUP($A:$A,CS!$A:$AK,5,FALSE),"")</f>
      </c>
      <c r="E489" s="54">
        <f>IFERROR(VLOOKUP($A:$A,CS!$A:$AK,7,FALSE),"")</f>
      </c>
      <c r="F489" s="54">
        <f>IFERROR(VLOOKUP($A:$A,CS!$A:$AK,8,FALSE),"")</f>
      </c>
      <c r="G489" s="54">
        <f>IFERROR(VLOOKUP($A:$A,CS!$A:$AK,10,FALSE),"")</f>
      </c>
      <c r="H489" s="54">
        <f>IFERROR(VLOOKUP($A:$A,CS!$A:$AK,14,FALSE),"")</f>
      </c>
      <c r="I489" s="54">
        <f>IFERROR(VLOOKUP($A:$A,CS!$A:$AK,15,FALSE),"")</f>
      </c>
      <c r="J489" s="54">
        <f>IFERROR(VLOOKUP($A:$A,CS!$A:$AK,18,FALSE),"")</f>
      </c>
      <c r="K489" s="54">
        <f>IFERROR(VLOOKUP($A:$A,CS!$A:$AK,19,FALSE),"")</f>
      </c>
      <c r="L489" s="54">
        <f>IFERROR(VLOOKUP($A:$A,CS!$A:$AK,20,FALSE),"")</f>
      </c>
      <c r="M489" s="54">
        <f>IFERROR(VLOOKUP($A:$A,CS!$A:$AK,22,FALSE),"")</f>
      </c>
      <c r="N489" s="54">
        <f>IFERROR(VLOOKUP($A:$A,CS!$A:$AK,19,FALSE),"")</f>
      </c>
      <c r="O489" s="54">
        <f>IFERROR(VLOOKUP($A:$A,CS!$A:$AK,23,FALSE),"")</f>
      </c>
      <c r="P489" s="54">
        <f>IFERROR(VLOOKUP($A:$A,CS!$A:$AK,24,FALSE),"")</f>
      </c>
      <c r="Q489" s="54">
        <f>IFERROR(VLOOKUP($A:$A,CS!$A:$AK,25,FALSE),"")</f>
      </c>
      <c r="R489" s="54">
        <f>IFERROR(VLOOKUP($A:$A,CS!$A:$AK,26,FALSE),"")</f>
      </c>
      <c r="S489" s="54">
        <f>IFERROR(VLOOKUP($A:$A,CS!$A:$AK,29,FALSE),"")</f>
      </c>
      <c r="T489" s="54">
        <f>IFERROR(VLOOKUP($A:$A,CS!$A:$AK,33,FALSE),"")</f>
      </c>
      <c r="U489" s="54">
        <f>IFERROR(VLOOKUP($A:$A,CS!$A:$AK,34,FALSE),"")</f>
      </c>
      <c r="V489" s="54">
        <f>IFERROR(VLOOKUP($A:$A,CS!$A:$AK,35,FALSE),"")</f>
      </c>
      <c r="W489" s="54">
        <f>IFERROR(VLOOKUP($A:$A,CS!$A:$AK,36,FALSE),"")</f>
      </c>
    </row>
    <row r="490" ht="16.5" customHeight="1" spans="1:23" x14ac:dyDescent="0.25">
      <c r="A490" s="68"/>
      <c r="B490" s="54">
        <f>IFERROR(VLOOKUP($A:$A,CS!$A:$AK,3,FALSE),"")</f>
      </c>
      <c r="C490" s="54">
        <f>IFERROR(VLOOKUP($A:$A,CS!$A:$AK,4,FALSE),"")</f>
      </c>
      <c r="D490" s="54">
        <f>IFERROR(VLOOKUP($A:$A,CS!$A:$AK,5,FALSE),"")</f>
      </c>
      <c r="E490" s="54">
        <f>IFERROR(VLOOKUP($A:$A,CS!$A:$AK,7,FALSE),"")</f>
      </c>
      <c r="F490" s="54">
        <f>IFERROR(VLOOKUP($A:$A,CS!$A:$AK,8,FALSE),"")</f>
      </c>
      <c r="G490" s="54">
        <f>IFERROR(VLOOKUP($A:$A,CS!$A:$AK,10,FALSE),"")</f>
      </c>
      <c r="H490" s="54">
        <f>IFERROR(VLOOKUP($A:$A,CS!$A:$AK,14,FALSE),"")</f>
      </c>
      <c r="I490" s="54">
        <f>IFERROR(VLOOKUP($A:$A,CS!$A:$AK,15,FALSE),"")</f>
      </c>
      <c r="J490" s="54">
        <f>IFERROR(VLOOKUP($A:$A,CS!$A:$AK,18,FALSE),"")</f>
      </c>
      <c r="K490" s="54">
        <f>IFERROR(VLOOKUP($A:$A,CS!$A:$AK,19,FALSE),"")</f>
      </c>
      <c r="L490" s="54">
        <f>IFERROR(VLOOKUP($A:$A,CS!$A:$AK,20,FALSE),"")</f>
      </c>
      <c r="M490" s="54">
        <f>IFERROR(VLOOKUP($A:$A,CS!$A:$AK,22,FALSE),"")</f>
      </c>
      <c r="N490" s="54">
        <f>IFERROR(VLOOKUP($A:$A,CS!$A:$AK,19,FALSE),"")</f>
      </c>
      <c r="O490" s="54">
        <f>IFERROR(VLOOKUP($A:$A,CS!$A:$AK,23,FALSE),"")</f>
      </c>
      <c r="P490" s="54">
        <f>IFERROR(VLOOKUP($A:$A,CS!$A:$AK,24,FALSE),"")</f>
      </c>
      <c r="Q490" s="54">
        <f>IFERROR(VLOOKUP($A:$A,CS!$A:$AK,25,FALSE),"")</f>
      </c>
      <c r="R490" s="54">
        <f>IFERROR(VLOOKUP($A:$A,CS!$A:$AK,26,FALSE),"")</f>
      </c>
      <c r="S490" s="54">
        <f>IFERROR(VLOOKUP($A:$A,CS!$A:$AK,29,FALSE),"")</f>
      </c>
      <c r="T490" s="54">
        <f>IFERROR(VLOOKUP($A:$A,CS!$A:$AK,33,FALSE),"")</f>
      </c>
      <c r="U490" s="54">
        <f>IFERROR(VLOOKUP($A:$A,CS!$A:$AK,34,FALSE),"")</f>
      </c>
      <c r="V490" s="54">
        <f>IFERROR(VLOOKUP($A:$A,CS!$A:$AK,35,FALSE),"")</f>
      </c>
      <c r="W490" s="54">
        <f>IFERROR(VLOOKUP($A:$A,CS!$A:$AK,36,FALSE),"")</f>
      </c>
    </row>
    <row r="491" ht="16.5" customHeight="1" spans="1:23" x14ac:dyDescent="0.25">
      <c r="A491" s="68"/>
      <c r="B491" s="54">
        <f>IFERROR(VLOOKUP($A:$A,CS!$A:$AK,3,FALSE),"")</f>
      </c>
      <c r="C491" s="54">
        <f>IFERROR(VLOOKUP($A:$A,CS!$A:$AK,4,FALSE),"")</f>
      </c>
      <c r="D491" s="54">
        <f>IFERROR(VLOOKUP($A:$A,CS!$A:$AK,5,FALSE),"")</f>
      </c>
      <c r="E491" s="54">
        <f>IFERROR(VLOOKUP($A:$A,CS!$A:$AK,7,FALSE),"")</f>
      </c>
      <c r="F491" s="54">
        <f>IFERROR(VLOOKUP($A:$A,CS!$A:$AK,8,FALSE),"")</f>
      </c>
      <c r="G491" s="54">
        <f>IFERROR(VLOOKUP($A:$A,CS!$A:$AK,10,FALSE),"")</f>
      </c>
      <c r="H491" s="54">
        <f>IFERROR(VLOOKUP($A:$A,CS!$A:$AK,14,FALSE),"")</f>
      </c>
      <c r="I491" s="54">
        <f>IFERROR(VLOOKUP($A:$A,CS!$A:$AK,15,FALSE),"")</f>
      </c>
      <c r="J491" s="54">
        <f>IFERROR(VLOOKUP($A:$A,CS!$A:$AK,18,FALSE),"")</f>
      </c>
      <c r="K491" s="54">
        <f>IFERROR(VLOOKUP($A:$A,CS!$A:$AK,19,FALSE),"")</f>
      </c>
      <c r="L491" s="54">
        <f>IFERROR(VLOOKUP($A:$A,CS!$A:$AK,20,FALSE),"")</f>
      </c>
      <c r="M491" s="54">
        <f>IFERROR(VLOOKUP($A:$A,CS!$A:$AK,22,FALSE),"")</f>
      </c>
      <c r="N491" s="54">
        <f>IFERROR(VLOOKUP($A:$A,CS!$A:$AK,19,FALSE),"")</f>
      </c>
      <c r="O491" s="54">
        <f>IFERROR(VLOOKUP($A:$A,CS!$A:$AK,23,FALSE),"")</f>
      </c>
      <c r="P491" s="54">
        <f>IFERROR(VLOOKUP($A:$A,CS!$A:$AK,24,FALSE),"")</f>
      </c>
      <c r="Q491" s="54">
        <f>IFERROR(VLOOKUP($A:$A,CS!$A:$AK,25,FALSE),"")</f>
      </c>
      <c r="R491" s="54">
        <f>IFERROR(VLOOKUP($A:$A,CS!$A:$AK,26,FALSE),"")</f>
      </c>
      <c r="S491" s="54">
        <f>IFERROR(VLOOKUP($A:$A,CS!$A:$AK,29,FALSE),"")</f>
      </c>
      <c r="T491" s="54">
        <f>IFERROR(VLOOKUP($A:$A,CS!$A:$AK,33,FALSE),"")</f>
      </c>
      <c r="U491" s="54">
        <f>IFERROR(VLOOKUP($A:$A,CS!$A:$AK,34,FALSE),"")</f>
      </c>
      <c r="V491" s="54">
        <f>IFERROR(VLOOKUP($A:$A,CS!$A:$AK,35,FALSE),"")</f>
      </c>
      <c r="W491" s="54">
        <f>IFERROR(VLOOKUP($A:$A,CS!$A:$AK,36,FALSE),"")</f>
      </c>
    </row>
    <row r="492" ht="16.5" customHeight="1" spans="1:23" x14ac:dyDescent="0.25">
      <c r="A492" s="68"/>
      <c r="B492" s="54">
        <f>IFERROR(VLOOKUP($A:$A,CS!$A:$AK,3,FALSE),"")</f>
      </c>
      <c r="C492" s="54">
        <f>IFERROR(VLOOKUP($A:$A,CS!$A:$AK,4,FALSE),"")</f>
      </c>
      <c r="D492" s="54">
        <f>IFERROR(VLOOKUP($A:$A,CS!$A:$AK,5,FALSE),"")</f>
      </c>
      <c r="E492" s="54">
        <f>IFERROR(VLOOKUP($A:$A,CS!$A:$AK,7,FALSE),"")</f>
      </c>
      <c r="F492" s="54">
        <f>IFERROR(VLOOKUP($A:$A,CS!$A:$AK,8,FALSE),"")</f>
      </c>
      <c r="G492" s="54">
        <f>IFERROR(VLOOKUP($A:$A,CS!$A:$AK,10,FALSE),"")</f>
      </c>
      <c r="H492" s="54">
        <f>IFERROR(VLOOKUP($A:$A,CS!$A:$AK,14,FALSE),"")</f>
      </c>
      <c r="I492" s="54">
        <f>IFERROR(VLOOKUP($A:$A,CS!$A:$AK,15,FALSE),"")</f>
      </c>
      <c r="J492" s="54">
        <f>IFERROR(VLOOKUP($A:$A,CS!$A:$AK,18,FALSE),"")</f>
      </c>
      <c r="K492" s="54">
        <f>IFERROR(VLOOKUP($A:$A,CS!$A:$AK,19,FALSE),"")</f>
      </c>
      <c r="L492" s="54">
        <f>IFERROR(VLOOKUP($A:$A,CS!$A:$AK,20,FALSE),"")</f>
      </c>
      <c r="M492" s="54">
        <f>IFERROR(VLOOKUP($A:$A,CS!$A:$AK,22,FALSE),"")</f>
      </c>
      <c r="N492" s="54">
        <f>IFERROR(VLOOKUP($A:$A,CS!$A:$AK,19,FALSE),"")</f>
      </c>
      <c r="O492" s="54">
        <f>IFERROR(VLOOKUP($A:$A,CS!$A:$AK,23,FALSE),"")</f>
      </c>
      <c r="P492" s="54">
        <f>IFERROR(VLOOKUP($A:$A,CS!$A:$AK,24,FALSE),"")</f>
      </c>
      <c r="Q492" s="54">
        <f>IFERROR(VLOOKUP($A:$A,CS!$A:$AK,25,FALSE),"")</f>
      </c>
      <c r="R492" s="54">
        <f>IFERROR(VLOOKUP($A:$A,CS!$A:$AK,26,FALSE),"")</f>
      </c>
      <c r="S492" s="54">
        <f>IFERROR(VLOOKUP($A:$A,CS!$A:$AK,29,FALSE),"")</f>
      </c>
      <c r="T492" s="54">
        <f>IFERROR(VLOOKUP($A:$A,CS!$A:$AK,33,FALSE),"")</f>
      </c>
      <c r="U492" s="54">
        <f>IFERROR(VLOOKUP($A:$A,CS!$A:$AK,34,FALSE),"")</f>
      </c>
      <c r="V492" s="54">
        <f>IFERROR(VLOOKUP($A:$A,CS!$A:$AK,35,FALSE),"")</f>
      </c>
      <c r="W492" s="54">
        <f>IFERROR(VLOOKUP($A:$A,CS!$A:$AK,36,FALSE),"")</f>
      </c>
    </row>
    <row r="493" ht="16.5" customHeight="1" spans="1:23" x14ac:dyDescent="0.25">
      <c r="A493" s="68"/>
      <c r="B493" s="54">
        <f>IFERROR(VLOOKUP($A:$A,CS!$A:$AK,3,FALSE),"")</f>
      </c>
      <c r="C493" s="54">
        <f>IFERROR(VLOOKUP($A:$A,CS!$A:$AK,4,FALSE),"")</f>
      </c>
      <c r="D493" s="54">
        <f>IFERROR(VLOOKUP($A:$A,CS!$A:$AK,5,FALSE),"")</f>
      </c>
      <c r="E493" s="54">
        <f>IFERROR(VLOOKUP($A:$A,CS!$A:$AK,7,FALSE),"")</f>
      </c>
      <c r="F493" s="54">
        <f>IFERROR(VLOOKUP($A:$A,CS!$A:$AK,8,FALSE),"")</f>
      </c>
      <c r="G493" s="54">
        <f>IFERROR(VLOOKUP($A:$A,CS!$A:$AK,10,FALSE),"")</f>
      </c>
      <c r="H493" s="54">
        <f>IFERROR(VLOOKUP($A:$A,CS!$A:$AK,14,FALSE),"")</f>
      </c>
      <c r="I493" s="54">
        <f>IFERROR(VLOOKUP($A:$A,CS!$A:$AK,15,FALSE),"")</f>
      </c>
      <c r="J493" s="54">
        <f>IFERROR(VLOOKUP($A:$A,CS!$A:$AK,18,FALSE),"")</f>
      </c>
      <c r="K493" s="54">
        <f>IFERROR(VLOOKUP($A:$A,CS!$A:$AK,19,FALSE),"")</f>
      </c>
      <c r="L493" s="54">
        <f>IFERROR(VLOOKUP($A:$A,CS!$A:$AK,20,FALSE),"")</f>
      </c>
      <c r="M493" s="54">
        <f>IFERROR(VLOOKUP($A:$A,CS!$A:$AK,22,FALSE),"")</f>
      </c>
      <c r="N493" s="54">
        <f>IFERROR(VLOOKUP($A:$A,CS!$A:$AK,19,FALSE),"")</f>
      </c>
      <c r="O493" s="54">
        <f>IFERROR(VLOOKUP($A:$A,CS!$A:$AK,23,FALSE),"")</f>
      </c>
      <c r="P493" s="54">
        <f>IFERROR(VLOOKUP($A:$A,CS!$A:$AK,24,FALSE),"")</f>
      </c>
      <c r="Q493" s="54">
        <f>IFERROR(VLOOKUP($A:$A,CS!$A:$AK,25,FALSE),"")</f>
      </c>
      <c r="R493" s="54">
        <f>IFERROR(VLOOKUP($A:$A,CS!$A:$AK,26,FALSE),"")</f>
      </c>
      <c r="S493" s="54">
        <f>IFERROR(VLOOKUP($A:$A,CS!$A:$AK,29,FALSE),"")</f>
      </c>
      <c r="T493" s="54">
        <f>IFERROR(VLOOKUP($A:$A,CS!$A:$AK,33,FALSE),"")</f>
      </c>
      <c r="U493" s="54">
        <f>IFERROR(VLOOKUP($A:$A,CS!$A:$AK,34,FALSE),"")</f>
      </c>
      <c r="V493" s="54">
        <f>IFERROR(VLOOKUP($A:$A,CS!$A:$AK,35,FALSE),"")</f>
      </c>
      <c r="W493" s="54">
        <f>IFERROR(VLOOKUP($A:$A,CS!$A:$AK,36,FALSE),"")</f>
      </c>
    </row>
    <row r="494" ht="16.5" customHeight="1" spans="1:23" x14ac:dyDescent="0.25">
      <c r="A494" s="68"/>
      <c r="B494" s="54">
        <f>IFERROR(VLOOKUP($A:$A,CS!$A:$AK,3,FALSE),"")</f>
      </c>
      <c r="C494" s="54">
        <f>IFERROR(VLOOKUP($A:$A,CS!$A:$AK,4,FALSE),"")</f>
      </c>
      <c r="D494" s="54">
        <f>IFERROR(VLOOKUP($A:$A,CS!$A:$AK,5,FALSE),"")</f>
      </c>
      <c r="E494" s="54">
        <f>IFERROR(VLOOKUP($A:$A,CS!$A:$AK,7,FALSE),"")</f>
      </c>
      <c r="F494" s="54">
        <f>IFERROR(VLOOKUP($A:$A,CS!$A:$AK,8,FALSE),"")</f>
      </c>
      <c r="G494" s="54">
        <f>IFERROR(VLOOKUP($A:$A,CS!$A:$AK,10,FALSE),"")</f>
      </c>
      <c r="H494" s="54">
        <f>IFERROR(VLOOKUP($A:$A,CS!$A:$AK,14,FALSE),"")</f>
      </c>
      <c r="I494" s="54">
        <f>IFERROR(VLOOKUP($A:$A,CS!$A:$AK,15,FALSE),"")</f>
      </c>
      <c r="J494" s="54">
        <f>IFERROR(VLOOKUP($A:$A,CS!$A:$AK,18,FALSE),"")</f>
      </c>
      <c r="K494" s="54">
        <f>IFERROR(VLOOKUP($A:$A,CS!$A:$AK,19,FALSE),"")</f>
      </c>
      <c r="L494" s="54">
        <f>IFERROR(VLOOKUP($A:$A,CS!$A:$AK,20,FALSE),"")</f>
      </c>
      <c r="M494" s="54">
        <f>IFERROR(VLOOKUP($A:$A,CS!$A:$AK,22,FALSE),"")</f>
      </c>
      <c r="N494" s="54">
        <f>IFERROR(VLOOKUP($A:$A,CS!$A:$AK,19,FALSE),"")</f>
      </c>
      <c r="O494" s="54">
        <f>IFERROR(VLOOKUP($A:$A,CS!$A:$AK,23,FALSE),"")</f>
      </c>
      <c r="P494" s="54">
        <f>IFERROR(VLOOKUP($A:$A,CS!$A:$AK,24,FALSE),"")</f>
      </c>
      <c r="Q494" s="54">
        <f>IFERROR(VLOOKUP($A:$A,CS!$A:$AK,25,FALSE),"")</f>
      </c>
      <c r="R494" s="54">
        <f>IFERROR(VLOOKUP($A:$A,CS!$A:$AK,26,FALSE),"")</f>
      </c>
      <c r="S494" s="54">
        <f>IFERROR(VLOOKUP($A:$A,CS!$A:$AK,29,FALSE),"")</f>
      </c>
      <c r="T494" s="54">
        <f>IFERROR(VLOOKUP($A:$A,CS!$A:$AK,33,FALSE),"")</f>
      </c>
      <c r="U494" s="54">
        <f>IFERROR(VLOOKUP($A:$A,CS!$A:$AK,34,FALSE),"")</f>
      </c>
      <c r="V494" s="54">
        <f>IFERROR(VLOOKUP($A:$A,CS!$A:$AK,35,FALSE),"")</f>
      </c>
      <c r="W494" s="54">
        <f>IFERROR(VLOOKUP($A:$A,CS!$A:$AK,36,FALSE),"")</f>
      </c>
    </row>
    <row r="495" ht="16.5" customHeight="1" spans="1:23" x14ac:dyDescent="0.25">
      <c r="A495" s="68"/>
      <c r="B495" s="54">
        <f>IFERROR(VLOOKUP($A:$A,CS!$A:$AK,3,FALSE),"")</f>
      </c>
      <c r="C495" s="54">
        <f>IFERROR(VLOOKUP($A:$A,CS!$A:$AK,4,FALSE),"")</f>
      </c>
      <c r="D495" s="54">
        <f>IFERROR(VLOOKUP($A:$A,CS!$A:$AK,5,FALSE),"")</f>
      </c>
      <c r="E495" s="54">
        <f>IFERROR(VLOOKUP($A:$A,CS!$A:$AK,7,FALSE),"")</f>
      </c>
      <c r="F495" s="54">
        <f>IFERROR(VLOOKUP($A:$A,CS!$A:$AK,8,FALSE),"")</f>
      </c>
      <c r="G495" s="54">
        <f>IFERROR(VLOOKUP($A:$A,CS!$A:$AK,10,FALSE),"")</f>
      </c>
      <c r="H495" s="54">
        <f>IFERROR(VLOOKUP($A:$A,CS!$A:$AK,14,FALSE),"")</f>
      </c>
      <c r="I495" s="54">
        <f>IFERROR(VLOOKUP($A:$A,CS!$A:$AK,15,FALSE),"")</f>
      </c>
      <c r="J495" s="54">
        <f>IFERROR(VLOOKUP($A:$A,CS!$A:$AK,18,FALSE),"")</f>
      </c>
      <c r="K495" s="54">
        <f>IFERROR(VLOOKUP($A:$A,CS!$A:$AK,19,FALSE),"")</f>
      </c>
      <c r="L495" s="54">
        <f>IFERROR(VLOOKUP($A:$A,CS!$A:$AK,20,FALSE),"")</f>
      </c>
      <c r="M495" s="54">
        <f>IFERROR(VLOOKUP($A:$A,CS!$A:$AK,22,FALSE),"")</f>
      </c>
      <c r="N495" s="54">
        <f>IFERROR(VLOOKUP($A:$A,CS!$A:$AK,19,FALSE),"")</f>
      </c>
      <c r="O495" s="54">
        <f>IFERROR(VLOOKUP($A:$A,CS!$A:$AK,23,FALSE),"")</f>
      </c>
      <c r="P495" s="54">
        <f>IFERROR(VLOOKUP($A:$A,CS!$A:$AK,24,FALSE),"")</f>
      </c>
      <c r="Q495" s="54">
        <f>IFERROR(VLOOKUP($A:$A,CS!$A:$AK,25,FALSE),"")</f>
      </c>
      <c r="R495" s="54">
        <f>IFERROR(VLOOKUP($A:$A,CS!$A:$AK,26,FALSE),"")</f>
      </c>
      <c r="S495" s="54">
        <f>IFERROR(VLOOKUP($A:$A,CS!$A:$AK,29,FALSE),"")</f>
      </c>
      <c r="T495" s="54">
        <f>IFERROR(VLOOKUP($A:$A,CS!$A:$AK,33,FALSE),"")</f>
      </c>
      <c r="U495" s="54">
        <f>IFERROR(VLOOKUP($A:$A,CS!$A:$AK,34,FALSE),"")</f>
      </c>
      <c r="V495" s="54">
        <f>IFERROR(VLOOKUP($A:$A,CS!$A:$AK,35,FALSE),"")</f>
      </c>
      <c r="W495" s="54">
        <f>IFERROR(VLOOKUP($A:$A,CS!$A:$AK,36,FALSE),"")</f>
      </c>
    </row>
    <row r="496" ht="16.5" customHeight="1" spans="1:23" x14ac:dyDescent="0.25">
      <c r="A496" s="68"/>
      <c r="B496" s="54">
        <f>IFERROR(VLOOKUP($A:$A,CS!$A:$AK,3,FALSE),"")</f>
      </c>
      <c r="C496" s="54">
        <f>IFERROR(VLOOKUP($A:$A,CS!$A:$AK,4,FALSE),"")</f>
      </c>
      <c r="D496" s="54">
        <f>IFERROR(VLOOKUP($A:$A,CS!$A:$AK,5,FALSE),"")</f>
      </c>
      <c r="E496" s="54">
        <f>IFERROR(VLOOKUP($A:$A,CS!$A:$AK,7,FALSE),"")</f>
      </c>
      <c r="F496" s="54">
        <f>IFERROR(VLOOKUP($A:$A,CS!$A:$AK,8,FALSE),"")</f>
      </c>
      <c r="G496" s="54">
        <f>IFERROR(VLOOKUP($A:$A,CS!$A:$AK,10,FALSE),"")</f>
      </c>
      <c r="H496" s="54">
        <f>IFERROR(VLOOKUP($A:$A,CS!$A:$AK,14,FALSE),"")</f>
      </c>
      <c r="I496" s="54">
        <f>IFERROR(VLOOKUP($A:$A,CS!$A:$AK,15,FALSE),"")</f>
      </c>
      <c r="J496" s="54">
        <f>IFERROR(VLOOKUP($A:$A,CS!$A:$AK,18,FALSE),"")</f>
      </c>
      <c r="K496" s="54">
        <f>IFERROR(VLOOKUP($A:$A,CS!$A:$AK,19,FALSE),"")</f>
      </c>
      <c r="L496" s="54">
        <f>IFERROR(VLOOKUP($A:$A,CS!$A:$AK,20,FALSE),"")</f>
      </c>
      <c r="M496" s="54">
        <f>IFERROR(VLOOKUP($A:$A,CS!$A:$AK,22,FALSE),"")</f>
      </c>
      <c r="N496" s="54">
        <f>IFERROR(VLOOKUP($A:$A,CS!$A:$AK,19,FALSE),"")</f>
      </c>
      <c r="O496" s="54">
        <f>IFERROR(VLOOKUP($A:$A,CS!$A:$AK,23,FALSE),"")</f>
      </c>
      <c r="P496" s="54">
        <f>IFERROR(VLOOKUP($A:$A,CS!$A:$AK,24,FALSE),"")</f>
      </c>
      <c r="Q496" s="54">
        <f>IFERROR(VLOOKUP($A:$A,CS!$A:$AK,25,FALSE),"")</f>
      </c>
      <c r="R496" s="54">
        <f>IFERROR(VLOOKUP($A:$A,CS!$A:$AK,26,FALSE),"")</f>
      </c>
      <c r="S496" s="54">
        <f>IFERROR(VLOOKUP($A:$A,CS!$A:$AK,29,FALSE),"")</f>
      </c>
      <c r="T496" s="54">
        <f>IFERROR(VLOOKUP($A:$A,CS!$A:$AK,33,FALSE),"")</f>
      </c>
      <c r="U496" s="54">
        <f>IFERROR(VLOOKUP($A:$A,CS!$A:$AK,34,FALSE),"")</f>
      </c>
      <c r="V496" s="54">
        <f>IFERROR(VLOOKUP($A:$A,CS!$A:$AK,35,FALSE),"")</f>
      </c>
      <c r="W496" s="54">
        <f>IFERROR(VLOOKUP($A:$A,CS!$A:$AK,36,FALSE),"")</f>
      </c>
    </row>
    <row r="497" ht="16.5" customHeight="1" spans="1:23" x14ac:dyDescent="0.25">
      <c r="A497" s="68"/>
      <c r="B497" s="54">
        <f>IFERROR(VLOOKUP($A:$A,CS!$A:$AK,3,FALSE),"")</f>
      </c>
      <c r="C497" s="54">
        <f>IFERROR(VLOOKUP($A:$A,CS!$A:$AK,4,FALSE),"")</f>
      </c>
      <c r="D497" s="54">
        <f>IFERROR(VLOOKUP($A:$A,CS!$A:$AK,5,FALSE),"")</f>
      </c>
      <c r="E497" s="54">
        <f>IFERROR(VLOOKUP($A:$A,CS!$A:$AK,7,FALSE),"")</f>
      </c>
      <c r="F497" s="54">
        <f>IFERROR(VLOOKUP($A:$A,CS!$A:$AK,8,FALSE),"")</f>
      </c>
      <c r="G497" s="54">
        <f>IFERROR(VLOOKUP($A:$A,CS!$A:$AK,10,FALSE),"")</f>
      </c>
      <c r="H497" s="54">
        <f>IFERROR(VLOOKUP($A:$A,CS!$A:$AK,14,FALSE),"")</f>
      </c>
      <c r="I497" s="54">
        <f>IFERROR(VLOOKUP($A:$A,CS!$A:$AK,15,FALSE),"")</f>
      </c>
      <c r="J497" s="54">
        <f>IFERROR(VLOOKUP($A:$A,CS!$A:$AK,18,FALSE),"")</f>
      </c>
      <c r="K497" s="54">
        <f>IFERROR(VLOOKUP($A:$A,CS!$A:$AK,19,FALSE),"")</f>
      </c>
      <c r="L497" s="54">
        <f>IFERROR(VLOOKUP($A:$A,CS!$A:$AK,20,FALSE),"")</f>
      </c>
      <c r="M497" s="54">
        <f>IFERROR(VLOOKUP($A:$A,CS!$A:$AK,22,FALSE),"")</f>
      </c>
      <c r="N497" s="54">
        <f>IFERROR(VLOOKUP($A:$A,CS!$A:$AK,19,FALSE),"")</f>
      </c>
      <c r="O497" s="54">
        <f>IFERROR(VLOOKUP($A:$A,CS!$A:$AK,23,FALSE),"")</f>
      </c>
      <c r="P497" s="54">
        <f>IFERROR(VLOOKUP($A:$A,CS!$A:$AK,24,FALSE),"")</f>
      </c>
      <c r="Q497" s="54">
        <f>IFERROR(VLOOKUP($A:$A,CS!$A:$AK,25,FALSE),"")</f>
      </c>
      <c r="R497" s="54">
        <f>IFERROR(VLOOKUP($A:$A,CS!$A:$AK,26,FALSE),"")</f>
      </c>
      <c r="S497" s="54">
        <f>IFERROR(VLOOKUP($A:$A,CS!$A:$AK,29,FALSE),"")</f>
      </c>
      <c r="T497" s="54">
        <f>IFERROR(VLOOKUP($A:$A,CS!$A:$AK,33,FALSE),"")</f>
      </c>
      <c r="U497" s="54">
        <f>IFERROR(VLOOKUP($A:$A,CS!$A:$AK,34,FALSE),"")</f>
      </c>
      <c r="V497" s="54">
        <f>IFERROR(VLOOKUP($A:$A,CS!$A:$AK,35,FALSE),"")</f>
      </c>
      <c r="W497" s="54">
        <f>IFERROR(VLOOKUP($A:$A,CS!$A:$AK,36,FALSE),"")</f>
      </c>
    </row>
    <row r="498" ht="16.5" customHeight="1" spans="1:23" x14ac:dyDescent="0.25">
      <c r="A498" s="68"/>
      <c r="B498" s="54">
        <f>IFERROR(VLOOKUP($A:$A,CS!$A:$AK,3,FALSE),"")</f>
      </c>
      <c r="C498" s="54">
        <f>IFERROR(VLOOKUP($A:$A,CS!$A:$AK,4,FALSE),"")</f>
      </c>
      <c r="D498" s="54">
        <f>IFERROR(VLOOKUP($A:$A,CS!$A:$AK,5,FALSE),"")</f>
      </c>
      <c r="E498" s="54">
        <f>IFERROR(VLOOKUP($A:$A,CS!$A:$AK,7,FALSE),"")</f>
      </c>
      <c r="F498" s="54">
        <f>IFERROR(VLOOKUP($A:$A,CS!$A:$AK,8,FALSE),"")</f>
      </c>
      <c r="G498" s="54">
        <f>IFERROR(VLOOKUP($A:$A,CS!$A:$AK,10,FALSE),"")</f>
      </c>
      <c r="H498" s="54">
        <f>IFERROR(VLOOKUP($A:$A,CS!$A:$AK,14,FALSE),"")</f>
      </c>
      <c r="I498" s="54">
        <f>IFERROR(VLOOKUP($A:$A,CS!$A:$AK,15,FALSE),"")</f>
      </c>
      <c r="J498" s="54">
        <f>IFERROR(VLOOKUP($A:$A,CS!$A:$AK,18,FALSE),"")</f>
      </c>
      <c r="K498" s="54">
        <f>IFERROR(VLOOKUP($A:$A,CS!$A:$AK,19,FALSE),"")</f>
      </c>
      <c r="L498" s="54">
        <f>IFERROR(VLOOKUP($A:$A,CS!$A:$AK,20,FALSE),"")</f>
      </c>
      <c r="M498" s="54">
        <f>IFERROR(VLOOKUP($A:$A,CS!$A:$AK,22,FALSE),"")</f>
      </c>
      <c r="N498" s="54">
        <f>IFERROR(VLOOKUP($A:$A,CS!$A:$AK,19,FALSE),"")</f>
      </c>
      <c r="O498" s="54">
        <f>IFERROR(VLOOKUP($A:$A,CS!$A:$AK,23,FALSE),"")</f>
      </c>
      <c r="P498" s="54">
        <f>IFERROR(VLOOKUP($A:$A,CS!$A:$AK,24,FALSE),"")</f>
      </c>
      <c r="Q498" s="54">
        <f>IFERROR(VLOOKUP($A:$A,CS!$A:$AK,25,FALSE),"")</f>
      </c>
      <c r="R498" s="54">
        <f>IFERROR(VLOOKUP($A:$A,CS!$A:$AK,26,FALSE),"")</f>
      </c>
      <c r="S498" s="54">
        <f>IFERROR(VLOOKUP($A:$A,CS!$A:$AK,29,FALSE),"")</f>
      </c>
      <c r="T498" s="54">
        <f>IFERROR(VLOOKUP($A:$A,CS!$A:$AK,33,FALSE),"")</f>
      </c>
      <c r="U498" s="54">
        <f>IFERROR(VLOOKUP($A:$A,CS!$A:$AK,34,FALSE),"")</f>
      </c>
      <c r="V498" s="54">
        <f>IFERROR(VLOOKUP($A:$A,CS!$A:$AK,35,FALSE),"")</f>
      </c>
      <c r="W498" s="54">
        <f>IFERROR(VLOOKUP($A:$A,CS!$A:$AK,36,FALSE),"")</f>
      </c>
    </row>
    <row r="499" ht="16.5" customHeight="1" spans="1:23" x14ac:dyDescent="0.25">
      <c r="A499" s="68"/>
      <c r="B499" s="54">
        <f>IFERROR(VLOOKUP($A:$A,CS!$A:$AK,3,FALSE),"")</f>
      </c>
      <c r="C499" s="54">
        <f>IFERROR(VLOOKUP($A:$A,CS!$A:$AK,4,FALSE),"")</f>
      </c>
      <c r="D499" s="54">
        <f>IFERROR(VLOOKUP($A:$A,CS!$A:$AK,5,FALSE),"")</f>
      </c>
      <c r="E499" s="54">
        <f>IFERROR(VLOOKUP($A:$A,CS!$A:$AK,7,FALSE),"")</f>
      </c>
      <c r="F499" s="54">
        <f>IFERROR(VLOOKUP($A:$A,CS!$A:$AK,8,FALSE),"")</f>
      </c>
      <c r="G499" s="54">
        <f>IFERROR(VLOOKUP($A:$A,CS!$A:$AK,10,FALSE),"")</f>
      </c>
      <c r="H499" s="54">
        <f>IFERROR(VLOOKUP($A:$A,CS!$A:$AK,14,FALSE),"")</f>
      </c>
      <c r="I499" s="54">
        <f>IFERROR(VLOOKUP($A:$A,CS!$A:$AK,15,FALSE),"")</f>
      </c>
      <c r="J499" s="54">
        <f>IFERROR(VLOOKUP($A:$A,CS!$A:$AK,18,FALSE),"")</f>
      </c>
      <c r="K499" s="54">
        <f>IFERROR(VLOOKUP($A:$A,CS!$A:$AK,19,FALSE),"")</f>
      </c>
      <c r="L499" s="54">
        <f>IFERROR(VLOOKUP($A:$A,CS!$A:$AK,20,FALSE),"")</f>
      </c>
      <c r="M499" s="54">
        <f>IFERROR(VLOOKUP($A:$A,CS!$A:$AK,22,FALSE),"")</f>
      </c>
      <c r="N499" s="54">
        <f>IFERROR(VLOOKUP($A:$A,CS!$A:$AK,19,FALSE),"")</f>
      </c>
      <c r="O499" s="54">
        <f>IFERROR(VLOOKUP($A:$A,CS!$A:$AK,23,FALSE),"")</f>
      </c>
      <c r="P499" s="54">
        <f>IFERROR(VLOOKUP($A:$A,CS!$A:$AK,24,FALSE),"")</f>
      </c>
      <c r="Q499" s="54">
        <f>IFERROR(VLOOKUP($A:$A,CS!$A:$AK,25,FALSE),"")</f>
      </c>
      <c r="R499" s="54">
        <f>IFERROR(VLOOKUP($A:$A,CS!$A:$AK,26,FALSE),"")</f>
      </c>
      <c r="S499" s="54">
        <f>IFERROR(VLOOKUP($A:$A,CS!$A:$AK,29,FALSE),"")</f>
      </c>
      <c r="T499" s="54">
        <f>IFERROR(VLOOKUP($A:$A,CS!$A:$AK,33,FALSE),"")</f>
      </c>
      <c r="U499" s="54">
        <f>IFERROR(VLOOKUP($A:$A,CS!$A:$AK,34,FALSE),"")</f>
      </c>
      <c r="V499" s="54">
        <f>IFERROR(VLOOKUP($A:$A,CS!$A:$AK,35,FALSE),"")</f>
      </c>
      <c r="W499" s="54">
        <f>IFERROR(VLOOKUP($A:$A,CS!$A:$AK,36,FALSE),"")</f>
      </c>
    </row>
    <row r="500" ht="16.5" customHeight="1" spans="1:23" x14ac:dyDescent="0.25">
      <c r="A500" s="68"/>
      <c r="B500" s="54">
        <f>IFERROR(VLOOKUP($A:$A,CS!$A:$AK,3,FALSE),"")</f>
      </c>
      <c r="C500" s="54">
        <f>IFERROR(VLOOKUP($A:$A,CS!$A:$AK,4,FALSE),"")</f>
      </c>
      <c r="D500" s="54">
        <f>IFERROR(VLOOKUP($A:$A,CS!$A:$AK,5,FALSE),"")</f>
      </c>
      <c r="E500" s="54">
        <f>IFERROR(VLOOKUP($A:$A,CS!$A:$AK,7,FALSE),"")</f>
      </c>
      <c r="F500" s="54">
        <f>IFERROR(VLOOKUP($A:$A,CS!$A:$AK,8,FALSE),"")</f>
      </c>
      <c r="G500" s="54">
        <f>IFERROR(VLOOKUP($A:$A,CS!$A:$AK,10,FALSE),"")</f>
      </c>
      <c r="H500" s="54">
        <f>IFERROR(VLOOKUP($A:$A,CS!$A:$AK,14,FALSE),"")</f>
      </c>
      <c r="I500" s="54">
        <f>IFERROR(VLOOKUP($A:$A,CS!$A:$AK,15,FALSE),"")</f>
      </c>
      <c r="J500" s="54">
        <f>IFERROR(VLOOKUP($A:$A,CS!$A:$AK,18,FALSE),"")</f>
      </c>
      <c r="K500" s="54">
        <f>IFERROR(VLOOKUP($A:$A,CS!$A:$AK,19,FALSE),"")</f>
      </c>
      <c r="L500" s="54">
        <f>IFERROR(VLOOKUP($A:$A,CS!$A:$AK,20,FALSE),"")</f>
      </c>
      <c r="M500" s="54">
        <f>IFERROR(VLOOKUP($A:$A,CS!$A:$AK,22,FALSE),"")</f>
      </c>
      <c r="N500" s="54">
        <f>IFERROR(VLOOKUP($A:$A,CS!$A:$AK,19,FALSE),"")</f>
      </c>
      <c r="O500" s="54">
        <f>IFERROR(VLOOKUP($A:$A,CS!$A:$AK,23,FALSE),"")</f>
      </c>
      <c r="P500" s="54">
        <f>IFERROR(VLOOKUP($A:$A,CS!$A:$AK,24,FALSE),"")</f>
      </c>
      <c r="Q500" s="54">
        <f>IFERROR(VLOOKUP($A:$A,CS!$A:$AK,25,FALSE),"")</f>
      </c>
      <c r="R500" s="54">
        <f>IFERROR(VLOOKUP($A:$A,CS!$A:$AK,26,FALSE),"")</f>
      </c>
      <c r="S500" s="54">
        <f>IFERROR(VLOOKUP($A:$A,CS!$A:$AK,29,FALSE),"")</f>
      </c>
      <c r="T500" s="54">
        <f>IFERROR(VLOOKUP($A:$A,CS!$A:$AK,33,FALSE),"")</f>
      </c>
      <c r="U500" s="54">
        <f>IFERROR(VLOOKUP($A:$A,CS!$A:$AK,34,FALSE),"")</f>
      </c>
      <c r="V500" s="54">
        <f>IFERROR(VLOOKUP($A:$A,CS!$A:$AK,35,FALSE),"")</f>
      </c>
      <c r="W500" s="54">
        <f>IFERROR(VLOOKUP($A:$A,CS!$A:$AK,36,FALSE),"")</f>
      </c>
    </row>
    <row r="501" ht="16.5" customHeight="1" spans="1:23" x14ac:dyDescent="0.25">
      <c r="A501" s="68"/>
      <c r="B501" s="54">
        <f>IFERROR(VLOOKUP($A:$A,CS!$A:$AK,3,FALSE),"")</f>
      </c>
      <c r="C501" s="54">
        <f>IFERROR(VLOOKUP($A:$A,CS!$A:$AK,4,FALSE),"")</f>
      </c>
      <c r="D501" s="54">
        <f>IFERROR(VLOOKUP($A:$A,CS!$A:$AK,5,FALSE),"")</f>
      </c>
      <c r="E501" s="54">
        <f>IFERROR(VLOOKUP($A:$A,CS!$A:$AK,7,FALSE),"")</f>
      </c>
      <c r="F501" s="54">
        <f>IFERROR(VLOOKUP($A:$A,CS!$A:$AK,8,FALSE),"")</f>
      </c>
      <c r="G501" s="54">
        <f>IFERROR(VLOOKUP($A:$A,CS!$A:$AK,10,FALSE),"")</f>
      </c>
      <c r="H501" s="54">
        <f>IFERROR(VLOOKUP($A:$A,CS!$A:$AK,14,FALSE),"")</f>
      </c>
      <c r="I501" s="54">
        <f>IFERROR(VLOOKUP($A:$A,CS!$A:$AK,15,FALSE),"")</f>
      </c>
      <c r="J501" s="54">
        <f>IFERROR(VLOOKUP($A:$A,CS!$A:$AK,18,FALSE),"")</f>
      </c>
      <c r="K501" s="54">
        <f>IFERROR(VLOOKUP($A:$A,CS!$A:$AK,19,FALSE),"")</f>
      </c>
      <c r="L501" s="54">
        <f>IFERROR(VLOOKUP($A:$A,CS!$A:$AK,20,FALSE),"")</f>
      </c>
      <c r="M501" s="54">
        <f>IFERROR(VLOOKUP($A:$A,CS!$A:$AK,22,FALSE),"")</f>
      </c>
      <c r="N501" s="54">
        <f>IFERROR(VLOOKUP($A:$A,CS!$A:$AK,19,FALSE),"")</f>
      </c>
      <c r="O501" s="54">
        <f>IFERROR(VLOOKUP($A:$A,CS!$A:$AK,23,FALSE),"")</f>
      </c>
      <c r="P501" s="54">
        <f>IFERROR(VLOOKUP($A:$A,CS!$A:$AK,24,FALSE),"")</f>
      </c>
      <c r="Q501" s="54">
        <f>IFERROR(VLOOKUP($A:$A,CS!$A:$AK,25,FALSE),"")</f>
      </c>
      <c r="R501" s="54">
        <f>IFERROR(VLOOKUP($A:$A,CS!$A:$AK,26,FALSE),"")</f>
      </c>
      <c r="S501" s="54">
        <f>IFERROR(VLOOKUP($A:$A,CS!$A:$AK,29,FALSE),"")</f>
      </c>
      <c r="T501" s="54">
        <f>IFERROR(VLOOKUP($A:$A,CS!$A:$AK,33,FALSE),"")</f>
      </c>
      <c r="U501" s="54">
        <f>IFERROR(VLOOKUP($A:$A,CS!$A:$AK,34,FALSE),"")</f>
      </c>
      <c r="V501" s="54">
        <f>IFERROR(VLOOKUP($A:$A,CS!$A:$AK,35,FALSE),"")</f>
      </c>
      <c r="W501" s="54">
        <f>IFERROR(VLOOKUP($A:$A,CS!$A:$AK,36,FALSE),"")</f>
      </c>
    </row>
    <row r="502" ht="16.5" customHeight="1" spans="1:23" x14ac:dyDescent="0.25">
      <c r="A502" s="68"/>
      <c r="B502" s="54">
        <f>IFERROR(VLOOKUP($A:$A,CS!$A:$AK,3,FALSE),"")</f>
      </c>
      <c r="C502" s="54">
        <f>IFERROR(VLOOKUP($A:$A,CS!$A:$AK,4,FALSE),"")</f>
      </c>
      <c r="D502" s="54">
        <f>IFERROR(VLOOKUP($A:$A,CS!$A:$AK,5,FALSE),"")</f>
      </c>
      <c r="E502" s="54">
        <f>IFERROR(VLOOKUP($A:$A,CS!$A:$AK,7,FALSE),"")</f>
      </c>
      <c r="F502" s="54">
        <f>IFERROR(VLOOKUP($A:$A,CS!$A:$AK,8,FALSE),"")</f>
      </c>
      <c r="G502" s="54">
        <f>IFERROR(VLOOKUP($A:$A,CS!$A:$AK,10,FALSE),"")</f>
      </c>
      <c r="H502" s="54">
        <f>IFERROR(VLOOKUP($A:$A,CS!$A:$AK,14,FALSE),"")</f>
      </c>
      <c r="I502" s="54">
        <f>IFERROR(VLOOKUP($A:$A,CS!$A:$AK,15,FALSE),"")</f>
      </c>
      <c r="J502" s="54">
        <f>IFERROR(VLOOKUP($A:$A,CS!$A:$AK,18,FALSE),"")</f>
      </c>
      <c r="K502" s="54">
        <f>IFERROR(VLOOKUP($A:$A,CS!$A:$AK,19,FALSE),"")</f>
      </c>
      <c r="L502" s="54">
        <f>IFERROR(VLOOKUP($A:$A,CS!$A:$AK,20,FALSE),"")</f>
      </c>
      <c r="M502" s="54">
        <f>IFERROR(VLOOKUP($A:$A,CS!$A:$AK,22,FALSE),"")</f>
      </c>
      <c r="N502" s="54">
        <f>IFERROR(VLOOKUP($A:$A,CS!$A:$AK,19,FALSE),"")</f>
      </c>
      <c r="O502" s="54">
        <f>IFERROR(VLOOKUP($A:$A,CS!$A:$AK,23,FALSE),"")</f>
      </c>
      <c r="P502" s="54">
        <f>IFERROR(VLOOKUP($A:$A,CS!$A:$AK,24,FALSE),"")</f>
      </c>
      <c r="Q502" s="54">
        <f>IFERROR(VLOOKUP($A:$A,CS!$A:$AK,25,FALSE),"")</f>
      </c>
      <c r="R502" s="54">
        <f>IFERROR(VLOOKUP($A:$A,CS!$A:$AK,26,FALSE),"")</f>
      </c>
      <c r="S502" s="54">
        <f>IFERROR(VLOOKUP($A:$A,CS!$A:$AK,29,FALSE),"")</f>
      </c>
      <c r="T502" s="54">
        <f>IFERROR(VLOOKUP($A:$A,CS!$A:$AK,33,FALSE),"")</f>
      </c>
      <c r="U502" s="54">
        <f>IFERROR(VLOOKUP($A:$A,CS!$A:$AK,34,FALSE),"")</f>
      </c>
      <c r="V502" s="54">
        <f>IFERROR(VLOOKUP($A:$A,CS!$A:$AK,35,FALSE),"")</f>
      </c>
      <c r="W502" s="54">
        <f>IFERROR(VLOOKUP($A:$A,CS!$A:$AK,36,FALSE),"")</f>
      </c>
    </row>
    <row r="503" ht="16.5" customHeight="1" spans="1:23" x14ac:dyDescent="0.25">
      <c r="A503" s="68"/>
      <c r="B503" s="54">
        <f>IFERROR(VLOOKUP($A:$A,CS!$A:$AK,3,FALSE),"")</f>
      </c>
      <c r="C503" s="54">
        <f>IFERROR(VLOOKUP($A:$A,CS!$A:$AK,4,FALSE),"")</f>
      </c>
      <c r="D503" s="54">
        <f>IFERROR(VLOOKUP($A:$A,CS!$A:$AK,5,FALSE),"")</f>
      </c>
      <c r="E503" s="54">
        <f>IFERROR(VLOOKUP($A:$A,CS!$A:$AK,7,FALSE),"")</f>
      </c>
      <c r="F503" s="54">
        <f>IFERROR(VLOOKUP($A:$A,CS!$A:$AK,8,FALSE),"")</f>
      </c>
      <c r="G503" s="54">
        <f>IFERROR(VLOOKUP($A:$A,CS!$A:$AK,10,FALSE),"")</f>
      </c>
      <c r="H503" s="54">
        <f>IFERROR(VLOOKUP($A:$A,CS!$A:$AK,14,FALSE),"")</f>
      </c>
      <c r="I503" s="54">
        <f>IFERROR(VLOOKUP($A:$A,CS!$A:$AK,15,FALSE),"")</f>
      </c>
      <c r="J503" s="54">
        <f>IFERROR(VLOOKUP($A:$A,CS!$A:$AK,18,FALSE),"")</f>
      </c>
      <c r="K503" s="54">
        <f>IFERROR(VLOOKUP($A:$A,CS!$A:$AK,19,FALSE),"")</f>
      </c>
      <c r="L503" s="54">
        <f>IFERROR(VLOOKUP($A:$A,CS!$A:$AK,20,FALSE),"")</f>
      </c>
      <c r="M503" s="54">
        <f>IFERROR(VLOOKUP($A:$A,CS!$A:$AK,22,FALSE),"")</f>
      </c>
      <c r="N503" s="54">
        <f>IFERROR(VLOOKUP($A:$A,CS!$A:$AK,19,FALSE),"")</f>
      </c>
      <c r="O503" s="54">
        <f>IFERROR(VLOOKUP($A:$A,CS!$A:$AK,23,FALSE),"")</f>
      </c>
      <c r="P503" s="54">
        <f>IFERROR(VLOOKUP($A:$A,CS!$A:$AK,24,FALSE),"")</f>
      </c>
      <c r="Q503" s="54">
        <f>IFERROR(VLOOKUP($A:$A,CS!$A:$AK,25,FALSE),"")</f>
      </c>
      <c r="R503" s="54">
        <f>IFERROR(VLOOKUP($A:$A,CS!$A:$AK,26,FALSE),"")</f>
      </c>
      <c r="S503" s="54">
        <f>IFERROR(VLOOKUP($A:$A,CS!$A:$AK,29,FALSE),"")</f>
      </c>
      <c r="T503" s="54">
        <f>IFERROR(VLOOKUP($A:$A,CS!$A:$AK,33,FALSE),"")</f>
      </c>
      <c r="U503" s="54">
        <f>IFERROR(VLOOKUP($A:$A,CS!$A:$AK,34,FALSE),"")</f>
      </c>
      <c r="V503" s="54">
        <f>IFERROR(VLOOKUP($A:$A,CS!$A:$AK,35,FALSE),"")</f>
      </c>
      <c r="W503" s="54">
        <f>IFERROR(VLOOKUP($A:$A,CS!$A:$AK,36,FALSE),"")</f>
      </c>
    </row>
    <row r="504" ht="16.5" customHeight="1" spans="1:23" x14ac:dyDescent="0.25">
      <c r="A504" s="68"/>
      <c r="B504" s="54">
        <f>IFERROR(VLOOKUP($A:$A,CS!$A:$AK,3,FALSE),"")</f>
      </c>
      <c r="C504" s="54">
        <f>IFERROR(VLOOKUP($A:$A,CS!$A:$AK,4,FALSE),"")</f>
      </c>
      <c r="D504" s="54">
        <f>IFERROR(VLOOKUP($A:$A,CS!$A:$AK,5,FALSE),"")</f>
      </c>
      <c r="E504" s="54">
        <f>IFERROR(VLOOKUP($A:$A,CS!$A:$AK,7,FALSE),"")</f>
      </c>
      <c r="F504" s="54">
        <f>IFERROR(VLOOKUP($A:$A,CS!$A:$AK,8,FALSE),"")</f>
      </c>
      <c r="G504" s="54">
        <f>IFERROR(VLOOKUP($A:$A,CS!$A:$AK,10,FALSE),"")</f>
      </c>
      <c r="H504" s="54">
        <f>IFERROR(VLOOKUP($A:$A,CS!$A:$AK,14,FALSE),"")</f>
      </c>
      <c r="I504" s="54">
        <f>IFERROR(VLOOKUP($A:$A,CS!$A:$AK,15,FALSE),"")</f>
      </c>
      <c r="J504" s="54">
        <f>IFERROR(VLOOKUP($A:$A,CS!$A:$AK,18,FALSE),"")</f>
      </c>
      <c r="K504" s="54">
        <f>IFERROR(VLOOKUP($A:$A,CS!$A:$AK,19,FALSE),"")</f>
      </c>
      <c r="L504" s="54">
        <f>IFERROR(VLOOKUP($A:$A,CS!$A:$AK,20,FALSE),"")</f>
      </c>
      <c r="M504" s="54">
        <f>IFERROR(VLOOKUP($A:$A,CS!$A:$AK,22,FALSE),"")</f>
      </c>
      <c r="N504" s="54">
        <f>IFERROR(VLOOKUP($A:$A,CS!$A:$AK,19,FALSE),"")</f>
      </c>
      <c r="O504" s="54">
        <f>IFERROR(VLOOKUP($A:$A,CS!$A:$AK,23,FALSE),"")</f>
      </c>
      <c r="P504" s="54">
        <f>IFERROR(VLOOKUP($A:$A,CS!$A:$AK,24,FALSE),"")</f>
      </c>
      <c r="Q504" s="54">
        <f>IFERROR(VLOOKUP($A:$A,CS!$A:$AK,25,FALSE),"")</f>
      </c>
      <c r="R504" s="54">
        <f>IFERROR(VLOOKUP($A:$A,CS!$A:$AK,26,FALSE),"")</f>
      </c>
      <c r="S504" s="54">
        <f>IFERROR(VLOOKUP($A:$A,CS!$A:$AK,29,FALSE),"")</f>
      </c>
      <c r="T504" s="54">
        <f>IFERROR(VLOOKUP($A:$A,CS!$A:$AK,33,FALSE),"")</f>
      </c>
      <c r="U504" s="54">
        <f>IFERROR(VLOOKUP($A:$A,CS!$A:$AK,34,FALSE),"")</f>
      </c>
      <c r="V504" s="54">
        <f>IFERROR(VLOOKUP($A:$A,CS!$A:$AK,35,FALSE),"")</f>
      </c>
      <c r="W504" s="54">
        <f>IFERROR(VLOOKUP($A:$A,CS!$A:$AK,36,FALSE),"")</f>
      </c>
    </row>
    <row r="505" ht="16.5" customHeight="1" spans="1:23" x14ac:dyDescent="0.25">
      <c r="A505" s="68"/>
      <c r="B505" s="54">
        <f>IFERROR(VLOOKUP($A:$A,CS!$A:$AK,3,FALSE),"")</f>
      </c>
      <c r="C505" s="54">
        <f>IFERROR(VLOOKUP($A:$A,CS!$A:$AK,4,FALSE),"")</f>
      </c>
      <c r="D505" s="54">
        <f>IFERROR(VLOOKUP($A:$A,CS!$A:$AK,5,FALSE),"")</f>
      </c>
      <c r="E505" s="54">
        <f>IFERROR(VLOOKUP($A:$A,CS!$A:$AK,7,FALSE),"")</f>
      </c>
      <c r="F505" s="54">
        <f>IFERROR(VLOOKUP($A:$A,CS!$A:$AK,8,FALSE),"")</f>
      </c>
      <c r="G505" s="54">
        <f>IFERROR(VLOOKUP($A:$A,CS!$A:$AK,10,FALSE),"")</f>
      </c>
      <c r="H505" s="54">
        <f>IFERROR(VLOOKUP($A:$A,CS!$A:$AK,14,FALSE),"")</f>
      </c>
      <c r="I505" s="54">
        <f>IFERROR(VLOOKUP($A:$A,CS!$A:$AK,15,FALSE),"")</f>
      </c>
      <c r="J505" s="54">
        <f>IFERROR(VLOOKUP($A:$A,CS!$A:$AK,18,FALSE),"")</f>
      </c>
      <c r="K505" s="54">
        <f>IFERROR(VLOOKUP($A:$A,CS!$A:$AK,19,FALSE),"")</f>
      </c>
      <c r="L505" s="54">
        <f>IFERROR(VLOOKUP($A:$A,CS!$A:$AK,20,FALSE),"")</f>
      </c>
      <c r="M505" s="54">
        <f>IFERROR(VLOOKUP($A:$A,CS!$A:$AK,22,FALSE),"")</f>
      </c>
      <c r="N505" s="54">
        <f>IFERROR(VLOOKUP($A:$A,CS!$A:$AK,19,FALSE),"")</f>
      </c>
      <c r="O505" s="54">
        <f>IFERROR(VLOOKUP($A:$A,CS!$A:$AK,23,FALSE),"")</f>
      </c>
      <c r="P505" s="54">
        <f>IFERROR(VLOOKUP($A:$A,CS!$A:$AK,24,FALSE),"")</f>
      </c>
      <c r="Q505" s="54">
        <f>IFERROR(VLOOKUP($A:$A,CS!$A:$AK,25,FALSE),"")</f>
      </c>
      <c r="R505" s="54">
        <f>IFERROR(VLOOKUP($A:$A,CS!$A:$AK,26,FALSE),"")</f>
      </c>
      <c r="S505" s="54">
        <f>IFERROR(VLOOKUP($A:$A,CS!$A:$AK,29,FALSE),"")</f>
      </c>
      <c r="T505" s="54">
        <f>IFERROR(VLOOKUP($A:$A,CS!$A:$AK,33,FALSE),"")</f>
      </c>
      <c r="U505" s="54">
        <f>IFERROR(VLOOKUP($A:$A,CS!$A:$AK,34,FALSE),"")</f>
      </c>
      <c r="V505" s="54">
        <f>IFERROR(VLOOKUP($A:$A,CS!$A:$AK,35,FALSE),"")</f>
      </c>
      <c r="W505" s="54">
        <f>IFERROR(VLOOKUP($A:$A,CS!$A:$AK,36,FALSE),"")</f>
      </c>
    </row>
    <row r="506" ht="16.5" customHeight="1" spans="1:23" x14ac:dyDescent="0.25">
      <c r="A506" s="68"/>
      <c r="B506" s="54">
        <f>IFERROR(VLOOKUP($A:$A,CS!$A:$AK,3,FALSE),"")</f>
      </c>
      <c r="C506" s="54">
        <f>IFERROR(VLOOKUP($A:$A,CS!$A:$AK,4,FALSE),"")</f>
      </c>
      <c r="D506" s="54">
        <f>IFERROR(VLOOKUP($A:$A,CS!$A:$AK,5,FALSE),"")</f>
      </c>
      <c r="E506" s="54">
        <f>IFERROR(VLOOKUP($A:$A,CS!$A:$AK,7,FALSE),"")</f>
      </c>
      <c r="F506" s="54">
        <f>IFERROR(VLOOKUP($A:$A,CS!$A:$AK,8,FALSE),"")</f>
      </c>
      <c r="G506" s="54">
        <f>IFERROR(VLOOKUP($A:$A,CS!$A:$AK,10,FALSE),"")</f>
      </c>
      <c r="H506" s="54">
        <f>IFERROR(VLOOKUP($A:$A,CS!$A:$AK,14,FALSE),"")</f>
      </c>
      <c r="I506" s="54">
        <f>IFERROR(VLOOKUP($A:$A,CS!$A:$AK,15,FALSE),"")</f>
      </c>
      <c r="J506" s="54">
        <f>IFERROR(VLOOKUP($A:$A,CS!$A:$AK,18,FALSE),"")</f>
      </c>
      <c r="K506" s="54">
        <f>IFERROR(VLOOKUP($A:$A,CS!$A:$AK,19,FALSE),"")</f>
      </c>
      <c r="L506" s="54">
        <f>IFERROR(VLOOKUP($A:$A,CS!$A:$AK,20,FALSE),"")</f>
      </c>
      <c r="M506" s="54">
        <f>IFERROR(VLOOKUP($A:$A,CS!$A:$AK,22,FALSE),"")</f>
      </c>
      <c r="N506" s="54">
        <f>IFERROR(VLOOKUP($A:$A,CS!$A:$AK,19,FALSE),"")</f>
      </c>
      <c r="O506" s="54">
        <f>IFERROR(VLOOKUP($A:$A,CS!$A:$AK,23,FALSE),"")</f>
      </c>
      <c r="P506" s="54">
        <f>IFERROR(VLOOKUP($A:$A,CS!$A:$AK,24,FALSE),"")</f>
      </c>
      <c r="Q506" s="54">
        <f>IFERROR(VLOOKUP($A:$A,CS!$A:$AK,25,FALSE),"")</f>
      </c>
      <c r="R506" s="54">
        <f>IFERROR(VLOOKUP($A:$A,CS!$A:$AK,26,FALSE),"")</f>
      </c>
      <c r="S506" s="54">
        <f>IFERROR(VLOOKUP($A:$A,CS!$A:$AK,29,FALSE),"")</f>
      </c>
      <c r="T506" s="54">
        <f>IFERROR(VLOOKUP($A:$A,CS!$A:$AK,33,FALSE),"")</f>
      </c>
      <c r="U506" s="54">
        <f>IFERROR(VLOOKUP($A:$A,CS!$A:$AK,34,FALSE),"")</f>
      </c>
      <c r="V506" s="54">
        <f>IFERROR(VLOOKUP($A:$A,CS!$A:$AK,35,FALSE),"")</f>
      </c>
      <c r="W506" s="54">
        <f>IFERROR(VLOOKUP($A:$A,CS!$A:$AK,36,FALSE),"")</f>
      </c>
    </row>
    <row r="507" ht="16.5" customHeight="1" spans="1:23" x14ac:dyDescent="0.25">
      <c r="A507" s="68"/>
      <c r="B507" s="54">
        <f>IFERROR(VLOOKUP($A:$A,CS!$A:$AK,3,FALSE),"")</f>
      </c>
      <c r="C507" s="54">
        <f>IFERROR(VLOOKUP($A:$A,CS!$A:$AK,4,FALSE),"")</f>
      </c>
      <c r="D507" s="54">
        <f>IFERROR(VLOOKUP($A:$A,CS!$A:$AK,5,FALSE),"")</f>
      </c>
      <c r="E507" s="54">
        <f>IFERROR(VLOOKUP($A:$A,CS!$A:$AK,7,FALSE),"")</f>
      </c>
      <c r="F507" s="54">
        <f>IFERROR(VLOOKUP($A:$A,CS!$A:$AK,8,FALSE),"")</f>
      </c>
      <c r="G507" s="54">
        <f>IFERROR(VLOOKUP($A:$A,CS!$A:$AK,10,FALSE),"")</f>
      </c>
      <c r="H507" s="54">
        <f>IFERROR(VLOOKUP($A:$A,CS!$A:$AK,14,FALSE),"")</f>
      </c>
      <c r="I507" s="54">
        <f>IFERROR(VLOOKUP($A:$A,CS!$A:$AK,15,FALSE),"")</f>
      </c>
      <c r="J507" s="54">
        <f>IFERROR(VLOOKUP($A:$A,CS!$A:$AK,18,FALSE),"")</f>
      </c>
      <c r="K507" s="54">
        <f>IFERROR(VLOOKUP($A:$A,CS!$A:$AK,19,FALSE),"")</f>
      </c>
      <c r="L507" s="54">
        <f>IFERROR(VLOOKUP($A:$A,CS!$A:$AK,20,FALSE),"")</f>
      </c>
      <c r="M507" s="54">
        <f>IFERROR(VLOOKUP($A:$A,CS!$A:$AK,22,FALSE),"")</f>
      </c>
      <c r="N507" s="54">
        <f>IFERROR(VLOOKUP($A:$A,CS!$A:$AK,19,FALSE),"")</f>
      </c>
      <c r="O507" s="54">
        <f>IFERROR(VLOOKUP($A:$A,CS!$A:$AK,23,FALSE),"")</f>
      </c>
      <c r="P507" s="54">
        <f>IFERROR(VLOOKUP($A:$A,CS!$A:$AK,24,FALSE),"")</f>
      </c>
      <c r="Q507" s="54">
        <f>IFERROR(VLOOKUP($A:$A,CS!$A:$AK,25,FALSE),"")</f>
      </c>
      <c r="R507" s="54">
        <f>IFERROR(VLOOKUP($A:$A,CS!$A:$AK,26,FALSE),"")</f>
      </c>
      <c r="S507" s="54">
        <f>IFERROR(VLOOKUP($A:$A,CS!$A:$AK,29,FALSE),"")</f>
      </c>
      <c r="T507" s="54">
        <f>IFERROR(VLOOKUP($A:$A,CS!$A:$AK,33,FALSE),"")</f>
      </c>
      <c r="U507" s="54">
        <f>IFERROR(VLOOKUP($A:$A,CS!$A:$AK,34,FALSE),"")</f>
      </c>
      <c r="V507" s="54">
        <f>IFERROR(VLOOKUP($A:$A,CS!$A:$AK,35,FALSE),"")</f>
      </c>
      <c r="W507" s="54">
        <f>IFERROR(VLOOKUP($A:$A,CS!$A:$AK,36,FALSE),"")</f>
      </c>
    </row>
    <row r="508" ht="16.5" customHeight="1" spans="1:23" x14ac:dyDescent="0.25">
      <c r="A508" s="68"/>
      <c r="B508" s="54">
        <f>IFERROR(VLOOKUP($A:$A,CS!$A:$AK,3,FALSE),"")</f>
      </c>
      <c r="C508" s="54">
        <f>IFERROR(VLOOKUP($A:$A,CS!$A:$AK,4,FALSE),"")</f>
      </c>
      <c r="D508" s="54">
        <f>IFERROR(VLOOKUP($A:$A,CS!$A:$AK,5,FALSE),"")</f>
      </c>
      <c r="E508" s="54">
        <f>IFERROR(VLOOKUP($A:$A,CS!$A:$AK,7,FALSE),"")</f>
      </c>
      <c r="F508" s="54">
        <f>IFERROR(VLOOKUP($A:$A,CS!$A:$AK,8,FALSE),"")</f>
      </c>
      <c r="G508" s="54">
        <f>IFERROR(VLOOKUP($A:$A,CS!$A:$AK,10,FALSE),"")</f>
      </c>
      <c r="H508" s="54">
        <f>IFERROR(VLOOKUP($A:$A,CS!$A:$AK,14,FALSE),"")</f>
      </c>
      <c r="I508" s="54">
        <f>IFERROR(VLOOKUP($A:$A,CS!$A:$AK,15,FALSE),"")</f>
      </c>
      <c r="J508" s="54">
        <f>IFERROR(VLOOKUP($A:$A,CS!$A:$AK,18,FALSE),"")</f>
      </c>
      <c r="K508" s="54">
        <f>IFERROR(VLOOKUP($A:$A,CS!$A:$AK,19,FALSE),"")</f>
      </c>
      <c r="L508" s="54">
        <f>IFERROR(VLOOKUP($A:$A,CS!$A:$AK,20,FALSE),"")</f>
      </c>
      <c r="M508" s="54">
        <f>IFERROR(VLOOKUP($A:$A,CS!$A:$AK,22,FALSE),"")</f>
      </c>
      <c r="N508" s="54">
        <f>IFERROR(VLOOKUP($A:$A,CS!$A:$AK,19,FALSE),"")</f>
      </c>
      <c r="O508" s="54">
        <f>IFERROR(VLOOKUP($A:$A,CS!$A:$AK,23,FALSE),"")</f>
      </c>
      <c r="P508" s="54">
        <f>IFERROR(VLOOKUP($A:$A,CS!$A:$AK,24,FALSE),"")</f>
      </c>
      <c r="Q508" s="54">
        <f>IFERROR(VLOOKUP($A:$A,CS!$A:$AK,25,FALSE),"")</f>
      </c>
      <c r="R508" s="54">
        <f>IFERROR(VLOOKUP($A:$A,CS!$A:$AK,26,FALSE),"")</f>
      </c>
      <c r="S508" s="54">
        <f>IFERROR(VLOOKUP($A:$A,CS!$A:$AK,29,FALSE),"")</f>
      </c>
      <c r="T508" s="54">
        <f>IFERROR(VLOOKUP($A:$A,CS!$A:$AK,33,FALSE),"")</f>
      </c>
      <c r="U508" s="54">
        <f>IFERROR(VLOOKUP($A:$A,CS!$A:$AK,34,FALSE),"")</f>
      </c>
      <c r="V508" s="54">
        <f>IFERROR(VLOOKUP($A:$A,CS!$A:$AK,35,FALSE),"")</f>
      </c>
      <c r="W508" s="54">
        <f>IFERROR(VLOOKUP($A:$A,CS!$A:$AK,36,FALSE),"")</f>
      </c>
    </row>
    <row r="509" ht="16.5" customHeight="1" spans="1:23" x14ac:dyDescent="0.25">
      <c r="A509" s="68"/>
      <c r="B509" s="54">
        <f>IFERROR(VLOOKUP($A:$A,CS!$A:$AK,3,FALSE),"")</f>
      </c>
      <c r="C509" s="54">
        <f>IFERROR(VLOOKUP($A:$A,CS!$A:$AK,4,FALSE),"")</f>
      </c>
      <c r="D509" s="54">
        <f>IFERROR(VLOOKUP($A:$A,CS!$A:$AK,5,FALSE),"")</f>
      </c>
      <c r="E509" s="54">
        <f>IFERROR(VLOOKUP($A:$A,CS!$A:$AK,7,FALSE),"")</f>
      </c>
      <c r="F509" s="54">
        <f>IFERROR(VLOOKUP($A:$A,CS!$A:$AK,8,FALSE),"")</f>
      </c>
      <c r="G509" s="54">
        <f>IFERROR(VLOOKUP($A:$A,CS!$A:$AK,10,FALSE),"")</f>
      </c>
      <c r="H509" s="54">
        <f>IFERROR(VLOOKUP($A:$A,CS!$A:$AK,14,FALSE),"")</f>
      </c>
      <c r="I509" s="54">
        <f>IFERROR(VLOOKUP($A:$A,CS!$A:$AK,15,FALSE),"")</f>
      </c>
      <c r="J509" s="54">
        <f>IFERROR(VLOOKUP($A:$A,CS!$A:$AK,18,FALSE),"")</f>
      </c>
      <c r="K509" s="54">
        <f>IFERROR(VLOOKUP($A:$A,CS!$A:$AK,19,FALSE),"")</f>
      </c>
      <c r="L509" s="54">
        <f>IFERROR(VLOOKUP($A:$A,CS!$A:$AK,20,FALSE),"")</f>
      </c>
      <c r="M509" s="54">
        <f>IFERROR(VLOOKUP($A:$A,CS!$A:$AK,22,FALSE),"")</f>
      </c>
      <c r="N509" s="54">
        <f>IFERROR(VLOOKUP($A:$A,CS!$A:$AK,19,FALSE),"")</f>
      </c>
      <c r="O509" s="54">
        <f>IFERROR(VLOOKUP($A:$A,CS!$A:$AK,23,FALSE),"")</f>
      </c>
      <c r="P509" s="54">
        <f>IFERROR(VLOOKUP($A:$A,CS!$A:$AK,24,FALSE),"")</f>
      </c>
      <c r="Q509" s="54">
        <f>IFERROR(VLOOKUP($A:$A,CS!$A:$AK,25,FALSE),"")</f>
      </c>
      <c r="R509" s="54">
        <f>IFERROR(VLOOKUP($A:$A,CS!$A:$AK,26,FALSE),"")</f>
      </c>
      <c r="S509" s="54">
        <f>IFERROR(VLOOKUP($A:$A,CS!$A:$AK,29,FALSE),"")</f>
      </c>
      <c r="T509" s="54">
        <f>IFERROR(VLOOKUP($A:$A,CS!$A:$AK,33,FALSE),"")</f>
      </c>
      <c r="U509" s="54">
        <f>IFERROR(VLOOKUP($A:$A,CS!$A:$AK,34,FALSE),"")</f>
      </c>
      <c r="V509" s="54">
        <f>IFERROR(VLOOKUP($A:$A,CS!$A:$AK,35,FALSE),"")</f>
      </c>
      <c r="W509" s="54">
        <f>IFERROR(VLOOKUP($A:$A,CS!$A:$AK,36,FALSE),"")</f>
      </c>
    </row>
    <row r="510" ht="16.5" customHeight="1" spans="1:23" x14ac:dyDescent="0.25">
      <c r="A510" s="68"/>
      <c r="B510" s="54">
        <f>IFERROR(VLOOKUP($A:$A,CS!$A:$AK,3,FALSE),"")</f>
      </c>
      <c r="C510" s="54">
        <f>IFERROR(VLOOKUP($A:$A,CS!$A:$AK,4,FALSE),"")</f>
      </c>
      <c r="D510" s="54">
        <f>IFERROR(VLOOKUP($A:$A,CS!$A:$AK,5,FALSE),"")</f>
      </c>
      <c r="E510" s="54">
        <f>IFERROR(VLOOKUP($A:$A,CS!$A:$AK,7,FALSE),"")</f>
      </c>
      <c r="F510" s="54">
        <f>IFERROR(VLOOKUP($A:$A,CS!$A:$AK,8,FALSE),"")</f>
      </c>
      <c r="G510" s="54">
        <f>IFERROR(VLOOKUP($A:$A,CS!$A:$AK,10,FALSE),"")</f>
      </c>
      <c r="H510" s="54">
        <f>IFERROR(VLOOKUP($A:$A,CS!$A:$AK,14,FALSE),"")</f>
      </c>
      <c r="I510" s="54">
        <f>IFERROR(VLOOKUP($A:$A,CS!$A:$AK,15,FALSE),"")</f>
      </c>
      <c r="J510" s="54">
        <f>IFERROR(VLOOKUP($A:$A,CS!$A:$AK,18,FALSE),"")</f>
      </c>
      <c r="K510" s="54">
        <f>IFERROR(VLOOKUP($A:$A,CS!$A:$AK,19,FALSE),"")</f>
      </c>
      <c r="L510" s="54">
        <f>IFERROR(VLOOKUP($A:$A,CS!$A:$AK,20,FALSE),"")</f>
      </c>
      <c r="M510" s="54">
        <f>IFERROR(VLOOKUP($A:$A,CS!$A:$AK,22,FALSE),"")</f>
      </c>
      <c r="N510" s="54">
        <f>IFERROR(VLOOKUP($A:$A,CS!$A:$AK,19,FALSE),"")</f>
      </c>
      <c r="O510" s="54">
        <f>IFERROR(VLOOKUP($A:$A,CS!$A:$AK,23,FALSE),"")</f>
      </c>
      <c r="P510" s="54">
        <f>IFERROR(VLOOKUP($A:$A,CS!$A:$AK,24,FALSE),"")</f>
      </c>
      <c r="Q510" s="54">
        <f>IFERROR(VLOOKUP($A:$A,CS!$A:$AK,25,FALSE),"")</f>
      </c>
      <c r="R510" s="54">
        <f>IFERROR(VLOOKUP($A:$A,CS!$A:$AK,26,FALSE),"")</f>
      </c>
      <c r="S510" s="54">
        <f>IFERROR(VLOOKUP($A:$A,CS!$A:$AK,29,FALSE),"")</f>
      </c>
      <c r="T510" s="54">
        <f>IFERROR(VLOOKUP($A:$A,CS!$A:$AK,33,FALSE),"")</f>
      </c>
      <c r="U510" s="54">
        <f>IFERROR(VLOOKUP($A:$A,CS!$A:$AK,34,FALSE),"")</f>
      </c>
      <c r="V510" s="54">
        <f>IFERROR(VLOOKUP($A:$A,CS!$A:$AK,35,FALSE),"")</f>
      </c>
      <c r="W510" s="54">
        <f>IFERROR(VLOOKUP($A:$A,CS!$A:$AK,36,FALSE),"")</f>
      </c>
    </row>
    <row r="511" ht="16.5" customHeight="1" spans="1:23" x14ac:dyDescent="0.25">
      <c r="A511" s="68"/>
      <c r="B511" s="54">
        <f>IFERROR(VLOOKUP($A:$A,CS!$A:$AK,3,FALSE),"")</f>
      </c>
      <c r="C511" s="54">
        <f>IFERROR(VLOOKUP($A:$A,CS!$A:$AK,4,FALSE),"")</f>
      </c>
      <c r="D511" s="54">
        <f>IFERROR(VLOOKUP($A:$A,CS!$A:$AK,5,FALSE),"")</f>
      </c>
      <c r="E511" s="54">
        <f>IFERROR(VLOOKUP($A:$A,CS!$A:$AK,7,FALSE),"")</f>
      </c>
      <c r="F511" s="54">
        <f>IFERROR(VLOOKUP($A:$A,CS!$A:$AK,8,FALSE),"")</f>
      </c>
      <c r="G511" s="54">
        <f>IFERROR(VLOOKUP($A:$A,CS!$A:$AK,10,FALSE),"")</f>
      </c>
      <c r="H511" s="54">
        <f>IFERROR(VLOOKUP($A:$A,CS!$A:$AK,14,FALSE),"")</f>
      </c>
      <c r="I511" s="54">
        <f>IFERROR(VLOOKUP($A:$A,CS!$A:$AK,15,FALSE),"")</f>
      </c>
      <c r="J511" s="54">
        <f>IFERROR(VLOOKUP($A:$A,CS!$A:$AK,18,FALSE),"")</f>
      </c>
      <c r="K511" s="54">
        <f>IFERROR(VLOOKUP($A:$A,CS!$A:$AK,19,FALSE),"")</f>
      </c>
      <c r="L511" s="54">
        <f>IFERROR(VLOOKUP($A:$A,CS!$A:$AK,20,FALSE),"")</f>
      </c>
      <c r="M511" s="54">
        <f>IFERROR(VLOOKUP($A:$A,CS!$A:$AK,22,FALSE),"")</f>
      </c>
      <c r="N511" s="54">
        <f>IFERROR(VLOOKUP($A:$A,CS!$A:$AK,19,FALSE),"")</f>
      </c>
      <c r="O511" s="54">
        <f>IFERROR(VLOOKUP($A:$A,CS!$A:$AK,23,FALSE),"")</f>
      </c>
      <c r="P511" s="54">
        <f>IFERROR(VLOOKUP($A:$A,CS!$A:$AK,24,FALSE),"")</f>
      </c>
      <c r="Q511" s="54">
        <f>IFERROR(VLOOKUP($A:$A,CS!$A:$AK,25,FALSE),"")</f>
      </c>
      <c r="R511" s="54">
        <f>IFERROR(VLOOKUP($A:$A,CS!$A:$AK,26,FALSE),"")</f>
      </c>
      <c r="S511" s="54">
        <f>IFERROR(VLOOKUP($A:$A,CS!$A:$AK,29,FALSE),"")</f>
      </c>
      <c r="T511" s="54">
        <f>IFERROR(VLOOKUP($A:$A,CS!$A:$AK,33,FALSE),"")</f>
      </c>
      <c r="U511" s="54">
        <f>IFERROR(VLOOKUP($A:$A,CS!$A:$AK,34,FALSE),"")</f>
      </c>
      <c r="V511" s="54">
        <f>IFERROR(VLOOKUP($A:$A,CS!$A:$AK,35,FALSE),"")</f>
      </c>
      <c r="W511" s="54">
        <f>IFERROR(VLOOKUP($A:$A,CS!$A:$AK,36,FALSE),"")</f>
      </c>
    </row>
    <row r="512" ht="16.5" customHeight="1" spans="1:23" x14ac:dyDescent="0.25">
      <c r="A512" s="68"/>
      <c r="B512" s="54">
        <f>IFERROR(VLOOKUP($A:$A,CS!$A:$AK,3,FALSE),"")</f>
      </c>
      <c r="C512" s="54">
        <f>IFERROR(VLOOKUP($A:$A,CS!$A:$AK,4,FALSE),"")</f>
      </c>
      <c r="D512" s="54">
        <f>IFERROR(VLOOKUP($A:$A,CS!$A:$AK,5,FALSE),"")</f>
      </c>
      <c r="E512" s="54">
        <f>IFERROR(VLOOKUP($A:$A,CS!$A:$AK,7,FALSE),"")</f>
      </c>
      <c r="F512" s="54">
        <f>IFERROR(VLOOKUP($A:$A,CS!$A:$AK,8,FALSE),"")</f>
      </c>
      <c r="G512" s="54">
        <f>IFERROR(VLOOKUP($A:$A,CS!$A:$AK,10,FALSE),"")</f>
      </c>
      <c r="H512" s="54">
        <f>IFERROR(VLOOKUP($A:$A,CS!$A:$AK,14,FALSE),"")</f>
      </c>
      <c r="I512" s="54">
        <f>IFERROR(VLOOKUP($A:$A,CS!$A:$AK,15,FALSE),"")</f>
      </c>
      <c r="J512" s="54">
        <f>IFERROR(VLOOKUP($A:$A,CS!$A:$AK,18,FALSE),"")</f>
      </c>
      <c r="K512" s="54">
        <f>IFERROR(VLOOKUP($A:$A,CS!$A:$AK,19,FALSE),"")</f>
      </c>
      <c r="L512" s="54">
        <f>IFERROR(VLOOKUP($A:$A,CS!$A:$AK,20,FALSE),"")</f>
      </c>
      <c r="M512" s="54">
        <f>IFERROR(VLOOKUP($A:$A,CS!$A:$AK,22,FALSE),"")</f>
      </c>
      <c r="N512" s="54">
        <f>IFERROR(VLOOKUP($A:$A,CS!$A:$AK,19,FALSE),"")</f>
      </c>
      <c r="O512" s="54">
        <f>IFERROR(VLOOKUP($A:$A,CS!$A:$AK,23,FALSE),"")</f>
      </c>
      <c r="P512" s="54">
        <f>IFERROR(VLOOKUP($A:$A,CS!$A:$AK,24,FALSE),"")</f>
      </c>
      <c r="Q512" s="54">
        <f>IFERROR(VLOOKUP($A:$A,CS!$A:$AK,25,FALSE),"")</f>
      </c>
      <c r="R512" s="54">
        <f>IFERROR(VLOOKUP($A:$A,CS!$A:$AK,26,FALSE),"")</f>
      </c>
      <c r="S512" s="54">
        <f>IFERROR(VLOOKUP($A:$A,CS!$A:$AK,29,FALSE),"")</f>
      </c>
      <c r="T512" s="54">
        <f>IFERROR(VLOOKUP($A:$A,CS!$A:$AK,33,FALSE),"")</f>
      </c>
      <c r="U512" s="54">
        <f>IFERROR(VLOOKUP($A:$A,CS!$A:$AK,34,FALSE),"")</f>
      </c>
      <c r="V512" s="54">
        <f>IFERROR(VLOOKUP($A:$A,CS!$A:$AK,35,FALSE),"")</f>
      </c>
      <c r="W512" s="54">
        <f>IFERROR(VLOOKUP($A:$A,CS!$A:$AK,36,FALSE),"")</f>
      </c>
    </row>
    <row r="513" ht="16.5" customHeight="1" spans="1:23" x14ac:dyDescent="0.25">
      <c r="A513" s="68"/>
      <c r="B513" s="54">
        <f>IFERROR(VLOOKUP($A:$A,CS!$A:$AK,3,FALSE),"")</f>
      </c>
      <c r="C513" s="54">
        <f>IFERROR(VLOOKUP($A:$A,CS!$A:$AK,4,FALSE),"")</f>
      </c>
      <c r="D513" s="54">
        <f>IFERROR(VLOOKUP($A:$A,CS!$A:$AK,5,FALSE),"")</f>
      </c>
      <c r="E513" s="54">
        <f>IFERROR(VLOOKUP($A:$A,CS!$A:$AK,7,FALSE),"")</f>
      </c>
      <c r="F513" s="54">
        <f>IFERROR(VLOOKUP($A:$A,CS!$A:$AK,8,FALSE),"")</f>
      </c>
      <c r="G513" s="54">
        <f>IFERROR(VLOOKUP($A:$A,CS!$A:$AK,10,FALSE),"")</f>
      </c>
      <c r="H513" s="54">
        <f>IFERROR(VLOOKUP($A:$A,CS!$A:$AK,14,FALSE),"")</f>
      </c>
      <c r="I513" s="54">
        <f>IFERROR(VLOOKUP($A:$A,CS!$A:$AK,15,FALSE),"")</f>
      </c>
      <c r="J513" s="54">
        <f>IFERROR(VLOOKUP($A:$A,CS!$A:$AK,18,FALSE),"")</f>
      </c>
      <c r="K513" s="54">
        <f>IFERROR(VLOOKUP($A:$A,CS!$A:$AK,19,FALSE),"")</f>
      </c>
      <c r="L513" s="54">
        <f>IFERROR(VLOOKUP($A:$A,CS!$A:$AK,20,FALSE),"")</f>
      </c>
      <c r="M513" s="54">
        <f>IFERROR(VLOOKUP($A:$A,CS!$A:$AK,22,FALSE),"")</f>
      </c>
      <c r="N513" s="54">
        <f>IFERROR(VLOOKUP($A:$A,CS!$A:$AK,19,FALSE),"")</f>
      </c>
      <c r="O513" s="54">
        <f>IFERROR(VLOOKUP($A:$A,CS!$A:$AK,23,FALSE),"")</f>
      </c>
      <c r="P513" s="54">
        <f>IFERROR(VLOOKUP($A:$A,CS!$A:$AK,24,FALSE),"")</f>
      </c>
      <c r="Q513" s="54">
        <f>IFERROR(VLOOKUP($A:$A,CS!$A:$AK,25,FALSE),"")</f>
      </c>
      <c r="R513" s="54">
        <f>IFERROR(VLOOKUP($A:$A,CS!$A:$AK,26,FALSE),"")</f>
      </c>
      <c r="S513" s="54">
        <f>IFERROR(VLOOKUP($A:$A,CS!$A:$AK,29,FALSE),"")</f>
      </c>
      <c r="T513" s="54">
        <f>IFERROR(VLOOKUP($A:$A,CS!$A:$AK,33,FALSE),"")</f>
      </c>
      <c r="U513" s="54">
        <f>IFERROR(VLOOKUP($A:$A,CS!$A:$AK,34,FALSE),"")</f>
      </c>
      <c r="V513" s="54">
        <f>IFERROR(VLOOKUP($A:$A,CS!$A:$AK,35,FALSE),"")</f>
      </c>
      <c r="W513" s="54">
        <f>IFERROR(VLOOKUP($A:$A,CS!$A:$AK,36,FALSE),"")</f>
      </c>
    </row>
    <row r="514" ht="16.5" customHeight="1" spans="1:23" x14ac:dyDescent="0.25">
      <c r="A514" s="68"/>
      <c r="B514" s="54">
        <f>IFERROR(VLOOKUP($A:$A,CS!$A:$AK,3,FALSE),"")</f>
      </c>
      <c r="C514" s="54">
        <f>IFERROR(VLOOKUP($A:$A,CS!$A:$AK,4,FALSE),"")</f>
      </c>
      <c r="D514" s="54">
        <f>IFERROR(VLOOKUP($A:$A,CS!$A:$AK,5,FALSE),"")</f>
      </c>
      <c r="E514" s="54">
        <f>IFERROR(VLOOKUP($A:$A,CS!$A:$AK,7,FALSE),"")</f>
      </c>
      <c r="F514" s="54">
        <f>IFERROR(VLOOKUP($A:$A,CS!$A:$AK,8,FALSE),"")</f>
      </c>
      <c r="G514" s="54">
        <f>IFERROR(VLOOKUP($A:$A,CS!$A:$AK,10,FALSE),"")</f>
      </c>
      <c r="H514" s="54">
        <f>IFERROR(VLOOKUP($A:$A,CS!$A:$AK,14,FALSE),"")</f>
      </c>
      <c r="I514" s="54">
        <f>IFERROR(VLOOKUP($A:$A,CS!$A:$AK,15,FALSE),"")</f>
      </c>
      <c r="J514" s="54">
        <f>IFERROR(VLOOKUP($A:$A,CS!$A:$AK,18,FALSE),"")</f>
      </c>
      <c r="K514" s="54">
        <f>IFERROR(VLOOKUP($A:$A,CS!$A:$AK,19,FALSE),"")</f>
      </c>
      <c r="L514" s="54">
        <f>IFERROR(VLOOKUP($A:$A,CS!$A:$AK,20,FALSE),"")</f>
      </c>
      <c r="M514" s="54">
        <f>IFERROR(VLOOKUP($A:$A,CS!$A:$AK,22,FALSE),"")</f>
      </c>
      <c r="N514" s="54">
        <f>IFERROR(VLOOKUP($A:$A,CS!$A:$AK,19,FALSE),"")</f>
      </c>
      <c r="O514" s="54">
        <f>IFERROR(VLOOKUP($A:$A,CS!$A:$AK,23,FALSE),"")</f>
      </c>
      <c r="P514" s="54">
        <f>IFERROR(VLOOKUP($A:$A,CS!$A:$AK,24,FALSE),"")</f>
      </c>
      <c r="Q514" s="54">
        <f>IFERROR(VLOOKUP($A:$A,CS!$A:$AK,25,FALSE),"")</f>
      </c>
      <c r="R514" s="54">
        <f>IFERROR(VLOOKUP($A:$A,CS!$A:$AK,26,FALSE),"")</f>
      </c>
      <c r="S514" s="54">
        <f>IFERROR(VLOOKUP($A:$A,CS!$A:$AK,29,FALSE),"")</f>
      </c>
      <c r="T514" s="54">
        <f>IFERROR(VLOOKUP($A:$A,CS!$A:$AK,33,FALSE),"")</f>
      </c>
      <c r="U514" s="54">
        <f>IFERROR(VLOOKUP($A:$A,CS!$A:$AK,34,FALSE),"")</f>
      </c>
      <c r="V514" s="54">
        <f>IFERROR(VLOOKUP($A:$A,CS!$A:$AK,35,FALSE),"")</f>
      </c>
      <c r="W514" s="54">
        <f>IFERROR(VLOOKUP($A:$A,CS!$A:$AK,36,FALSE),"")</f>
      </c>
    </row>
    <row r="515" ht="16.5" customHeight="1" spans="1:23" x14ac:dyDescent="0.25">
      <c r="A515" s="68"/>
      <c r="B515" s="54">
        <f>IFERROR(VLOOKUP($A:$A,CS!$A:$AK,3,FALSE),"")</f>
      </c>
      <c r="C515" s="54">
        <f>IFERROR(VLOOKUP($A:$A,CS!$A:$AK,4,FALSE),"")</f>
      </c>
      <c r="D515" s="54">
        <f>IFERROR(VLOOKUP($A:$A,CS!$A:$AK,5,FALSE),"")</f>
      </c>
      <c r="E515" s="54">
        <f>IFERROR(VLOOKUP($A:$A,CS!$A:$AK,7,FALSE),"")</f>
      </c>
      <c r="F515" s="54">
        <f>IFERROR(VLOOKUP($A:$A,CS!$A:$AK,8,FALSE),"")</f>
      </c>
      <c r="G515" s="54">
        <f>IFERROR(VLOOKUP($A:$A,CS!$A:$AK,10,FALSE),"")</f>
      </c>
      <c r="H515" s="54">
        <f>IFERROR(VLOOKUP($A:$A,CS!$A:$AK,14,FALSE),"")</f>
      </c>
      <c r="I515" s="54">
        <f>IFERROR(VLOOKUP($A:$A,CS!$A:$AK,15,FALSE),"")</f>
      </c>
      <c r="J515" s="54">
        <f>IFERROR(VLOOKUP($A:$A,CS!$A:$AK,18,FALSE),"")</f>
      </c>
      <c r="K515" s="54">
        <f>IFERROR(VLOOKUP($A:$A,CS!$A:$AK,19,FALSE),"")</f>
      </c>
      <c r="L515" s="54">
        <f>IFERROR(VLOOKUP($A:$A,CS!$A:$AK,20,FALSE),"")</f>
      </c>
      <c r="M515" s="54">
        <f>IFERROR(VLOOKUP($A:$A,CS!$A:$AK,22,FALSE),"")</f>
      </c>
      <c r="N515" s="54">
        <f>IFERROR(VLOOKUP($A:$A,CS!$A:$AK,19,FALSE),"")</f>
      </c>
      <c r="O515" s="54">
        <f>IFERROR(VLOOKUP($A:$A,CS!$A:$AK,23,FALSE),"")</f>
      </c>
      <c r="P515" s="54">
        <f>IFERROR(VLOOKUP($A:$A,CS!$A:$AK,24,FALSE),"")</f>
      </c>
      <c r="Q515" s="54">
        <f>IFERROR(VLOOKUP($A:$A,CS!$A:$AK,25,FALSE),"")</f>
      </c>
      <c r="R515" s="54">
        <f>IFERROR(VLOOKUP($A:$A,CS!$A:$AK,26,FALSE),"")</f>
      </c>
      <c r="S515" s="54">
        <f>IFERROR(VLOOKUP($A:$A,CS!$A:$AK,29,FALSE),"")</f>
      </c>
      <c r="T515" s="54">
        <f>IFERROR(VLOOKUP($A:$A,CS!$A:$AK,33,FALSE),"")</f>
      </c>
      <c r="U515" s="54">
        <f>IFERROR(VLOOKUP($A:$A,CS!$A:$AK,34,FALSE),"")</f>
      </c>
      <c r="V515" s="54">
        <f>IFERROR(VLOOKUP($A:$A,CS!$A:$AK,35,FALSE),"")</f>
      </c>
      <c r="W515" s="54">
        <f>IFERROR(VLOOKUP($A:$A,CS!$A:$AK,36,FALSE),"")</f>
      </c>
    </row>
    <row r="516" ht="16.5" customHeight="1" spans="1:23" x14ac:dyDescent="0.25">
      <c r="A516" s="68"/>
      <c r="B516" s="54">
        <f>IFERROR(VLOOKUP($A:$A,CS!$A:$AK,3,FALSE),"")</f>
      </c>
      <c r="C516" s="54">
        <f>IFERROR(VLOOKUP($A:$A,CS!$A:$AK,4,FALSE),"")</f>
      </c>
      <c r="D516" s="54">
        <f>IFERROR(VLOOKUP($A:$A,CS!$A:$AK,5,FALSE),"")</f>
      </c>
      <c r="E516" s="54">
        <f>IFERROR(VLOOKUP($A:$A,CS!$A:$AK,7,FALSE),"")</f>
      </c>
      <c r="F516" s="54">
        <f>IFERROR(VLOOKUP($A:$A,CS!$A:$AK,8,FALSE),"")</f>
      </c>
      <c r="G516" s="54">
        <f>IFERROR(VLOOKUP($A:$A,CS!$A:$AK,10,FALSE),"")</f>
      </c>
      <c r="H516" s="54">
        <f>IFERROR(VLOOKUP($A:$A,CS!$A:$AK,14,FALSE),"")</f>
      </c>
      <c r="I516" s="54">
        <f>IFERROR(VLOOKUP($A:$A,CS!$A:$AK,15,FALSE),"")</f>
      </c>
      <c r="J516" s="54">
        <f>IFERROR(VLOOKUP($A:$A,CS!$A:$AK,18,FALSE),"")</f>
      </c>
      <c r="K516" s="54">
        <f>IFERROR(VLOOKUP($A:$A,CS!$A:$AK,19,FALSE),"")</f>
      </c>
      <c r="L516" s="54">
        <f>IFERROR(VLOOKUP($A:$A,CS!$A:$AK,20,FALSE),"")</f>
      </c>
      <c r="M516" s="54">
        <f>IFERROR(VLOOKUP($A:$A,CS!$A:$AK,22,FALSE),"")</f>
      </c>
      <c r="N516" s="54">
        <f>IFERROR(VLOOKUP($A:$A,CS!$A:$AK,19,FALSE),"")</f>
      </c>
      <c r="O516" s="54">
        <f>IFERROR(VLOOKUP($A:$A,CS!$A:$AK,23,FALSE),"")</f>
      </c>
      <c r="P516" s="54">
        <f>IFERROR(VLOOKUP($A:$A,CS!$A:$AK,24,FALSE),"")</f>
      </c>
      <c r="Q516" s="54">
        <f>IFERROR(VLOOKUP($A:$A,CS!$A:$AK,25,FALSE),"")</f>
      </c>
      <c r="R516" s="54">
        <f>IFERROR(VLOOKUP($A:$A,CS!$A:$AK,26,FALSE),"")</f>
      </c>
      <c r="S516" s="54">
        <f>IFERROR(VLOOKUP($A:$A,CS!$A:$AK,29,FALSE),"")</f>
      </c>
      <c r="T516" s="54">
        <f>IFERROR(VLOOKUP($A:$A,CS!$A:$AK,33,FALSE),"")</f>
      </c>
      <c r="U516" s="54">
        <f>IFERROR(VLOOKUP($A:$A,CS!$A:$AK,34,FALSE),"")</f>
      </c>
      <c r="V516" s="54">
        <f>IFERROR(VLOOKUP($A:$A,CS!$A:$AK,35,FALSE),"")</f>
      </c>
      <c r="W516" s="54">
        <f>IFERROR(VLOOKUP($A:$A,CS!$A:$AK,36,FALSE),"")</f>
      </c>
    </row>
    <row r="517" ht="16.5" customHeight="1" spans="1:23" x14ac:dyDescent="0.25">
      <c r="A517" s="68"/>
      <c r="B517" s="54">
        <f>IFERROR(VLOOKUP($A:$A,CS!$A:$AK,3,FALSE),"")</f>
      </c>
      <c r="C517" s="54">
        <f>IFERROR(VLOOKUP($A:$A,CS!$A:$AK,4,FALSE),"")</f>
      </c>
      <c r="D517" s="54">
        <f>IFERROR(VLOOKUP($A:$A,CS!$A:$AK,5,FALSE),"")</f>
      </c>
      <c r="E517" s="54">
        <f>IFERROR(VLOOKUP($A:$A,CS!$A:$AK,7,FALSE),"")</f>
      </c>
      <c r="F517" s="54">
        <f>IFERROR(VLOOKUP($A:$A,CS!$A:$AK,8,FALSE),"")</f>
      </c>
      <c r="G517" s="54">
        <f>IFERROR(VLOOKUP($A:$A,CS!$A:$AK,10,FALSE),"")</f>
      </c>
      <c r="H517" s="54">
        <f>IFERROR(VLOOKUP($A:$A,CS!$A:$AK,14,FALSE),"")</f>
      </c>
      <c r="I517" s="54">
        <f>IFERROR(VLOOKUP($A:$A,CS!$A:$AK,15,FALSE),"")</f>
      </c>
      <c r="J517" s="54">
        <f>IFERROR(VLOOKUP($A:$A,CS!$A:$AK,18,FALSE),"")</f>
      </c>
      <c r="K517" s="54">
        <f>IFERROR(VLOOKUP($A:$A,CS!$A:$AK,19,FALSE),"")</f>
      </c>
      <c r="L517" s="54">
        <f>IFERROR(VLOOKUP($A:$A,CS!$A:$AK,20,FALSE),"")</f>
      </c>
      <c r="M517" s="54">
        <f>IFERROR(VLOOKUP($A:$A,CS!$A:$AK,22,FALSE),"")</f>
      </c>
      <c r="N517" s="54">
        <f>IFERROR(VLOOKUP($A:$A,CS!$A:$AK,19,FALSE),"")</f>
      </c>
      <c r="O517" s="54">
        <f>IFERROR(VLOOKUP($A:$A,CS!$A:$AK,23,FALSE),"")</f>
      </c>
      <c r="P517" s="54">
        <f>IFERROR(VLOOKUP($A:$A,CS!$A:$AK,24,FALSE),"")</f>
      </c>
      <c r="Q517" s="54">
        <f>IFERROR(VLOOKUP($A:$A,CS!$A:$AK,25,FALSE),"")</f>
      </c>
      <c r="R517" s="54">
        <f>IFERROR(VLOOKUP($A:$A,CS!$A:$AK,26,FALSE),"")</f>
      </c>
      <c r="S517" s="54">
        <f>IFERROR(VLOOKUP($A:$A,CS!$A:$AK,29,FALSE),"")</f>
      </c>
      <c r="T517" s="54">
        <f>IFERROR(VLOOKUP($A:$A,CS!$A:$AK,33,FALSE),"")</f>
      </c>
      <c r="U517" s="54">
        <f>IFERROR(VLOOKUP($A:$A,CS!$A:$AK,34,FALSE),"")</f>
      </c>
      <c r="V517" s="54">
        <f>IFERROR(VLOOKUP($A:$A,CS!$A:$AK,35,FALSE),"")</f>
      </c>
      <c r="W517" s="54">
        <f>IFERROR(VLOOKUP($A:$A,CS!$A:$AK,36,FALSE),"")</f>
      </c>
    </row>
    <row r="518" ht="16.5" customHeight="1" spans="1:23" x14ac:dyDescent="0.25">
      <c r="A518" s="68"/>
      <c r="B518" s="54">
        <f>IFERROR(VLOOKUP($A:$A,CS!$A:$AK,3,FALSE),"")</f>
      </c>
      <c r="C518" s="54">
        <f>IFERROR(VLOOKUP($A:$A,CS!$A:$AK,4,FALSE),"")</f>
      </c>
      <c r="D518" s="54">
        <f>IFERROR(VLOOKUP($A:$A,CS!$A:$AK,5,FALSE),"")</f>
      </c>
      <c r="E518" s="54">
        <f>IFERROR(VLOOKUP($A:$A,CS!$A:$AK,7,FALSE),"")</f>
      </c>
      <c r="F518" s="54">
        <f>IFERROR(VLOOKUP($A:$A,CS!$A:$AK,8,FALSE),"")</f>
      </c>
      <c r="G518" s="54">
        <f>IFERROR(VLOOKUP($A:$A,CS!$A:$AK,10,FALSE),"")</f>
      </c>
      <c r="H518" s="54">
        <f>IFERROR(VLOOKUP($A:$A,CS!$A:$AK,14,FALSE),"")</f>
      </c>
      <c r="I518" s="54">
        <f>IFERROR(VLOOKUP($A:$A,CS!$A:$AK,15,FALSE),"")</f>
      </c>
      <c r="J518" s="54">
        <f>IFERROR(VLOOKUP($A:$A,CS!$A:$AK,18,FALSE),"")</f>
      </c>
      <c r="K518" s="54">
        <f>IFERROR(VLOOKUP($A:$A,CS!$A:$AK,19,FALSE),"")</f>
      </c>
      <c r="L518" s="54">
        <f>IFERROR(VLOOKUP($A:$A,CS!$A:$AK,20,FALSE),"")</f>
      </c>
      <c r="M518" s="54">
        <f>IFERROR(VLOOKUP($A:$A,CS!$A:$AK,22,FALSE),"")</f>
      </c>
      <c r="N518" s="54">
        <f>IFERROR(VLOOKUP($A:$A,CS!$A:$AK,19,FALSE),"")</f>
      </c>
      <c r="O518" s="54">
        <f>IFERROR(VLOOKUP($A:$A,CS!$A:$AK,23,FALSE),"")</f>
      </c>
      <c r="P518" s="54">
        <f>IFERROR(VLOOKUP($A:$A,CS!$A:$AK,24,FALSE),"")</f>
      </c>
      <c r="Q518" s="54">
        <f>IFERROR(VLOOKUP($A:$A,CS!$A:$AK,25,FALSE),"")</f>
      </c>
      <c r="R518" s="54">
        <f>IFERROR(VLOOKUP($A:$A,CS!$A:$AK,26,FALSE),"")</f>
      </c>
      <c r="S518" s="54">
        <f>IFERROR(VLOOKUP($A:$A,CS!$A:$AK,29,FALSE),"")</f>
      </c>
      <c r="T518" s="54">
        <f>IFERROR(VLOOKUP($A:$A,CS!$A:$AK,33,FALSE),"")</f>
      </c>
      <c r="U518" s="54">
        <f>IFERROR(VLOOKUP($A:$A,CS!$A:$AK,34,FALSE),"")</f>
      </c>
      <c r="V518" s="54">
        <f>IFERROR(VLOOKUP($A:$A,CS!$A:$AK,35,FALSE),"")</f>
      </c>
      <c r="W518" s="54">
        <f>IFERROR(VLOOKUP($A:$A,CS!$A:$AK,36,FALSE),"")</f>
      </c>
    </row>
    <row r="519" ht="16.5" customHeight="1" spans="1:23" x14ac:dyDescent="0.25">
      <c r="A519" s="68"/>
      <c r="B519" s="54">
        <f>IFERROR(VLOOKUP($A:$A,CS!$A:$AK,3,FALSE),"")</f>
      </c>
      <c r="C519" s="54">
        <f>IFERROR(VLOOKUP($A:$A,CS!$A:$AK,4,FALSE),"")</f>
      </c>
      <c r="D519" s="54">
        <f>IFERROR(VLOOKUP($A:$A,CS!$A:$AK,5,FALSE),"")</f>
      </c>
      <c r="E519" s="54">
        <f>IFERROR(VLOOKUP($A:$A,CS!$A:$AK,7,FALSE),"")</f>
      </c>
      <c r="F519" s="54">
        <f>IFERROR(VLOOKUP($A:$A,CS!$A:$AK,8,FALSE),"")</f>
      </c>
      <c r="G519" s="54">
        <f>IFERROR(VLOOKUP($A:$A,CS!$A:$AK,10,FALSE),"")</f>
      </c>
      <c r="H519" s="54">
        <f>IFERROR(VLOOKUP($A:$A,CS!$A:$AK,14,FALSE),"")</f>
      </c>
      <c r="I519" s="54">
        <f>IFERROR(VLOOKUP($A:$A,CS!$A:$AK,15,FALSE),"")</f>
      </c>
      <c r="J519" s="54">
        <f>IFERROR(VLOOKUP($A:$A,CS!$A:$AK,18,FALSE),"")</f>
      </c>
      <c r="K519" s="54">
        <f>IFERROR(VLOOKUP($A:$A,CS!$A:$AK,19,FALSE),"")</f>
      </c>
      <c r="L519" s="54">
        <f>IFERROR(VLOOKUP($A:$A,CS!$A:$AK,20,FALSE),"")</f>
      </c>
      <c r="M519" s="54">
        <f>IFERROR(VLOOKUP($A:$A,CS!$A:$AK,22,FALSE),"")</f>
      </c>
      <c r="N519" s="54">
        <f>IFERROR(VLOOKUP($A:$A,CS!$A:$AK,19,FALSE),"")</f>
      </c>
      <c r="O519" s="54">
        <f>IFERROR(VLOOKUP($A:$A,CS!$A:$AK,23,FALSE),"")</f>
      </c>
      <c r="P519" s="54">
        <f>IFERROR(VLOOKUP($A:$A,CS!$A:$AK,24,FALSE),"")</f>
      </c>
      <c r="Q519" s="54">
        <f>IFERROR(VLOOKUP($A:$A,CS!$A:$AK,25,FALSE),"")</f>
      </c>
      <c r="R519" s="54">
        <f>IFERROR(VLOOKUP($A:$A,CS!$A:$AK,26,FALSE),"")</f>
      </c>
      <c r="S519" s="54">
        <f>IFERROR(VLOOKUP($A:$A,CS!$A:$AK,29,FALSE),"")</f>
      </c>
      <c r="T519" s="54">
        <f>IFERROR(VLOOKUP($A:$A,CS!$A:$AK,33,FALSE),"")</f>
      </c>
      <c r="U519" s="54">
        <f>IFERROR(VLOOKUP($A:$A,CS!$A:$AK,34,FALSE),"")</f>
      </c>
      <c r="V519" s="54">
        <f>IFERROR(VLOOKUP($A:$A,CS!$A:$AK,35,FALSE),"")</f>
      </c>
      <c r="W519" s="54">
        <f>IFERROR(VLOOKUP($A:$A,CS!$A:$AK,36,FALSE),"")</f>
      </c>
    </row>
    <row r="520" ht="16.5" customHeight="1" spans="1:23" x14ac:dyDescent="0.25">
      <c r="A520" s="68"/>
      <c r="B520" s="54">
        <f>IFERROR(VLOOKUP($A:$A,CS!$A:$AK,3,FALSE),"")</f>
      </c>
      <c r="C520" s="54">
        <f>IFERROR(VLOOKUP($A:$A,CS!$A:$AK,4,FALSE),"")</f>
      </c>
      <c r="D520" s="54">
        <f>IFERROR(VLOOKUP($A:$A,CS!$A:$AK,5,FALSE),"")</f>
      </c>
      <c r="E520" s="54">
        <f>IFERROR(VLOOKUP($A:$A,CS!$A:$AK,7,FALSE),"")</f>
      </c>
      <c r="F520" s="54">
        <f>IFERROR(VLOOKUP($A:$A,CS!$A:$AK,8,FALSE),"")</f>
      </c>
      <c r="G520" s="54">
        <f>IFERROR(VLOOKUP($A:$A,CS!$A:$AK,10,FALSE),"")</f>
      </c>
      <c r="H520" s="54">
        <f>IFERROR(VLOOKUP($A:$A,CS!$A:$AK,14,FALSE),"")</f>
      </c>
      <c r="I520" s="54">
        <f>IFERROR(VLOOKUP($A:$A,CS!$A:$AK,15,FALSE),"")</f>
      </c>
      <c r="J520" s="54">
        <f>IFERROR(VLOOKUP($A:$A,CS!$A:$AK,18,FALSE),"")</f>
      </c>
      <c r="K520" s="54">
        <f>IFERROR(VLOOKUP($A:$A,CS!$A:$AK,19,FALSE),"")</f>
      </c>
      <c r="L520" s="54">
        <f>IFERROR(VLOOKUP($A:$A,CS!$A:$AK,20,FALSE),"")</f>
      </c>
      <c r="M520" s="54">
        <f>IFERROR(VLOOKUP($A:$A,CS!$A:$AK,22,FALSE),"")</f>
      </c>
      <c r="N520" s="54">
        <f>IFERROR(VLOOKUP($A:$A,CS!$A:$AK,19,FALSE),"")</f>
      </c>
      <c r="O520" s="54">
        <f>IFERROR(VLOOKUP($A:$A,CS!$A:$AK,23,FALSE),"")</f>
      </c>
      <c r="P520" s="54">
        <f>IFERROR(VLOOKUP($A:$A,CS!$A:$AK,24,FALSE),"")</f>
      </c>
      <c r="Q520" s="54">
        <f>IFERROR(VLOOKUP($A:$A,CS!$A:$AK,25,FALSE),"")</f>
      </c>
      <c r="R520" s="54">
        <f>IFERROR(VLOOKUP($A:$A,CS!$A:$AK,26,FALSE),"")</f>
      </c>
      <c r="S520" s="54">
        <f>IFERROR(VLOOKUP($A:$A,CS!$A:$AK,29,FALSE),"")</f>
      </c>
      <c r="T520" s="54">
        <f>IFERROR(VLOOKUP($A:$A,CS!$A:$AK,33,FALSE),"")</f>
      </c>
      <c r="U520" s="54">
        <f>IFERROR(VLOOKUP($A:$A,CS!$A:$AK,34,FALSE),"")</f>
      </c>
      <c r="V520" s="54">
        <f>IFERROR(VLOOKUP($A:$A,CS!$A:$AK,35,FALSE),"")</f>
      </c>
      <c r="W520" s="54">
        <f>IFERROR(VLOOKUP($A:$A,CS!$A:$AK,36,FALSE),"")</f>
      </c>
    </row>
    <row r="521" ht="16.5" customHeight="1" spans="1:23" x14ac:dyDescent="0.25">
      <c r="A521" s="68"/>
      <c r="B521" s="54">
        <f>IFERROR(VLOOKUP($A:$A,CS!$A:$AK,3,FALSE),"")</f>
      </c>
      <c r="C521" s="54">
        <f>IFERROR(VLOOKUP($A:$A,CS!$A:$AK,4,FALSE),"")</f>
      </c>
      <c r="D521" s="54">
        <f>IFERROR(VLOOKUP($A:$A,CS!$A:$AK,5,FALSE),"")</f>
      </c>
      <c r="E521" s="54">
        <f>IFERROR(VLOOKUP($A:$A,CS!$A:$AK,7,FALSE),"")</f>
      </c>
      <c r="F521" s="54">
        <f>IFERROR(VLOOKUP($A:$A,CS!$A:$AK,8,FALSE),"")</f>
      </c>
      <c r="G521" s="54">
        <f>IFERROR(VLOOKUP($A:$A,CS!$A:$AK,10,FALSE),"")</f>
      </c>
      <c r="H521" s="54">
        <f>IFERROR(VLOOKUP($A:$A,CS!$A:$AK,14,FALSE),"")</f>
      </c>
      <c r="I521" s="54">
        <f>IFERROR(VLOOKUP($A:$A,CS!$A:$AK,15,FALSE),"")</f>
      </c>
      <c r="J521" s="54">
        <f>IFERROR(VLOOKUP($A:$A,CS!$A:$AK,18,FALSE),"")</f>
      </c>
      <c r="K521" s="54">
        <f>IFERROR(VLOOKUP($A:$A,CS!$A:$AK,19,FALSE),"")</f>
      </c>
      <c r="L521" s="54">
        <f>IFERROR(VLOOKUP($A:$A,CS!$A:$AK,20,FALSE),"")</f>
      </c>
      <c r="M521" s="54">
        <f>IFERROR(VLOOKUP($A:$A,CS!$A:$AK,22,FALSE),"")</f>
      </c>
      <c r="N521" s="54">
        <f>IFERROR(VLOOKUP($A:$A,CS!$A:$AK,19,FALSE),"")</f>
      </c>
      <c r="O521" s="54">
        <f>IFERROR(VLOOKUP($A:$A,CS!$A:$AK,23,FALSE),"")</f>
      </c>
      <c r="P521" s="54">
        <f>IFERROR(VLOOKUP($A:$A,CS!$A:$AK,24,FALSE),"")</f>
      </c>
      <c r="Q521" s="54">
        <f>IFERROR(VLOOKUP($A:$A,CS!$A:$AK,25,FALSE),"")</f>
      </c>
      <c r="R521" s="54">
        <f>IFERROR(VLOOKUP($A:$A,CS!$A:$AK,26,FALSE),"")</f>
      </c>
      <c r="S521" s="54">
        <f>IFERROR(VLOOKUP($A:$A,CS!$A:$AK,29,FALSE),"")</f>
      </c>
      <c r="T521" s="54">
        <f>IFERROR(VLOOKUP($A:$A,CS!$A:$AK,33,FALSE),"")</f>
      </c>
      <c r="U521" s="54">
        <f>IFERROR(VLOOKUP($A:$A,CS!$A:$AK,34,FALSE),"")</f>
      </c>
      <c r="V521" s="54">
        <f>IFERROR(VLOOKUP($A:$A,CS!$A:$AK,35,FALSE),"")</f>
      </c>
      <c r="W521" s="54">
        <f>IFERROR(VLOOKUP($A:$A,CS!$A:$AK,36,FALSE),"")</f>
      </c>
    </row>
    <row r="522" ht="16.5" customHeight="1" spans="1:23" x14ac:dyDescent="0.25">
      <c r="A522" s="68"/>
      <c r="B522" s="54">
        <f>IFERROR(VLOOKUP($A:$A,CS!$A:$AK,3,FALSE),"")</f>
      </c>
      <c r="C522" s="54">
        <f>IFERROR(VLOOKUP($A:$A,CS!$A:$AK,4,FALSE),"")</f>
      </c>
      <c r="D522" s="54">
        <f>IFERROR(VLOOKUP($A:$A,CS!$A:$AK,5,FALSE),"")</f>
      </c>
      <c r="E522" s="54">
        <f>IFERROR(VLOOKUP($A:$A,CS!$A:$AK,7,FALSE),"")</f>
      </c>
      <c r="F522" s="54">
        <f>IFERROR(VLOOKUP($A:$A,CS!$A:$AK,8,FALSE),"")</f>
      </c>
      <c r="G522" s="54">
        <f>IFERROR(VLOOKUP($A:$A,CS!$A:$AK,10,FALSE),"")</f>
      </c>
      <c r="H522" s="54">
        <f>IFERROR(VLOOKUP($A:$A,CS!$A:$AK,14,FALSE),"")</f>
      </c>
      <c r="I522" s="54">
        <f>IFERROR(VLOOKUP($A:$A,CS!$A:$AK,15,FALSE),"")</f>
      </c>
      <c r="J522" s="54">
        <f>IFERROR(VLOOKUP($A:$A,CS!$A:$AK,18,FALSE),"")</f>
      </c>
      <c r="K522" s="54">
        <f>IFERROR(VLOOKUP($A:$A,CS!$A:$AK,19,FALSE),"")</f>
      </c>
      <c r="L522" s="54">
        <f>IFERROR(VLOOKUP($A:$A,CS!$A:$AK,20,FALSE),"")</f>
      </c>
      <c r="M522" s="54">
        <f>IFERROR(VLOOKUP($A:$A,CS!$A:$AK,22,FALSE),"")</f>
      </c>
      <c r="N522" s="54">
        <f>IFERROR(VLOOKUP($A:$A,CS!$A:$AK,19,FALSE),"")</f>
      </c>
      <c r="O522" s="54">
        <f>IFERROR(VLOOKUP($A:$A,CS!$A:$AK,23,FALSE),"")</f>
      </c>
      <c r="P522" s="54">
        <f>IFERROR(VLOOKUP($A:$A,CS!$A:$AK,24,FALSE),"")</f>
      </c>
      <c r="Q522" s="54">
        <f>IFERROR(VLOOKUP($A:$A,CS!$A:$AK,25,FALSE),"")</f>
      </c>
      <c r="R522" s="54">
        <f>IFERROR(VLOOKUP($A:$A,CS!$A:$AK,26,FALSE),"")</f>
      </c>
      <c r="S522" s="54">
        <f>IFERROR(VLOOKUP($A:$A,CS!$A:$AK,29,FALSE),"")</f>
      </c>
      <c r="T522" s="54">
        <f>IFERROR(VLOOKUP($A:$A,CS!$A:$AK,33,FALSE),"")</f>
      </c>
      <c r="U522" s="54">
        <f>IFERROR(VLOOKUP($A:$A,CS!$A:$AK,34,FALSE),"")</f>
      </c>
      <c r="V522" s="54">
        <f>IFERROR(VLOOKUP($A:$A,CS!$A:$AK,35,FALSE),"")</f>
      </c>
      <c r="W522" s="54">
        <f>IFERROR(VLOOKUP($A:$A,CS!$A:$AK,36,FALSE),"")</f>
      </c>
    </row>
    <row r="523" ht="16.5" customHeight="1" spans="1:23" x14ac:dyDescent="0.25">
      <c r="A523" s="68"/>
      <c r="B523" s="54">
        <f>IFERROR(VLOOKUP($A:$A,CS!$A:$AK,3,FALSE),"")</f>
      </c>
      <c r="C523" s="54">
        <f>IFERROR(VLOOKUP($A:$A,CS!$A:$AK,4,FALSE),"")</f>
      </c>
      <c r="D523" s="54">
        <f>IFERROR(VLOOKUP($A:$A,CS!$A:$AK,5,FALSE),"")</f>
      </c>
      <c r="E523" s="54">
        <f>IFERROR(VLOOKUP($A:$A,CS!$A:$AK,7,FALSE),"")</f>
      </c>
      <c r="F523" s="54">
        <f>IFERROR(VLOOKUP($A:$A,CS!$A:$AK,8,FALSE),"")</f>
      </c>
      <c r="G523" s="54">
        <f>IFERROR(VLOOKUP($A:$A,CS!$A:$AK,10,FALSE),"")</f>
      </c>
      <c r="H523" s="54">
        <f>IFERROR(VLOOKUP($A:$A,CS!$A:$AK,14,FALSE),"")</f>
      </c>
      <c r="I523" s="54">
        <f>IFERROR(VLOOKUP($A:$A,CS!$A:$AK,15,FALSE),"")</f>
      </c>
      <c r="J523" s="54">
        <f>IFERROR(VLOOKUP($A:$A,CS!$A:$AK,18,FALSE),"")</f>
      </c>
      <c r="K523" s="54">
        <f>IFERROR(VLOOKUP($A:$A,CS!$A:$AK,19,FALSE),"")</f>
      </c>
      <c r="L523" s="54">
        <f>IFERROR(VLOOKUP($A:$A,CS!$A:$AK,20,FALSE),"")</f>
      </c>
      <c r="M523" s="54">
        <f>IFERROR(VLOOKUP($A:$A,CS!$A:$AK,22,FALSE),"")</f>
      </c>
      <c r="N523" s="54">
        <f>IFERROR(VLOOKUP($A:$A,CS!$A:$AK,19,FALSE),"")</f>
      </c>
      <c r="O523" s="54">
        <f>IFERROR(VLOOKUP($A:$A,CS!$A:$AK,23,FALSE),"")</f>
      </c>
      <c r="P523" s="54">
        <f>IFERROR(VLOOKUP($A:$A,CS!$A:$AK,24,FALSE),"")</f>
      </c>
      <c r="Q523" s="54">
        <f>IFERROR(VLOOKUP($A:$A,CS!$A:$AK,25,FALSE),"")</f>
      </c>
      <c r="R523" s="54">
        <f>IFERROR(VLOOKUP($A:$A,CS!$A:$AK,26,FALSE),"")</f>
      </c>
      <c r="S523" s="54">
        <f>IFERROR(VLOOKUP($A:$A,CS!$A:$AK,29,FALSE),"")</f>
      </c>
      <c r="T523" s="54">
        <f>IFERROR(VLOOKUP($A:$A,CS!$A:$AK,33,FALSE),"")</f>
      </c>
      <c r="U523" s="54">
        <f>IFERROR(VLOOKUP($A:$A,CS!$A:$AK,34,FALSE),"")</f>
      </c>
      <c r="V523" s="54">
        <f>IFERROR(VLOOKUP($A:$A,CS!$A:$AK,35,FALSE),"")</f>
      </c>
      <c r="W523" s="54">
        <f>IFERROR(VLOOKUP($A:$A,CS!$A:$AK,36,FALSE),"")</f>
      </c>
    </row>
    <row r="524" ht="16.5" customHeight="1" spans="1:23" x14ac:dyDescent="0.25">
      <c r="A524" s="68"/>
      <c r="B524" s="54">
        <f>IFERROR(VLOOKUP($A:$A,CS!$A:$AK,3,FALSE),"")</f>
      </c>
      <c r="C524" s="54">
        <f>IFERROR(VLOOKUP($A:$A,CS!$A:$AK,4,FALSE),"")</f>
      </c>
      <c r="D524" s="54">
        <f>IFERROR(VLOOKUP($A:$A,CS!$A:$AK,5,FALSE),"")</f>
      </c>
      <c r="E524" s="54">
        <f>IFERROR(VLOOKUP($A:$A,CS!$A:$AK,7,FALSE),"")</f>
      </c>
      <c r="F524" s="54">
        <f>IFERROR(VLOOKUP($A:$A,CS!$A:$AK,8,FALSE),"")</f>
      </c>
      <c r="G524" s="54">
        <f>IFERROR(VLOOKUP($A:$A,CS!$A:$AK,10,FALSE),"")</f>
      </c>
      <c r="H524" s="54">
        <f>IFERROR(VLOOKUP($A:$A,CS!$A:$AK,14,FALSE),"")</f>
      </c>
      <c r="I524" s="54">
        <f>IFERROR(VLOOKUP($A:$A,CS!$A:$AK,15,FALSE),"")</f>
      </c>
      <c r="J524" s="54">
        <f>IFERROR(VLOOKUP($A:$A,CS!$A:$AK,18,FALSE),"")</f>
      </c>
      <c r="K524" s="54">
        <f>IFERROR(VLOOKUP($A:$A,CS!$A:$AK,19,FALSE),"")</f>
      </c>
      <c r="L524" s="54">
        <f>IFERROR(VLOOKUP($A:$A,CS!$A:$AK,20,FALSE),"")</f>
      </c>
      <c r="M524" s="54">
        <f>IFERROR(VLOOKUP($A:$A,CS!$A:$AK,22,FALSE),"")</f>
      </c>
      <c r="N524" s="54">
        <f>IFERROR(VLOOKUP($A:$A,CS!$A:$AK,19,FALSE),"")</f>
      </c>
      <c r="O524" s="54">
        <f>IFERROR(VLOOKUP($A:$A,CS!$A:$AK,23,FALSE),"")</f>
      </c>
      <c r="P524" s="54">
        <f>IFERROR(VLOOKUP($A:$A,CS!$A:$AK,24,FALSE),"")</f>
      </c>
      <c r="Q524" s="54">
        <f>IFERROR(VLOOKUP($A:$A,CS!$A:$AK,25,FALSE),"")</f>
      </c>
      <c r="R524" s="54">
        <f>IFERROR(VLOOKUP($A:$A,CS!$A:$AK,26,FALSE),"")</f>
      </c>
      <c r="S524" s="54">
        <f>IFERROR(VLOOKUP($A:$A,CS!$A:$AK,29,FALSE),"")</f>
      </c>
      <c r="T524" s="54">
        <f>IFERROR(VLOOKUP($A:$A,CS!$A:$AK,33,FALSE),"")</f>
      </c>
      <c r="U524" s="54">
        <f>IFERROR(VLOOKUP($A:$A,CS!$A:$AK,34,FALSE),"")</f>
      </c>
      <c r="V524" s="54">
        <f>IFERROR(VLOOKUP($A:$A,CS!$A:$AK,35,FALSE),"")</f>
      </c>
      <c r="W524" s="54">
        <f>IFERROR(VLOOKUP($A:$A,CS!$A:$AK,36,FALSE),"")</f>
      </c>
    </row>
    <row r="525" ht="16.5" customHeight="1" spans="1:23" x14ac:dyDescent="0.25">
      <c r="A525" s="68"/>
      <c r="B525" s="54">
        <f>IFERROR(VLOOKUP($A:$A,CS!$A:$AK,3,FALSE),"")</f>
      </c>
      <c r="C525" s="54">
        <f>IFERROR(VLOOKUP($A:$A,CS!$A:$AK,4,FALSE),"")</f>
      </c>
      <c r="D525" s="54">
        <f>IFERROR(VLOOKUP($A:$A,CS!$A:$AK,5,FALSE),"")</f>
      </c>
      <c r="E525" s="54">
        <f>IFERROR(VLOOKUP($A:$A,CS!$A:$AK,7,FALSE),"")</f>
      </c>
      <c r="F525" s="54">
        <f>IFERROR(VLOOKUP($A:$A,CS!$A:$AK,8,FALSE),"")</f>
      </c>
      <c r="G525" s="54">
        <f>IFERROR(VLOOKUP($A:$A,CS!$A:$AK,10,FALSE),"")</f>
      </c>
      <c r="H525" s="54">
        <f>IFERROR(VLOOKUP($A:$A,CS!$A:$AK,14,FALSE),"")</f>
      </c>
      <c r="I525" s="54">
        <f>IFERROR(VLOOKUP($A:$A,CS!$A:$AK,15,FALSE),"")</f>
      </c>
      <c r="J525" s="54">
        <f>IFERROR(VLOOKUP($A:$A,CS!$A:$AK,18,FALSE),"")</f>
      </c>
      <c r="K525" s="54">
        <f>IFERROR(VLOOKUP($A:$A,CS!$A:$AK,19,FALSE),"")</f>
      </c>
      <c r="L525" s="54">
        <f>IFERROR(VLOOKUP($A:$A,CS!$A:$AK,20,FALSE),"")</f>
      </c>
      <c r="M525" s="54">
        <f>IFERROR(VLOOKUP($A:$A,CS!$A:$AK,22,FALSE),"")</f>
      </c>
      <c r="N525" s="54">
        <f>IFERROR(VLOOKUP($A:$A,CS!$A:$AK,19,FALSE),"")</f>
      </c>
      <c r="O525" s="54">
        <f>IFERROR(VLOOKUP($A:$A,CS!$A:$AK,23,FALSE),"")</f>
      </c>
      <c r="P525" s="54">
        <f>IFERROR(VLOOKUP($A:$A,CS!$A:$AK,24,FALSE),"")</f>
      </c>
      <c r="Q525" s="54">
        <f>IFERROR(VLOOKUP($A:$A,CS!$A:$AK,25,FALSE),"")</f>
      </c>
      <c r="R525" s="54">
        <f>IFERROR(VLOOKUP($A:$A,CS!$A:$AK,26,FALSE),"")</f>
      </c>
      <c r="S525" s="54">
        <f>IFERROR(VLOOKUP($A:$A,CS!$A:$AK,29,FALSE),"")</f>
      </c>
      <c r="T525" s="54">
        <f>IFERROR(VLOOKUP($A:$A,CS!$A:$AK,33,FALSE),"")</f>
      </c>
      <c r="U525" s="54">
        <f>IFERROR(VLOOKUP($A:$A,CS!$A:$AK,34,FALSE),"")</f>
      </c>
      <c r="V525" s="54">
        <f>IFERROR(VLOOKUP($A:$A,CS!$A:$AK,35,FALSE),"")</f>
      </c>
      <c r="W525" s="54">
        <f>IFERROR(VLOOKUP($A:$A,CS!$A:$AK,36,FALSE),"")</f>
      </c>
    </row>
    <row r="526" ht="16.5" customHeight="1" spans="1:23" x14ac:dyDescent="0.25">
      <c r="A526" s="68"/>
      <c r="B526" s="54">
        <f>IFERROR(VLOOKUP($A:$A,CS!$A:$AK,3,FALSE),"")</f>
      </c>
      <c r="C526" s="54">
        <f>IFERROR(VLOOKUP($A:$A,CS!$A:$AK,4,FALSE),"")</f>
      </c>
      <c r="D526" s="54">
        <f>IFERROR(VLOOKUP($A:$A,CS!$A:$AK,5,FALSE),"")</f>
      </c>
      <c r="E526" s="54">
        <f>IFERROR(VLOOKUP($A:$A,CS!$A:$AK,7,FALSE),"")</f>
      </c>
      <c r="F526" s="54">
        <f>IFERROR(VLOOKUP($A:$A,CS!$A:$AK,8,FALSE),"")</f>
      </c>
      <c r="G526" s="54">
        <f>IFERROR(VLOOKUP($A:$A,CS!$A:$AK,10,FALSE),"")</f>
      </c>
      <c r="H526" s="54">
        <f>IFERROR(VLOOKUP($A:$A,CS!$A:$AK,14,FALSE),"")</f>
      </c>
      <c r="I526" s="54">
        <f>IFERROR(VLOOKUP($A:$A,CS!$A:$AK,15,FALSE),"")</f>
      </c>
      <c r="J526" s="54">
        <f>IFERROR(VLOOKUP($A:$A,CS!$A:$AK,18,FALSE),"")</f>
      </c>
      <c r="K526" s="54">
        <f>IFERROR(VLOOKUP($A:$A,CS!$A:$AK,19,FALSE),"")</f>
      </c>
      <c r="L526" s="54">
        <f>IFERROR(VLOOKUP($A:$A,CS!$A:$AK,20,FALSE),"")</f>
      </c>
      <c r="M526" s="54">
        <f>IFERROR(VLOOKUP($A:$A,CS!$A:$AK,22,FALSE),"")</f>
      </c>
      <c r="N526" s="54">
        <f>IFERROR(VLOOKUP($A:$A,CS!$A:$AK,19,FALSE),"")</f>
      </c>
      <c r="O526" s="54">
        <f>IFERROR(VLOOKUP($A:$A,CS!$A:$AK,23,FALSE),"")</f>
      </c>
      <c r="P526" s="54">
        <f>IFERROR(VLOOKUP($A:$A,CS!$A:$AK,24,FALSE),"")</f>
      </c>
      <c r="Q526" s="54">
        <f>IFERROR(VLOOKUP($A:$A,CS!$A:$AK,25,FALSE),"")</f>
      </c>
      <c r="R526" s="54">
        <f>IFERROR(VLOOKUP($A:$A,CS!$A:$AK,26,FALSE),"")</f>
      </c>
      <c r="S526" s="54">
        <f>IFERROR(VLOOKUP($A:$A,CS!$A:$AK,29,FALSE),"")</f>
      </c>
      <c r="T526" s="54">
        <f>IFERROR(VLOOKUP($A:$A,CS!$A:$AK,33,FALSE),"")</f>
      </c>
      <c r="U526" s="54">
        <f>IFERROR(VLOOKUP($A:$A,CS!$A:$AK,34,FALSE),"")</f>
      </c>
      <c r="V526" s="54">
        <f>IFERROR(VLOOKUP($A:$A,CS!$A:$AK,35,FALSE),"")</f>
      </c>
      <c r="W526" s="54">
        <f>IFERROR(VLOOKUP($A:$A,CS!$A:$AK,36,FALSE),"")</f>
      </c>
    </row>
    <row r="527" ht="16.5" customHeight="1" spans="1:23" x14ac:dyDescent="0.25">
      <c r="A527" s="68"/>
      <c r="B527" s="54">
        <f>IFERROR(VLOOKUP($A:$A,CS!$A:$AK,3,FALSE),"")</f>
      </c>
      <c r="C527" s="54">
        <f>IFERROR(VLOOKUP($A:$A,CS!$A:$AK,4,FALSE),"")</f>
      </c>
      <c r="D527" s="54">
        <f>IFERROR(VLOOKUP($A:$A,CS!$A:$AK,5,FALSE),"")</f>
      </c>
      <c r="E527" s="54">
        <f>IFERROR(VLOOKUP($A:$A,CS!$A:$AK,7,FALSE),"")</f>
      </c>
      <c r="F527" s="54">
        <f>IFERROR(VLOOKUP($A:$A,CS!$A:$AK,8,FALSE),"")</f>
      </c>
      <c r="G527" s="54">
        <f>IFERROR(VLOOKUP($A:$A,CS!$A:$AK,10,FALSE),"")</f>
      </c>
      <c r="H527" s="54">
        <f>IFERROR(VLOOKUP($A:$A,CS!$A:$AK,14,FALSE),"")</f>
      </c>
      <c r="I527" s="54">
        <f>IFERROR(VLOOKUP($A:$A,CS!$A:$AK,15,FALSE),"")</f>
      </c>
      <c r="J527" s="54">
        <f>IFERROR(VLOOKUP($A:$A,CS!$A:$AK,18,FALSE),"")</f>
      </c>
      <c r="K527" s="54">
        <f>IFERROR(VLOOKUP($A:$A,CS!$A:$AK,19,FALSE),"")</f>
      </c>
      <c r="L527" s="54">
        <f>IFERROR(VLOOKUP($A:$A,CS!$A:$AK,20,FALSE),"")</f>
      </c>
      <c r="M527" s="54">
        <f>IFERROR(VLOOKUP($A:$A,CS!$A:$AK,22,FALSE),"")</f>
      </c>
      <c r="N527" s="54">
        <f>IFERROR(VLOOKUP($A:$A,CS!$A:$AK,19,FALSE),"")</f>
      </c>
      <c r="O527" s="54">
        <f>IFERROR(VLOOKUP($A:$A,CS!$A:$AK,23,FALSE),"")</f>
      </c>
      <c r="P527" s="54">
        <f>IFERROR(VLOOKUP($A:$A,CS!$A:$AK,24,FALSE),"")</f>
      </c>
      <c r="Q527" s="54">
        <f>IFERROR(VLOOKUP($A:$A,CS!$A:$AK,25,FALSE),"")</f>
      </c>
      <c r="R527" s="54">
        <f>IFERROR(VLOOKUP($A:$A,CS!$A:$AK,26,FALSE),"")</f>
      </c>
      <c r="S527" s="54">
        <f>IFERROR(VLOOKUP($A:$A,CS!$A:$AK,29,FALSE),"")</f>
      </c>
      <c r="T527" s="54">
        <f>IFERROR(VLOOKUP($A:$A,CS!$A:$AK,33,FALSE),"")</f>
      </c>
      <c r="U527" s="54">
        <f>IFERROR(VLOOKUP($A:$A,CS!$A:$AK,34,FALSE),"")</f>
      </c>
      <c r="V527" s="54">
        <f>IFERROR(VLOOKUP($A:$A,CS!$A:$AK,35,FALSE),"")</f>
      </c>
      <c r="W527" s="54">
        <f>IFERROR(VLOOKUP($A:$A,CS!$A:$AK,36,FALSE),"")</f>
      </c>
    </row>
    <row r="528" ht="16.5" customHeight="1" spans="1:23" x14ac:dyDescent="0.25">
      <c r="A528" s="68"/>
      <c r="B528" s="54">
        <f>IFERROR(VLOOKUP($A:$A,CS!$A:$AK,3,FALSE),"")</f>
      </c>
      <c r="C528" s="54">
        <f>IFERROR(VLOOKUP($A:$A,CS!$A:$AK,4,FALSE),"")</f>
      </c>
      <c r="D528" s="54">
        <f>IFERROR(VLOOKUP($A:$A,CS!$A:$AK,5,FALSE),"")</f>
      </c>
      <c r="E528" s="54">
        <f>IFERROR(VLOOKUP($A:$A,CS!$A:$AK,7,FALSE),"")</f>
      </c>
      <c r="F528" s="54">
        <f>IFERROR(VLOOKUP($A:$A,CS!$A:$AK,8,FALSE),"")</f>
      </c>
      <c r="G528" s="54">
        <f>IFERROR(VLOOKUP($A:$A,CS!$A:$AK,10,FALSE),"")</f>
      </c>
      <c r="H528" s="54">
        <f>IFERROR(VLOOKUP($A:$A,CS!$A:$AK,14,FALSE),"")</f>
      </c>
      <c r="I528" s="54">
        <f>IFERROR(VLOOKUP($A:$A,CS!$A:$AK,15,FALSE),"")</f>
      </c>
      <c r="J528" s="54">
        <f>IFERROR(VLOOKUP($A:$A,CS!$A:$AK,18,FALSE),"")</f>
      </c>
      <c r="K528" s="54">
        <f>IFERROR(VLOOKUP($A:$A,CS!$A:$AK,19,FALSE),"")</f>
      </c>
      <c r="L528" s="54">
        <f>IFERROR(VLOOKUP($A:$A,CS!$A:$AK,20,FALSE),"")</f>
      </c>
      <c r="M528" s="54">
        <f>IFERROR(VLOOKUP($A:$A,CS!$A:$AK,22,FALSE),"")</f>
      </c>
      <c r="N528" s="54">
        <f>IFERROR(VLOOKUP($A:$A,CS!$A:$AK,19,FALSE),"")</f>
      </c>
      <c r="O528" s="54">
        <f>IFERROR(VLOOKUP($A:$A,CS!$A:$AK,23,FALSE),"")</f>
      </c>
      <c r="P528" s="54">
        <f>IFERROR(VLOOKUP($A:$A,CS!$A:$AK,24,FALSE),"")</f>
      </c>
      <c r="Q528" s="54">
        <f>IFERROR(VLOOKUP($A:$A,CS!$A:$AK,25,FALSE),"")</f>
      </c>
      <c r="R528" s="54">
        <f>IFERROR(VLOOKUP($A:$A,CS!$A:$AK,26,FALSE),"")</f>
      </c>
      <c r="S528" s="54">
        <f>IFERROR(VLOOKUP($A:$A,CS!$A:$AK,29,FALSE),"")</f>
      </c>
      <c r="T528" s="54">
        <f>IFERROR(VLOOKUP($A:$A,CS!$A:$AK,33,FALSE),"")</f>
      </c>
      <c r="U528" s="54">
        <f>IFERROR(VLOOKUP($A:$A,CS!$A:$AK,34,FALSE),"")</f>
      </c>
      <c r="V528" s="54">
        <f>IFERROR(VLOOKUP($A:$A,CS!$A:$AK,35,FALSE),"")</f>
      </c>
      <c r="W528" s="54">
        <f>IFERROR(VLOOKUP($A:$A,CS!$A:$AK,36,FALSE),"")</f>
      </c>
    </row>
    <row r="529" ht="16.5" customHeight="1" spans="1:23" x14ac:dyDescent="0.25">
      <c r="A529" s="68"/>
      <c r="B529" s="54">
        <f>IFERROR(VLOOKUP($A:$A,CS!$A:$AK,3,FALSE),"")</f>
      </c>
      <c r="C529" s="54">
        <f>IFERROR(VLOOKUP($A:$A,CS!$A:$AK,4,FALSE),"")</f>
      </c>
      <c r="D529" s="54">
        <f>IFERROR(VLOOKUP($A:$A,CS!$A:$AK,5,FALSE),"")</f>
      </c>
      <c r="E529" s="54">
        <f>IFERROR(VLOOKUP($A:$A,CS!$A:$AK,7,FALSE),"")</f>
      </c>
      <c r="F529" s="54">
        <f>IFERROR(VLOOKUP($A:$A,CS!$A:$AK,8,FALSE),"")</f>
      </c>
      <c r="G529" s="54">
        <f>IFERROR(VLOOKUP($A:$A,CS!$A:$AK,10,FALSE),"")</f>
      </c>
      <c r="H529" s="54">
        <f>IFERROR(VLOOKUP($A:$A,CS!$A:$AK,14,FALSE),"")</f>
      </c>
      <c r="I529" s="54">
        <f>IFERROR(VLOOKUP($A:$A,CS!$A:$AK,15,FALSE),"")</f>
      </c>
      <c r="J529" s="54">
        <f>IFERROR(VLOOKUP($A:$A,CS!$A:$AK,18,FALSE),"")</f>
      </c>
      <c r="K529" s="54">
        <f>IFERROR(VLOOKUP($A:$A,CS!$A:$AK,19,FALSE),"")</f>
      </c>
      <c r="L529" s="54">
        <f>IFERROR(VLOOKUP($A:$A,CS!$A:$AK,20,FALSE),"")</f>
      </c>
      <c r="M529" s="54">
        <f>IFERROR(VLOOKUP($A:$A,CS!$A:$AK,22,FALSE),"")</f>
      </c>
      <c r="N529" s="54">
        <f>IFERROR(VLOOKUP($A:$A,CS!$A:$AK,19,FALSE),"")</f>
      </c>
      <c r="O529" s="54">
        <f>IFERROR(VLOOKUP($A:$A,CS!$A:$AK,23,FALSE),"")</f>
      </c>
      <c r="P529" s="54">
        <f>IFERROR(VLOOKUP($A:$A,CS!$A:$AK,24,FALSE),"")</f>
      </c>
      <c r="Q529" s="54">
        <f>IFERROR(VLOOKUP($A:$A,CS!$A:$AK,25,FALSE),"")</f>
      </c>
      <c r="R529" s="54">
        <f>IFERROR(VLOOKUP($A:$A,CS!$A:$AK,26,FALSE),"")</f>
      </c>
      <c r="S529" s="54">
        <f>IFERROR(VLOOKUP($A:$A,CS!$A:$AK,29,FALSE),"")</f>
      </c>
      <c r="T529" s="54">
        <f>IFERROR(VLOOKUP($A:$A,CS!$A:$AK,33,FALSE),"")</f>
      </c>
      <c r="U529" s="54">
        <f>IFERROR(VLOOKUP($A:$A,CS!$A:$AK,34,FALSE),"")</f>
      </c>
      <c r="V529" s="54">
        <f>IFERROR(VLOOKUP($A:$A,CS!$A:$AK,35,FALSE),"")</f>
      </c>
      <c r="W529" s="54">
        <f>IFERROR(VLOOKUP($A:$A,CS!$A:$AK,36,FALSE),"")</f>
      </c>
    </row>
    <row r="530" ht="16.5" customHeight="1" spans="1:23" x14ac:dyDescent="0.25">
      <c r="A530" s="68"/>
      <c r="B530" s="54">
        <f>IFERROR(VLOOKUP($A:$A,CS!$A:$AK,3,FALSE),"")</f>
      </c>
      <c r="C530" s="54">
        <f>IFERROR(VLOOKUP($A:$A,CS!$A:$AK,4,FALSE),"")</f>
      </c>
      <c r="D530" s="54">
        <f>IFERROR(VLOOKUP($A:$A,CS!$A:$AK,5,FALSE),"")</f>
      </c>
      <c r="E530" s="54">
        <f>IFERROR(VLOOKUP($A:$A,CS!$A:$AK,7,FALSE),"")</f>
      </c>
      <c r="F530" s="54">
        <f>IFERROR(VLOOKUP($A:$A,CS!$A:$AK,8,FALSE),"")</f>
      </c>
      <c r="G530" s="54">
        <f>IFERROR(VLOOKUP($A:$A,CS!$A:$AK,10,FALSE),"")</f>
      </c>
      <c r="H530" s="54">
        <f>IFERROR(VLOOKUP($A:$A,CS!$A:$AK,14,FALSE),"")</f>
      </c>
      <c r="I530" s="54">
        <f>IFERROR(VLOOKUP($A:$A,CS!$A:$AK,15,FALSE),"")</f>
      </c>
      <c r="J530" s="54">
        <f>IFERROR(VLOOKUP($A:$A,CS!$A:$AK,18,FALSE),"")</f>
      </c>
      <c r="K530" s="54">
        <f>IFERROR(VLOOKUP($A:$A,CS!$A:$AK,19,FALSE),"")</f>
      </c>
      <c r="L530" s="54">
        <f>IFERROR(VLOOKUP($A:$A,CS!$A:$AK,20,FALSE),"")</f>
      </c>
      <c r="M530" s="54">
        <f>IFERROR(VLOOKUP($A:$A,CS!$A:$AK,22,FALSE),"")</f>
      </c>
      <c r="N530" s="54">
        <f>IFERROR(VLOOKUP($A:$A,CS!$A:$AK,19,FALSE),"")</f>
      </c>
      <c r="O530" s="54">
        <f>IFERROR(VLOOKUP($A:$A,CS!$A:$AK,23,FALSE),"")</f>
      </c>
      <c r="P530" s="54">
        <f>IFERROR(VLOOKUP($A:$A,CS!$A:$AK,24,FALSE),"")</f>
      </c>
      <c r="Q530" s="54">
        <f>IFERROR(VLOOKUP($A:$A,CS!$A:$AK,25,FALSE),"")</f>
      </c>
      <c r="R530" s="54">
        <f>IFERROR(VLOOKUP($A:$A,CS!$A:$AK,26,FALSE),"")</f>
      </c>
      <c r="S530" s="54">
        <f>IFERROR(VLOOKUP($A:$A,CS!$A:$AK,29,FALSE),"")</f>
      </c>
      <c r="T530" s="54">
        <f>IFERROR(VLOOKUP($A:$A,CS!$A:$AK,33,FALSE),"")</f>
      </c>
      <c r="U530" s="54">
        <f>IFERROR(VLOOKUP($A:$A,CS!$A:$AK,34,FALSE),"")</f>
      </c>
      <c r="V530" s="54">
        <f>IFERROR(VLOOKUP($A:$A,CS!$A:$AK,35,FALSE),"")</f>
      </c>
      <c r="W530" s="54">
        <f>IFERROR(VLOOKUP($A:$A,CS!$A:$AK,36,FALSE),"")</f>
      </c>
    </row>
    <row r="531" ht="16.5" customHeight="1" spans="1:23" x14ac:dyDescent="0.25">
      <c r="A531" s="68"/>
      <c r="B531" s="54">
        <f>IFERROR(VLOOKUP($A:$A,CS!$A:$AK,3,FALSE),"")</f>
      </c>
      <c r="C531" s="54">
        <f>IFERROR(VLOOKUP($A:$A,CS!$A:$AK,4,FALSE),"")</f>
      </c>
      <c r="D531" s="54">
        <f>IFERROR(VLOOKUP($A:$A,CS!$A:$AK,5,FALSE),"")</f>
      </c>
      <c r="E531" s="54">
        <f>IFERROR(VLOOKUP($A:$A,CS!$A:$AK,7,FALSE),"")</f>
      </c>
      <c r="F531" s="54">
        <f>IFERROR(VLOOKUP($A:$A,CS!$A:$AK,8,FALSE),"")</f>
      </c>
      <c r="G531" s="54">
        <f>IFERROR(VLOOKUP($A:$A,CS!$A:$AK,10,FALSE),"")</f>
      </c>
      <c r="H531" s="54">
        <f>IFERROR(VLOOKUP($A:$A,CS!$A:$AK,14,FALSE),"")</f>
      </c>
      <c r="I531" s="54">
        <f>IFERROR(VLOOKUP($A:$A,CS!$A:$AK,15,FALSE),"")</f>
      </c>
      <c r="J531" s="54">
        <f>IFERROR(VLOOKUP($A:$A,CS!$A:$AK,18,FALSE),"")</f>
      </c>
      <c r="K531" s="54">
        <f>IFERROR(VLOOKUP($A:$A,CS!$A:$AK,19,FALSE),"")</f>
      </c>
      <c r="L531" s="54">
        <f>IFERROR(VLOOKUP($A:$A,CS!$A:$AK,20,FALSE),"")</f>
      </c>
      <c r="M531" s="54">
        <f>IFERROR(VLOOKUP($A:$A,CS!$A:$AK,22,FALSE),"")</f>
      </c>
      <c r="N531" s="54">
        <f>IFERROR(VLOOKUP($A:$A,CS!$A:$AK,19,FALSE),"")</f>
      </c>
      <c r="O531" s="54">
        <f>IFERROR(VLOOKUP($A:$A,CS!$A:$AK,23,FALSE),"")</f>
      </c>
      <c r="P531" s="54">
        <f>IFERROR(VLOOKUP($A:$A,CS!$A:$AK,24,FALSE),"")</f>
      </c>
      <c r="Q531" s="54">
        <f>IFERROR(VLOOKUP($A:$A,CS!$A:$AK,25,FALSE),"")</f>
      </c>
      <c r="R531" s="54">
        <f>IFERROR(VLOOKUP($A:$A,CS!$A:$AK,26,FALSE),"")</f>
      </c>
      <c r="S531" s="54">
        <f>IFERROR(VLOOKUP($A:$A,CS!$A:$AK,29,FALSE),"")</f>
      </c>
      <c r="T531" s="54">
        <f>IFERROR(VLOOKUP($A:$A,CS!$A:$AK,33,FALSE),"")</f>
      </c>
      <c r="U531" s="54">
        <f>IFERROR(VLOOKUP($A:$A,CS!$A:$AK,34,FALSE),"")</f>
      </c>
      <c r="V531" s="54">
        <f>IFERROR(VLOOKUP($A:$A,CS!$A:$AK,35,FALSE),"")</f>
      </c>
      <c r="W531" s="54">
        <f>IFERROR(VLOOKUP($A:$A,CS!$A:$AK,36,FALSE),"")</f>
      </c>
    </row>
    <row r="532" ht="16.5" customHeight="1" spans="1:23" x14ac:dyDescent="0.25">
      <c r="A532" s="68"/>
      <c r="B532" s="54">
        <f>IFERROR(VLOOKUP($A:$A,CS!$A:$AK,3,FALSE),"")</f>
      </c>
      <c r="C532" s="54">
        <f>IFERROR(VLOOKUP($A:$A,CS!$A:$AK,4,FALSE),"")</f>
      </c>
      <c r="D532" s="54">
        <f>IFERROR(VLOOKUP($A:$A,CS!$A:$AK,5,FALSE),"")</f>
      </c>
      <c r="E532" s="54">
        <f>IFERROR(VLOOKUP($A:$A,CS!$A:$AK,7,FALSE),"")</f>
      </c>
      <c r="F532" s="54">
        <f>IFERROR(VLOOKUP($A:$A,CS!$A:$AK,8,FALSE),"")</f>
      </c>
      <c r="G532" s="54">
        <f>IFERROR(VLOOKUP($A:$A,CS!$A:$AK,10,FALSE),"")</f>
      </c>
      <c r="H532" s="54">
        <f>IFERROR(VLOOKUP($A:$A,CS!$A:$AK,14,FALSE),"")</f>
      </c>
      <c r="I532" s="54">
        <f>IFERROR(VLOOKUP($A:$A,CS!$A:$AK,15,FALSE),"")</f>
      </c>
      <c r="J532" s="54">
        <f>IFERROR(VLOOKUP($A:$A,CS!$A:$AK,18,FALSE),"")</f>
      </c>
      <c r="K532" s="54">
        <f>IFERROR(VLOOKUP($A:$A,CS!$A:$AK,19,FALSE),"")</f>
      </c>
      <c r="L532" s="54">
        <f>IFERROR(VLOOKUP($A:$A,CS!$A:$AK,20,FALSE),"")</f>
      </c>
      <c r="M532" s="54">
        <f>IFERROR(VLOOKUP($A:$A,CS!$A:$AK,22,FALSE),"")</f>
      </c>
      <c r="N532" s="54">
        <f>IFERROR(VLOOKUP($A:$A,CS!$A:$AK,19,FALSE),"")</f>
      </c>
      <c r="O532" s="54">
        <f>IFERROR(VLOOKUP($A:$A,CS!$A:$AK,23,FALSE),"")</f>
      </c>
      <c r="P532" s="54">
        <f>IFERROR(VLOOKUP($A:$A,CS!$A:$AK,24,FALSE),"")</f>
      </c>
      <c r="Q532" s="54">
        <f>IFERROR(VLOOKUP($A:$A,CS!$A:$AK,25,FALSE),"")</f>
      </c>
      <c r="R532" s="54">
        <f>IFERROR(VLOOKUP($A:$A,CS!$A:$AK,26,FALSE),"")</f>
      </c>
      <c r="S532" s="54">
        <f>IFERROR(VLOOKUP($A:$A,CS!$A:$AK,29,FALSE),"")</f>
      </c>
      <c r="T532" s="54">
        <f>IFERROR(VLOOKUP($A:$A,CS!$A:$AK,33,FALSE),"")</f>
      </c>
      <c r="U532" s="54">
        <f>IFERROR(VLOOKUP($A:$A,CS!$A:$AK,34,FALSE),"")</f>
      </c>
      <c r="V532" s="54">
        <f>IFERROR(VLOOKUP($A:$A,CS!$A:$AK,35,FALSE),"")</f>
      </c>
      <c r="W532" s="54">
        <f>IFERROR(VLOOKUP($A:$A,CS!$A:$AK,36,FALSE),"")</f>
      </c>
    </row>
    <row r="533" ht="16.5" customHeight="1" spans="1:23" x14ac:dyDescent="0.25">
      <c r="A533" s="68"/>
      <c r="B533" s="54">
        <f>IFERROR(VLOOKUP($A:$A,CS!$A:$AK,3,FALSE),"")</f>
      </c>
      <c r="C533" s="54">
        <f>IFERROR(VLOOKUP($A:$A,CS!$A:$AK,4,FALSE),"")</f>
      </c>
      <c r="D533" s="54">
        <f>IFERROR(VLOOKUP($A:$A,CS!$A:$AK,5,FALSE),"")</f>
      </c>
      <c r="E533" s="54">
        <f>IFERROR(VLOOKUP($A:$A,CS!$A:$AK,7,FALSE),"")</f>
      </c>
      <c r="F533" s="54">
        <f>IFERROR(VLOOKUP($A:$A,CS!$A:$AK,8,FALSE),"")</f>
      </c>
      <c r="G533" s="54">
        <f>IFERROR(VLOOKUP($A:$A,CS!$A:$AK,10,FALSE),"")</f>
      </c>
      <c r="H533" s="54">
        <f>IFERROR(VLOOKUP($A:$A,CS!$A:$AK,14,FALSE),"")</f>
      </c>
      <c r="I533" s="54">
        <f>IFERROR(VLOOKUP($A:$A,CS!$A:$AK,15,FALSE),"")</f>
      </c>
      <c r="J533" s="54">
        <f>IFERROR(VLOOKUP($A:$A,CS!$A:$AK,18,FALSE),"")</f>
      </c>
      <c r="K533" s="54">
        <f>IFERROR(VLOOKUP($A:$A,CS!$A:$AK,19,FALSE),"")</f>
      </c>
      <c r="L533" s="54">
        <f>IFERROR(VLOOKUP($A:$A,CS!$A:$AK,20,FALSE),"")</f>
      </c>
      <c r="M533" s="54">
        <f>IFERROR(VLOOKUP($A:$A,CS!$A:$AK,22,FALSE),"")</f>
      </c>
      <c r="N533" s="54">
        <f>IFERROR(VLOOKUP($A:$A,CS!$A:$AK,19,FALSE),"")</f>
      </c>
      <c r="O533" s="54">
        <f>IFERROR(VLOOKUP($A:$A,CS!$A:$AK,23,FALSE),"")</f>
      </c>
      <c r="P533" s="54">
        <f>IFERROR(VLOOKUP($A:$A,CS!$A:$AK,24,FALSE),"")</f>
      </c>
      <c r="Q533" s="54">
        <f>IFERROR(VLOOKUP($A:$A,CS!$A:$AK,25,FALSE),"")</f>
      </c>
      <c r="R533" s="54">
        <f>IFERROR(VLOOKUP($A:$A,CS!$A:$AK,26,FALSE),"")</f>
      </c>
      <c r="S533" s="54">
        <f>IFERROR(VLOOKUP($A:$A,CS!$A:$AK,29,FALSE),"")</f>
      </c>
      <c r="T533" s="54">
        <f>IFERROR(VLOOKUP($A:$A,CS!$A:$AK,33,FALSE),"")</f>
      </c>
      <c r="U533" s="54">
        <f>IFERROR(VLOOKUP($A:$A,CS!$A:$AK,34,FALSE),"")</f>
      </c>
      <c r="V533" s="54">
        <f>IFERROR(VLOOKUP($A:$A,CS!$A:$AK,35,FALSE),"")</f>
      </c>
      <c r="W533" s="54">
        <f>IFERROR(VLOOKUP($A:$A,CS!$A:$AK,36,FALSE),"")</f>
      </c>
    </row>
    <row r="534" ht="16.5" customHeight="1" spans="1:23" x14ac:dyDescent="0.25">
      <c r="A534" s="68"/>
      <c r="B534" s="54">
        <f>IFERROR(VLOOKUP($A:$A,CS!$A:$AK,3,FALSE),"")</f>
      </c>
      <c r="C534" s="54">
        <f>IFERROR(VLOOKUP($A:$A,CS!$A:$AK,4,FALSE),"")</f>
      </c>
      <c r="D534" s="54">
        <f>IFERROR(VLOOKUP($A:$A,CS!$A:$AK,5,FALSE),"")</f>
      </c>
      <c r="E534" s="54">
        <f>IFERROR(VLOOKUP($A:$A,CS!$A:$AK,7,FALSE),"")</f>
      </c>
      <c r="F534" s="54">
        <f>IFERROR(VLOOKUP($A:$A,CS!$A:$AK,8,FALSE),"")</f>
      </c>
      <c r="G534" s="54">
        <f>IFERROR(VLOOKUP($A:$A,CS!$A:$AK,10,FALSE),"")</f>
      </c>
      <c r="H534" s="54">
        <f>IFERROR(VLOOKUP($A:$A,CS!$A:$AK,14,FALSE),"")</f>
      </c>
      <c r="I534" s="54">
        <f>IFERROR(VLOOKUP($A:$A,CS!$A:$AK,15,FALSE),"")</f>
      </c>
      <c r="J534" s="54">
        <f>IFERROR(VLOOKUP($A:$A,CS!$A:$AK,18,FALSE),"")</f>
      </c>
      <c r="K534" s="54">
        <f>IFERROR(VLOOKUP($A:$A,CS!$A:$AK,19,FALSE),"")</f>
      </c>
      <c r="L534" s="54">
        <f>IFERROR(VLOOKUP($A:$A,CS!$A:$AK,20,FALSE),"")</f>
      </c>
      <c r="M534" s="54">
        <f>IFERROR(VLOOKUP($A:$A,CS!$A:$AK,22,FALSE),"")</f>
      </c>
      <c r="N534" s="54">
        <f>IFERROR(VLOOKUP($A:$A,CS!$A:$AK,19,FALSE),"")</f>
      </c>
      <c r="O534" s="54">
        <f>IFERROR(VLOOKUP($A:$A,CS!$A:$AK,23,FALSE),"")</f>
      </c>
      <c r="P534" s="54">
        <f>IFERROR(VLOOKUP($A:$A,CS!$A:$AK,24,FALSE),"")</f>
      </c>
      <c r="Q534" s="54">
        <f>IFERROR(VLOOKUP($A:$A,CS!$A:$AK,25,FALSE),"")</f>
      </c>
      <c r="R534" s="54">
        <f>IFERROR(VLOOKUP($A:$A,CS!$A:$AK,26,FALSE),"")</f>
      </c>
      <c r="S534" s="54">
        <f>IFERROR(VLOOKUP($A:$A,CS!$A:$AK,29,FALSE),"")</f>
      </c>
      <c r="T534" s="54">
        <f>IFERROR(VLOOKUP($A:$A,CS!$A:$AK,33,FALSE),"")</f>
      </c>
      <c r="U534" s="54">
        <f>IFERROR(VLOOKUP($A:$A,CS!$A:$AK,34,FALSE),"")</f>
      </c>
      <c r="V534" s="54">
        <f>IFERROR(VLOOKUP($A:$A,CS!$A:$AK,35,FALSE),"")</f>
      </c>
      <c r="W534" s="54">
        <f>IFERROR(VLOOKUP($A:$A,CS!$A:$AK,36,FALSE),"")</f>
      </c>
    </row>
    <row r="535" ht="16.5" customHeight="1" spans="1:23" x14ac:dyDescent="0.25">
      <c r="A535" s="68"/>
      <c r="B535" s="54">
        <f>IFERROR(VLOOKUP($A:$A,CS!$A:$AK,3,FALSE),"")</f>
      </c>
      <c r="C535" s="54">
        <f>IFERROR(VLOOKUP($A:$A,CS!$A:$AK,4,FALSE),"")</f>
      </c>
      <c r="D535" s="54">
        <f>IFERROR(VLOOKUP($A:$A,CS!$A:$AK,5,FALSE),"")</f>
      </c>
      <c r="E535" s="54">
        <f>IFERROR(VLOOKUP($A:$A,CS!$A:$AK,7,FALSE),"")</f>
      </c>
      <c r="F535" s="54">
        <f>IFERROR(VLOOKUP($A:$A,CS!$A:$AK,8,FALSE),"")</f>
      </c>
      <c r="G535" s="54">
        <f>IFERROR(VLOOKUP($A:$A,CS!$A:$AK,10,FALSE),"")</f>
      </c>
      <c r="H535" s="54">
        <f>IFERROR(VLOOKUP($A:$A,CS!$A:$AK,14,FALSE),"")</f>
      </c>
      <c r="I535" s="54">
        <f>IFERROR(VLOOKUP($A:$A,CS!$A:$AK,15,FALSE),"")</f>
      </c>
      <c r="J535" s="54">
        <f>IFERROR(VLOOKUP($A:$A,CS!$A:$AK,18,FALSE),"")</f>
      </c>
      <c r="K535" s="54">
        <f>IFERROR(VLOOKUP($A:$A,CS!$A:$AK,19,FALSE),"")</f>
      </c>
      <c r="L535" s="54">
        <f>IFERROR(VLOOKUP($A:$A,CS!$A:$AK,20,FALSE),"")</f>
      </c>
      <c r="M535" s="54">
        <f>IFERROR(VLOOKUP($A:$A,CS!$A:$AK,22,FALSE),"")</f>
      </c>
      <c r="N535" s="54">
        <f>IFERROR(VLOOKUP($A:$A,CS!$A:$AK,19,FALSE),"")</f>
      </c>
      <c r="O535" s="54">
        <f>IFERROR(VLOOKUP($A:$A,CS!$A:$AK,23,FALSE),"")</f>
      </c>
      <c r="P535" s="54">
        <f>IFERROR(VLOOKUP($A:$A,CS!$A:$AK,24,FALSE),"")</f>
      </c>
      <c r="Q535" s="54">
        <f>IFERROR(VLOOKUP($A:$A,CS!$A:$AK,25,FALSE),"")</f>
      </c>
      <c r="R535" s="54">
        <f>IFERROR(VLOOKUP($A:$A,CS!$A:$AK,26,FALSE),"")</f>
      </c>
      <c r="S535" s="54">
        <f>IFERROR(VLOOKUP($A:$A,CS!$A:$AK,29,FALSE),"")</f>
      </c>
      <c r="T535" s="54">
        <f>IFERROR(VLOOKUP($A:$A,CS!$A:$AK,33,FALSE),"")</f>
      </c>
      <c r="U535" s="54">
        <f>IFERROR(VLOOKUP($A:$A,CS!$A:$AK,34,FALSE),"")</f>
      </c>
      <c r="V535" s="54">
        <f>IFERROR(VLOOKUP($A:$A,CS!$A:$AK,35,FALSE),"")</f>
      </c>
      <c r="W535" s="54">
        <f>IFERROR(VLOOKUP($A:$A,CS!$A:$AK,36,FALSE),"")</f>
      </c>
    </row>
    <row r="536" ht="16.5" customHeight="1" spans="1:23" x14ac:dyDescent="0.25">
      <c r="A536" s="68"/>
      <c r="B536" s="54">
        <f>IFERROR(VLOOKUP($A:$A,CS!$A:$AK,3,FALSE),"")</f>
      </c>
      <c r="C536" s="54">
        <f>IFERROR(VLOOKUP($A:$A,CS!$A:$AK,4,FALSE),"")</f>
      </c>
      <c r="D536" s="54">
        <f>IFERROR(VLOOKUP($A:$A,CS!$A:$AK,5,FALSE),"")</f>
      </c>
      <c r="E536" s="54">
        <f>IFERROR(VLOOKUP($A:$A,CS!$A:$AK,7,FALSE),"")</f>
      </c>
      <c r="F536" s="54">
        <f>IFERROR(VLOOKUP($A:$A,CS!$A:$AK,8,FALSE),"")</f>
      </c>
      <c r="G536" s="54">
        <f>IFERROR(VLOOKUP($A:$A,CS!$A:$AK,10,FALSE),"")</f>
      </c>
      <c r="H536" s="54">
        <f>IFERROR(VLOOKUP($A:$A,CS!$A:$AK,14,FALSE),"")</f>
      </c>
      <c r="I536" s="54">
        <f>IFERROR(VLOOKUP($A:$A,CS!$A:$AK,15,FALSE),"")</f>
      </c>
      <c r="J536" s="54">
        <f>IFERROR(VLOOKUP($A:$A,CS!$A:$AK,18,FALSE),"")</f>
      </c>
      <c r="K536" s="54">
        <f>IFERROR(VLOOKUP($A:$A,CS!$A:$AK,19,FALSE),"")</f>
      </c>
      <c r="L536" s="54">
        <f>IFERROR(VLOOKUP($A:$A,CS!$A:$AK,20,FALSE),"")</f>
      </c>
      <c r="M536" s="54">
        <f>IFERROR(VLOOKUP($A:$A,CS!$A:$AK,22,FALSE),"")</f>
      </c>
      <c r="N536" s="54">
        <f>IFERROR(VLOOKUP($A:$A,CS!$A:$AK,19,FALSE),"")</f>
      </c>
      <c r="O536" s="54">
        <f>IFERROR(VLOOKUP($A:$A,CS!$A:$AK,23,FALSE),"")</f>
      </c>
      <c r="P536" s="54">
        <f>IFERROR(VLOOKUP($A:$A,CS!$A:$AK,24,FALSE),"")</f>
      </c>
      <c r="Q536" s="54">
        <f>IFERROR(VLOOKUP($A:$A,CS!$A:$AK,25,FALSE),"")</f>
      </c>
      <c r="R536" s="54">
        <f>IFERROR(VLOOKUP($A:$A,CS!$A:$AK,26,FALSE),"")</f>
      </c>
      <c r="S536" s="54">
        <f>IFERROR(VLOOKUP($A:$A,CS!$A:$AK,29,FALSE),"")</f>
      </c>
      <c r="T536" s="54">
        <f>IFERROR(VLOOKUP($A:$A,CS!$A:$AK,33,FALSE),"")</f>
      </c>
      <c r="U536" s="54">
        <f>IFERROR(VLOOKUP($A:$A,CS!$A:$AK,34,FALSE),"")</f>
      </c>
      <c r="V536" s="54">
        <f>IFERROR(VLOOKUP($A:$A,CS!$A:$AK,35,FALSE),"")</f>
      </c>
      <c r="W536" s="54">
        <f>IFERROR(VLOOKUP($A:$A,CS!$A:$AK,36,FALSE),"")</f>
      </c>
    </row>
    <row r="537" ht="16.5" customHeight="1" spans="1:23" x14ac:dyDescent="0.25">
      <c r="A537" s="68"/>
      <c r="B537" s="54">
        <f>IFERROR(VLOOKUP($A:$A,CS!$A:$AK,3,FALSE),"")</f>
      </c>
      <c r="C537" s="54">
        <f>IFERROR(VLOOKUP($A:$A,CS!$A:$AK,4,FALSE),"")</f>
      </c>
      <c r="D537" s="54">
        <f>IFERROR(VLOOKUP($A:$A,CS!$A:$AK,5,FALSE),"")</f>
      </c>
      <c r="E537" s="54">
        <f>IFERROR(VLOOKUP($A:$A,CS!$A:$AK,7,FALSE),"")</f>
      </c>
      <c r="F537" s="54">
        <f>IFERROR(VLOOKUP($A:$A,CS!$A:$AK,8,FALSE),"")</f>
      </c>
      <c r="G537" s="54">
        <f>IFERROR(VLOOKUP($A:$A,CS!$A:$AK,10,FALSE),"")</f>
      </c>
      <c r="H537" s="54">
        <f>IFERROR(VLOOKUP($A:$A,CS!$A:$AK,14,FALSE),"")</f>
      </c>
      <c r="I537" s="54">
        <f>IFERROR(VLOOKUP($A:$A,CS!$A:$AK,15,FALSE),"")</f>
      </c>
      <c r="J537" s="54">
        <f>IFERROR(VLOOKUP($A:$A,CS!$A:$AK,18,FALSE),"")</f>
      </c>
      <c r="K537" s="54">
        <f>IFERROR(VLOOKUP($A:$A,CS!$A:$AK,19,FALSE),"")</f>
      </c>
      <c r="L537" s="54">
        <f>IFERROR(VLOOKUP($A:$A,CS!$A:$AK,20,FALSE),"")</f>
      </c>
      <c r="M537" s="54">
        <f>IFERROR(VLOOKUP($A:$A,CS!$A:$AK,22,FALSE),"")</f>
      </c>
      <c r="N537" s="54">
        <f>IFERROR(VLOOKUP($A:$A,CS!$A:$AK,19,FALSE),"")</f>
      </c>
      <c r="O537" s="54">
        <f>IFERROR(VLOOKUP($A:$A,CS!$A:$AK,23,FALSE),"")</f>
      </c>
      <c r="P537" s="54">
        <f>IFERROR(VLOOKUP($A:$A,CS!$A:$AK,24,FALSE),"")</f>
      </c>
      <c r="Q537" s="54">
        <f>IFERROR(VLOOKUP($A:$A,CS!$A:$AK,25,FALSE),"")</f>
      </c>
      <c r="R537" s="54">
        <f>IFERROR(VLOOKUP($A:$A,CS!$A:$AK,26,FALSE),"")</f>
      </c>
      <c r="S537" s="54">
        <f>IFERROR(VLOOKUP($A:$A,CS!$A:$AK,29,FALSE),"")</f>
      </c>
      <c r="T537" s="54">
        <f>IFERROR(VLOOKUP($A:$A,CS!$A:$AK,33,FALSE),"")</f>
      </c>
      <c r="U537" s="54">
        <f>IFERROR(VLOOKUP($A:$A,CS!$A:$AK,34,FALSE),"")</f>
      </c>
      <c r="V537" s="54">
        <f>IFERROR(VLOOKUP($A:$A,CS!$A:$AK,35,FALSE),"")</f>
      </c>
      <c r="W537" s="54">
        <f>IFERROR(VLOOKUP($A:$A,CS!$A:$AK,36,FALSE),"")</f>
      </c>
    </row>
    <row r="538" ht="16.5" customHeight="1" spans="1:23" x14ac:dyDescent="0.25">
      <c r="A538" s="68"/>
      <c r="B538" s="54">
        <f>IFERROR(VLOOKUP($A:$A,CS!$A:$AK,3,FALSE),"")</f>
      </c>
      <c r="C538" s="54">
        <f>IFERROR(VLOOKUP($A:$A,CS!$A:$AK,4,FALSE),"")</f>
      </c>
      <c r="D538" s="54">
        <f>IFERROR(VLOOKUP($A:$A,CS!$A:$AK,5,FALSE),"")</f>
      </c>
      <c r="E538" s="54">
        <f>IFERROR(VLOOKUP($A:$A,CS!$A:$AK,7,FALSE),"")</f>
      </c>
      <c r="F538" s="54">
        <f>IFERROR(VLOOKUP($A:$A,CS!$A:$AK,8,FALSE),"")</f>
      </c>
      <c r="G538" s="54">
        <f>IFERROR(VLOOKUP($A:$A,CS!$A:$AK,10,FALSE),"")</f>
      </c>
      <c r="H538" s="54">
        <f>IFERROR(VLOOKUP($A:$A,CS!$A:$AK,14,FALSE),"")</f>
      </c>
      <c r="I538" s="54">
        <f>IFERROR(VLOOKUP($A:$A,CS!$A:$AK,15,FALSE),"")</f>
      </c>
      <c r="J538" s="54">
        <f>IFERROR(VLOOKUP($A:$A,CS!$A:$AK,18,FALSE),"")</f>
      </c>
      <c r="K538" s="54">
        <f>IFERROR(VLOOKUP($A:$A,CS!$A:$AK,19,FALSE),"")</f>
      </c>
      <c r="L538" s="54">
        <f>IFERROR(VLOOKUP($A:$A,CS!$A:$AK,20,FALSE),"")</f>
      </c>
      <c r="M538" s="54">
        <f>IFERROR(VLOOKUP($A:$A,CS!$A:$AK,22,FALSE),"")</f>
      </c>
      <c r="N538" s="54">
        <f>IFERROR(VLOOKUP($A:$A,CS!$A:$AK,19,FALSE),"")</f>
      </c>
      <c r="O538" s="54">
        <f>IFERROR(VLOOKUP($A:$A,CS!$A:$AK,23,FALSE),"")</f>
      </c>
      <c r="P538" s="54">
        <f>IFERROR(VLOOKUP($A:$A,CS!$A:$AK,24,FALSE),"")</f>
      </c>
      <c r="Q538" s="54">
        <f>IFERROR(VLOOKUP($A:$A,CS!$A:$AK,25,FALSE),"")</f>
      </c>
      <c r="R538" s="54">
        <f>IFERROR(VLOOKUP($A:$A,CS!$A:$AK,26,FALSE),"")</f>
      </c>
      <c r="S538" s="54">
        <f>IFERROR(VLOOKUP($A:$A,CS!$A:$AK,29,FALSE),"")</f>
      </c>
      <c r="T538" s="54">
        <f>IFERROR(VLOOKUP($A:$A,CS!$A:$AK,33,FALSE),"")</f>
      </c>
      <c r="U538" s="54">
        <f>IFERROR(VLOOKUP($A:$A,CS!$A:$AK,34,FALSE),"")</f>
      </c>
      <c r="V538" s="54">
        <f>IFERROR(VLOOKUP($A:$A,CS!$A:$AK,35,FALSE),"")</f>
      </c>
      <c r="W538" s="54">
        <f>IFERROR(VLOOKUP($A:$A,CS!$A:$AK,36,FALSE),"")</f>
      </c>
    </row>
    <row r="539" ht="16.5" customHeight="1" spans="1:23" x14ac:dyDescent="0.25">
      <c r="A539" s="68"/>
      <c r="B539" s="54">
        <f>IFERROR(VLOOKUP($A:$A,CS!$A:$AK,3,FALSE),"")</f>
      </c>
      <c r="C539" s="54">
        <f>IFERROR(VLOOKUP($A:$A,CS!$A:$AK,4,FALSE),"")</f>
      </c>
      <c r="D539" s="54">
        <f>IFERROR(VLOOKUP($A:$A,CS!$A:$AK,5,FALSE),"")</f>
      </c>
      <c r="E539" s="54">
        <f>IFERROR(VLOOKUP($A:$A,CS!$A:$AK,7,FALSE),"")</f>
      </c>
      <c r="F539" s="54">
        <f>IFERROR(VLOOKUP($A:$A,CS!$A:$AK,8,FALSE),"")</f>
      </c>
      <c r="G539" s="54">
        <f>IFERROR(VLOOKUP($A:$A,CS!$A:$AK,10,FALSE),"")</f>
      </c>
      <c r="H539" s="54">
        <f>IFERROR(VLOOKUP($A:$A,CS!$A:$AK,14,FALSE),"")</f>
      </c>
      <c r="I539" s="54">
        <f>IFERROR(VLOOKUP($A:$A,CS!$A:$AK,15,FALSE),"")</f>
      </c>
      <c r="J539" s="54">
        <f>IFERROR(VLOOKUP($A:$A,CS!$A:$AK,18,FALSE),"")</f>
      </c>
      <c r="K539" s="54">
        <f>IFERROR(VLOOKUP($A:$A,CS!$A:$AK,19,FALSE),"")</f>
      </c>
      <c r="L539" s="54">
        <f>IFERROR(VLOOKUP($A:$A,CS!$A:$AK,20,FALSE),"")</f>
      </c>
      <c r="M539" s="54">
        <f>IFERROR(VLOOKUP($A:$A,CS!$A:$AK,22,FALSE),"")</f>
      </c>
      <c r="N539" s="54">
        <f>IFERROR(VLOOKUP($A:$A,CS!$A:$AK,19,FALSE),"")</f>
      </c>
      <c r="O539" s="54">
        <f>IFERROR(VLOOKUP($A:$A,CS!$A:$AK,23,FALSE),"")</f>
      </c>
      <c r="P539" s="54">
        <f>IFERROR(VLOOKUP($A:$A,CS!$A:$AK,24,FALSE),"")</f>
      </c>
      <c r="Q539" s="54">
        <f>IFERROR(VLOOKUP($A:$A,CS!$A:$AK,25,FALSE),"")</f>
      </c>
      <c r="R539" s="54">
        <f>IFERROR(VLOOKUP($A:$A,CS!$A:$AK,26,FALSE),"")</f>
      </c>
      <c r="S539" s="54">
        <f>IFERROR(VLOOKUP($A:$A,CS!$A:$AK,29,FALSE),"")</f>
      </c>
      <c r="T539" s="54">
        <f>IFERROR(VLOOKUP($A:$A,CS!$A:$AK,33,FALSE),"")</f>
      </c>
      <c r="U539" s="54">
        <f>IFERROR(VLOOKUP($A:$A,CS!$A:$AK,34,FALSE),"")</f>
      </c>
      <c r="V539" s="54">
        <f>IFERROR(VLOOKUP($A:$A,CS!$A:$AK,35,FALSE),"")</f>
      </c>
      <c r="W539" s="54">
        <f>IFERROR(VLOOKUP($A:$A,CS!$A:$AK,36,FALSE),"")</f>
      </c>
    </row>
    <row r="540" ht="16.5" customHeight="1" spans="1:23" x14ac:dyDescent="0.25">
      <c r="A540" s="68"/>
      <c r="B540" s="54">
        <f>IFERROR(VLOOKUP($A:$A,CS!$A:$AK,3,FALSE),"")</f>
      </c>
      <c r="C540" s="54">
        <f>IFERROR(VLOOKUP($A:$A,CS!$A:$AK,4,FALSE),"")</f>
      </c>
      <c r="D540" s="54">
        <f>IFERROR(VLOOKUP($A:$A,CS!$A:$AK,5,FALSE),"")</f>
      </c>
      <c r="E540" s="54">
        <f>IFERROR(VLOOKUP($A:$A,CS!$A:$AK,7,FALSE),"")</f>
      </c>
      <c r="F540" s="54">
        <f>IFERROR(VLOOKUP($A:$A,CS!$A:$AK,8,FALSE),"")</f>
      </c>
      <c r="G540" s="54">
        <f>IFERROR(VLOOKUP($A:$A,CS!$A:$AK,10,FALSE),"")</f>
      </c>
      <c r="H540" s="54">
        <f>IFERROR(VLOOKUP($A:$A,CS!$A:$AK,14,FALSE),"")</f>
      </c>
      <c r="I540" s="54">
        <f>IFERROR(VLOOKUP($A:$A,CS!$A:$AK,15,FALSE),"")</f>
      </c>
      <c r="J540" s="54">
        <f>IFERROR(VLOOKUP($A:$A,CS!$A:$AK,18,FALSE),"")</f>
      </c>
      <c r="K540" s="54">
        <f>IFERROR(VLOOKUP($A:$A,CS!$A:$AK,19,FALSE),"")</f>
      </c>
      <c r="L540" s="54">
        <f>IFERROR(VLOOKUP($A:$A,CS!$A:$AK,20,FALSE),"")</f>
      </c>
      <c r="M540" s="54">
        <f>IFERROR(VLOOKUP($A:$A,CS!$A:$AK,22,FALSE),"")</f>
      </c>
      <c r="N540" s="54">
        <f>IFERROR(VLOOKUP($A:$A,CS!$A:$AK,19,FALSE),"")</f>
      </c>
      <c r="O540" s="54">
        <f>IFERROR(VLOOKUP($A:$A,CS!$A:$AK,23,FALSE),"")</f>
      </c>
      <c r="P540" s="54">
        <f>IFERROR(VLOOKUP($A:$A,CS!$A:$AK,24,FALSE),"")</f>
      </c>
      <c r="Q540" s="54">
        <f>IFERROR(VLOOKUP($A:$A,CS!$A:$AK,25,FALSE),"")</f>
      </c>
      <c r="R540" s="54">
        <f>IFERROR(VLOOKUP($A:$A,CS!$A:$AK,26,FALSE),"")</f>
      </c>
      <c r="S540" s="54">
        <f>IFERROR(VLOOKUP($A:$A,CS!$A:$AK,29,FALSE),"")</f>
      </c>
      <c r="T540" s="54">
        <f>IFERROR(VLOOKUP($A:$A,CS!$A:$AK,33,FALSE),"")</f>
      </c>
      <c r="U540" s="54">
        <f>IFERROR(VLOOKUP($A:$A,CS!$A:$AK,34,FALSE),"")</f>
      </c>
      <c r="V540" s="54">
        <f>IFERROR(VLOOKUP($A:$A,CS!$A:$AK,35,FALSE),"")</f>
      </c>
      <c r="W540" s="54">
        <f>IFERROR(VLOOKUP($A:$A,CS!$A:$AK,36,FALSE),"")</f>
      </c>
    </row>
    <row r="541" ht="16.5" customHeight="1" spans="1:23" x14ac:dyDescent="0.25">
      <c r="A541" s="68"/>
      <c r="B541" s="54">
        <f>IFERROR(VLOOKUP($A:$A,CS!$A:$AK,3,FALSE),"")</f>
      </c>
      <c r="C541" s="54">
        <f>IFERROR(VLOOKUP($A:$A,CS!$A:$AK,4,FALSE),"")</f>
      </c>
      <c r="D541" s="54">
        <f>IFERROR(VLOOKUP($A:$A,CS!$A:$AK,5,FALSE),"")</f>
      </c>
      <c r="E541" s="54">
        <f>IFERROR(VLOOKUP($A:$A,CS!$A:$AK,7,FALSE),"")</f>
      </c>
      <c r="F541" s="54">
        <f>IFERROR(VLOOKUP($A:$A,CS!$A:$AK,8,FALSE),"")</f>
      </c>
      <c r="G541" s="54">
        <f>IFERROR(VLOOKUP($A:$A,CS!$A:$AK,10,FALSE),"")</f>
      </c>
      <c r="H541" s="54">
        <f>IFERROR(VLOOKUP($A:$A,CS!$A:$AK,14,FALSE),"")</f>
      </c>
      <c r="I541" s="54">
        <f>IFERROR(VLOOKUP($A:$A,CS!$A:$AK,15,FALSE),"")</f>
      </c>
      <c r="J541" s="54">
        <f>IFERROR(VLOOKUP($A:$A,CS!$A:$AK,18,FALSE),"")</f>
      </c>
      <c r="K541" s="54">
        <f>IFERROR(VLOOKUP($A:$A,CS!$A:$AK,19,FALSE),"")</f>
      </c>
      <c r="L541" s="54">
        <f>IFERROR(VLOOKUP($A:$A,CS!$A:$AK,20,FALSE),"")</f>
      </c>
      <c r="M541" s="54">
        <f>IFERROR(VLOOKUP($A:$A,CS!$A:$AK,22,FALSE),"")</f>
      </c>
      <c r="N541" s="54">
        <f>IFERROR(VLOOKUP($A:$A,CS!$A:$AK,19,FALSE),"")</f>
      </c>
      <c r="O541" s="54">
        <f>IFERROR(VLOOKUP($A:$A,CS!$A:$AK,23,FALSE),"")</f>
      </c>
      <c r="P541" s="54">
        <f>IFERROR(VLOOKUP($A:$A,CS!$A:$AK,24,FALSE),"")</f>
      </c>
      <c r="Q541" s="54">
        <f>IFERROR(VLOOKUP($A:$A,CS!$A:$AK,25,FALSE),"")</f>
      </c>
      <c r="R541" s="54">
        <f>IFERROR(VLOOKUP($A:$A,CS!$A:$AK,26,FALSE),"")</f>
      </c>
      <c r="S541" s="54">
        <f>IFERROR(VLOOKUP($A:$A,CS!$A:$AK,29,FALSE),"")</f>
      </c>
      <c r="T541" s="54">
        <f>IFERROR(VLOOKUP($A:$A,CS!$A:$AK,33,FALSE),"")</f>
      </c>
      <c r="U541" s="54">
        <f>IFERROR(VLOOKUP($A:$A,CS!$A:$AK,34,FALSE),"")</f>
      </c>
      <c r="V541" s="54">
        <f>IFERROR(VLOOKUP($A:$A,CS!$A:$AK,35,FALSE),"")</f>
      </c>
      <c r="W541" s="54">
        <f>IFERROR(VLOOKUP($A:$A,CS!$A:$AK,36,FALSE),"")</f>
      </c>
    </row>
    <row r="542" ht="16.5" customHeight="1" spans="1:23" x14ac:dyDescent="0.25">
      <c r="A542" s="68"/>
      <c r="B542" s="54">
        <f>IFERROR(VLOOKUP($A:$A,CS!$A:$AK,3,FALSE),"")</f>
      </c>
      <c r="C542" s="54">
        <f>IFERROR(VLOOKUP($A:$A,CS!$A:$AK,4,FALSE),"")</f>
      </c>
      <c r="D542" s="54">
        <f>IFERROR(VLOOKUP($A:$A,CS!$A:$AK,5,FALSE),"")</f>
      </c>
      <c r="E542" s="54">
        <f>IFERROR(VLOOKUP($A:$A,CS!$A:$AK,7,FALSE),"")</f>
      </c>
      <c r="F542" s="54">
        <f>IFERROR(VLOOKUP($A:$A,CS!$A:$AK,8,FALSE),"")</f>
      </c>
      <c r="G542" s="54">
        <f>IFERROR(VLOOKUP($A:$A,CS!$A:$AK,10,FALSE),"")</f>
      </c>
      <c r="H542" s="54">
        <f>IFERROR(VLOOKUP($A:$A,CS!$A:$AK,14,FALSE),"")</f>
      </c>
      <c r="I542" s="54">
        <f>IFERROR(VLOOKUP($A:$A,CS!$A:$AK,15,FALSE),"")</f>
      </c>
      <c r="J542" s="54">
        <f>IFERROR(VLOOKUP($A:$A,CS!$A:$AK,18,FALSE),"")</f>
      </c>
      <c r="K542" s="54">
        <f>IFERROR(VLOOKUP($A:$A,CS!$A:$AK,19,FALSE),"")</f>
      </c>
      <c r="L542" s="54">
        <f>IFERROR(VLOOKUP($A:$A,CS!$A:$AK,20,FALSE),"")</f>
      </c>
      <c r="M542" s="54">
        <f>IFERROR(VLOOKUP($A:$A,CS!$A:$AK,22,FALSE),"")</f>
      </c>
      <c r="N542" s="54">
        <f>IFERROR(VLOOKUP($A:$A,CS!$A:$AK,19,FALSE),"")</f>
      </c>
      <c r="O542" s="54">
        <f>IFERROR(VLOOKUP($A:$A,CS!$A:$AK,23,FALSE),"")</f>
      </c>
      <c r="P542" s="54">
        <f>IFERROR(VLOOKUP($A:$A,CS!$A:$AK,24,FALSE),"")</f>
      </c>
      <c r="Q542" s="54">
        <f>IFERROR(VLOOKUP($A:$A,CS!$A:$AK,25,FALSE),"")</f>
      </c>
      <c r="R542" s="54">
        <f>IFERROR(VLOOKUP($A:$A,CS!$A:$AK,26,FALSE),"")</f>
      </c>
      <c r="S542" s="54">
        <f>IFERROR(VLOOKUP($A:$A,CS!$A:$AK,29,FALSE),"")</f>
      </c>
      <c r="T542" s="54">
        <f>IFERROR(VLOOKUP($A:$A,CS!$A:$AK,33,FALSE),"")</f>
      </c>
      <c r="U542" s="54">
        <f>IFERROR(VLOOKUP($A:$A,CS!$A:$AK,34,FALSE),"")</f>
      </c>
      <c r="V542" s="54">
        <f>IFERROR(VLOOKUP($A:$A,CS!$A:$AK,35,FALSE),"")</f>
      </c>
      <c r="W542" s="54">
        <f>IFERROR(VLOOKUP($A:$A,CS!$A:$AK,36,FALSE),"")</f>
      </c>
    </row>
    <row r="543" ht="16.5" customHeight="1" spans="1:23" x14ac:dyDescent="0.25">
      <c r="A543" s="68"/>
      <c r="B543" s="54">
        <f>IFERROR(VLOOKUP($A:$A,CS!$A:$AK,3,FALSE),"")</f>
      </c>
      <c r="C543" s="54">
        <f>IFERROR(VLOOKUP($A:$A,CS!$A:$AK,4,FALSE),"")</f>
      </c>
      <c r="D543" s="54">
        <f>IFERROR(VLOOKUP($A:$A,CS!$A:$AK,5,FALSE),"")</f>
      </c>
      <c r="E543" s="54">
        <f>IFERROR(VLOOKUP($A:$A,CS!$A:$AK,7,FALSE),"")</f>
      </c>
      <c r="F543" s="54">
        <f>IFERROR(VLOOKUP($A:$A,CS!$A:$AK,8,FALSE),"")</f>
      </c>
      <c r="G543" s="54">
        <f>IFERROR(VLOOKUP($A:$A,CS!$A:$AK,10,FALSE),"")</f>
      </c>
      <c r="H543" s="54">
        <f>IFERROR(VLOOKUP($A:$A,CS!$A:$AK,14,FALSE),"")</f>
      </c>
      <c r="I543" s="54">
        <f>IFERROR(VLOOKUP($A:$A,CS!$A:$AK,15,FALSE),"")</f>
      </c>
      <c r="J543" s="54">
        <f>IFERROR(VLOOKUP($A:$A,CS!$A:$AK,18,FALSE),"")</f>
      </c>
      <c r="K543" s="54">
        <f>IFERROR(VLOOKUP($A:$A,CS!$A:$AK,19,FALSE),"")</f>
      </c>
      <c r="L543" s="54">
        <f>IFERROR(VLOOKUP($A:$A,CS!$A:$AK,20,FALSE),"")</f>
      </c>
      <c r="M543" s="54">
        <f>IFERROR(VLOOKUP($A:$A,CS!$A:$AK,22,FALSE),"")</f>
      </c>
      <c r="N543" s="54">
        <f>IFERROR(VLOOKUP($A:$A,CS!$A:$AK,19,FALSE),"")</f>
      </c>
      <c r="O543" s="54">
        <f>IFERROR(VLOOKUP($A:$A,CS!$A:$AK,23,FALSE),"")</f>
      </c>
      <c r="P543" s="54">
        <f>IFERROR(VLOOKUP($A:$A,CS!$A:$AK,24,FALSE),"")</f>
      </c>
      <c r="Q543" s="54">
        <f>IFERROR(VLOOKUP($A:$A,CS!$A:$AK,25,FALSE),"")</f>
      </c>
      <c r="R543" s="54">
        <f>IFERROR(VLOOKUP($A:$A,CS!$A:$AK,26,FALSE),"")</f>
      </c>
      <c r="S543" s="54">
        <f>IFERROR(VLOOKUP($A:$A,CS!$A:$AK,29,FALSE),"")</f>
      </c>
      <c r="T543" s="54">
        <f>IFERROR(VLOOKUP($A:$A,CS!$A:$AK,33,FALSE),"")</f>
      </c>
      <c r="U543" s="54">
        <f>IFERROR(VLOOKUP($A:$A,CS!$A:$AK,34,FALSE),"")</f>
      </c>
      <c r="V543" s="54">
        <f>IFERROR(VLOOKUP($A:$A,CS!$A:$AK,35,FALSE),"")</f>
      </c>
      <c r="W543" s="54">
        <f>IFERROR(VLOOKUP($A:$A,CS!$A:$AK,36,FALSE),"")</f>
      </c>
    </row>
    <row r="544" ht="16.5" customHeight="1" spans="1:23" x14ac:dyDescent="0.25">
      <c r="A544" s="68"/>
      <c r="B544" s="54">
        <f>IFERROR(VLOOKUP($A:$A,CS!$A:$AK,3,FALSE),"")</f>
      </c>
      <c r="C544" s="54">
        <f>IFERROR(VLOOKUP($A:$A,CS!$A:$AK,4,FALSE),"")</f>
      </c>
      <c r="D544" s="54">
        <f>IFERROR(VLOOKUP($A:$A,CS!$A:$AK,5,FALSE),"")</f>
      </c>
      <c r="E544" s="54">
        <f>IFERROR(VLOOKUP($A:$A,CS!$A:$AK,7,FALSE),"")</f>
      </c>
      <c r="F544" s="54">
        <f>IFERROR(VLOOKUP($A:$A,CS!$A:$AK,8,FALSE),"")</f>
      </c>
      <c r="G544" s="54">
        <f>IFERROR(VLOOKUP($A:$A,CS!$A:$AK,10,FALSE),"")</f>
      </c>
      <c r="H544" s="54">
        <f>IFERROR(VLOOKUP($A:$A,CS!$A:$AK,14,FALSE),"")</f>
      </c>
      <c r="I544" s="54">
        <f>IFERROR(VLOOKUP($A:$A,CS!$A:$AK,15,FALSE),"")</f>
      </c>
      <c r="J544" s="54">
        <f>IFERROR(VLOOKUP($A:$A,CS!$A:$AK,18,FALSE),"")</f>
      </c>
      <c r="K544" s="54">
        <f>IFERROR(VLOOKUP($A:$A,CS!$A:$AK,19,FALSE),"")</f>
      </c>
      <c r="L544" s="54">
        <f>IFERROR(VLOOKUP($A:$A,CS!$A:$AK,20,FALSE),"")</f>
      </c>
      <c r="M544" s="54">
        <f>IFERROR(VLOOKUP($A:$A,CS!$A:$AK,22,FALSE),"")</f>
      </c>
      <c r="N544" s="54">
        <f>IFERROR(VLOOKUP($A:$A,CS!$A:$AK,19,FALSE),"")</f>
      </c>
      <c r="O544" s="54">
        <f>IFERROR(VLOOKUP($A:$A,CS!$A:$AK,23,FALSE),"")</f>
      </c>
      <c r="P544" s="54">
        <f>IFERROR(VLOOKUP($A:$A,CS!$A:$AK,24,FALSE),"")</f>
      </c>
      <c r="Q544" s="54">
        <f>IFERROR(VLOOKUP($A:$A,CS!$A:$AK,25,FALSE),"")</f>
      </c>
      <c r="R544" s="54">
        <f>IFERROR(VLOOKUP($A:$A,CS!$A:$AK,26,FALSE),"")</f>
      </c>
      <c r="S544" s="54">
        <f>IFERROR(VLOOKUP($A:$A,CS!$A:$AK,29,FALSE),"")</f>
      </c>
      <c r="T544" s="54">
        <f>IFERROR(VLOOKUP($A:$A,CS!$A:$AK,33,FALSE),"")</f>
      </c>
      <c r="U544" s="54">
        <f>IFERROR(VLOOKUP($A:$A,CS!$A:$AK,34,FALSE),"")</f>
      </c>
      <c r="V544" s="54">
        <f>IFERROR(VLOOKUP($A:$A,CS!$A:$AK,35,FALSE),"")</f>
      </c>
      <c r="W544" s="54">
        <f>IFERROR(VLOOKUP($A:$A,CS!$A:$AK,36,FALSE),"")</f>
      </c>
    </row>
    <row r="545" ht="16.5" customHeight="1" spans="1:23" x14ac:dyDescent="0.25">
      <c r="A545" s="68"/>
      <c r="B545" s="54">
        <f>IFERROR(VLOOKUP($A:$A,CS!$A:$AK,3,FALSE),"")</f>
      </c>
      <c r="C545" s="54">
        <f>IFERROR(VLOOKUP($A:$A,CS!$A:$AK,4,FALSE),"")</f>
      </c>
      <c r="D545" s="54">
        <f>IFERROR(VLOOKUP($A:$A,CS!$A:$AK,5,FALSE),"")</f>
      </c>
      <c r="E545" s="54">
        <f>IFERROR(VLOOKUP($A:$A,CS!$A:$AK,7,FALSE),"")</f>
      </c>
      <c r="F545" s="54">
        <f>IFERROR(VLOOKUP($A:$A,CS!$A:$AK,8,FALSE),"")</f>
      </c>
      <c r="G545" s="54">
        <f>IFERROR(VLOOKUP($A:$A,CS!$A:$AK,10,FALSE),"")</f>
      </c>
      <c r="H545" s="54">
        <f>IFERROR(VLOOKUP($A:$A,CS!$A:$AK,14,FALSE),"")</f>
      </c>
      <c r="I545" s="54">
        <f>IFERROR(VLOOKUP($A:$A,CS!$A:$AK,15,FALSE),"")</f>
      </c>
      <c r="J545" s="54">
        <f>IFERROR(VLOOKUP($A:$A,CS!$A:$AK,18,FALSE),"")</f>
      </c>
      <c r="K545" s="54">
        <f>IFERROR(VLOOKUP($A:$A,CS!$A:$AK,19,FALSE),"")</f>
      </c>
      <c r="L545" s="54">
        <f>IFERROR(VLOOKUP($A:$A,CS!$A:$AK,20,FALSE),"")</f>
      </c>
      <c r="M545" s="54">
        <f>IFERROR(VLOOKUP($A:$A,CS!$A:$AK,22,FALSE),"")</f>
      </c>
      <c r="N545" s="54">
        <f>IFERROR(VLOOKUP($A:$A,CS!$A:$AK,19,FALSE),"")</f>
      </c>
      <c r="O545" s="54">
        <f>IFERROR(VLOOKUP($A:$A,CS!$A:$AK,23,FALSE),"")</f>
      </c>
      <c r="P545" s="54">
        <f>IFERROR(VLOOKUP($A:$A,CS!$A:$AK,24,FALSE),"")</f>
      </c>
      <c r="Q545" s="54">
        <f>IFERROR(VLOOKUP($A:$A,CS!$A:$AK,25,FALSE),"")</f>
      </c>
      <c r="R545" s="54">
        <f>IFERROR(VLOOKUP($A:$A,CS!$A:$AK,26,FALSE),"")</f>
      </c>
      <c r="S545" s="54">
        <f>IFERROR(VLOOKUP($A:$A,CS!$A:$AK,29,FALSE),"")</f>
      </c>
      <c r="T545" s="54">
        <f>IFERROR(VLOOKUP($A:$A,CS!$A:$AK,33,FALSE),"")</f>
      </c>
      <c r="U545" s="54">
        <f>IFERROR(VLOOKUP($A:$A,CS!$A:$AK,34,FALSE),"")</f>
      </c>
      <c r="V545" s="54">
        <f>IFERROR(VLOOKUP($A:$A,CS!$A:$AK,35,FALSE),"")</f>
      </c>
      <c r="W545" s="54">
        <f>IFERROR(VLOOKUP($A:$A,CS!$A:$AK,36,FALSE),"")</f>
      </c>
    </row>
    <row r="546" ht="16.5" customHeight="1" spans="1:23" x14ac:dyDescent="0.25">
      <c r="A546" s="68"/>
      <c r="B546" s="54">
        <f>IFERROR(VLOOKUP($A:$A,CS!$A:$AK,3,FALSE),"")</f>
      </c>
      <c r="C546" s="54">
        <f>IFERROR(VLOOKUP($A:$A,CS!$A:$AK,4,FALSE),"")</f>
      </c>
      <c r="D546" s="54">
        <f>IFERROR(VLOOKUP($A:$A,CS!$A:$AK,5,FALSE),"")</f>
      </c>
      <c r="E546" s="54">
        <f>IFERROR(VLOOKUP($A:$A,CS!$A:$AK,7,FALSE),"")</f>
      </c>
      <c r="F546" s="54">
        <f>IFERROR(VLOOKUP($A:$A,CS!$A:$AK,8,FALSE),"")</f>
      </c>
      <c r="G546" s="54">
        <f>IFERROR(VLOOKUP($A:$A,CS!$A:$AK,10,FALSE),"")</f>
      </c>
      <c r="H546" s="54">
        <f>IFERROR(VLOOKUP($A:$A,CS!$A:$AK,14,FALSE),"")</f>
      </c>
      <c r="I546" s="54">
        <f>IFERROR(VLOOKUP($A:$A,CS!$A:$AK,15,FALSE),"")</f>
      </c>
      <c r="J546" s="54">
        <f>IFERROR(VLOOKUP($A:$A,CS!$A:$AK,18,FALSE),"")</f>
      </c>
      <c r="K546" s="54">
        <f>IFERROR(VLOOKUP($A:$A,CS!$A:$AK,19,FALSE),"")</f>
      </c>
      <c r="L546" s="54">
        <f>IFERROR(VLOOKUP($A:$A,CS!$A:$AK,20,FALSE),"")</f>
      </c>
      <c r="M546" s="54">
        <f>IFERROR(VLOOKUP($A:$A,CS!$A:$AK,22,FALSE),"")</f>
      </c>
      <c r="N546" s="54">
        <f>IFERROR(VLOOKUP($A:$A,CS!$A:$AK,19,FALSE),"")</f>
      </c>
      <c r="O546" s="54">
        <f>IFERROR(VLOOKUP($A:$A,CS!$A:$AK,23,FALSE),"")</f>
      </c>
      <c r="P546" s="54">
        <f>IFERROR(VLOOKUP($A:$A,CS!$A:$AK,24,FALSE),"")</f>
      </c>
      <c r="Q546" s="54">
        <f>IFERROR(VLOOKUP($A:$A,CS!$A:$AK,25,FALSE),"")</f>
      </c>
      <c r="R546" s="54">
        <f>IFERROR(VLOOKUP($A:$A,CS!$A:$AK,26,FALSE),"")</f>
      </c>
      <c r="S546" s="54">
        <f>IFERROR(VLOOKUP($A:$A,CS!$A:$AK,29,FALSE),"")</f>
      </c>
      <c r="T546" s="54">
        <f>IFERROR(VLOOKUP($A:$A,CS!$A:$AK,33,FALSE),"")</f>
      </c>
      <c r="U546" s="54">
        <f>IFERROR(VLOOKUP($A:$A,CS!$A:$AK,34,FALSE),"")</f>
      </c>
      <c r="V546" s="54">
        <f>IFERROR(VLOOKUP($A:$A,CS!$A:$AK,35,FALSE),"")</f>
      </c>
      <c r="W546" s="54">
        <f>IFERROR(VLOOKUP($A:$A,CS!$A:$AK,36,FALSE),"")</f>
      </c>
    </row>
    <row r="547" ht="16.5" customHeight="1" spans="1:23" x14ac:dyDescent="0.25">
      <c r="A547" s="68"/>
      <c r="B547" s="54">
        <f>IFERROR(VLOOKUP($A:$A,CS!$A:$AK,3,FALSE),"")</f>
      </c>
      <c r="C547" s="54">
        <f>IFERROR(VLOOKUP($A:$A,CS!$A:$AK,4,FALSE),"")</f>
      </c>
      <c r="D547" s="54">
        <f>IFERROR(VLOOKUP($A:$A,CS!$A:$AK,5,FALSE),"")</f>
      </c>
      <c r="E547" s="54">
        <f>IFERROR(VLOOKUP($A:$A,CS!$A:$AK,7,FALSE),"")</f>
      </c>
      <c r="F547" s="54">
        <f>IFERROR(VLOOKUP($A:$A,CS!$A:$AK,8,FALSE),"")</f>
      </c>
      <c r="G547" s="54">
        <f>IFERROR(VLOOKUP($A:$A,CS!$A:$AK,10,FALSE),"")</f>
      </c>
      <c r="H547" s="54">
        <f>IFERROR(VLOOKUP($A:$A,CS!$A:$AK,14,FALSE),"")</f>
      </c>
      <c r="I547" s="54">
        <f>IFERROR(VLOOKUP($A:$A,CS!$A:$AK,15,FALSE),"")</f>
      </c>
      <c r="J547" s="54">
        <f>IFERROR(VLOOKUP($A:$A,CS!$A:$AK,18,FALSE),"")</f>
      </c>
      <c r="K547" s="54">
        <f>IFERROR(VLOOKUP($A:$A,CS!$A:$AK,19,FALSE),"")</f>
      </c>
      <c r="L547" s="54">
        <f>IFERROR(VLOOKUP($A:$A,CS!$A:$AK,20,FALSE),"")</f>
      </c>
      <c r="M547" s="54">
        <f>IFERROR(VLOOKUP($A:$A,CS!$A:$AK,22,FALSE),"")</f>
      </c>
      <c r="N547" s="54">
        <f>IFERROR(VLOOKUP($A:$A,CS!$A:$AK,19,FALSE),"")</f>
      </c>
      <c r="O547" s="54">
        <f>IFERROR(VLOOKUP($A:$A,CS!$A:$AK,23,FALSE),"")</f>
      </c>
      <c r="P547" s="54">
        <f>IFERROR(VLOOKUP($A:$A,CS!$A:$AK,24,FALSE),"")</f>
      </c>
      <c r="Q547" s="54">
        <f>IFERROR(VLOOKUP($A:$A,CS!$A:$AK,25,FALSE),"")</f>
      </c>
      <c r="R547" s="54">
        <f>IFERROR(VLOOKUP($A:$A,CS!$A:$AK,26,FALSE),"")</f>
      </c>
      <c r="S547" s="54">
        <f>IFERROR(VLOOKUP($A:$A,CS!$A:$AK,29,FALSE),"")</f>
      </c>
      <c r="T547" s="54">
        <f>IFERROR(VLOOKUP($A:$A,CS!$A:$AK,33,FALSE),"")</f>
      </c>
      <c r="U547" s="54">
        <f>IFERROR(VLOOKUP($A:$A,CS!$A:$AK,34,FALSE),"")</f>
      </c>
      <c r="V547" s="54">
        <f>IFERROR(VLOOKUP($A:$A,CS!$A:$AK,35,FALSE),"")</f>
      </c>
      <c r="W547" s="54">
        <f>IFERROR(VLOOKUP($A:$A,CS!$A:$AK,36,FALSE),"")</f>
      </c>
    </row>
    <row r="548" ht="16.5" customHeight="1" spans="1:23" x14ac:dyDescent="0.25">
      <c r="A548" s="68"/>
      <c r="B548" s="54">
        <f>IFERROR(VLOOKUP($A:$A,CS!$A:$AK,3,FALSE),"")</f>
      </c>
      <c r="C548" s="54">
        <f>IFERROR(VLOOKUP($A:$A,CS!$A:$AK,4,FALSE),"")</f>
      </c>
      <c r="D548" s="54">
        <f>IFERROR(VLOOKUP($A:$A,CS!$A:$AK,5,FALSE),"")</f>
      </c>
      <c r="E548" s="54">
        <f>IFERROR(VLOOKUP($A:$A,CS!$A:$AK,7,FALSE),"")</f>
      </c>
      <c r="F548" s="54">
        <f>IFERROR(VLOOKUP($A:$A,CS!$A:$AK,8,FALSE),"")</f>
      </c>
      <c r="G548" s="54">
        <f>IFERROR(VLOOKUP($A:$A,CS!$A:$AK,10,FALSE),"")</f>
      </c>
      <c r="H548" s="54">
        <f>IFERROR(VLOOKUP($A:$A,CS!$A:$AK,14,FALSE),"")</f>
      </c>
      <c r="I548" s="54">
        <f>IFERROR(VLOOKUP($A:$A,CS!$A:$AK,15,FALSE),"")</f>
      </c>
      <c r="J548" s="54">
        <f>IFERROR(VLOOKUP($A:$A,CS!$A:$AK,18,FALSE),"")</f>
      </c>
      <c r="K548" s="54">
        <f>IFERROR(VLOOKUP($A:$A,CS!$A:$AK,19,FALSE),"")</f>
      </c>
      <c r="L548" s="54">
        <f>IFERROR(VLOOKUP($A:$A,CS!$A:$AK,20,FALSE),"")</f>
      </c>
      <c r="M548" s="54">
        <f>IFERROR(VLOOKUP($A:$A,CS!$A:$AK,22,FALSE),"")</f>
      </c>
      <c r="N548" s="54">
        <f>IFERROR(VLOOKUP($A:$A,CS!$A:$AK,19,FALSE),"")</f>
      </c>
      <c r="O548" s="54">
        <f>IFERROR(VLOOKUP($A:$A,CS!$A:$AK,23,FALSE),"")</f>
      </c>
      <c r="P548" s="54">
        <f>IFERROR(VLOOKUP($A:$A,CS!$A:$AK,24,FALSE),"")</f>
      </c>
      <c r="Q548" s="54">
        <f>IFERROR(VLOOKUP($A:$A,CS!$A:$AK,25,FALSE),"")</f>
      </c>
      <c r="R548" s="54">
        <f>IFERROR(VLOOKUP($A:$A,CS!$A:$AK,26,FALSE),"")</f>
      </c>
      <c r="S548" s="54">
        <f>IFERROR(VLOOKUP($A:$A,CS!$A:$AK,29,FALSE),"")</f>
      </c>
      <c r="T548" s="54">
        <f>IFERROR(VLOOKUP($A:$A,CS!$A:$AK,33,FALSE),"")</f>
      </c>
      <c r="U548" s="54">
        <f>IFERROR(VLOOKUP($A:$A,CS!$A:$AK,34,FALSE),"")</f>
      </c>
      <c r="V548" s="54">
        <f>IFERROR(VLOOKUP($A:$A,CS!$A:$AK,35,FALSE),"")</f>
      </c>
      <c r="W548" s="54">
        <f>IFERROR(VLOOKUP($A:$A,CS!$A:$AK,36,FALSE),"")</f>
      </c>
    </row>
    <row r="549" ht="16.5" customHeight="1" spans="1:23" x14ac:dyDescent="0.25">
      <c r="A549" s="68"/>
      <c r="B549" s="54">
        <f>IFERROR(VLOOKUP($A:$A,CS!$A:$AK,3,FALSE),"")</f>
      </c>
      <c r="C549" s="54">
        <f>IFERROR(VLOOKUP($A:$A,CS!$A:$AK,4,FALSE),"")</f>
      </c>
      <c r="D549" s="54">
        <f>IFERROR(VLOOKUP($A:$A,CS!$A:$AK,5,FALSE),"")</f>
      </c>
      <c r="E549" s="54">
        <f>IFERROR(VLOOKUP($A:$A,CS!$A:$AK,7,FALSE),"")</f>
      </c>
      <c r="F549" s="54">
        <f>IFERROR(VLOOKUP($A:$A,CS!$A:$AK,8,FALSE),"")</f>
      </c>
      <c r="G549" s="54">
        <f>IFERROR(VLOOKUP($A:$A,CS!$A:$AK,10,FALSE),"")</f>
      </c>
      <c r="H549" s="54">
        <f>IFERROR(VLOOKUP($A:$A,CS!$A:$AK,14,FALSE),"")</f>
      </c>
      <c r="I549" s="54">
        <f>IFERROR(VLOOKUP($A:$A,CS!$A:$AK,15,FALSE),"")</f>
      </c>
      <c r="J549" s="54">
        <f>IFERROR(VLOOKUP($A:$A,CS!$A:$AK,18,FALSE),"")</f>
      </c>
      <c r="K549" s="54">
        <f>IFERROR(VLOOKUP($A:$A,CS!$A:$AK,19,FALSE),"")</f>
      </c>
      <c r="L549" s="54">
        <f>IFERROR(VLOOKUP($A:$A,CS!$A:$AK,20,FALSE),"")</f>
      </c>
      <c r="M549" s="54">
        <f>IFERROR(VLOOKUP($A:$A,CS!$A:$AK,22,FALSE),"")</f>
      </c>
      <c r="N549" s="54">
        <f>IFERROR(VLOOKUP($A:$A,CS!$A:$AK,19,FALSE),"")</f>
      </c>
      <c r="O549" s="54">
        <f>IFERROR(VLOOKUP($A:$A,CS!$A:$AK,23,FALSE),"")</f>
      </c>
      <c r="P549" s="54">
        <f>IFERROR(VLOOKUP($A:$A,CS!$A:$AK,24,FALSE),"")</f>
      </c>
      <c r="Q549" s="54">
        <f>IFERROR(VLOOKUP($A:$A,CS!$A:$AK,25,FALSE),"")</f>
      </c>
      <c r="R549" s="54">
        <f>IFERROR(VLOOKUP($A:$A,CS!$A:$AK,26,FALSE),"")</f>
      </c>
      <c r="S549" s="54">
        <f>IFERROR(VLOOKUP($A:$A,CS!$A:$AK,29,FALSE),"")</f>
      </c>
      <c r="T549" s="54">
        <f>IFERROR(VLOOKUP($A:$A,CS!$A:$AK,33,FALSE),"")</f>
      </c>
      <c r="U549" s="54">
        <f>IFERROR(VLOOKUP($A:$A,CS!$A:$AK,34,FALSE),"")</f>
      </c>
      <c r="V549" s="54">
        <f>IFERROR(VLOOKUP($A:$A,CS!$A:$AK,35,FALSE),"")</f>
      </c>
      <c r="W549" s="54">
        <f>IFERROR(VLOOKUP($A:$A,CS!$A:$AK,36,FALSE),"")</f>
      </c>
    </row>
    <row r="550" ht="16.5" customHeight="1" spans="1:23" x14ac:dyDescent="0.25">
      <c r="A550" s="68"/>
      <c r="B550" s="54">
        <f>IFERROR(VLOOKUP($A:$A,CS!$A:$AK,3,FALSE),"")</f>
      </c>
      <c r="C550" s="54">
        <f>IFERROR(VLOOKUP($A:$A,CS!$A:$AK,4,FALSE),"")</f>
      </c>
      <c r="D550" s="54">
        <f>IFERROR(VLOOKUP($A:$A,CS!$A:$AK,5,FALSE),"")</f>
      </c>
      <c r="E550" s="54">
        <f>IFERROR(VLOOKUP($A:$A,CS!$A:$AK,7,FALSE),"")</f>
      </c>
      <c r="F550" s="54">
        <f>IFERROR(VLOOKUP($A:$A,CS!$A:$AK,8,FALSE),"")</f>
      </c>
      <c r="G550" s="54">
        <f>IFERROR(VLOOKUP($A:$A,CS!$A:$AK,10,FALSE),"")</f>
      </c>
      <c r="H550" s="54">
        <f>IFERROR(VLOOKUP($A:$A,CS!$A:$AK,14,FALSE),"")</f>
      </c>
      <c r="I550" s="54">
        <f>IFERROR(VLOOKUP($A:$A,CS!$A:$AK,15,FALSE),"")</f>
      </c>
      <c r="J550" s="54">
        <f>IFERROR(VLOOKUP($A:$A,CS!$A:$AK,18,FALSE),"")</f>
      </c>
      <c r="K550" s="54">
        <f>IFERROR(VLOOKUP($A:$A,CS!$A:$AK,19,FALSE),"")</f>
      </c>
      <c r="L550" s="54">
        <f>IFERROR(VLOOKUP($A:$A,CS!$A:$AK,20,FALSE),"")</f>
      </c>
      <c r="M550" s="54">
        <f>IFERROR(VLOOKUP($A:$A,CS!$A:$AK,22,FALSE),"")</f>
      </c>
      <c r="N550" s="54">
        <f>IFERROR(VLOOKUP($A:$A,CS!$A:$AK,19,FALSE),"")</f>
      </c>
      <c r="O550" s="54">
        <f>IFERROR(VLOOKUP($A:$A,CS!$A:$AK,23,FALSE),"")</f>
      </c>
      <c r="P550" s="54">
        <f>IFERROR(VLOOKUP($A:$A,CS!$A:$AK,24,FALSE),"")</f>
      </c>
      <c r="Q550" s="54">
        <f>IFERROR(VLOOKUP($A:$A,CS!$A:$AK,25,FALSE),"")</f>
      </c>
      <c r="R550" s="54">
        <f>IFERROR(VLOOKUP($A:$A,CS!$A:$AK,26,FALSE),"")</f>
      </c>
      <c r="S550" s="54">
        <f>IFERROR(VLOOKUP($A:$A,CS!$A:$AK,29,FALSE),"")</f>
      </c>
      <c r="T550" s="54">
        <f>IFERROR(VLOOKUP($A:$A,CS!$A:$AK,33,FALSE),"")</f>
      </c>
      <c r="U550" s="54">
        <f>IFERROR(VLOOKUP($A:$A,CS!$A:$AK,34,FALSE),"")</f>
      </c>
      <c r="V550" s="54">
        <f>IFERROR(VLOOKUP($A:$A,CS!$A:$AK,35,FALSE),"")</f>
      </c>
      <c r="W550" s="54">
        <f>IFERROR(VLOOKUP($A:$A,CS!$A:$AK,36,FALSE),"")</f>
      </c>
    </row>
    <row r="551" ht="16.5" customHeight="1" spans="1:23" x14ac:dyDescent="0.25">
      <c r="A551" s="68"/>
      <c r="B551" s="54">
        <f>IFERROR(VLOOKUP($A:$A,CS!$A:$AK,3,FALSE),"")</f>
      </c>
      <c r="C551" s="54">
        <f>IFERROR(VLOOKUP($A:$A,CS!$A:$AK,4,FALSE),"")</f>
      </c>
      <c r="D551" s="54">
        <f>IFERROR(VLOOKUP($A:$A,CS!$A:$AK,5,FALSE),"")</f>
      </c>
      <c r="E551" s="54">
        <f>IFERROR(VLOOKUP($A:$A,CS!$A:$AK,7,FALSE),"")</f>
      </c>
      <c r="F551" s="54">
        <f>IFERROR(VLOOKUP($A:$A,CS!$A:$AK,8,FALSE),"")</f>
      </c>
      <c r="G551" s="54">
        <f>IFERROR(VLOOKUP($A:$A,CS!$A:$AK,10,FALSE),"")</f>
      </c>
      <c r="H551" s="54">
        <f>IFERROR(VLOOKUP($A:$A,CS!$A:$AK,14,FALSE),"")</f>
      </c>
      <c r="I551" s="54">
        <f>IFERROR(VLOOKUP($A:$A,CS!$A:$AK,15,FALSE),"")</f>
      </c>
      <c r="J551" s="54">
        <f>IFERROR(VLOOKUP($A:$A,CS!$A:$AK,18,FALSE),"")</f>
      </c>
      <c r="K551" s="54">
        <f>IFERROR(VLOOKUP($A:$A,CS!$A:$AK,19,FALSE),"")</f>
      </c>
      <c r="L551" s="54">
        <f>IFERROR(VLOOKUP($A:$A,CS!$A:$AK,20,FALSE),"")</f>
      </c>
      <c r="M551" s="54">
        <f>IFERROR(VLOOKUP($A:$A,CS!$A:$AK,22,FALSE),"")</f>
      </c>
      <c r="N551" s="54">
        <f>IFERROR(VLOOKUP($A:$A,CS!$A:$AK,19,FALSE),"")</f>
      </c>
      <c r="O551" s="54">
        <f>IFERROR(VLOOKUP($A:$A,CS!$A:$AK,23,FALSE),"")</f>
      </c>
      <c r="P551" s="54">
        <f>IFERROR(VLOOKUP($A:$A,CS!$A:$AK,24,FALSE),"")</f>
      </c>
      <c r="Q551" s="54">
        <f>IFERROR(VLOOKUP($A:$A,CS!$A:$AK,25,FALSE),"")</f>
      </c>
      <c r="R551" s="54">
        <f>IFERROR(VLOOKUP($A:$A,CS!$A:$AK,26,FALSE),"")</f>
      </c>
      <c r="S551" s="54">
        <f>IFERROR(VLOOKUP($A:$A,CS!$A:$AK,29,FALSE),"")</f>
      </c>
      <c r="T551" s="54">
        <f>IFERROR(VLOOKUP($A:$A,CS!$A:$AK,33,FALSE),"")</f>
      </c>
      <c r="U551" s="54">
        <f>IFERROR(VLOOKUP($A:$A,CS!$A:$AK,34,FALSE),"")</f>
      </c>
      <c r="V551" s="54">
        <f>IFERROR(VLOOKUP($A:$A,CS!$A:$AK,35,FALSE),"")</f>
      </c>
      <c r="W551" s="54">
        <f>IFERROR(VLOOKUP($A:$A,CS!$A:$AK,36,FALSE),"")</f>
      </c>
    </row>
    <row r="552" ht="16.5" customHeight="1" spans="1:23" x14ac:dyDescent="0.25">
      <c r="A552" s="68"/>
      <c r="B552" s="54">
        <f>IFERROR(VLOOKUP($A:$A,CS!$A:$AK,3,FALSE),"")</f>
      </c>
      <c r="C552" s="54">
        <f>IFERROR(VLOOKUP($A:$A,CS!$A:$AK,4,FALSE),"")</f>
      </c>
      <c r="D552" s="54">
        <f>IFERROR(VLOOKUP($A:$A,CS!$A:$AK,5,FALSE),"")</f>
      </c>
      <c r="E552" s="54">
        <f>IFERROR(VLOOKUP($A:$A,CS!$A:$AK,7,FALSE),"")</f>
      </c>
      <c r="F552" s="54">
        <f>IFERROR(VLOOKUP($A:$A,CS!$A:$AK,8,FALSE),"")</f>
      </c>
      <c r="G552" s="54">
        <f>IFERROR(VLOOKUP($A:$A,CS!$A:$AK,10,FALSE),"")</f>
      </c>
      <c r="H552" s="54">
        <f>IFERROR(VLOOKUP($A:$A,CS!$A:$AK,14,FALSE),"")</f>
      </c>
      <c r="I552" s="54">
        <f>IFERROR(VLOOKUP($A:$A,CS!$A:$AK,15,FALSE),"")</f>
      </c>
      <c r="J552" s="54">
        <f>IFERROR(VLOOKUP($A:$A,CS!$A:$AK,18,FALSE),"")</f>
      </c>
      <c r="K552" s="54">
        <f>IFERROR(VLOOKUP($A:$A,CS!$A:$AK,19,FALSE),"")</f>
      </c>
      <c r="L552" s="54">
        <f>IFERROR(VLOOKUP($A:$A,CS!$A:$AK,20,FALSE),"")</f>
      </c>
      <c r="M552" s="54">
        <f>IFERROR(VLOOKUP($A:$A,CS!$A:$AK,22,FALSE),"")</f>
      </c>
      <c r="N552" s="54">
        <f>IFERROR(VLOOKUP($A:$A,CS!$A:$AK,19,FALSE),"")</f>
      </c>
      <c r="O552" s="54">
        <f>IFERROR(VLOOKUP($A:$A,CS!$A:$AK,23,FALSE),"")</f>
      </c>
      <c r="P552" s="54">
        <f>IFERROR(VLOOKUP($A:$A,CS!$A:$AK,24,FALSE),"")</f>
      </c>
      <c r="Q552" s="54">
        <f>IFERROR(VLOOKUP($A:$A,CS!$A:$AK,25,FALSE),"")</f>
      </c>
      <c r="R552" s="54">
        <f>IFERROR(VLOOKUP($A:$A,CS!$A:$AK,26,FALSE),"")</f>
      </c>
      <c r="S552" s="54">
        <f>IFERROR(VLOOKUP($A:$A,CS!$A:$AK,29,FALSE),"")</f>
      </c>
      <c r="T552" s="54">
        <f>IFERROR(VLOOKUP($A:$A,CS!$A:$AK,33,FALSE),"")</f>
      </c>
      <c r="U552" s="54">
        <f>IFERROR(VLOOKUP($A:$A,CS!$A:$AK,34,FALSE),"")</f>
      </c>
      <c r="V552" s="54">
        <f>IFERROR(VLOOKUP($A:$A,CS!$A:$AK,35,FALSE),"")</f>
      </c>
      <c r="W552" s="54">
        <f>IFERROR(VLOOKUP($A:$A,CS!$A:$AK,36,FALSE),"")</f>
      </c>
    </row>
    <row r="553" ht="16.5" customHeight="1" spans="1:23" x14ac:dyDescent="0.25">
      <c r="A553" s="68"/>
      <c r="B553" s="54">
        <f>IFERROR(VLOOKUP($A:$A,CS!$A:$AK,3,FALSE),"")</f>
      </c>
      <c r="C553" s="54">
        <f>IFERROR(VLOOKUP($A:$A,CS!$A:$AK,4,FALSE),"")</f>
      </c>
      <c r="D553" s="54">
        <f>IFERROR(VLOOKUP($A:$A,CS!$A:$AK,5,FALSE),"")</f>
      </c>
      <c r="E553" s="54">
        <f>IFERROR(VLOOKUP($A:$A,CS!$A:$AK,7,FALSE),"")</f>
      </c>
      <c r="F553" s="54">
        <f>IFERROR(VLOOKUP($A:$A,CS!$A:$AK,8,FALSE),"")</f>
      </c>
      <c r="G553" s="54">
        <f>IFERROR(VLOOKUP($A:$A,CS!$A:$AK,10,FALSE),"")</f>
      </c>
      <c r="H553" s="54">
        <f>IFERROR(VLOOKUP($A:$A,CS!$A:$AK,14,FALSE),"")</f>
      </c>
      <c r="I553" s="54">
        <f>IFERROR(VLOOKUP($A:$A,CS!$A:$AK,15,FALSE),"")</f>
      </c>
      <c r="J553" s="54">
        <f>IFERROR(VLOOKUP($A:$A,CS!$A:$AK,18,FALSE),"")</f>
      </c>
      <c r="K553" s="54">
        <f>IFERROR(VLOOKUP($A:$A,CS!$A:$AK,19,FALSE),"")</f>
      </c>
      <c r="L553" s="54">
        <f>IFERROR(VLOOKUP($A:$A,CS!$A:$AK,20,FALSE),"")</f>
      </c>
      <c r="M553" s="54">
        <f>IFERROR(VLOOKUP($A:$A,CS!$A:$AK,22,FALSE),"")</f>
      </c>
      <c r="N553" s="54">
        <f>IFERROR(VLOOKUP($A:$A,CS!$A:$AK,19,FALSE),"")</f>
      </c>
      <c r="O553" s="54">
        <f>IFERROR(VLOOKUP($A:$A,CS!$A:$AK,23,FALSE),"")</f>
      </c>
      <c r="P553" s="54">
        <f>IFERROR(VLOOKUP($A:$A,CS!$A:$AK,24,FALSE),"")</f>
      </c>
      <c r="Q553" s="54">
        <f>IFERROR(VLOOKUP($A:$A,CS!$A:$AK,25,FALSE),"")</f>
      </c>
      <c r="R553" s="54">
        <f>IFERROR(VLOOKUP($A:$A,CS!$A:$AK,26,FALSE),"")</f>
      </c>
      <c r="S553" s="54">
        <f>IFERROR(VLOOKUP($A:$A,CS!$A:$AK,29,FALSE),"")</f>
      </c>
      <c r="T553" s="54">
        <f>IFERROR(VLOOKUP($A:$A,CS!$A:$AK,33,FALSE),"")</f>
      </c>
      <c r="U553" s="54">
        <f>IFERROR(VLOOKUP($A:$A,CS!$A:$AK,34,FALSE),"")</f>
      </c>
      <c r="V553" s="54">
        <f>IFERROR(VLOOKUP($A:$A,CS!$A:$AK,35,FALSE),"")</f>
      </c>
      <c r="W553" s="54">
        <f>IFERROR(VLOOKUP($A:$A,CS!$A:$AK,36,FALSE),"")</f>
      </c>
    </row>
    <row r="554" ht="16.5" customHeight="1" spans="1:23" x14ac:dyDescent="0.25">
      <c r="A554" s="68"/>
      <c r="B554" s="54">
        <f>IFERROR(VLOOKUP($A:$A,CS!$A:$AK,3,FALSE),"")</f>
      </c>
      <c r="C554" s="54">
        <f>IFERROR(VLOOKUP($A:$A,CS!$A:$AK,4,FALSE),"")</f>
      </c>
      <c r="D554" s="54">
        <f>IFERROR(VLOOKUP($A:$A,CS!$A:$AK,5,FALSE),"")</f>
      </c>
      <c r="E554" s="54">
        <f>IFERROR(VLOOKUP($A:$A,CS!$A:$AK,7,FALSE),"")</f>
      </c>
      <c r="F554" s="54">
        <f>IFERROR(VLOOKUP($A:$A,CS!$A:$AK,8,FALSE),"")</f>
      </c>
      <c r="G554" s="54">
        <f>IFERROR(VLOOKUP($A:$A,CS!$A:$AK,10,FALSE),"")</f>
      </c>
      <c r="H554" s="54">
        <f>IFERROR(VLOOKUP($A:$A,CS!$A:$AK,14,FALSE),"")</f>
      </c>
      <c r="I554" s="54">
        <f>IFERROR(VLOOKUP($A:$A,CS!$A:$AK,15,FALSE),"")</f>
      </c>
      <c r="J554" s="54">
        <f>IFERROR(VLOOKUP($A:$A,CS!$A:$AK,18,FALSE),"")</f>
      </c>
      <c r="K554" s="54">
        <f>IFERROR(VLOOKUP($A:$A,CS!$A:$AK,19,FALSE),"")</f>
      </c>
      <c r="L554" s="54">
        <f>IFERROR(VLOOKUP($A:$A,CS!$A:$AK,20,FALSE),"")</f>
      </c>
      <c r="M554" s="54">
        <f>IFERROR(VLOOKUP($A:$A,CS!$A:$AK,22,FALSE),"")</f>
      </c>
      <c r="N554" s="54">
        <f>IFERROR(VLOOKUP($A:$A,CS!$A:$AK,19,FALSE),"")</f>
      </c>
      <c r="O554" s="54">
        <f>IFERROR(VLOOKUP($A:$A,CS!$A:$AK,23,FALSE),"")</f>
      </c>
      <c r="P554" s="54">
        <f>IFERROR(VLOOKUP($A:$A,CS!$A:$AK,24,FALSE),"")</f>
      </c>
      <c r="Q554" s="54">
        <f>IFERROR(VLOOKUP($A:$A,CS!$A:$AK,25,FALSE),"")</f>
      </c>
      <c r="R554" s="54">
        <f>IFERROR(VLOOKUP($A:$A,CS!$A:$AK,26,FALSE),"")</f>
      </c>
      <c r="S554" s="54">
        <f>IFERROR(VLOOKUP($A:$A,CS!$A:$AK,29,FALSE),"")</f>
      </c>
      <c r="T554" s="54">
        <f>IFERROR(VLOOKUP($A:$A,CS!$A:$AK,33,FALSE),"")</f>
      </c>
      <c r="U554" s="54">
        <f>IFERROR(VLOOKUP($A:$A,CS!$A:$AK,34,FALSE),"")</f>
      </c>
      <c r="V554" s="54">
        <f>IFERROR(VLOOKUP($A:$A,CS!$A:$AK,35,FALSE),"")</f>
      </c>
      <c r="W554" s="54">
        <f>IFERROR(VLOOKUP($A:$A,CS!$A:$AK,36,FALSE),"")</f>
      </c>
    </row>
    <row r="555" ht="16.5" customHeight="1" spans="1:23" x14ac:dyDescent="0.25">
      <c r="A555" s="68"/>
      <c r="B555" s="54">
        <f>IFERROR(VLOOKUP($A:$A,CS!$A:$AK,3,FALSE),"")</f>
      </c>
      <c r="C555" s="54">
        <f>IFERROR(VLOOKUP($A:$A,CS!$A:$AK,4,FALSE),"")</f>
      </c>
      <c r="D555" s="54">
        <f>IFERROR(VLOOKUP($A:$A,CS!$A:$AK,5,FALSE),"")</f>
      </c>
      <c r="E555" s="54">
        <f>IFERROR(VLOOKUP($A:$A,CS!$A:$AK,7,FALSE),"")</f>
      </c>
      <c r="F555" s="54">
        <f>IFERROR(VLOOKUP($A:$A,CS!$A:$AK,8,FALSE),"")</f>
      </c>
      <c r="G555" s="54">
        <f>IFERROR(VLOOKUP($A:$A,CS!$A:$AK,10,FALSE),"")</f>
      </c>
      <c r="H555" s="54">
        <f>IFERROR(VLOOKUP($A:$A,CS!$A:$AK,14,FALSE),"")</f>
      </c>
      <c r="I555" s="54">
        <f>IFERROR(VLOOKUP($A:$A,CS!$A:$AK,15,FALSE),"")</f>
      </c>
      <c r="J555" s="54">
        <f>IFERROR(VLOOKUP($A:$A,CS!$A:$AK,18,FALSE),"")</f>
      </c>
      <c r="K555" s="54">
        <f>IFERROR(VLOOKUP($A:$A,CS!$A:$AK,19,FALSE),"")</f>
      </c>
      <c r="L555" s="54">
        <f>IFERROR(VLOOKUP($A:$A,CS!$A:$AK,20,FALSE),"")</f>
      </c>
      <c r="M555" s="54">
        <f>IFERROR(VLOOKUP($A:$A,CS!$A:$AK,22,FALSE),"")</f>
      </c>
      <c r="N555" s="54">
        <f>IFERROR(VLOOKUP($A:$A,CS!$A:$AK,19,FALSE),"")</f>
      </c>
      <c r="O555" s="54">
        <f>IFERROR(VLOOKUP($A:$A,CS!$A:$AK,23,FALSE),"")</f>
      </c>
      <c r="P555" s="54">
        <f>IFERROR(VLOOKUP($A:$A,CS!$A:$AK,24,FALSE),"")</f>
      </c>
      <c r="Q555" s="54">
        <f>IFERROR(VLOOKUP($A:$A,CS!$A:$AK,25,FALSE),"")</f>
      </c>
      <c r="R555" s="54">
        <f>IFERROR(VLOOKUP($A:$A,CS!$A:$AK,26,FALSE),"")</f>
      </c>
      <c r="S555" s="54">
        <f>IFERROR(VLOOKUP($A:$A,CS!$A:$AK,29,FALSE),"")</f>
      </c>
      <c r="T555" s="54">
        <f>IFERROR(VLOOKUP($A:$A,CS!$A:$AK,33,FALSE),"")</f>
      </c>
      <c r="U555" s="54">
        <f>IFERROR(VLOOKUP($A:$A,CS!$A:$AK,34,FALSE),"")</f>
      </c>
      <c r="V555" s="54">
        <f>IFERROR(VLOOKUP($A:$A,CS!$A:$AK,35,FALSE),"")</f>
      </c>
      <c r="W555" s="54">
        <f>IFERROR(VLOOKUP($A:$A,CS!$A:$AK,36,FALSE),"")</f>
      </c>
    </row>
    <row r="556" ht="16.5" customHeight="1" spans="1:23" x14ac:dyDescent="0.25">
      <c r="A556" s="68"/>
      <c r="B556" s="54">
        <f>IFERROR(VLOOKUP($A:$A,CS!$A:$AK,3,FALSE),"")</f>
      </c>
      <c r="C556" s="54">
        <f>IFERROR(VLOOKUP($A:$A,CS!$A:$AK,4,FALSE),"")</f>
      </c>
      <c r="D556" s="54">
        <f>IFERROR(VLOOKUP($A:$A,CS!$A:$AK,5,FALSE),"")</f>
      </c>
      <c r="E556" s="54">
        <f>IFERROR(VLOOKUP($A:$A,CS!$A:$AK,7,FALSE),"")</f>
      </c>
      <c r="F556" s="54">
        <f>IFERROR(VLOOKUP($A:$A,CS!$A:$AK,8,FALSE),"")</f>
      </c>
      <c r="G556" s="54">
        <f>IFERROR(VLOOKUP($A:$A,CS!$A:$AK,10,FALSE),"")</f>
      </c>
      <c r="H556" s="54">
        <f>IFERROR(VLOOKUP($A:$A,CS!$A:$AK,14,FALSE),"")</f>
      </c>
      <c r="I556" s="54">
        <f>IFERROR(VLOOKUP($A:$A,CS!$A:$AK,15,FALSE),"")</f>
      </c>
      <c r="J556" s="54">
        <f>IFERROR(VLOOKUP($A:$A,CS!$A:$AK,18,FALSE),"")</f>
      </c>
      <c r="K556" s="54">
        <f>IFERROR(VLOOKUP($A:$A,CS!$A:$AK,19,FALSE),"")</f>
      </c>
      <c r="L556" s="54">
        <f>IFERROR(VLOOKUP($A:$A,CS!$A:$AK,20,FALSE),"")</f>
      </c>
      <c r="M556" s="54">
        <f>IFERROR(VLOOKUP($A:$A,CS!$A:$AK,22,FALSE),"")</f>
      </c>
      <c r="N556" s="54">
        <f>IFERROR(VLOOKUP($A:$A,CS!$A:$AK,19,FALSE),"")</f>
      </c>
      <c r="O556" s="54">
        <f>IFERROR(VLOOKUP($A:$A,CS!$A:$AK,23,FALSE),"")</f>
      </c>
      <c r="P556" s="54">
        <f>IFERROR(VLOOKUP($A:$A,CS!$A:$AK,24,FALSE),"")</f>
      </c>
      <c r="Q556" s="54">
        <f>IFERROR(VLOOKUP($A:$A,CS!$A:$AK,25,FALSE),"")</f>
      </c>
      <c r="R556" s="54">
        <f>IFERROR(VLOOKUP($A:$A,CS!$A:$AK,26,FALSE),"")</f>
      </c>
      <c r="S556" s="54">
        <f>IFERROR(VLOOKUP($A:$A,CS!$A:$AK,29,FALSE),"")</f>
      </c>
      <c r="T556" s="54">
        <f>IFERROR(VLOOKUP($A:$A,CS!$A:$AK,33,FALSE),"")</f>
      </c>
      <c r="U556" s="54">
        <f>IFERROR(VLOOKUP($A:$A,CS!$A:$AK,34,FALSE),"")</f>
      </c>
      <c r="V556" s="54">
        <f>IFERROR(VLOOKUP($A:$A,CS!$A:$AK,35,FALSE),"")</f>
      </c>
      <c r="W556" s="54">
        <f>IFERROR(VLOOKUP($A:$A,CS!$A:$AK,36,FALSE),"")</f>
      </c>
    </row>
    <row r="557" ht="16.5" customHeight="1" spans="1:23" x14ac:dyDescent="0.25">
      <c r="A557" s="68"/>
      <c r="B557" s="54">
        <f>IFERROR(VLOOKUP($A:$A,CS!$A:$AK,3,FALSE),"")</f>
      </c>
      <c r="C557" s="54">
        <f>IFERROR(VLOOKUP($A:$A,CS!$A:$AK,4,FALSE),"")</f>
      </c>
      <c r="D557" s="54">
        <f>IFERROR(VLOOKUP($A:$A,CS!$A:$AK,5,FALSE),"")</f>
      </c>
      <c r="E557" s="54">
        <f>IFERROR(VLOOKUP($A:$A,CS!$A:$AK,7,FALSE),"")</f>
      </c>
      <c r="F557" s="54">
        <f>IFERROR(VLOOKUP($A:$A,CS!$A:$AK,8,FALSE),"")</f>
      </c>
      <c r="G557" s="54">
        <f>IFERROR(VLOOKUP($A:$A,CS!$A:$AK,10,FALSE),"")</f>
      </c>
      <c r="H557" s="54">
        <f>IFERROR(VLOOKUP($A:$A,CS!$A:$AK,14,FALSE),"")</f>
      </c>
      <c r="I557" s="54">
        <f>IFERROR(VLOOKUP($A:$A,CS!$A:$AK,15,FALSE),"")</f>
      </c>
      <c r="J557" s="54">
        <f>IFERROR(VLOOKUP($A:$A,CS!$A:$AK,18,FALSE),"")</f>
      </c>
      <c r="K557" s="54">
        <f>IFERROR(VLOOKUP($A:$A,CS!$A:$AK,19,FALSE),"")</f>
      </c>
      <c r="L557" s="54">
        <f>IFERROR(VLOOKUP($A:$A,CS!$A:$AK,20,FALSE),"")</f>
      </c>
      <c r="M557" s="54">
        <f>IFERROR(VLOOKUP($A:$A,CS!$A:$AK,22,FALSE),"")</f>
      </c>
      <c r="N557" s="54">
        <f>IFERROR(VLOOKUP($A:$A,CS!$A:$AK,19,FALSE),"")</f>
      </c>
      <c r="O557" s="54">
        <f>IFERROR(VLOOKUP($A:$A,CS!$A:$AK,23,FALSE),"")</f>
      </c>
      <c r="P557" s="54">
        <f>IFERROR(VLOOKUP($A:$A,CS!$A:$AK,24,FALSE),"")</f>
      </c>
      <c r="Q557" s="54">
        <f>IFERROR(VLOOKUP($A:$A,CS!$A:$AK,25,FALSE),"")</f>
      </c>
      <c r="R557" s="54">
        <f>IFERROR(VLOOKUP($A:$A,CS!$A:$AK,26,FALSE),"")</f>
      </c>
      <c r="S557" s="54">
        <f>IFERROR(VLOOKUP($A:$A,CS!$A:$AK,29,FALSE),"")</f>
      </c>
      <c r="T557" s="54">
        <f>IFERROR(VLOOKUP($A:$A,CS!$A:$AK,33,FALSE),"")</f>
      </c>
      <c r="U557" s="54">
        <f>IFERROR(VLOOKUP($A:$A,CS!$A:$AK,34,FALSE),"")</f>
      </c>
      <c r="V557" s="54">
        <f>IFERROR(VLOOKUP($A:$A,CS!$A:$AK,35,FALSE),"")</f>
      </c>
      <c r="W557" s="54">
        <f>IFERROR(VLOOKUP($A:$A,CS!$A:$AK,36,FALSE),"")</f>
      </c>
    </row>
    <row r="558" ht="16.5" customHeight="1" spans="1:23" x14ac:dyDescent="0.25">
      <c r="A558" s="68"/>
      <c r="B558" s="54">
        <f>IFERROR(VLOOKUP($A:$A,CS!$A:$AK,3,FALSE),"")</f>
      </c>
      <c r="C558" s="54">
        <f>IFERROR(VLOOKUP($A:$A,CS!$A:$AK,4,FALSE),"")</f>
      </c>
      <c r="D558" s="54">
        <f>IFERROR(VLOOKUP($A:$A,CS!$A:$AK,5,FALSE),"")</f>
      </c>
      <c r="E558" s="54">
        <f>IFERROR(VLOOKUP($A:$A,CS!$A:$AK,7,FALSE),"")</f>
      </c>
      <c r="F558" s="54">
        <f>IFERROR(VLOOKUP($A:$A,CS!$A:$AK,8,FALSE),"")</f>
      </c>
      <c r="G558" s="54">
        <f>IFERROR(VLOOKUP($A:$A,CS!$A:$AK,10,FALSE),"")</f>
      </c>
      <c r="H558" s="54">
        <f>IFERROR(VLOOKUP($A:$A,CS!$A:$AK,14,FALSE),"")</f>
      </c>
      <c r="I558" s="54">
        <f>IFERROR(VLOOKUP($A:$A,CS!$A:$AK,15,FALSE),"")</f>
      </c>
      <c r="J558" s="54">
        <f>IFERROR(VLOOKUP($A:$A,CS!$A:$AK,18,FALSE),"")</f>
      </c>
      <c r="K558" s="54">
        <f>IFERROR(VLOOKUP($A:$A,CS!$A:$AK,19,FALSE),"")</f>
      </c>
      <c r="L558" s="54">
        <f>IFERROR(VLOOKUP($A:$A,CS!$A:$AK,20,FALSE),"")</f>
      </c>
      <c r="M558" s="54">
        <f>IFERROR(VLOOKUP($A:$A,CS!$A:$AK,22,FALSE),"")</f>
      </c>
      <c r="N558" s="54">
        <f>IFERROR(VLOOKUP($A:$A,CS!$A:$AK,19,FALSE),"")</f>
      </c>
      <c r="O558" s="54">
        <f>IFERROR(VLOOKUP($A:$A,CS!$A:$AK,23,FALSE),"")</f>
      </c>
      <c r="P558" s="54">
        <f>IFERROR(VLOOKUP($A:$A,CS!$A:$AK,24,FALSE),"")</f>
      </c>
      <c r="Q558" s="54">
        <f>IFERROR(VLOOKUP($A:$A,CS!$A:$AK,25,FALSE),"")</f>
      </c>
      <c r="R558" s="54">
        <f>IFERROR(VLOOKUP($A:$A,CS!$A:$AK,26,FALSE),"")</f>
      </c>
      <c r="S558" s="54">
        <f>IFERROR(VLOOKUP($A:$A,CS!$A:$AK,29,FALSE),"")</f>
      </c>
      <c r="T558" s="54">
        <f>IFERROR(VLOOKUP($A:$A,CS!$A:$AK,33,FALSE),"")</f>
      </c>
      <c r="U558" s="54">
        <f>IFERROR(VLOOKUP($A:$A,CS!$A:$AK,34,FALSE),"")</f>
      </c>
      <c r="V558" s="54">
        <f>IFERROR(VLOOKUP($A:$A,CS!$A:$AK,35,FALSE),"")</f>
      </c>
      <c r="W558" s="54">
        <f>IFERROR(VLOOKUP($A:$A,CS!$A:$AK,36,FALSE),"")</f>
      </c>
    </row>
    <row r="559" ht="16.5" customHeight="1" spans="1:23" x14ac:dyDescent="0.25">
      <c r="A559" s="68"/>
      <c r="B559" s="54">
        <f>IFERROR(VLOOKUP($A:$A,CS!$A:$AK,3,FALSE),"")</f>
      </c>
      <c r="C559" s="54">
        <f>IFERROR(VLOOKUP($A:$A,CS!$A:$AK,4,FALSE),"")</f>
      </c>
      <c r="D559" s="54">
        <f>IFERROR(VLOOKUP($A:$A,CS!$A:$AK,5,FALSE),"")</f>
      </c>
      <c r="E559" s="54">
        <f>IFERROR(VLOOKUP($A:$A,CS!$A:$AK,7,FALSE),"")</f>
      </c>
      <c r="F559" s="54">
        <f>IFERROR(VLOOKUP($A:$A,CS!$A:$AK,8,FALSE),"")</f>
      </c>
      <c r="G559" s="54">
        <f>IFERROR(VLOOKUP($A:$A,CS!$A:$AK,10,FALSE),"")</f>
      </c>
      <c r="H559" s="54">
        <f>IFERROR(VLOOKUP($A:$A,CS!$A:$AK,14,FALSE),"")</f>
      </c>
      <c r="I559" s="54">
        <f>IFERROR(VLOOKUP($A:$A,CS!$A:$AK,15,FALSE),"")</f>
      </c>
      <c r="J559" s="54">
        <f>IFERROR(VLOOKUP($A:$A,CS!$A:$AK,18,FALSE),"")</f>
      </c>
      <c r="K559" s="54">
        <f>IFERROR(VLOOKUP($A:$A,CS!$A:$AK,19,FALSE),"")</f>
      </c>
      <c r="L559" s="54">
        <f>IFERROR(VLOOKUP($A:$A,CS!$A:$AK,20,FALSE),"")</f>
      </c>
      <c r="M559" s="54">
        <f>IFERROR(VLOOKUP($A:$A,CS!$A:$AK,22,FALSE),"")</f>
      </c>
      <c r="N559" s="54">
        <f>IFERROR(VLOOKUP($A:$A,CS!$A:$AK,19,FALSE),"")</f>
      </c>
      <c r="O559" s="54">
        <f>IFERROR(VLOOKUP($A:$A,CS!$A:$AK,23,FALSE),"")</f>
      </c>
      <c r="P559" s="54">
        <f>IFERROR(VLOOKUP($A:$A,CS!$A:$AK,24,FALSE),"")</f>
      </c>
      <c r="Q559" s="54">
        <f>IFERROR(VLOOKUP($A:$A,CS!$A:$AK,25,FALSE),"")</f>
      </c>
      <c r="R559" s="54">
        <f>IFERROR(VLOOKUP($A:$A,CS!$A:$AK,26,FALSE),"")</f>
      </c>
      <c r="S559" s="54">
        <f>IFERROR(VLOOKUP($A:$A,CS!$A:$AK,29,FALSE),"")</f>
      </c>
      <c r="T559" s="54">
        <f>IFERROR(VLOOKUP($A:$A,CS!$A:$AK,33,FALSE),"")</f>
      </c>
      <c r="U559" s="54">
        <f>IFERROR(VLOOKUP($A:$A,CS!$A:$AK,34,FALSE),"")</f>
      </c>
      <c r="V559" s="54">
        <f>IFERROR(VLOOKUP($A:$A,CS!$A:$AK,35,FALSE),"")</f>
      </c>
      <c r="W559" s="54">
        <f>IFERROR(VLOOKUP($A:$A,CS!$A:$AK,36,FALSE),"")</f>
      </c>
    </row>
    <row r="560" ht="16.5" customHeight="1" spans="1:23" x14ac:dyDescent="0.25">
      <c r="A560" s="68"/>
      <c r="B560" s="54">
        <f>IFERROR(VLOOKUP($A:$A,CS!$A:$AK,3,FALSE),"")</f>
      </c>
      <c r="C560" s="54">
        <f>IFERROR(VLOOKUP($A:$A,CS!$A:$AK,4,FALSE),"")</f>
      </c>
      <c r="D560" s="54">
        <f>IFERROR(VLOOKUP($A:$A,CS!$A:$AK,5,FALSE),"")</f>
      </c>
      <c r="E560" s="54">
        <f>IFERROR(VLOOKUP($A:$A,CS!$A:$AK,7,FALSE),"")</f>
      </c>
      <c r="F560" s="54">
        <f>IFERROR(VLOOKUP($A:$A,CS!$A:$AK,8,FALSE),"")</f>
      </c>
      <c r="G560" s="54">
        <f>IFERROR(VLOOKUP($A:$A,CS!$A:$AK,10,FALSE),"")</f>
      </c>
      <c r="H560" s="54">
        <f>IFERROR(VLOOKUP($A:$A,CS!$A:$AK,14,FALSE),"")</f>
      </c>
      <c r="I560" s="54">
        <f>IFERROR(VLOOKUP($A:$A,CS!$A:$AK,15,FALSE),"")</f>
      </c>
      <c r="J560" s="54">
        <f>IFERROR(VLOOKUP($A:$A,CS!$A:$AK,18,FALSE),"")</f>
      </c>
      <c r="K560" s="54">
        <f>IFERROR(VLOOKUP($A:$A,CS!$A:$AK,19,FALSE),"")</f>
      </c>
      <c r="L560" s="54">
        <f>IFERROR(VLOOKUP($A:$A,CS!$A:$AK,20,FALSE),"")</f>
      </c>
      <c r="M560" s="54">
        <f>IFERROR(VLOOKUP($A:$A,CS!$A:$AK,22,FALSE),"")</f>
      </c>
      <c r="N560" s="54">
        <f>IFERROR(VLOOKUP($A:$A,CS!$A:$AK,19,FALSE),"")</f>
      </c>
      <c r="O560" s="54">
        <f>IFERROR(VLOOKUP($A:$A,CS!$A:$AK,23,FALSE),"")</f>
      </c>
      <c r="P560" s="54">
        <f>IFERROR(VLOOKUP($A:$A,CS!$A:$AK,24,FALSE),"")</f>
      </c>
      <c r="Q560" s="54">
        <f>IFERROR(VLOOKUP($A:$A,CS!$A:$AK,25,FALSE),"")</f>
      </c>
      <c r="R560" s="54">
        <f>IFERROR(VLOOKUP($A:$A,CS!$A:$AK,26,FALSE),"")</f>
      </c>
      <c r="S560" s="54">
        <f>IFERROR(VLOOKUP($A:$A,CS!$A:$AK,29,FALSE),"")</f>
      </c>
      <c r="T560" s="54">
        <f>IFERROR(VLOOKUP($A:$A,CS!$A:$AK,33,FALSE),"")</f>
      </c>
      <c r="U560" s="54">
        <f>IFERROR(VLOOKUP($A:$A,CS!$A:$AK,34,FALSE),"")</f>
      </c>
      <c r="V560" s="54">
        <f>IFERROR(VLOOKUP($A:$A,CS!$A:$AK,35,FALSE),"")</f>
      </c>
      <c r="W560" s="54">
        <f>IFERROR(VLOOKUP($A:$A,CS!$A:$AK,36,FALSE),"")</f>
      </c>
    </row>
    <row r="561" ht="16.5" customHeight="1" spans="1:23" x14ac:dyDescent="0.25">
      <c r="A561" s="68"/>
      <c r="B561" s="54">
        <f>IFERROR(VLOOKUP($A:$A,CS!$A:$AK,3,FALSE),"")</f>
      </c>
      <c r="C561" s="54">
        <f>IFERROR(VLOOKUP($A:$A,CS!$A:$AK,4,FALSE),"")</f>
      </c>
      <c r="D561" s="54">
        <f>IFERROR(VLOOKUP($A:$A,CS!$A:$AK,5,FALSE),"")</f>
      </c>
      <c r="E561" s="54">
        <f>IFERROR(VLOOKUP($A:$A,CS!$A:$AK,7,FALSE),"")</f>
      </c>
      <c r="F561" s="54">
        <f>IFERROR(VLOOKUP($A:$A,CS!$A:$AK,8,FALSE),"")</f>
      </c>
      <c r="G561" s="54">
        <f>IFERROR(VLOOKUP($A:$A,CS!$A:$AK,10,FALSE),"")</f>
      </c>
      <c r="H561" s="54">
        <f>IFERROR(VLOOKUP($A:$A,CS!$A:$AK,14,FALSE),"")</f>
      </c>
      <c r="I561" s="54">
        <f>IFERROR(VLOOKUP($A:$A,CS!$A:$AK,15,FALSE),"")</f>
      </c>
      <c r="J561" s="54">
        <f>IFERROR(VLOOKUP($A:$A,CS!$A:$AK,18,FALSE),"")</f>
      </c>
      <c r="K561" s="54">
        <f>IFERROR(VLOOKUP($A:$A,CS!$A:$AK,19,FALSE),"")</f>
      </c>
      <c r="L561" s="54">
        <f>IFERROR(VLOOKUP($A:$A,CS!$A:$AK,20,FALSE),"")</f>
      </c>
      <c r="M561" s="54">
        <f>IFERROR(VLOOKUP($A:$A,CS!$A:$AK,22,FALSE),"")</f>
      </c>
      <c r="N561" s="54">
        <f>IFERROR(VLOOKUP($A:$A,CS!$A:$AK,19,FALSE),"")</f>
      </c>
      <c r="O561" s="54">
        <f>IFERROR(VLOOKUP($A:$A,CS!$A:$AK,23,FALSE),"")</f>
      </c>
      <c r="P561" s="54">
        <f>IFERROR(VLOOKUP($A:$A,CS!$A:$AK,24,FALSE),"")</f>
      </c>
      <c r="Q561" s="54">
        <f>IFERROR(VLOOKUP($A:$A,CS!$A:$AK,25,FALSE),"")</f>
      </c>
      <c r="R561" s="54">
        <f>IFERROR(VLOOKUP($A:$A,CS!$A:$AK,26,FALSE),"")</f>
      </c>
      <c r="S561" s="54">
        <f>IFERROR(VLOOKUP($A:$A,CS!$A:$AK,29,FALSE),"")</f>
      </c>
      <c r="T561" s="54">
        <f>IFERROR(VLOOKUP($A:$A,CS!$A:$AK,33,FALSE),"")</f>
      </c>
      <c r="U561" s="54">
        <f>IFERROR(VLOOKUP($A:$A,CS!$A:$AK,34,FALSE),"")</f>
      </c>
      <c r="V561" s="54">
        <f>IFERROR(VLOOKUP($A:$A,CS!$A:$AK,35,FALSE),"")</f>
      </c>
      <c r="W561" s="54">
        <f>IFERROR(VLOOKUP($A:$A,CS!$A:$AK,36,FALSE),"")</f>
      </c>
    </row>
    <row r="562" ht="16.5" customHeight="1" spans="1:23" x14ac:dyDescent="0.25">
      <c r="A562" s="68"/>
      <c r="B562" s="54">
        <f>IFERROR(VLOOKUP($A:$A,CS!$A:$AK,3,FALSE),"")</f>
      </c>
      <c r="C562" s="54">
        <f>IFERROR(VLOOKUP($A:$A,CS!$A:$AK,4,FALSE),"")</f>
      </c>
      <c r="D562" s="54">
        <f>IFERROR(VLOOKUP($A:$A,CS!$A:$AK,5,FALSE),"")</f>
      </c>
      <c r="E562" s="54">
        <f>IFERROR(VLOOKUP($A:$A,CS!$A:$AK,7,FALSE),"")</f>
      </c>
      <c r="F562" s="54">
        <f>IFERROR(VLOOKUP($A:$A,CS!$A:$AK,8,FALSE),"")</f>
      </c>
      <c r="G562" s="54">
        <f>IFERROR(VLOOKUP($A:$A,CS!$A:$AK,10,FALSE),"")</f>
      </c>
      <c r="H562" s="54">
        <f>IFERROR(VLOOKUP($A:$A,CS!$A:$AK,14,FALSE),"")</f>
      </c>
      <c r="I562" s="54">
        <f>IFERROR(VLOOKUP($A:$A,CS!$A:$AK,15,FALSE),"")</f>
      </c>
      <c r="J562" s="54">
        <f>IFERROR(VLOOKUP($A:$A,CS!$A:$AK,18,FALSE),"")</f>
      </c>
      <c r="K562" s="54">
        <f>IFERROR(VLOOKUP($A:$A,CS!$A:$AK,19,FALSE),"")</f>
      </c>
      <c r="L562" s="54">
        <f>IFERROR(VLOOKUP($A:$A,CS!$A:$AK,20,FALSE),"")</f>
      </c>
      <c r="M562" s="54">
        <f>IFERROR(VLOOKUP($A:$A,CS!$A:$AK,22,FALSE),"")</f>
      </c>
      <c r="N562" s="54">
        <f>IFERROR(VLOOKUP($A:$A,CS!$A:$AK,19,FALSE),"")</f>
      </c>
      <c r="O562" s="54">
        <f>IFERROR(VLOOKUP($A:$A,CS!$A:$AK,23,FALSE),"")</f>
      </c>
      <c r="P562" s="54">
        <f>IFERROR(VLOOKUP($A:$A,CS!$A:$AK,24,FALSE),"")</f>
      </c>
      <c r="Q562" s="54">
        <f>IFERROR(VLOOKUP($A:$A,CS!$A:$AK,25,FALSE),"")</f>
      </c>
      <c r="R562" s="54">
        <f>IFERROR(VLOOKUP($A:$A,CS!$A:$AK,26,FALSE),"")</f>
      </c>
      <c r="S562" s="54">
        <f>IFERROR(VLOOKUP($A:$A,CS!$A:$AK,29,FALSE),"")</f>
      </c>
      <c r="T562" s="54">
        <f>IFERROR(VLOOKUP($A:$A,CS!$A:$AK,33,FALSE),"")</f>
      </c>
      <c r="U562" s="54">
        <f>IFERROR(VLOOKUP($A:$A,CS!$A:$AK,34,FALSE),"")</f>
      </c>
      <c r="V562" s="54">
        <f>IFERROR(VLOOKUP($A:$A,CS!$A:$AK,35,FALSE),"")</f>
      </c>
      <c r="W562" s="54">
        <f>IFERROR(VLOOKUP($A:$A,CS!$A:$AK,36,FALSE),"")</f>
      </c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0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71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71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71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71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71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71"/>
      <c r="W574" s="56"/>
    </row>
    <row r="575" ht="16.5" customHeight="1" spans="1:23" x14ac:dyDescent="0.25">
      <c r="A575" s="69"/>
      <c r="B575" s="54"/>
      <c r="C575" s="54"/>
      <c r="D575" s="55"/>
      <c r="E575" s="54"/>
      <c r="F575" s="54"/>
      <c r="G575" s="54"/>
      <c r="H575" s="54"/>
      <c r="I575" s="54"/>
      <c r="J575" s="65"/>
      <c r="K575" s="54"/>
      <c r="L575" s="57"/>
      <c r="M575" s="54"/>
      <c r="N575" s="54"/>
      <c r="O575" s="57"/>
      <c r="P575" s="56"/>
      <c r="Q575" s="57"/>
      <c r="R575" s="57"/>
      <c r="S575" s="56"/>
      <c r="T575" s="60"/>
      <c r="U575" s="57"/>
      <c r="V575" s="71"/>
      <c r="W575" s="56"/>
    </row>
    <row r="576" ht="16.5" customHeight="1" spans="1:23" x14ac:dyDescent="0.25">
      <c r="A576" s="69"/>
      <c r="B576" s="54"/>
      <c r="C576" s="54"/>
      <c r="D576" s="55"/>
      <c r="E576" s="54"/>
      <c r="F576" s="54"/>
      <c r="G576" s="54"/>
      <c r="H576" s="54"/>
      <c r="I576" s="54"/>
      <c r="J576" s="65"/>
      <c r="K576" s="54"/>
      <c r="L576" s="57"/>
      <c r="M576" s="54"/>
      <c r="N576" s="54"/>
      <c r="O576" s="57"/>
      <c r="P576" s="56"/>
      <c r="Q576" s="57"/>
      <c r="R576" s="57"/>
      <c r="S576" s="56"/>
      <c r="T576" s="60"/>
      <c r="U576" s="57"/>
      <c r="V576" s="71"/>
      <c r="W576" s="56"/>
    </row>
    <row r="577" ht="16.5" customHeight="1" spans="1:23" x14ac:dyDescent="0.25">
      <c r="A577" s="69"/>
      <c r="B577" s="54"/>
      <c r="C577" s="54"/>
      <c r="D577" s="55"/>
      <c r="E577" s="54"/>
      <c r="F577" s="54"/>
      <c r="G577" s="54"/>
      <c r="H577" s="54"/>
      <c r="I577" s="54"/>
      <c r="J577" s="65"/>
      <c r="K577" s="54"/>
      <c r="L577" s="57"/>
      <c r="M577" s="54"/>
      <c r="N577" s="54"/>
      <c r="O577" s="57"/>
      <c r="P577" s="56"/>
      <c r="Q577" s="57"/>
      <c r="R577" s="57"/>
      <c r="S577" s="56"/>
      <c r="T577" s="60"/>
      <c r="U577" s="57"/>
      <c r="V577" s="71"/>
      <c r="W577" s="56"/>
    </row>
    <row r="578" ht="16.5" customHeight="1" spans="1:23" x14ac:dyDescent="0.25">
      <c r="A578" s="69"/>
      <c r="B578" s="54"/>
      <c r="C578" s="54"/>
      <c r="D578" s="55"/>
      <c r="E578" s="54"/>
      <c r="F578" s="54"/>
      <c r="G578" s="54"/>
      <c r="H578" s="54"/>
      <c r="I578" s="54"/>
      <c r="J578" s="65"/>
      <c r="K578" s="54"/>
      <c r="L578" s="57"/>
      <c r="M578" s="54"/>
      <c r="N578" s="54"/>
      <c r="O578" s="57"/>
      <c r="P578" s="56"/>
      <c r="Q578" s="57"/>
      <c r="R578" s="57"/>
      <c r="S578" s="56"/>
      <c r="T578" s="60"/>
      <c r="U578" s="57"/>
      <c r="V578" s="71"/>
      <c r="W578" s="56"/>
    </row>
    <row r="579" ht="16.5" customHeight="1" spans="1:23" x14ac:dyDescent="0.25">
      <c r="A579" s="69"/>
      <c r="B579" s="54"/>
      <c r="C579" s="54"/>
      <c r="D579" s="55"/>
      <c r="E579" s="54"/>
      <c r="F579" s="54"/>
      <c r="G579" s="54"/>
      <c r="H579" s="54"/>
      <c r="I579" s="54"/>
      <c r="J579" s="65"/>
      <c r="K579" s="54"/>
      <c r="L579" s="57"/>
      <c r="M579" s="54"/>
      <c r="N579" s="54"/>
      <c r="O579" s="57"/>
      <c r="P579" s="56"/>
      <c r="Q579" s="57"/>
      <c r="R579" s="57"/>
      <c r="S579" s="56"/>
      <c r="T579" s="60"/>
      <c r="U579" s="57"/>
      <c r="V579" s="71"/>
      <c r="W579" s="56"/>
    </row>
    <row r="580" ht="16.5" customHeight="1" spans="1:23" x14ac:dyDescent="0.25">
      <c r="A580" s="69"/>
      <c r="B580" s="54"/>
      <c r="C580" s="54"/>
      <c r="D580" s="55"/>
      <c r="E580" s="54"/>
      <c r="F580" s="54"/>
      <c r="G580" s="54"/>
      <c r="H580" s="54"/>
      <c r="I580" s="54"/>
      <c r="J580" s="65"/>
      <c r="K580" s="54"/>
      <c r="L580" s="57"/>
      <c r="M580" s="54"/>
      <c r="N580" s="54"/>
      <c r="O580" s="57"/>
      <c r="P580" s="56"/>
      <c r="Q580" s="57"/>
      <c r="R580" s="57"/>
      <c r="S580" s="56"/>
      <c r="T580" s="60"/>
      <c r="U580" s="57"/>
      <c r="V580" s="71"/>
      <c r="W580" s="56"/>
    </row>
    <row r="581" ht="16.5" customHeight="1" spans="1:23" x14ac:dyDescent="0.25">
      <c r="A581" s="69"/>
      <c r="B581" s="54"/>
      <c r="C581" s="54"/>
      <c r="D581" s="55"/>
      <c r="E581" s="54"/>
      <c r="F581" s="54"/>
      <c r="G581" s="54"/>
      <c r="H581" s="54"/>
      <c r="I581" s="54"/>
      <c r="J581" s="65"/>
      <c r="K581" s="54"/>
      <c r="L581" s="57"/>
      <c r="M581" s="54"/>
      <c r="N581" s="54"/>
      <c r="O581" s="57"/>
      <c r="P581" s="56"/>
      <c r="Q581" s="57"/>
      <c r="R581" s="57"/>
      <c r="S581" s="56"/>
      <c r="T581" s="60"/>
      <c r="U581" s="57"/>
      <c r="V581" s="71"/>
      <c r="W581" s="56"/>
    </row>
    <row r="582" ht="16.5" customHeight="1" spans="1:23" x14ac:dyDescent="0.25">
      <c r="A582" s="69"/>
      <c r="B582" s="54"/>
      <c r="C582" s="54"/>
      <c r="D582" s="55"/>
      <c r="E582" s="54"/>
      <c r="F582" s="54"/>
      <c r="G582" s="54"/>
      <c r="H582" s="54"/>
      <c r="I582" s="54"/>
      <c r="J582" s="65"/>
      <c r="K582" s="54"/>
      <c r="L582" s="57"/>
      <c r="M582" s="54"/>
      <c r="N582" s="54"/>
      <c r="O582" s="57"/>
      <c r="P582" s="56"/>
      <c r="Q582" s="57"/>
      <c r="R582" s="57"/>
      <c r="S582" s="56"/>
      <c r="T582" s="60"/>
      <c r="U582" s="57"/>
      <c r="V582" s="71"/>
      <c r="W582" s="56"/>
    </row>
    <row r="583" ht="16.5" customHeight="1" spans="1:23" x14ac:dyDescent="0.25">
      <c r="A583" s="69"/>
      <c r="B583" s="54"/>
      <c r="C583" s="54"/>
      <c r="D583" s="55"/>
      <c r="E583" s="54"/>
      <c r="F583" s="54"/>
      <c r="G583" s="54"/>
      <c r="H583" s="54"/>
      <c r="I583" s="54"/>
      <c r="J583" s="65"/>
      <c r="K583" s="54"/>
      <c r="L583" s="57"/>
      <c r="M583" s="54"/>
      <c r="N583" s="54"/>
      <c r="O583" s="57"/>
      <c r="P583" s="56"/>
      <c r="Q583" s="57"/>
      <c r="R583" s="57"/>
      <c r="S583" s="56"/>
      <c r="T583" s="60"/>
      <c r="U583" s="57"/>
      <c r="V583" s="71"/>
      <c r="W583" s="56"/>
    </row>
    <row r="584" ht="16.5" customHeight="1" spans="1:23" x14ac:dyDescent="0.25">
      <c r="A584" s="69"/>
      <c r="B584" s="54"/>
      <c r="C584" s="54"/>
      <c r="D584" s="55"/>
      <c r="E584" s="54"/>
      <c r="F584" s="54"/>
      <c r="G584" s="54"/>
      <c r="H584" s="54"/>
      <c r="I584" s="54"/>
      <c r="J584" s="65"/>
      <c r="K584" s="54"/>
      <c r="L584" s="57"/>
      <c r="M584" s="54"/>
      <c r="N584" s="54"/>
      <c r="O584" s="57"/>
      <c r="P584" s="56"/>
      <c r="Q584" s="57"/>
      <c r="R584" s="57"/>
      <c r="S584" s="56"/>
      <c r="T584" s="60"/>
      <c r="U584" s="57"/>
      <c r="V584" s="71"/>
      <c r="W584" s="56"/>
    </row>
    <row r="585" ht="16.5" customHeight="1" spans="1:23" x14ac:dyDescent="0.25">
      <c r="A585" s="69"/>
      <c r="B585" s="54"/>
      <c r="C585" s="54"/>
      <c r="D585" s="55"/>
      <c r="E585" s="54"/>
      <c r="F585" s="54"/>
      <c r="G585" s="54"/>
      <c r="H585" s="54"/>
      <c r="I585" s="54"/>
      <c r="J585" s="65"/>
      <c r="K585" s="54"/>
      <c r="L585" s="57"/>
      <c r="M585" s="54"/>
      <c r="N585" s="54"/>
      <c r="O585" s="57"/>
      <c r="P585" s="56"/>
      <c r="Q585" s="57"/>
      <c r="R585" s="57"/>
      <c r="S585" s="56"/>
      <c r="T585" s="60"/>
      <c r="U585" s="57"/>
      <c r="V585" s="71"/>
      <c r="W585" s="56"/>
    </row>
    <row r="586" ht="16.5" customHeight="1" spans="1:23" x14ac:dyDescent="0.25">
      <c r="A586" s="69"/>
      <c r="B586" s="54"/>
      <c r="C586" s="54"/>
      <c r="D586" s="55"/>
      <c r="E586" s="54"/>
      <c r="F586" s="54"/>
      <c r="G586" s="54"/>
      <c r="H586" s="54"/>
      <c r="I586" s="54"/>
      <c r="J586" s="65"/>
      <c r="K586" s="54"/>
      <c r="L586" s="57"/>
      <c r="M586" s="54"/>
      <c r="N586" s="54"/>
      <c r="O586" s="57"/>
      <c r="P586" s="56"/>
      <c r="Q586" s="57"/>
      <c r="R586" s="57"/>
      <c r="S586" s="56"/>
      <c r="T586" s="60"/>
      <c r="U586" s="57"/>
      <c r="V586" s="71"/>
      <c r="W586" s="56"/>
    </row>
    <row r="587" ht="16.5" customHeight="1" spans="1:23" x14ac:dyDescent="0.25">
      <c r="A587" s="69"/>
      <c r="B587" s="54"/>
      <c r="C587" s="54"/>
      <c r="D587" s="55"/>
      <c r="E587" s="54"/>
      <c r="F587" s="54"/>
      <c r="G587" s="54"/>
      <c r="H587" s="54"/>
      <c r="I587" s="54"/>
      <c r="J587" s="65"/>
      <c r="K587" s="54"/>
      <c r="L587" s="57"/>
      <c r="M587" s="54"/>
      <c r="N587" s="54"/>
      <c r="O587" s="57"/>
      <c r="P587" s="56"/>
      <c r="Q587" s="57"/>
      <c r="R587" s="57"/>
      <c r="S587" s="56"/>
      <c r="T587" s="60"/>
      <c r="U587" s="57"/>
      <c r="V587" s="71"/>
      <c r="W587" s="56"/>
    </row>
    <row r="588" ht="16.5" customHeight="1" spans="1:23" x14ac:dyDescent="0.25">
      <c r="A588" s="69"/>
      <c r="B588" s="54"/>
      <c r="C588" s="54"/>
      <c r="D588" s="55"/>
      <c r="E588" s="54"/>
      <c r="F588" s="54"/>
      <c r="G588" s="54"/>
      <c r="H588" s="54"/>
      <c r="I588" s="54"/>
      <c r="J588" s="65"/>
      <c r="K588" s="54"/>
      <c r="L588" s="57"/>
      <c r="M588" s="54"/>
      <c r="N588" s="54"/>
      <c r="O588" s="57"/>
      <c r="P588" s="56"/>
      <c r="Q588" s="57"/>
      <c r="R588" s="57"/>
      <c r="S588" s="56"/>
      <c r="T588" s="60"/>
      <c r="U588" s="57"/>
      <c r="V588" s="71"/>
      <c r="W588" s="56"/>
    </row>
    <row r="589" ht="16.5" customHeight="1" spans="1:23" x14ac:dyDescent="0.25">
      <c r="A589" s="69"/>
      <c r="B589" s="54"/>
      <c r="C589" s="54"/>
      <c r="D589" s="55"/>
      <c r="E589" s="54"/>
      <c r="F589" s="54"/>
      <c r="G589" s="54"/>
      <c r="H589" s="54"/>
      <c r="I589" s="54"/>
      <c r="J589" s="65"/>
      <c r="K589" s="54"/>
      <c r="L589" s="57"/>
      <c r="M589" s="54"/>
      <c r="N589" s="54"/>
      <c r="O589" s="57"/>
      <c r="P589" s="56"/>
      <c r="Q589" s="57"/>
      <c r="R589" s="57"/>
      <c r="S589" s="56"/>
      <c r="T589" s="60"/>
      <c r="U589" s="57"/>
      <c r="V589" s="71"/>
      <c r="W589" s="56"/>
    </row>
    <row r="590" ht="16.5" customHeight="1" spans="1:23" x14ac:dyDescent="0.25">
      <c r="A590" s="69"/>
      <c r="B590" s="54"/>
      <c r="C590" s="54"/>
      <c r="D590" s="55"/>
      <c r="E590" s="54"/>
      <c r="F590" s="54"/>
      <c r="G590" s="54"/>
      <c r="H590" s="54"/>
      <c r="I590" s="54"/>
      <c r="J590" s="65"/>
      <c r="K590" s="54"/>
      <c r="L590" s="57"/>
      <c r="M590" s="54"/>
      <c r="N590" s="54"/>
      <c r="O590" s="57"/>
      <c r="P590" s="56"/>
      <c r="Q590" s="57"/>
      <c r="R590" s="57"/>
      <c r="S590" s="56"/>
      <c r="T590" s="60"/>
      <c r="U590" s="57"/>
      <c r="V590" s="71"/>
      <c r="W590" s="56"/>
    </row>
    <row r="591" ht="16.5" customHeight="1" spans="1:23" x14ac:dyDescent="0.25">
      <c r="A591" s="69"/>
      <c r="B591" s="54"/>
      <c r="C591" s="54"/>
      <c r="D591" s="55"/>
      <c r="E591" s="54"/>
      <c r="F591" s="54"/>
      <c r="G591" s="54"/>
      <c r="H591" s="54"/>
      <c r="I591" s="54"/>
      <c r="J591" s="65"/>
      <c r="K591" s="54"/>
      <c r="L591" s="57"/>
      <c r="M591" s="54"/>
      <c r="N591" s="54"/>
      <c r="O591" s="57"/>
      <c r="P591" s="56"/>
      <c r="Q591" s="57"/>
      <c r="R591" s="57"/>
      <c r="S591" s="56"/>
      <c r="T591" s="60"/>
      <c r="U591" s="57"/>
      <c r="V591" s="71"/>
      <c r="W591" s="56"/>
    </row>
    <row r="592" ht="16.5" customHeight="1" spans="1:23" x14ac:dyDescent="0.25">
      <c r="A592" s="69"/>
      <c r="B592" s="54"/>
      <c r="C592" s="54"/>
      <c r="D592" s="55"/>
      <c r="E592" s="54"/>
      <c r="F592" s="54"/>
      <c r="G592" s="54"/>
      <c r="H592" s="54"/>
      <c r="I592" s="54"/>
      <c r="J592" s="65"/>
      <c r="K592" s="54"/>
      <c r="L592" s="57"/>
      <c r="M592" s="54"/>
      <c r="N592" s="54"/>
      <c r="O592" s="57"/>
      <c r="P592" s="56"/>
      <c r="Q592" s="57"/>
      <c r="R592" s="57"/>
      <c r="S592" s="56"/>
      <c r="T592" s="60"/>
      <c r="U592" s="57"/>
      <c r="V592" s="71"/>
      <c r="W592" s="56"/>
    </row>
    <row r="593" ht="16.5" customHeight="1" spans="1:23" x14ac:dyDescent="0.25">
      <c r="A593" s="69"/>
      <c r="B593" s="54"/>
      <c r="C593" s="54"/>
      <c r="D593" s="55"/>
      <c r="E593" s="54"/>
      <c r="F593" s="54"/>
      <c r="G593" s="54"/>
      <c r="H593" s="54"/>
      <c r="I593" s="54"/>
      <c r="J593" s="65"/>
      <c r="K593" s="54"/>
      <c r="L593" s="57"/>
      <c r="M593" s="54"/>
      <c r="N593" s="54"/>
      <c r="O593" s="57"/>
      <c r="P593" s="56"/>
      <c r="Q593" s="57"/>
      <c r="R593" s="57"/>
      <c r="S593" s="56"/>
      <c r="T593" s="60"/>
      <c r="U593" s="57"/>
      <c r="V593" s="71"/>
      <c r="W593" s="56"/>
    </row>
    <row r="594" ht="16.5" customHeight="1" spans="1:23" x14ac:dyDescent="0.25">
      <c r="A594" s="69"/>
      <c r="B594" s="54"/>
      <c r="C594" s="54"/>
      <c r="D594" s="55"/>
      <c r="E594" s="54"/>
      <c r="F594" s="54"/>
      <c r="G594" s="54"/>
      <c r="H594" s="54"/>
      <c r="I594" s="54"/>
      <c r="J594" s="65"/>
      <c r="K594" s="54"/>
      <c r="L594" s="57"/>
      <c r="M594" s="54"/>
      <c r="N594" s="54"/>
      <c r="O594" s="57"/>
      <c r="P594" s="56"/>
      <c r="Q594" s="57"/>
      <c r="R594" s="57"/>
      <c r="S594" s="56"/>
      <c r="T594" s="60"/>
      <c r="U594" s="57"/>
      <c r="V594" s="71"/>
      <c r="W594" s="56"/>
    </row>
    <row r="595" ht="16.5" customHeight="1" spans="1:23" x14ac:dyDescent="0.25">
      <c r="A595" s="69"/>
      <c r="B595" s="54"/>
      <c r="C595" s="54"/>
      <c r="D595" s="55"/>
      <c r="E595" s="54"/>
      <c r="F595" s="54"/>
      <c r="G595" s="54"/>
      <c r="H595" s="54"/>
      <c r="I595" s="54"/>
      <c r="J595" s="65"/>
      <c r="K595" s="54"/>
      <c r="L595" s="57"/>
      <c r="M595" s="54"/>
      <c r="N595" s="54"/>
      <c r="O595" s="57"/>
      <c r="P595" s="56"/>
      <c r="Q595" s="57"/>
      <c r="R595" s="57"/>
      <c r="S595" s="56"/>
      <c r="T595" s="60"/>
      <c r="U595" s="57"/>
      <c r="V595" s="71"/>
      <c r="W595" s="56"/>
    </row>
    <row r="596" ht="16.5" customHeight="1" spans="1:23" x14ac:dyDescent="0.25">
      <c r="A596" s="69"/>
      <c r="B596" s="54"/>
      <c r="C596" s="54"/>
      <c r="D596" s="55"/>
      <c r="E596" s="54"/>
      <c r="F596" s="54"/>
      <c r="G596" s="54"/>
      <c r="H596" s="54"/>
      <c r="I596" s="54"/>
      <c r="J596" s="65"/>
      <c r="K596" s="54"/>
      <c r="L596" s="57"/>
      <c r="M596" s="54"/>
      <c r="N596" s="54"/>
      <c r="O596" s="57"/>
      <c r="P596" s="56"/>
      <c r="Q596" s="57"/>
      <c r="R596" s="57"/>
      <c r="S596" s="56"/>
      <c r="T596" s="60"/>
      <c r="U596" s="57"/>
      <c r="V596" s="71"/>
      <c r="W596" s="56"/>
    </row>
    <row r="597" ht="16.5" customHeight="1" spans="1:23" x14ac:dyDescent="0.25">
      <c r="A597" s="69"/>
      <c r="B597" s="54"/>
      <c r="C597" s="54"/>
      <c r="D597" s="55"/>
      <c r="E597" s="54"/>
      <c r="F597" s="54"/>
      <c r="G597" s="54"/>
      <c r="H597" s="54"/>
      <c r="I597" s="54"/>
      <c r="J597" s="65"/>
      <c r="K597" s="54"/>
      <c r="L597" s="57"/>
      <c r="M597" s="54"/>
      <c r="N597" s="54"/>
      <c r="O597" s="57"/>
      <c r="P597" s="56"/>
      <c r="Q597" s="57"/>
      <c r="R597" s="57"/>
      <c r="S597" s="56"/>
      <c r="T597" s="60"/>
      <c r="U597" s="57"/>
      <c r="V597" s="71"/>
      <c r="W597" s="56"/>
    </row>
    <row r="598" ht="16.5" customHeight="1" spans="1:23" x14ac:dyDescent="0.25">
      <c r="A598" s="69"/>
      <c r="B598" s="54"/>
      <c r="C598" s="54"/>
      <c r="D598" s="55"/>
      <c r="E598" s="54"/>
      <c r="F598" s="54"/>
      <c r="G598" s="54"/>
      <c r="H598" s="54"/>
      <c r="I598" s="54"/>
      <c r="J598" s="65"/>
      <c r="K598" s="54"/>
      <c r="L598" s="57"/>
      <c r="M598" s="54"/>
      <c r="N598" s="54"/>
      <c r="O598" s="57"/>
      <c r="P598" s="56"/>
      <c r="Q598" s="57"/>
      <c r="R598" s="57"/>
      <c r="S598" s="56"/>
      <c r="T598" s="60"/>
      <c r="U598" s="57"/>
      <c r="V598" s="71"/>
      <c r="W598" s="56"/>
    </row>
    <row r="599" ht="16.5" customHeight="1" spans="1:23" x14ac:dyDescent="0.25">
      <c r="A599" s="69"/>
      <c r="B599" s="54"/>
      <c r="C599" s="54"/>
      <c r="D599" s="55"/>
      <c r="E599" s="54"/>
      <c r="F599" s="54"/>
      <c r="G599" s="54"/>
      <c r="H599" s="54"/>
      <c r="I599" s="54"/>
      <c r="J599" s="65"/>
      <c r="K599" s="54"/>
      <c r="L599" s="57"/>
      <c r="M599" s="54"/>
      <c r="N599" s="54"/>
      <c r="O599" s="57"/>
      <c r="P599" s="56"/>
      <c r="Q599" s="57"/>
      <c r="R599" s="57"/>
      <c r="S599" s="56"/>
      <c r="T599" s="60"/>
      <c r="U599" s="57"/>
      <c r="V599" s="71"/>
      <c r="W599" s="56"/>
    </row>
    <row r="600" ht="16.5" customHeight="1" spans="1:23" x14ac:dyDescent="0.25">
      <c r="A600" s="69"/>
      <c r="B600" s="54"/>
      <c r="C600" s="54"/>
      <c r="D600" s="55"/>
      <c r="E600" s="54"/>
      <c r="F600" s="54"/>
      <c r="G600" s="54"/>
      <c r="H600" s="54"/>
      <c r="I600" s="54"/>
      <c r="J600" s="65"/>
      <c r="K600" s="54"/>
      <c r="L600" s="57"/>
      <c r="M600" s="54"/>
      <c r="N600" s="54"/>
      <c r="O600" s="57"/>
      <c r="P600" s="56"/>
      <c r="Q600" s="57"/>
      <c r="R600" s="57"/>
      <c r="S600" s="56"/>
      <c r="T600" s="60"/>
      <c r="U600" s="57"/>
      <c r="V600" s="71"/>
      <c r="W600" s="56"/>
    </row>
    <row r="601" ht="16.5" customHeight="1" spans="1:23" x14ac:dyDescent="0.25">
      <c r="A601" s="69"/>
      <c r="B601" s="54"/>
      <c r="C601" s="54"/>
      <c r="D601" s="55"/>
      <c r="E601" s="54"/>
      <c r="F601" s="54"/>
      <c r="G601" s="54"/>
      <c r="H601" s="54"/>
      <c r="I601" s="54"/>
      <c r="J601" s="65"/>
      <c r="K601" s="54"/>
      <c r="L601" s="57"/>
      <c r="M601" s="54"/>
      <c r="N601" s="54"/>
      <c r="O601" s="57"/>
      <c r="P601" s="56"/>
      <c r="Q601" s="57"/>
      <c r="R601" s="57"/>
      <c r="S601" s="56"/>
      <c r="T601" s="60"/>
      <c r="U601" s="57"/>
      <c r="V601" s="71"/>
      <c r="W601" s="56"/>
    </row>
    <row r="602" ht="16.5" customHeight="1" spans="1:23" x14ac:dyDescent="0.25">
      <c r="A602" s="69"/>
      <c r="B602" s="54"/>
      <c r="C602" s="54"/>
      <c r="D602" s="55"/>
      <c r="E602" s="54"/>
      <c r="F602" s="54"/>
      <c r="G602" s="54"/>
      <c r="H602" s="54"/>
      <c r="I602" s="54"/>
      <c r="J602" s="65"/>
      <c r="K602" s="54"/>
      <c r="L602" s="57"/>
      <c r="M602" s="54"/>
      <c r="N602" s="54"/>
      <c r="O602" s="57"/>
      <c r="P602" s="56"/>
      <c r="Q602" s="57"/>
      <c r="R602" s="57"/>
      <c r="S602" s="56"/>
      <c r="T602" s="60"/>
      <c r="U602" s="57"/>
      <c r="V602" s="71"/>
      <c r="W602" s="56"/>
    </row>
    <row r="603" ht="16.5" customHeight="1" spans="1:23" x14ac:dyDescent="0.25">
      <c r="A603" s="69"/>
      <c r="B603" s="54"/>
      <c r="C603" s="54"/>
      <c r="D603" s="55"/>
      <c r="E603" s="54"/>
      <c r="F603" s="54"/>
      <c r="G603" s="54"/>
      <c r="H603" s="54"/>
      <c r="I603" s="54"/>
      <c r="J603" s="65"/>
      <c r="K603" s="54"/>
      <c r="L603" s="57"/>
      <c r="M603" s="54"/>
      <c r="N603" s="54"/>
      <c r="O603" s="57"/>
      <c r="P603" s="56"/>
      <c r="Q603" s="57"/>
      <c r="R603" s="57"/>
      <c r="S603" s="56"/>
      <c r="T603" s="60"/>
      <c r="U603" s="57"/>
      <c r="V603" s="71"/>
      <c r="W603" s="56"/>
    </row>
    <row r="604" ht="16.5" customHeight="1" spans="1:23" x14ac:dyDescent="0.25">
      <c r="A604" s="69"/>
      <c r="B604" s="54"/>
      <c r="C604" s="54"/>
      <c r="D604" s="55"/>
      <c r="E604" s="54"/>
      <c r="F604" s="54"/>
      <c r="G604" s="54"/>
      <c r="H604" s="54"/>
      <c r="I604" s="54"/>
      <c r="J604" s="65"/>
      <c r="K604" s="54"/>
      <c r="L604" s="57"/>
      <c r="M604" s="54"/>
      <c r="N604" s="54"/>
      <c r="O604" s="57"/>
      <c r="P604" s="56"/>
      <c r="Q604" s="57"/>
      <c r="R604" s="57"/>
      <c r="S604" s="56"/>
      <c r="T604" s="60"/>
      <c r="U604" s="57"/>
      <c r="V604" s="71"/>
      <c r="W604" s="56"/>
    </row>
    <row r="605" ht="16.5" customHeight="1" spans="1:23" x14ac:dyDescent="0.25">
      <c r="A605" s="69"/>
      <c r="B605" s="54"/>
      <c r="C605" s="54"/>
      <c r="D605" s="55"/>
      <c r="E605" s="54"/>
      <c r="F605" s="54"/>
      <c r="G605" s="54"/>
      <c r="H605" s="54"/>
      <c r="I605" s="54"/>
      <c r="J605" s="65"/>
      <c r="K605" s="54"/>
      <c r="L605" s="57"/>
      <c r="M605" s="54"/>
      <c r="N605" s="54"/>
      <c r="O605" s="57"/>
      <c r="P605" s="56"/>
      <c r="Q605" s="57"/>
      <c r="R605" s="57"/>
      <c r="S605" s="56"/>
      <c r="T605" s="60"/>
      <c r="U605" s="57"/>
      <c r="V605" s="71"/>
      <c r="W605" s="56"/>
    </row>
    <row r="606" ht="16.5" customHeight="1" spans="1:23" x14ac:dyDescent="0.25">
      <c r="A606" s="69"/>
      <c r="B606" s="54"/>
      <c r="C606" s="54"/>
      <c r="D606" s="55"/>
      <c r="E606" s="54"/>
      <c r="F606" s="54"/>
      <c r="G606" s="54"/>
      <c r="H606" s="54"/>
      <c r="I606" s="54"/>
      <c r="J606" s="65"/>
      <c r="K606" s="54"/>
      <c r="L606" s="57"/>
      <c r="M606" s="54"/>
      <c r="N606" s="54"/>
      <c r="O606" s="57"/>
      <c r="P606" s="56"/>
      <c r="Q606" s="57"/>
      <c r="R606" s="57"/>
      <c r="S606" s="56"/>
      <c r="T606" s="60"/>
      <c r="U606" s="57"/>
      <c r="V606" s="71"/>
      <c r="W606" s="56"/>
    </row>
    <row r="607" ht="16.5" customHeight="1" spans="1:23" x14ac:dyDescent="0.25">
      <c r="A607" s="69"/>
      <c r="B607" s="54"/>
      <c r="C607" s="54"/>
      <c r="D607" s="55"/>
      <c r="E607" s="54"/>
      <c r="F607" s="54"/>
      <c r="G607" s="54"/>
      <c r="H607" s="54"/>
      <c r="I607" s="54"/>
      <c r="J607" s="65"/>
      <c r="K607" s="54"/>
      <c r="L607" s="57"/>
      <c r="M607" s="54"/>
      <c r="N607" s="54"/>
      <c r="O607" s="57"/>
      <c r="P607" s="56"/>
      <c r="Q607" s="57"/>
      <c r="R607" s="57"/>
      <c r="S607" s="56"/>
      <c r="T607" s="60"/>
      <c r="U607" s="57"/>
      <c r="V607" s="71"/>
      <c r="W607" s="56"/>
    </row>
    <row r="608" ht="16.5" customHeight="1" spans="1:23" x14ac:dyDescent="0.25">
      <c r="A608" s="69"/>
      <c r="B608" s="54"/>
      <c r="C608" s="54"/>
      <c r="D608" s="55"/>
      <c r="E608" s="54"/>
      <c r="F608" s="54"/>
      <c r="G608" s="54"/>
      <c r="H608" s="54"/>
      <c r="I608" s="54"/>
      <c r="J608" s="65"/>
      <c r="K608" s="54"/>
      <c r="L608" s="57"/>
      <c r="M608" s="54"/>
      <c r="N608" s="54"/>
      <c r="O608" s="57"/>
      <c r="P608" s="56"/>
      <c r="Q608" s="57"/>
      <c r="R608" s="57"/>
      <c r="S608" s="56"/>
      <c r="T608" s="60"/>
      <c r="U608" s="57"/>
      <c r="V608" s="71"/>
      <c r="W608" s="56"/>
    </row>
    <row r="609" ht="16.5" customHeight="1" spans="1:23" x14ac:dyDescent="0.25">
      <c r="A609" s="69"/>
      <c r="B609" s="54"/>
      <c r="C609" s="54"/>
      <c r="D609" s="55"/>
      <c r="E609" s="54"/>
      <c r="F609" s="54"/>
      <c r="G609" s="54"/>
      <c r="H609" s="54"/>
      <c r="I609" s="54"/>
      <c r="J609" s="65"/>
      <c r="K609" s="54"/>
      <c r="L609" s="57"/>
      <c r="M609" s="54"/>
      <c r="N609" s="54"/>
      <c r="O609" s="57"/>
      <c r="P609" s="56"/>
      <c r="Q609" s="57"/>
      <c r="R609" s="57"/>
      <c r="S609" s="56"/>
      <c r="T609" s="60"/>
      <c r="U609" s="57"/>
      <c r="V609" s="71"/>
      <c r="W609" s="56"/>
    </row>
    <row r="610" ht="16.5" customHeight="1" spans="1:23" x14ac:dyDescent="0.25">
      <c r="A610" s="69"/>
      <c r="B610" s="54"/>
      <c r="C610" s="54"/>
      <c r="D610" s="55"/>
      <c r="E610" s="54"/>
      <c r="F610" s="54"/>
      <c r="G610" s="54"/>
      <c r="H610" s="54"/>
      <c r="I610" s="54"/>
      <c r="J610" s="65"/>
      <c r="K610" s="54"/>
      <c r="L610" s="57"/>
      <c r="M610" s="54"/>
      <c r="N610" s="54"/>
      <c r="O610" s="57"/>
      <c r="P610" s="56"/>
      <c r="Q610" s="57"/>
      <c r="R610" s="57"/>
      <c r="S610" s="56"/>
      <c r="T610" s="60"/>
      <c r="U610" s="57"/>
      <c r="V610" s="71"/>
      <c r="W610" s="56"/>
    </row>
    <row r="611" ht="16.5" customHeight="1" spans="1:23" x14ac:dyDescent="0.25">
      <c r="A611" s="69"/>
      <c r="B611" s="54"/>
      <c r="C611" s="54"/>
      <c r="D611" s="55"/>
      <c r="E611" s="54"/>
      <c r="F611" s="54"/>
      <c r="G611" s="54"/>
      <c r="H611" s="54"/>
      <c r="I611" s="54"/>
      <c r="J611" s="65"/>
      <c r="K611" s="54"/>
      <c r="L611" s="57"/>
      <c r="M611" s="54"/>
      <c r="N611" s="54"/>
      <c r="O611" s="57"/>
      <c r="P611" s="56"/>
      <c r="Q611" s="57"/>
      <c r="R611" s="57"/>
      <c r="S611" s="56"/>
      <c r="T611" s="60"/>
      <c r="U611" s="57"/>
      <c r="V611" s="71"/>
      <c r="W611" s="56"/>
    </row>
    <row r="612" ht="16.5" customHeight="1" spans="1:23" x14ac:dyDescent="0.25">
      <c r="A612" s="69"/>
      <c r="B612" s="54"/>
      <c r="C612" s="54"/>
      <c r="D612" s="55"/>
      <c r="E612" s="54"/>
      <c r="F612" s="54"/>
      <c r="G612" s="54"/>
      <c r="H612" s="54"/>
      <c r="I612" s="54"/>
      <c r="J612" s="65"/>
      <c r="K612" s="54"/>
      <c r="L612" s="57"/>
      <c r="M612" s="54"/>
      <c r="N612" s="54"/>
      <c r="O612" s="57"/>
      <c r="P612" s="56"/>
      <c r="Q612" s="57"/>
      <c r="R612" s="57"/>
      <c r="S612" s="56"/>
      <c r="T612" s="60"/>
      <c r="U612" s="57"/>
      <c r="V612" s="71"/>
      <c r="W612" s="56"/>
    </row>
    <row r="613" ht="16.5" customHeight="1" spans="1:23" x14ac:dyDescent="0.25">
      <c r="A613" s="69"/>
      <c r="B613" s="54"/>
      <c r="C613" s="54"/>
      <c r="D613" s="55"/>
      <c r="E613" s="54"/>
      <c r="F613" s="54"/>
      <c r="G613" s="54"/>
      <c r="H613" s="54"/>
      <c r="I613" s="54"/>
      <c r="J613" s="65"/>
      <c r="K613" s="54"/>
      <c r="L613" s="57"/>
      <c r="M613" s="54"/>
      <c r="N613" s="54"/>
      <c r="O613" s="57"/>
      <c r="P613" s="56"/>
      <c r="Q613" s="57"/>
      <c r="R613" s="57"/>
      <c r="S613" s="56"/>
      <c r="T613" s="60"/>
      <c r="U613" s="57"/>
      <c r="V613" s="71"/>
      <c r="W613" s="56"/>
    </row>
    <row r="614" ht="16.5" customHeight="1" spans="1:23" x14ac:dyDescent="0.25">
      <c r="A614" s="69"/>
      <c r="B614" s="54"/>
      <c r="C614" s="54"/>
      <c r="D614" s="55"/>
      <c r="E614" s="54"/>
      <c r="F614" s="54"/>
      <c r="G614" s="54"/>
      <c r="H614" s="54"/>
      <c r="I614" s="54"/>
      <c r="J614" s="65"/>
      <c r="K614" s="54"/>
      <c r="L614" s="57"/>
      <c r="M614" s="54"/>
      <c r="N614" s="54"/>
      <c r="O614" s="57"/>
      <c r="P614" s="56"/>
      <c r="Q614" s="57"/>
      <c r="R614" s="57"/>
      <c r="S614" s="56"/>
      <c r="T614" s="60"/>
      <c r="U614" s="57"/>
      <c r="V614" s="71"/>
      <c r="W614" s="56"/>
    </row>
    <row r="615" ht="16.5" customHeight="1" spans="1:23" x14ac:dyDescent="0.25">
      <c r="A615" s="69"/>
      <c r="B615" s="54"/>
      <c r="C615" s="54"/>
      <c r="D615" s="55"/>
      <c r="E615" s="54"/>
      <c r="F615" s="54"/>
      <c r="G615" s="54"/>
      <c r="H615" s="54"/>
      <c r="I615" s="54"/>
      <c r="J615" s="65"/>
      <c r="K615" s="54"/>
      <c r="L615" s="57"/>
      <c r="M615" s="54"/>
      <c r="N615" s="54"/>
      <c r="O615" s="57"/>
      <c r="P615" s="56"/>
      <c r="Q615" s="57"/>
      <c r="R615" s="57"/>
      <c r="S615" s="56"/>
      <c r="T615" s="60"/>
      <c r="U615" s="57"/>
      <c r="V615" s="71"/>
      <c r="W615" s="56"/>
    </row>
    <row r="616" ht="16.5" customHeight="1" spans="1:23" x14ac:dyDescent="0.25">
      <c r="A616" s="69"/>
      <c r="B616" s="54"/>
      <c r="C616" s="54"/>
      <c r="D616" s="55"/>
      <c r="E616" s="54"/>
      <c r="F616" s="54"/>
      <c r="G616" s="54"/>
      <c r="H616" s="54"/>
      <c r="I616" s="54"/>
      <c r="J616" s="65"/>
      <c r="K616" s="54"/>
      <c r="L616" s="57"/>
      <c r="M616" s="54"/>
      <c r="N616" s="54"/>
      <c r="O616" s="57"/>
      <c r="P616" s="56"/>
      <c r="Q616" s="57"/>
      <c r="R616" s="57"/>
      <c r="S616" s="56"/>
      <c r="T616" s="60"/>
      <c r="U616" s="57"/>
      <c r="V616" s="71"/>
      <c r="W616" s="56"/>
    </row>
    <row r="617" ht="16.5" customHeight="1" spans="1:23" x14ac:dyDescent="0.25">
      <c r="A617" s="69"/>
      <c r="B617" s="54"/>
      <c r="C617" s="54"/>
      <c r="D617" s="55"/>
      <c r="E617" s="54"/>
      <c r="F617" s="54"/>
      <c r="G617" s="54"/>
      <c r="H617" s="54"/>
      <c r="I617" s="54"/>
      <c r="J617" s="65"/>
      <c r="K617" s="54"/>
      <c r="L617" s="57"/>
      <c r="M617" s="54"/>
      <c r="N617" s="54"/>
      <c r="O617" s="57"/>
      <c r="P617" s="56"/>
      <c r="Q617" s="57"/>
      <c r="R617" s="57"/>
      <c r="S617" s="56"/>
      <c r="T617" s="60"/>
      <c r="U617" s="57"/>
      <c r="V617" s="71"/>
      <c r="W617" s="56"/>
    </row>
    <row r="618" ht="16.5" customHeight="1" spans="1:23" x14ac:dyDescent="0.25">
      <c r="A618" s="69"/>
      <c r="B618" s="54"/>
      <c r="C618" s="54"/>
      <c r="D618" s="55"/>
      <c r="E618" s="54"/>
      <c r="F618" s="54"/>
      <c r="G618" s="54"/>
      <c r="H618" s="54"/>
      <c r="I618" s="54"/>
      <c r="J618" s="65"/>
      <c r="K618" s="54"/>
      <c r="L618" s="57"/>
      <c r="M618" s="54"/>
      <c r="N618" s="54"/>
      <c r="O618" s="57"/>
      <c r="P618" s="56"/>
      <c r="Q618" s="57"/>
      <c r="R618" s="57"/>
      <c r="S618" s="56"/>
      <c r="T618" s="60"/>
      <c r="U618" s="57"/>
      <c r="V618" s="71"/>
      <c r="W618" s="56"/>
    </row>
    <row r="619" ht="16.5" customHeight="1" spans="1:23" x14ac:dyDescent="0.25">
      <c r="A619" s="69"/>
      <c r="B619" s="54"/>
      <c r="C619" s="54"/>
      <c r="D619" s="55"/>
      <c r="E619" s="54"/>
      <c r="F619" s="54"/>
      <c r="G619" s="54"/>
      <c r="H619" s="54"/>
      <c r="I619" s="54"/>
      <c r="J619" s="65"/>
      <c r="K619" s="54"/>
      <c r="L619" s="57"/>
      <c r="M619" s="54"/>
      <c r="N619" s="54"/>
      <c r="O619" s="57"/>
      <c r="P619" s="56"/>
      <c r="Q619" s="57"/>
      <c r="R619" s="57"/>
      <c r="S619" s="56"/>
      <c r="T619" s="60"/>
      <c r="U619" s="57"/>
      <c r="V619" s="71"/>
      <c r="W619" s="56"/>
    </row>
    <row r="620" ht="16.5" customHeight="1" spans="1:23" x14ac:dyDescent="0.25">
      <c r="A620" s="69"/>
      <c r="B620" s="54"/>
      <c r="C620" s="54"/>
      <c r="D620" s="55"/>
      <c r="E620" s="54"/>
      <c r="F620" s="54"/>
      <c r="G620" s="54"/>
      <c r="H620" s="54"/>
      <c r="I620" s="54"/>
      <c r="J620" s="65"/>
      <c r="K620" s="54"/>
      <c r="L620" s="57"/>
      <c r="M620" s="54"/>
      <c r="N620" s="54"/>
      <c r="O620" s="57"/>
      <c r="P620" s="56"/>
      <c r="Q620" s="57"/>
      <c r="R620" s="57"/>
      <c r="S620" s="56"/>
      <c r="T620" s="60"/>
      <c r="U620" s="57"/>
      <c r="V620" s="71"/>
      <c r="W620" s="56"/>
    </row>
    <row r="621" ht="16.5" customHeight="1" spans="1:23" x14ac:dyDescent="0.25">
      <c r="A621" s="69"/>
      <c r="B621" s="54"/>
      <c r="C621" s="54"/>
      <c r="D621" s="55"/>
      <c r="E621" s="54"/>
      <c r="F621" s="54"/>
      <c r="G621" s="54"/>
      <c r="H621" s="54"/>
      <c r="I621" s="54"/>
      <c r="J621" s="65"/>
      <c r="K621" s="54"/>
      <c r="L621" s="57"/>
      <c r="M621" s="54"/>
      <c r="N621" s="54"/>
      <c r="O621" s="57"/>
      <c r="P621" s="56"/>
      <c r="Q621" s="57"/>
      <c r="R621" s="57"/>
      <c r="S621" s="56"/>
      <c r="T621" s="60"/>
      <c r="U621" s="57"/>
      <c r="V621" s="71"/>
      <c r="W621" s="56"/>
    </row>
    <row r="622" ht="16.5" customHeight="1" spans="1:23" x14ac:dyDescent="0.25">
      <c r="A622" s="69"/>
      <c r="B622" s="54"/>
      <c r="C622" s="54"/>
      <c r="D622" s="55"/>
      <c r="E622" s="54"/>
      <c r="F622" s="54"/>
      <c r="G622" s="54"/>
      <c r="H622" s="54"/>
      <c r="I622" s="54"/>
      <c r="J622" s="65"/>
      <c r="K622" s="54"/>
      <c r="L622" s="57"/>
      <c r="M622" s="54"/>
      <c r="N622" s="54"/>
      <c r="O622" s="57"/>
      <c r="P622" s="56"/>
      <c r="Q622" s="57"/>
      <c r="R622" s="57"/>
      <c r="S622" s="56"/>
      <c r="T622" s="60"/>
      <c r="U622" s="57"/>
      <c r="V622" s="71"/>
      <c r="W622" s="56"/>
    </row>
    <row r="623" ht="16.5" customHeight="1" spans="1:23" x14ac:dyDescent="0.25">
      <c r="A623" s="69"/>
      <c r="B623" s="54"/>
      <c r="C623" s="54"/>
      <c r="D623" s="55"/>
      <c r="E623" s="54"/>
      <c r="F623" s="54"/>
      <c r="G623" s="54"/>
      <c r="H623" s="54"/>
      <c r="I623" s="54"/>
      <c r="J623" s="65"/>
      <c r="K623" s="54"/>
      <c r="L623" s="57"/>
      <c r="M623" s="54"/>
      <c r="N623" s="54"/>
      <c r="O623" s="57"/>
      <c r="P623" s="56"/>
      <c r="Q623" s="57"/>
      <c r="R623" s="57"/>
      <c r="S623" s="56"/>
      <c r="T623" s="60"/>
      <c r="U623" s="57"/>
      <c r="V623" s="71"/>
      <c r="W623" s="56"/>
    </row>
    <row r="624" ht="16.5" customHeight="1" spans="1:23" x14ac:dyDescent="0.25">
      <c r="A624" s="69"/>
      <c r="B624" s="54"/>
      <c r="C624" s="54"/>
      <c r="D624" s="55"/>
      <c r="E624" s="54"/>
      <c r="F624" s="54"/>
      <c r="G624" s="54"/>
      <c r="H624" s="54"/>
      <c r="I624" s="54"/>
      <c r="J624" s="65"/>
      <c r="K624" s="54"/>
      <c r="L624" s="57"/>
      <c r="M624" s="54"/>
      <c r="N624" s="54"/>
      <c r="O624" s="57"/>
      <c r="P624" s="56"/>
      <c r="Q624" s="57"/>
      <c r="R624" s="57"/>
      <c r="S624" s="56"/>
      <c r="T624" s="60"/>
      <c r="U624" s="57"/>
      <c r="V624" s="71"/>
      <c r="W624" s="56"/>
    </row>
    <row r="625" ht="16.5" customHeight="1" spans="1:23" x14ac:dyDescent="0.25">
      <c r="A625" s="69"/>
      <c r="B625" s="54"/>
      <c r="C625" s="54"/>
      <c r="D625" s="55"/>
      <c r="E625" s="54"/>
      <c r="F625" s="54"/>
      <c r="G625" s="54"/>
      <c r="H625" s="54"/>
      <c r="I625" s="54"/>
      <c r="J625" s="65"/>
      <c r="K625" s="54"/>
      <c r="L625" s="57"/>
      <c r="M625" s="54"/>
      <c r="N625" s="54"/>
      <c r="O625" s="57"/>
      <c r="P625" s="56"/>
      <c r="Q625" s="57"/>
      <c r="R625" s="57"/>
      <c r="S625" s="56"/>
      <c r="T625" s="60"/>
      <c r="U625" s="57"/>
      <c r="V625" s="71"/>
      <c r="W625" s="56"/>
    </row>
    <row r="626" ht="16.5" customHeight="1" spans="1:23" x14ac:dyDescent="0.25">
      <c r="A626" s="69"/>
      <c r="B626" s="54"/>
      <c r="C626" s="54"/>
      <c r="D626" s="55"/>
      <c r="E626" s="54"/>
      <c r="F626" s="54"/>
      <c r="G626" s="54"/>
      <c r="H626" s="54"/>
      <c r="I626" s="54"/>
      <c r="J626" s="65"/>
      <c r="K626" s="54"/>
      <c r="L626" s="57"/>
      <c r="M626" s="54"/>
      <c r="N626" s="54"/>
      <c r="O626" s="57"/>
      <c r="P626" s="56"/>
      <c r="Q626" s="57"/>
      <c r="R626" s="57"/>
      <c r="S626" s="56"/>
      <c r="T626" s="60"/>
      <c r="U626" s="57"/>
      <c r="V626" s="71"/>
      <c r="W626" s="56"/>
    </row>
    <row r="627" ht="16.5" customHeight="1" spans="1:23" x14ac:dyDescent="0.25">
      <c r="A627" s="69"/>
      <c r="B627" s="54"/>
      <c r="C627" s="54"/>
      <c r="D627" s="55"/>
      <c r="E627" s="54"/>
      <c r="F627" s="54"/>
      <c r="G627" s="54"/>
      <c r="H627" s="54"/>
      <c r="I627" s="54"/>
      <c r="J627" s="65"/>
      <c r="K627" s="54"/>
      <c r="L627" s="57"/>
      <c r="M627" s="54"/>
      <c r="N627" s="54"/>
      <c r="O627" s="57"/>
      <c r="P627" s="56"/>
      <c r="Q627" s="57"/>
      <c r="R627" s="57"/>
      <c r="S627" s="56"/>
      <c r="T627" s="60"/>
      <c r="U627" s="57"/>
      <c r="V627" s="71"/>
      <c r="W627" s="56"/>
    </row>
    <row r="628" ht="16.5" customHeight="1" spans="1:23" x14ac:dyDescent="0.25">
      <c r="A628" s="69"/>
      <c r="B628" s="54"/>
      <c r="C628" s="54"/>
      <c r="D628" s="55"/>
      <c r="E628" s="54"/>
      <c r="F628" s="54"/>
      <c r="G628" s="54"/>
      <c r="H628" s="54"/>
      <c r="I628" s="54"/>
      <c r="J628" s="65"/>
      <c r="K628" s="54"/>
      <c r="L628" s="57"/>
      <c r="M628" s="54"/>
      <c r="N628" s="54"/>
      <c r="O628" s="57"/>
      <c r="P628" s="56"/>
      <c r="Q628" s="57"/>
      <c r="R628" s="57"/>
      <c r="S628" s="56"/>
      <c r="T628" s="60"/>
      <c r="U628" s="57"/>
      <c r="V628" s="71"/>
      <c r="W628" s="56"/>
    </row>
    <row r="629" ht="16.5" customHeight="1" spans="1:23" x14ac:dyDescent="0.25">
      <c r="A629" s="69"/>
      <c r="B629" s="54"/>
      <c r="C629" s="54"/>
      <c r="D629" s="55"/>
      <c r="E629" s="54"/>
      <c r="F629" s="54"/>
      <c r="G629" s="54"/>
      <c r="H629" s="54"/>
      <c r="I629" s="54"/>
      <c r="J629" s="65"/>
      <c r="K629" s="54"/>
      <c r="L629" s="57"/>
      <c r="M629" s="54"/>
      <c r="N629" s="54"/>
      <c r="O629" s="57"/>
      <c r="P629" s="56"/>
      <c r="Q629" s="57"/>
      <c r="R629" s="57"/>
      <c r="S629" s="56"/>
      <c r="T629" s="60"/>
      <c r="U629" s="57"/>
      <c r="V629" s="71"/>
      <c r="W629" s="56"/>
    </row>
    <row r="630" ht="16.5" customHeight="1" spans="1:23" x14ac:dyDescent="0.25">
      <c r="A630" s="69"/>
      <c r="B630" s="54"/>
      <c r="C630" s="54"/>
      <c r="D630" s="55"/>
      <c r="E630" s="54"/>
      <c r="F630" s="54"/>
      <c r="G630" s="54"/>
      <c r="H630" s="54"/>
      <c r="I630" s="54"/>
      <c r="J630" s="65"/>
      <c r="K630" s="54"/>
      <c r="L630" s="57"/>
      <c r="M630" s="54"/>
      <c r="N630" s="54"/>
      <c r="O630" s="57"/>
      <c r="P630" s="56"/>
      <c r="Q630" s="57"/>
      <c r="R630" s="57"/>
      <c r="S630" s="56"/>
      <c r="T630" s="60"/>
      <c r="U630" s="57"/>
      <c r="V630" s="71"/>
      <c r="W630" s="56"/>
    </row>
    <row r="631" ht="16.5" customHeight="1" spans="1:23" x14ac:dyDescent="0.25">
      <c r="A631" s="69"/>
      <c r="B631" s="54"/>
      <c r="C631" s="54"/>
      <c r="D631" s="55"/>
      <c r="E631" s="54"/>
      <c r="F631" s="54"/>
      <c r="G631" s="54"/>
      <c r="H631" s="54"/>
      <c r="I631" s="54"/>
      <c r="J631" s="65"/>
      <c r="K631" s="54"/>
      <c r="L631" s="57"/>
      <c r="M631" s="54"/>
      <c r="N631" s="54"/>
      <c r="O631" s="57"/>
      <c r="P631" s="56"/>
      <c r="Q631" s="57"/>
      <c r="R631" s="57"/>
      <c r="S631" s="56"/>
      <c r="T631" s="60"/>
      <c r="U631" s="57"/>
      <c r="V631" s="71"/>
      <c r="W631" s="56"/>
    </row>
    <row r="632" ht="16.5" customHeight="1" spans="1:23" x14ac:dyDescent="0.25">
      <c r="A632" s="69"/>
      <c r="B632" s="54"/>
      <c r="C632" s="54"/>
      <c r="D632" s="55"/>
      <c r="E632" s="54"/>
      <c r="F632" s="54"/>
      <c r="G632" s="54"/>
      <c r="H632" s="54"/>
      <c r="I632" s="54"/>
      <c r="J632" s="65"/>
      <c r="K632" s="54"/>
      <c r="L632" s="57"/>
      <c r="M632" s="54"/>
      <c r="N632" s="54"/>
      <c r="O632" s="57"/>
      <c r="P632" s="56"/>
      <c r="Q632" s="57"/>
      <c r="R632" s="57"/>
      <c r="S632" s="56"/>
      <c r="T632" s="60"/>
      <c r="U632" s="57"/>
      <c r="V632" s="71"/>
      <c r="W632" s="56"/>
    </row>
    <row r="633" ht="16.5" customHeight="1" spans="1:23" x14ac:dyDescent="0.25">
      <c r="A633" s="69"/>
      <c r="B633" s="54"/>
      <c r="C633" s="54"/>
      <c r="D633" s="55"/>
      <c r="E633" s="54"/>
      <c r="F633" s="54"/>
      <c r="G633" s="54"/>
      <c r="H633" s="54"/>
      <c r="I633" s="54"/>
      <c r="J633" s="65"/>
      <c r="K633" s="54"/>
      <c r="L633" s="57"/>
      <c r="M633" s="54"/>
      <c r="N633" s="54"/>
      <c r="O633" s="57"/>
      <c r="P633" s="56"/>
      <c r="Q633" s="57"/>
      <c r="R633" s="57"/>
      <c r="S633" s="56"/>
      <c r="T633" s="60"/>
      <c r="U633" s="57"/>
      <c r="V633" s="71"/>
      <c r="W633" s="56"/>
    </row>
    <row r="634" ht="16.5" customHeight="1" spans="1:23" x14ac:dyDescent="0.25">
      <c r="A634" s="69"/>
      <c r="B634" s="54"/>
      <c r="C634" s="54"/>
      <c r="D634" s="55"/>
      <c r="E634" s="54"/>
      <c r="F634" s="54"/>
      <c r="G634" s="54"/>
      <c r="H634" s="54"/>
      <c r="I634" s="54"/>
      <c r="J634" s="65"/>
      <c r="K634" s="54"/>
      <c r="L634" s="57"/>
      <c r="M634" s="54"/>
      <c r="N634" s="54"/>
      <c r="O634" s="57"/>
      <c r="P634" s="56"/>
      <c r="Q634" s="57"/>
      <c r="R634" s="57"/>
      <c r="S634" s="56"/>
      <c r="T634" s="60"/>
      <c r="U634" s="57"/>
      <c r="V634" s="71"/>
      <c r="W634" s="56"/>
    </row>
    <row r="635" ht="16.5" customHeight="1" spans="1:23" x14ac:dyDescent="0.25">
      <c r="A635" s="69"/>
      <c r="B635" s="54"/>
      <c r="C635" s="54"/>
      <c r="D635" s="55"/>
      <c r="E635" s="54"/>
      <c r="F635" s="54"/>
      <c r="G635" s="54"/>
      <c r="H635" s="54"/>
      <c r="I635" s="54"/>
      <c r="J635" s="65"/>
      <c r="K635" s="54"/>
      <c r="L635" s="57"/>
      <c r="M635" s="54"/>
      <c r="N635" s="54"/>
      <c r="O635" s="57"/>
      <c r="P635" s="56"/>
      <c r="Q635" s="57"/>
      <c r="R635" s="57"/>
      <c r="S635" s="56"/>
      <c r="T635" s="60"/>
      <c r="U635" s="57"/>
      <c r="V635" s="71"/>
      <c r="W635" s="56"/>
    </row>
    <row r="636" ht="16.5" customHeight="1" spans="1:23" x14ac:dyDescent="0.25">
      <c r="A636" s="69"/>
      <c r="B636" s="54"/>
      <c r="C636" s="54"/>
      <c r="D636" s="55"/>
      <c r="E636" s="54"/>
      <c r="F636" s="54"/>
      <c r="G636" s="54"/>
      <c r="H636" s="54"/>
      <c r="I636" s="54"/>
      <c r="J636" s="65"/>
      <c r="K636" s="54"/>
      <c r="L636" s="57"/>
      <c r="M636" s="54"/>
      <c r="N636" s="54"/>
      <c r="O636" s="57"/>
      <c r="P636" s="56"/>
      <c r="Q636" s="57"/>
      <c r="R636" s="57"/>
      <c r="S636" s="56"/>
      <c r="T636" s="60"/>
      <c r="U636" s="57"/>
      <c r="V636" s="71"/>
      <c r="W636" s="56"/>
    </row>
    <row r="637" ht="16.5" customHeight="1" spans="1:23" x14ac:dyDescent="0.25">
      <c r="A637" s="69"/>
      <c r="B637" s="54"/>
      <c r="C637" s="54"/>
      <c r="D637" s="55"/>
      <c r="E637" s="54"/>
      <c r="F637" s="54"/>
      <c r="G637" s="54"/>
      <c r="H637" s="54"/>
      <c r="I637" s="54"/>
      <c r="J637" s="65"/>
      <c r="K637" s="54"/>
      <c r="L637" s="57"/>
      <c r="M637" s="54"/>
      <c r="N637" s="54"/>
      <c r="O637" s="57"/>
      <c r="P637" s="56"/>
      <c r="Q637" s="57"/>
      <c r="R637" s="57"/>
      <c r="S637" s="56"/>
      <c r="T637" s="60"/>
      <c r="U637" s="57"/>
      <c r="V637" s="71"/>
      <c r="W637" s="56"/>
    </row>
    <row r="638" ht="16.5" customHeight="1" spans="1:23" x14ac:dyDescent="0.25">
      <c r="A638" s="69"/>
      <c r="B638" s="54"/>
      <c r="C638" s="54"/>
      <c r="D638" s="55"/>
      <c r="E638" s="54"/>
      <c r="F638" s="54"/>
      <c r="G638" s="54"/>
      <c r="H638" s="54"/>
      <c r="I638" s="54"/>
      <c r="J638" s="65"/>
      <c r="K638" s="54"/>
      <c r="L638" s="57"/>
      <c r="M638" s="54"/>
      <c r="N638" s="54"/>
      <c r="O638" s="57"/>
      <c r="P638" s="56"/>
      <c r="Q638" s="57"/>
      <c r="R638" s="57"/>
      <c r="S638" s="56"/>
      <c r="T638" s="60"/>
      <c r="U638" s="57"/>
      <c r="V638" s="71"/>
      <c r="W638" s="56"/>
    </row>
    <row r="639" ht="16.5" customHeight="1" spans="1:23" x14ac:dyDescent="0.25">
      <c r="A639" s="69"/>
      <c r="B639" s="54"/>
      <c r="C639" s="54"/>
      <c r="D639" s="55"/>
      <c r="E639" s="54"/>
      <c r="F639" s="54"/>
      <c r="G639" s="54"/>
      <c r="H639" s="54"/>
      <c r="I639" s="54"/>
      <c r="J639" s="65"/>
      <c r="K639" s="54"/>
      <c r="L639" s="57"/>
      <c r="M639" s="54"/>
      <c r="N639" s="54"/>
      <c r="O639" s="57"/>
      <c r="P639" s="56"/>
      <c r="Q639" s="57"/>
      <c r="R639" s="57"/>
      <c r="S639" s="56"/>
      <c r="T639" s="60"/>
      <c r="U639" s="57"/>
      <c r="V639" s="71"/>
      <c r="W639" s="56"/>
    </row>
    <row r="640" ht="16.5" customHeight="1" spans="1:23" x14ac:dyDescent="0.25">
      <c r="A640" s="69"/>
      <c r="B640" s="54"/>
      <c r="C640" s="54"/>
      <c r="D640" s="55"/>
      <c r="E640" s="54"/>
      <c r="F640" s="54"/>
      <c r="G640" s="54"/>
      <c r="H640" s="54"/>
      <c r="I640" s="54"/>
      <c r="J640" s="65"/>
      <c r="K640" s="54"/>
      <c r="L640" s="57"/>
      <c r="M640" s="54"/>
      <c r="N640" s="54"/>
      <c r="O640" s="57"/>
      <c r="P640" s="56"/>
      <c r="Q640" s="57"/>
      <c r="R640" s="57"/>
      <c r="S640" s="56"/>
      <c r="T640" s="60"/>
      <c r="U640" s="57"/>
      <c r="V640" s="71"/>
      <c r="W640" s="56"/>
    </row>
    <row r="641" ht="16.5" customHeight="1" spans="1:23" x14ac:dyDescent="0.25">
      <c r="A641" s="69"/>
      <c r="B641" s="54"/>
      <c r="C641" s="54"/>
      <c r="D641" s="55"/>
      <c r="E641" s="54"/>
      <c r="F641" s="54"/>
      <c r="G641" s="54"/>
      <c r="H641" s="54"/>
      <c r="I641" s="54"/>
      <c r="J641" s="65"/>
      <c r="K641" s="54"/>
      <c r="L641" s="57"/>
      <c r="M641" s="54"/>
      <c r="N641" s="54"/>
      <c r="O641" s="57"/>
      <c r="P641" s="56"/>
      <c r="Q641" s="57"/>
      <c r="R641" s="57"/>
      <c r="S641" s="56"/>
      <c r="T641" s="60"/>
      <c r="U641" s="57"/>
      <c r="V641" s="71"/>
      <c r="W641" s="56"/>
    </row>
    <row r="642" ht="16.5" customHeight="1" spans="1:23" x14ac:dyDescent="0.25">
      <c r="A642" s="69"/>
      <c r="B642" s="54"/>
      <c r="C642" s="54"/>
      <c r="D642" s="55"/>
      <c r="E642" s="54"/>
      <c r="F642" s="54"/>
      <c r="G642" s="54"/>
      <c r="H642" s="54"/>
      <c r="I642" s="54"/>
      <c r="J642" s="65"/>
      <c r="K642" s="54"/>
      <c r="L642" s="57"/>
      <c r="M642" s="54"/>
      <c r="N642" s="54"/>
      <c r="O642" s="57"/>
      <c r="P642" s="56"/>
      <c r="Q642" s="57"/>
      <c r="R642" s="57"/>
      <c r="S642" s="56"/>
      <c r="T642" s="60"/>
      <c r="U642" s="57"/>
      <c r="V642" s="71"/>
      <c r="W642" s="56"/>
    </row>
    <row r="643" ht="16.5" customHeight="1" spans="1:23" x14ac:dyDescent="0.25">
      <c r="A643" s="69"/>
      <c r="B643" s="54"/>
      <c r="C643" s="54"/>
      <c r="D643" s="55"/>
      <c r="E643" s="54"/>
      <c r="F643" s="54"/>
      <c r="G643" s="54"/>
      <c r="H643" s="54"/>
      <c r="I643" s="54"/>
      <c r="J643" s="65"/>
      <c r="K643" s="54"/>
      <c r="L643" s="57"/>
      <c r="M643" s="54"/>
      <c r="N643" s="54"/>
      <c r="O643" s="57"/>
      <c r="P643" s="56"/>
      <c r="Q643" s="57"/>
      <c r="R643" s="57"/>
      <c r="S643" s="56"/>
      <c r="T643" s="60"/>
      <c r="U643" s="57"/>
      <c r="V643" s="71"/>
      <c r="W643" s="56"/>
    </row>
    <row r="644" ht="16.5" customHeight="1" spans="1:23" x14ac:dyDescent="0.25">
      <c r="A644" s="69"/>
      <c r="B644" s="54"/>
      <c r="C644" s="54"/>
      <c r="D644" s="55"/>
      <c r="E644" s="54"/>
      <c r="F644" s="54"/>
      <c r="G644" s="54"/>
      <c r="H644" s="54"/>
      <c r="I644" s="54"/>
      <c r="J644" s="65"/>
      <c r="K644" s="54"/>
      <c r="L644" s="57"/>
      <c r="M644" s="54"/>
      <c r="N644" s="54"/>
      <c r="O644" s="57"/>
      <c r="P644" s="56"/>
      <c r="Q644" s="57"/>
      <c r="R644" s="57"/>
      <c r="S644" s="56"/>
      <c r="T644" s="60"/>
      <c r="U644" s="57"/>
      <c r="V644" s="71"/>
      <c r="W644" s="56"/>
    </row>
    <row r="645" ht="16.5" customHeight="1" spans="1:23" x14ac:dyDescent="0.25">
      <c r="A645" s="69"/>
      <c r="B645" s="54"/>
      <c r="C645" s="54"/>
      <c r="D645" s="55"/>
      <c r="E645" s="54"/>
      <c r="F645" s="54"/>
      <c r="G645" s="54"/>
      <c r="H645" s="54"/>
      <c r="I645" s="54"/>
      <c r="J645" s="65"/>
      <c r="K645" s="54"/>
      <c r="L645" s="57"/>
      <c r="M645" s="54"/>
      <c r="N645" s="54"/>
      <c r="O645" s="57"/>
      <c r="P645" s="56"/>
      <c r="Q645" s="57"/>
      <c r="R645" s="57"/>
      <c r="S645" s="56"/>
      <c r="T645" s="60"/>
      <c r="U645" s="57"/>
      <c r="V645" s="71"/>
      <c r="W645" s="56"/>
    </row>
    <row r="646" ht="16.5" customHeight="1" spans="1:23" x14ac:dyDescent="0.25">
      <c r="A646" s="69"/>
      <c r="B646" s="54"/>
      <c r="C646" s="54"/>
      <c r="D646" s="55"/>
      <c r="E646" s="54"/>
      <c r="F646" s="54"/>
      <c r="G646" s="54"/>
      <c r="H646" s="54"/>
      <c r="I646" s="54"/>
      <c r="J646" s="65"/>
      <c r="K646" s="54"/>
      <c r="L646" s="57"/>
      <c r="M646" s="54"/>
      <c r="N646" s="54"/>
      <c r="O646" s="57"/>
      <c r="P646" s="56"/>
      <c r="Q646" s="57"/>
      <c r="R646" s="57"/>
      <c r="S646" s="56"/>
      <c r="T646" s="60"/>
      <c r="U646" s="57"/>
      <c r="V646" s="71"/>
      <c r="W646" s="56"/>
    </row>
    <row r="647" ht="16.5" customHeight="1" spans="1:23" x14ac:dyDescent="0.25">
      <c r="A647" s="69"/>
      <c r="B647" s="54"/>
      <c r="C647" s="54"/>
      <c r="D647" s="55"/>
      <c r="E647" s="54"/>
      <c r="F647" s="54"/>
      <c r="G647" s="54"/>
      <c r="H647" s="54"/>
      <c r="I647" s="54"/>
      <c r="J647" s="65"/>
      <c r="K647" s="54"/>
      <c r="L647" s="57"/>
      <c r="M647" s="54"/>
      <c r="N647" s="54"/>
      <c r="O647" s="57"/>
      <c r="P647" s="56"/>
      <c r="Q647" s="57"/>
      <c r="R647" s="57"/>
      <c r="S647" s="56"/>
      <c r="T647" s="60"/>
      <c r="U647" s="57"/>
      <c r="V647" s="71"/>
      <c r="W647" s="56"/>
    </row>
    <row r="648" ht="16.5" customHeight="1" spans="1:23" x14ac:dyDescent="0.25">
      <c r="A648" s="69"/>
      <c r="B648" s="54"/>
      <c r="C648" s="54"/>
      <c r="D648" s="55"/>
      <c r="E648" s="54"/>
      <c r="F648" s="54"/>
      <c r="G648" s="54"/>
      <c r="H648" s="54"/>
      <c r="I648" s="54"/>
      <c r="J648" s="65"/>
      <c r="K648" s="54"/>
      <c r="L648" s="57"/>
      <c r="M648" s="54"/>
      <c r="N648" s="54"/>
      <c r="O648" s="57"/>
      <c r="P648" s="56"/>
      <c r="Q648" s="57"/>
      <c r="R648" s="57"/>
      <c r="S648" s="56"/>
      <c r="T648" s="60"/>
      <c r="U648" s="57"/>
      <c r="V648" s="71"/>
      <c r="W648" s="56"/>
    </row>
    <row r="649" ht="16.5" customHeight="1" spans="1:23" x14ac:dyDescent="0.25">
      <c r="A649" s="69"/>
      <c r="B649" s="54"/>
      <c r="C649" s="54"/>
      <c r="D649" s="55"/>
      <c r="E649" s="54"/>
      <c r="F649" s="54"/>
      <c r="G649" s="54"/>
      <c r="H649" s="54"/>
      <c r="I649" s="54"/>
      <c r="J649" s="65"/>
      <c r="K649" s="54"/>
      <c r="L649" s="57"/>
      <c r="M649" s="54"/>
      <c r="N649" s="54"/>
      <c r="O649" s="57"/>
      <c r="P649" s="56"/>
      <c r="Q649" s="57"/>
      <c r="R649" s="57"/>
      <c r="S649" s="56"/>
      <c r="T649" s="60"/>
      <c r="U649" s="57"/>
      <c r="V649" s="71"/>
      <c r="W649" s="56"/>
    </row>
    <row r="650" ht="16.5" customHeight="1" spans="1:23" x14ac:dyDescent="0.25">
      <c r="A650" s="69"/>
      <c r="B650" s="54"/>
      <c r="C650" s="54"/>
      <c r="D650" s="55"/>
      <c r="E650" s="54"/>
      <c r="F650" s="54"/>
      <c r="G650" s="54"/>
      <c r="H650" s="54"/>
      <c r="I650" s="54"/>
      <c r="J650" s="65"/>
      <c r="K650" s="54"/>
      <c r="L650" s="57"/>
      <c r="M650" s="54"/>
      <c r="N650" s="54"/>
      <c r="O650" s="57"/>
      <c r="P650" s="56"/>
      <c r="Q650" s="57"/>
      <c r="R650" s="57"/>
      <c r="S650" s="56"/>
      <c r="T650" s="60"/>
      <c r="U650" s="57"/>
      <c r="V650" s="71"/>
      <c r="W650" s="56"/>
    </row>
    <row r="651" ht="16.5" customHeight="1" spans="1:23" x14ac:dyDescent="0.25">
      <c r="A651" s="69"/>
      <c r="B651" s="54"/>
      <c r="C651" s="54"/>
      <c r="D651" s="55"/>
      <c r="E651" s="54"/>
      <c r="F651" s="54"/>
      <c r="G651" s="54"/>
      <c r="H651" s="54"/>
      <c r="I651" s="54"/>
      <c r="J651" s="65"/>
      <c r="K651" s="54"/>
      <c r="L651" s="57"/>
      <c r="M651" s="54"/>
      <c r="N651" s="54"/>
      <c r="O651" s="57"/>
      <c r="P651" s="56"/>
      <c r="Q651" s="57"/>
      <c r="R651" s="57"/>
      <c r="S651" s="56"/>
      <c r="T651" s="60"/>
      <c r="U651" s="57"/>
      <c r="V651" s="71"/>
      <c r="W651" s="56"/>
    </row>
    <row r="652" ht="16.5" customHeight="1" spans="1:23" x14ac:dyDescent="0.25">
      <c r="A652" s="69"/>
      <c r="B652" s="54"/>
      <c r="C652" s="54"/>
      <c r="D652" s="55"/>
      <c r="E652" s="54"/>
      <c r="F652" s="54"/>
      <c r="G652" s="54"/>
      <c r="H652" s="54"/>
      <c r="I652" s="54"/>
      <c r="J652" s="65"/>
      <c r="K652" s="54"/>
      <c r="L652" s="57"/>
      <c r="M652" s="54"/>
      <c r="N652" s="54"/>
      <c r="O652" s="57"/>
      <c r="P652" s="56"/>
      <c r="Q652" s="57"/>
      <c r="R652" s="57"/>
      <c r="S652" s="56"/>
      <c r="T652" s="60"/>
      <c r="U652" s="57"/>
      <c r="V652" s="71"/>
      <c r="W652" s="56"/>
    </row>
    <row r="653" ht="16.5" customHeight="1" spans="1:23" x14ac:dyDescent="0.25">
      <c r="A653" s="69"/>
      <c r="B653" s="54"/>
      <c r="C653" s="54"/>
      <c r="D653" s="55"/>
      <c r="E653" s="54"/>
      <c r="F653" s="54"/>
      <c r="G653" s="54"/>
      <c r="H653" s="54"/>
      <c r="I653" s="54"/>
      <c r="J653" s="65"/>
      <c r="K653" s="54"/>
      <c r="L653" s="57"/>
      <c r="M653" s="54"/>
      <c r="N653" s="54"/>
      <c r="O653" s="57"/>
      <c r="P653" s="56"/>
      <c r="Q653" s="57"/>
      <c r="R653" s="57"/>
      <c r="S653" s="56"/>
      <c r="T653" s="60"/>
      <c r="U653" s="57"/>
      <c r="V653" s="71"/>
      <c r="W653" s="56"/>
    </row>
    <row r="654" ht="16.5" customHeight="1" spans="1:23" x14ac:dyDescent="0.25">
      <c r="A654" s="69"/>
      <c r="B654" s="54"/>
      <c r="C654" s="54"/>
      <c r="D654" s="55"/>
      <c r="E654" s="54"/>
      <c r="F654" s="54"/>
      <c r="G654" s="54"/>
      <c r="H654" s="54"/>
      <c r="I654" s="54"/>
      <c r="J654" s="65"/>
      <c r="K654" s="54"/>
      <c r="L654" s="57"/>
      <c r="M654" s="54"/>
      <c r="N654" s="54"/>
      <c r="O654" s="57"/>
      <c r="P654" s="56"/>
      <c r="Q654" s="57"/>
      <c r="R654" s="57"/>
      <c r="S654" s="56"/>
      <c r="T654" s="60"/>
      <c r="U654" s="57"/>
      <c r="V654" s="71"/>
      <c r="W654" s="56"/>
    </row>
    <row r="655" ht="16.5" customHeight="1" spans="1:23" x14ac:dyDescent="0.25">
      <c r="A655" s="69"/>
      <c r="B655" s="54"/>
      <c r="C655" s="54"/>
      <c r="D655" s="55"/>
      <c r="E655" s="54"/>
      <c r="F655" s="54"/>
      <c r="G655" s="54"/>
      <c r="H655" s="54"/>
      <c r="I655" s="54"/>
      <c r="J655" s="65"/>
      <c r="K655" s="54"/>
      <c r="L655" s="57"/>
      <c r="M655" s="54"/>
      <c r="N655" s="54"/>
      <c r="O655" s="57"/>
      <c r="P655" s="56"/>
      <c r="Q655" s="57"/>
      <c r="R655" s="57"/>
      <c r="S655" s="56"/>
      <c r="T655" s="60"/>
      <c r="U655" s="57"/>
      <c r="V655" s="71"/>
      <c r="W655" s="56"/>
    </row>
    <row r="656" ht="16.5" customHeight="1" spans="1:23" x14ac:dyDescent="0.25">
      <c r="A656" s="69"/>
      <c r="B656" s="54"/>
      <c r="C656" s="54"/>
      <c r="D656" s="55"/>
      <c r="E656" s="54"/>
      <c r="F656" s="54"/>
      <c r="G656" s="54"/>
      <c r="H656" s="54"/>
      <c r="I656" s="54"/>
      <c r="J656" s="65"/>
      <c r="K656" s="54"/>
      <c r="L656" s="57"/>
      <c r="M656" s="54"/>
      <c r="N656" s="54"/>
      <c r="O656" s="57"/>
      <c r="P656" s="56"/>
      <c r="Q656" s="57"/>
      <c r="R656" s="57"/>
      <c r="S656" s="56"/>
      <c r="T656" s="60"/>
      <c r="U656" s="57"/>
      <c r="V656" s="56"/>
      <c r="W656" s="56"/>
    </row>
    <row r="657" ht="16.5" customHeight="1" spans="1:23" x14ac:dyDescent="0.25">
      <c r="A657" s="69"/>
      <c r="B657" s="54"/>
      <c r="C657" s="54"/>
      <c r="D657" s="55"/>
      <c r="E657" s="54"/>
      <c r="F657" s="54"/>
      <c r="G657" s="54"/>
      <c r="H657" s="54"/>
      <c r="I657" s="54"/>
      <c r="J657" s="65"/>
      <c r="K657" s="54"/>
      <c r="L657" s="57"/>
      <c r="M657" s="54"/>
      <c r="N657" s="54"/>
      <c r="O657" s="57"/>
      <c r="P657" s="56"/>
      <c r="Q657" s="57"/>
      <c r="R657" s="57"/>
      <c r="S657" s="56"/>
      <c r="T657" s="60"/>
      <c r="U657" s="57"/>
      <c r="V657" s="56"/>
      <c r="W657" s="56"/>
    </row>
    <row r="658" ht="16.5" customHeight="1" spans="1:23" x14ac:dyDescent="0.25">
      <c r="A658" s="69"/>
      <c r="B658" s="54"/>
      <c r="C658" s="54"/>
      <c r="D658" s="55"/>
      <c r="E658" s="54"/>
      <c r="F658" s="54"/>
      <c r="G658" s="54"/>
      <c r="H658" s="54"/>
      <c r="I658" s="54"/>
      <c r="J658" s="65"/>
      <c r="K658" s="54"/>
      <c r="L658" s="57"/>
      <c r="M658" s="54"/>
      <c r="N658" s="54"/>
      <c r="O658" s="57"/>
      <c r="P658" s="56"/>
      <c r="Q658" s="57"/>
      <c r="R658" s="57"/>
      <c r="S658" s="56"/>
      <c r="T658" s="60"/>
      <c r="U658" s="57"/>
      <c r="V658" s="56"/>
      <c r="W658" s="56"/>
    </row>
    <row r="659" ht="16.5" customHeight="1" spans="1:23" x14ac:dyDescent="0.25">
      <c r="A659" s="69"/>
      <c r="B659" s="54"/>
      <c r="C659" s="54"/>
      <c r="D659" s="55"/>
      <c r="E659" s="54"/>
      <c r="F659" s="54"/>
      <c r="G659" s="54"/>
      <c r="H659" s="54"/>
      <c r="I659" s="54"/>
      <c r="J659" s="65"/>
      <c r="K659" s="54"/>
      <c r="L659" s="57"/>
      <c r="M659" s="54"/>
      <c r="N659" s="54"/>
      <c r="O659" s="57"/>
      <c r="P659" s="56"/>
      <c r="Q659" s="57"/>
      <c r="R659" s="57"/>
      <c r="S659" s="56"/>
      <c r="T659" s="60"/>
      <c r="U659" s="57"/>
      <c r="V659" s="56"/>
      <c r="W659" s="56"/>
    </row>
    <row r="660" ht="16.5" customHeight="1" spans="1:23" x14ac:dyDescent="0.25">
      <c r="A660" s="69"/>
      <c r="B660" s="54"/>
      <c r="C660" s="54"/>
      <c r="D660" s="55"/>
      <c r="E660" s="54"/>
      <c r="F660" s="54"/>
      <c r="G660" s="54"/>
      <c r="H660" s="54"/>
      <c r="I660" s="54"/>
      <c r="J660" s="65"/>
      <c r="K660" s="54"/>
      <c r="L660" s="57"/>
      <c r="M660" s="54"/>
      <c r="N660" s="54"/>
      <c r="O660" s="57"/>
      <c r="P660" s="56"/>
      <c r="Q660" s="57"/>
      <c r="R660" s="57"/>
      <c r="S660" s="56"/>
      <c r="T660" s="60"/>
      <c r="U660" s="57"/>
      <c r="V660" s="56"/>
      <c r="W660" s="56"/>
    </row>
    <row r="661" ht="16.5" customHeight="1" spans="1:23" x14ac:dyDescent="0.25">
      <c r="A661" s="69"/>
      <c r="B661" s="54"/>
      <c r="C661" s="54"/>
      <c r="D661" s="55"/>
      <c r="E661" s="54"/>
      <c r="F661" s="54"/>
      <c r="G661" s="54"/>
      <c r="H661" s="54"/>
      <c r="I661" s="54"/>
      <c r="J661" s="65"/>
      <c r="K661" s="54"/>
      <c r="L661" s="57"/>
      <c r="M661" s="54"/>
      <c r="N661" s="54"/>
      <c r="O661" s="57"/>
      <c r="P661" s="56"/>
      <c r="Q661" s="57"/>
      <c r="R661" s="57"/>
      <c r="S661" s="56"/>
      <c r="T661" s="60"/>
      <c r="U661" s="57"/>
      <c r="V661" s="56"/>
      <c r="W661" s="56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SUM(R4:R574)</f>
      </c>
      <c r="S2" s="21" t="s">
        <v>785</v>
      </c>
      <c r="T2" s="32">
        <f>SUM(T4:T574)</f>
      </c>
      <c r="U2" s="32">
        <f>SUM(U4:U574)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243</v>
      </c>
      <c r="F3" s="40" t="s">
        <v>247</v>
      </c>
      <c r="G3" s="43" t="s">
        <v>4</v>
      </c>
      <c r="H3" s="40" t="s">
        <v>2</v>
      </c>
      <c r="I3" s="40" t="s">
        <v>3</v>
      </c>
      <c r="J3" s="44" t="s">
        <v>766</v>
      </c>
      <c r="K3" s="62" t="s">
        <v>786</v>
      </c>
      <c r="L3" s="44" t="s">
        <v>767</v>
      </c>
      <c r="M3" s="63" t="s">
        <v>769</v>
      </c>
      <c r="N3" s="63" t="s">
        <v>787</v>
      </c>
      <c r="O3" s="46" t="s">
        <v>770</v>
      </c>
      <c r="P3" s="46" t="s">
        <v>788</v>
      </c>
      <c r="Q3" s="46" t="s">
        <v>789</v>
      </c>
      <c r="R3" s="64" t="s">
        <v>790</v>
      </c>
      <c r="S3" s="46" t="s">
        <v>776</v>
      </c>
      <c r="T3" s="49" t="s">
        <v>791</v>
      </c>
      <c r="U3" s="64" t="s">
        <v>792</v>
      </c>
      <c r="V3" s="54" t="s">
        <v>20</v>
      </c>
      <c r="W3" s="65" t="s">
        <v>267</v>
      </c>
      <c r="X3" s="66"/>
    </row>
    <row r="4" ht="16.5" customHeight="1" spans="1:23" x14ac:dyDescent="0.25">
      <c r="A4" s="67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3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3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3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3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3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3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3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3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3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3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3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3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9"/>
      <c r="B476" s="54"/>
      <c r="C476" s="54"/>
      <c r="D476" s="55"/>
      <c r="E476" s="54"/>
      <c r="F476" s="54"/>
      <c r="G476" s="54"/>
      <c r="H476" s="54"/>
      <c r="I476" s="54"/>
      <c r="J476" s="65"/>
      <c r="K476" s="54"/>
      <c r="L476" s="57"/>
      <c r="M476" s="54"/>
      <c r="N476" s="54"/>
      <c r="O476" s="57"/>
      <c r="P476" s="56"/>
      <c r="Q476" s="57"/>
      <c r="R476" s="57"/>
      <c r="S476" s="56"/>
      <c r="T476" s="60"/>
      <c r="U476" s="57"/>
      <c r="V476" s="70"/>
      <c r="W476" s="56"/>
    </row>
    <row r="477" ht="16.5" customHeight="1" spans="1:23" x14ac:dyDescent="0.25">
      <c r="A477" s="69"/>
      <c r="B477" s="54"/>
      <c r="C477" s="54"/>
      <c r="D477" s="55"/>
      <c r="E477" s="54"/>
      <c r="F477" s="54"/>
      <c r="G477" s="54"/>
      <c r="H477" s="54"/>
      <c r="I477" s="54"/>
      <c r="J477" s="65"/>
      <c r="K477" s="54"/>
      <c r="L477" s="57"/>
      <c r="M477" s="54"/>
      <c r="N477" s="54"/>
      <c r="O477" s="57"/>
      <c r="P477" s="56"/>
      <c r="Q477" s="57"/>
      <c r="R477" s="57"/>
      <c r="S477" s="56"/>
      <c r="T477" s="60"/>
      <c r="U477" s="57"/>
      <c r="V477" s="71"/>
      <c r="W477" s="56"/>
    </row>
    <row r="478" ht="16.5" customHeight="1" spans="1:23" x14ac:dyDescent="0.25">
      <c r="A478" s="69"/>
      <c r="B478" s="54"/>
      <c r="C478" s="54"/>
      <c r="D478" s="55"/>
      <c r="E478" s="54"/>
      <c r="F478" s="54"/>
      <c r="G478" s="54"/>
      <c r="H478" s="54"/>
      <c r="I478" s="54"/>
      <c r="J478" s="65"/>
      <c r="K478" s="54"/>
      <c r="L478" s="57"/>
      <c r="M478" s="54"/>
      <c r="N478" s="54"/>
      <c r="O478" s="57"/>
      <c r="P478" s="56"/>
      <c r="Q478" s="57"/>
      <c r="R478" s="57"/>
      <c r="S478" s="56"/>
      <c r="T478" s="60"/>
      <c r="U478" s="57"/>
      <c r="V478" s="71"/>
      <c r="W478" s="56"/>
    </row>
    <row r="479" ht="16.5" customHeight="1" spans="1:23" x14ac:dyDescent="0.25">
      <c r="A479" s="69"/>
      <c r="B479" s="54"/>
      <c r="C479" s="54"/>
      <c r="D479" s="55"/>
      <c r="E479" s="54"/>
      <c r="F479" s="54"/>
      <c r="G479" s="54"/>
      <c r="H479" s="54"/>
      <c r="I479" s="54"/>
      <c r="J479" s="65"/>
      <c r="K479" s="54"/>
      <c r="L479" s="57"/>
      <c r="M479" s="54"/>
      <c r="N479" s="54"/>
      <c r="O479" s="57"/>
      <c r="P479" s="56"/>
      <c r="Q479" s="57"/>
      <c r="R479" s="57"/>
      <c r="S479" s="56"/>
      <c r="T479" s="60"/>
      <c r="U479" s="57"/>
      <c r="V479" s="71"/>
      <c r="W479" s="56"/>
    </row>
    <row r="480" ht="16.5" customHeight="1" spans="1:23" x14ac:dyDescent="0.25">
      <c r="A480" s="69"/>
      <c r="B480" s="54"/>
      <c r="C480" s="54"/>
      <c r="D480" s="55"/>
      <c r="E480" s="54"/>
      <c r="F480" s="54"/>
      <c r="G480" s="54"/>
      <c r="H480" s="54"/>
      <c r="I480" s="54"/>
      <c r="J480" s="65"/>
      <c r="K480" s="54"/>
      <c r="L480" s="57"/>
      <c r="M480" s="54"/>
      <c r="N480" s="54"/>
      <c r="O480" s="57"/>
      <c r="P480" s="56"/>
      <c r="Q480" s="57"/>
      <c r="R480" s="57"/>
      <c r="S480" s="56"/>
      <c r="T480" s="60"/>
      <c r="U480" s="57"/>
      <c r="V480" s="71"/>
      <c r="W480" s="56"/>
    </row>
    <row r="481" ht="16.5" customHeight="1" spans="1:23" x14ac:dyDescent="0.25">
      <c r="A481" s="69"/>
      <c r="B481" s="54"/>
      <c r="C481" s="54"/>
      <c r="D481" s="55"/>
      <c r="E481" s="54"/>
      <c r="F481" s="54"/>
      <c r="G481" s="54"/>
      <c r="H481" s="54"/>
      <c r="I481" s="54"/>
      <c r="J481" s="65"/>
      <c r="K481" s="54"/>
      <c r="L481" s="57"/>
      <c r="M481" s="54"/>
      <c r="N481" s="54"/>
      <c r="O481" s="57"/>
      <c r="P481" s="56"/>
      <c r="Q481" s="57"/>
      <c r="R481" s="57"/>
      <c r="S481" s="56"/>
      <c r="T481" s="60"/>
      <c r="U481" s="57"/>
      <c r="V481" s="71"/>
      <c r="W481" s="56"/>
    </row>
    <row r="482" ht="16.5" customHeight="1" spans="1:23" x14ac:dyDescent="0.25">
      <c r="A482" s="69"/>
      <c r="B482" s="54"/>
      <c r="C482" s="54"/>
      <c r="D482" s="55"/>
      <c r="E482" s="54"/>
      <c r="F482" s="54"/>
      <c r="G482" s="54"/>
      <c r="H482" s="54"/>
      <c r="I482" s="54"/>
      <c r="J482" s="65"/>
      <c r="K482" s="54"/>
      <c r="L482" s="57"/>
      <c r="M482" s="54"/>
      <c r="N482" s="54"/>
      <c r="O482" s="57"/>
      <c r="P482" s="56"/>
      <c r="Q482" s="57"/>
      <c r="R482" s="57"/>
      <c r="S482" s="56"/>
      <c r="T482" s="60"/>
      <c r="U482" s="57"/>
      <c r="V482" s="71"/>
      <c r="W482" s="56"/>
    </row>
    <row r="483" ht="16.5" customHeight="1" spans="1:23" x14ac:dyDescent="0.25">
      <c r="A483" s="69"/>
      <c r="B483" s="54"/>
      <c r="C483" s="54"/>
      <c r="D483" s="55"/>
      <c r="E483" s="54"/>
      <c r="F483" s="54"/>
      <c r="G483" s="54"/>
      <c r="H483" s="54"/>
      <c r="I483" s="54"/>
      <c r="J483" s="65"/>
      <c r="K483" s="54"/>
      <c r="L483" s="57"/>
      <c r="M483" s="54"/>
      <c r="N483" s="54"/>
      <c r="O483" s="57"/>
      <c r="P483" s="56"/>
      <c r="Q483" s="57"/>
      <c r="R483" s="57"/>
      <c r="S483" s="56"/>
      <c r="T483" s="60"/>
      <c r="U483" s="57"/>
      <c r="V483" s="71"/>
      <c r="W483" s="56"/>
    </row>
    <row r="484" ht="16.5" customHeight="1" spans="1:23" x14ac:dyDescent="0.25">
      <c r="A484" s="69"/>
      <c r="B484" s="54"/>
      <c r="C484" s="54"/>
      <c r="D484" s="55"/>
      <c r="E484" s="54"/>
      <c r="F484" s="54"/>
      <c r="G484" s="54"/>
      <c r="H484" s="54"/>
      <c r="I484" s="54"/>
      <c r="J484" s="65"/>
      <c r="K484" s="54"/>
      <c r="L484" s="57"/>
      <c r="M484" s="54"/>
      <c r="N484" s="54"/>
      <c r="O484" s="57"/>
      <c r="P484" s="56"/>
      <c r="Q484" s="57"/>
      <c r="R484" s="57"/>
      <c r="S484" s="56"/>
      <c r="T484" s="60"/>
      <c r="U484" s="57"/>
      <c r="V484" s="71"/>
      <c r="W484" s="56"/>
    </row>
    <row r="485" ht="16.5" customHeight="1" spans="1:23" x14ac:dyDescent="0.25">
      <c r="A485" s="69"/>
      <c r="B485" s="54"/>
      <c r="C485" s="54"/>
      <c r="D485" s="55"/>
      <c r="E485" s="54"/>
      <c r="F485" s="54"/>
      <c r="G485" s="54"/>
      <c r="H485" s="54"/>
      <c r="I485" s="54"/>
      <c r="J485" s="65"/>
      <c r="K485" s="54"/>
      <c r="L485" s="57"/>
      <c r="M485" s="54"/>
      <c r="N485" s="54"/>
      <c r="O485" s="57"/>
      <c r="P485" s="56"/>
      <c r="Q485" s="57"/>
      <c r="R485" s="57"/>
      <c r="S485" s="56"/>
      <c r="T485" s="60"/>
      <c r="U485" s="57"/>
      <c r="V485" s="71"/>
      <c r="W485" s="56"/>
    </row>
    <row r="486" ht="16.5" customHeight="1" spans="1:23" x14ac:dyDescent="0.25">
      <c r="A486" s="69"/>
      <c r="B486" s="54"/>
      <c r="C486" s="54"/>
      <c r="D486" s="55"/>
      <c r="E486" s="54"/>
      <c r="F486" s="54"/>
      <c r="G486" s="54"/>
      <c r="H486" s="54"/>
      <c r="I486" s="54"/>
      <c r="J486" s="65"/>
      <c r="K486" s="54"/>
      <c r="L486" s="57"/>
      <c r="M486" s="54"/>
      <c r="N486" s="54"/>
      <c r="O486" s="57"/>
      <c r="P486" s="56"/>
      <c r="Q486" s="57"/>
      <c r="R486" s="57"/>
      <c r="S486" s="56"/>
      <c r="T486" s="60"/>
      <c r="U486" s="57"/>
      <c r="V486" s="71"/>
      <c r="W486" s="56"/>
    </row>
    <row r="487" ht="16.5" customHeight="1" spans="1:23" x14ac:dyDescent="0.25">
      <c r="A487" s="69"/>
      <c r="B487" s="54"/>
      <c r="C487" s="54"/>
      <c r="D487" s="55"/>
      <c r="E487" s="54"/>
      <c r="F487" s="54"/>
      <c r="G487" s="54"/>
      <c r="H487" s="54"/>
      <c r="I487" s="54"/>
      <c r="J487" s="65"/>
      <c r="K487" s="54"/>
      <c r="L487" s="57"/>
      <c r="M487" s="54"/>
      <c r="N487" s="54"/>
      <c r="O487" s="57"/>
      <c r="P487" s="56"/>
      <c r="Q487" s="57"/>
      <c r="R487" s="57"/>
      <c r="S487" s="56"/>
      <c r="T487" s="60"/>
      <c r="U487" s="57"/>
      <c r="V487" s="71"/>
      <c r="W487" s="56"/>
    </row>
    <row r="488" ht="16.5" customHeight="1" spans="1:23" x14ac:dyDescent="0.25">
      <c r="A488" s="69"/>
      <c r="B488" s="54"/>
      <c r="C488" s="54"/>
      <c r="D488" s="55"/>
      <c r="E488" s="54"/>
      <c r="F488" s="54"/>
      <c r="G488" s="54"/>
      <c r="H488" s="54"/>
      <c r="I488" s="54"/>
      <c r="J488" s="65"/>
      <c r="K488" s="54"/>
      <c r="L488" s="57"/>
      <c r="M488" s="54"/>
      <c r="N488" s="54"/>
      <c r="O488" s="57"/>
      <c r="P488" s="56"/>
      <c r="Q488" s="57"/>
      <c r="R488" s="57"/>
      <c r="S488" s="56"/>
      <c r="T488" s="60"/>
      <c r="U488" s="57"/>
      <c r="V488" s="71"/>
      <c r="W488" s="56"/>
    </row>
    <row r="489" ht="16.5" customHeight="1" spans="1:23" x14ac:dyDescent="0.25">
      <c r="A489" s="69"/>
      <c r="B489" s="54"/>
      <c r="C489" s="54"/>
      <c r="D489" s="55"/>
      <c r="E489" s="54"/>
      <c r="F489" s="54"/>
      <c r="G489" s="54"/>
      <c r="H489" s="54"/>
      <c r="I489" s="54"/>
      <c r="J489" s="65"/>
      <c r="K489" s="54"/>
      <c r="L489" s="57"/>
      <c r="M489" s="54"/>
      <c r="N489" s="54"/>
      <c r="O489" s="57"/>
      <c r="P489" s="56"/>
      <c r="Q489" s="57"/>
      <c r="R489" s="57"/>
      <c r="S489" s="56"/>
      <c r="T489" s="60"/>
      <c r="U489" s="57"/>
      <c r="V489" s="71"/>
      <c r="W489" s="56"/>
    </row>
    <row r="490" ht="16.5" customHeight="1" spans="1:23" x14ac:dyDescent="0.25">
      <c r="A490" s="69"/>
      <c r="B490" s="54"/>
      <c r="C490" s="54"/>
      <c r="D490" s="55"/>
      <c r="E490" s="54"/>
      <c r="F490" s="54"/>
      <c r="G490" s="54"/>
      <c r="H490" s="54"/>
      <c r="I490" s="54"/>
      <c r="J490" s="65"/>
      <c r="K490" s="54"/>
      <c r="L490" s="57"/>
      <c r="M490" s="54"/>
      <c r="N490" s="54"/>
      <c r="O490" s="57"/>
      <c r="P490" s="56"/>
      <c r="Q490" s="57"/>
      <c r="R490" s="57"/>
      <c r="S490" s="56"/>
      <c r="T490" s="60"/>
      <c r="U490" s="57"/>
      <c r="V490" s="71"/>
      <c r="W490" s="56"/>
    </row>
    <row r="491" ht="16.5" customHeight="1" spans="1:23" x14ac:dyDescent="0.25">
      <c r="A491" s="69"/>
      <c r="B491" s="54"/>
      <c r="C491" s="54"/>
      <c r="D491" s="55"/>
      <c r="E491" s="54"/>
      <c r="F491" s="54"/>
      <c r="G491" s="54"/>
      <c r="H491" s="54"/>
      <c r="I491" s="54"/>
      <c r="J491" s="65"/>
      <c r="K491" s="54"/>
      <c r="L491" s="57"/>
      <c r="M491" s="54"/>
      <c r="N491" s="54"/>
      <c r="O491" s="57"/>
      <c r="P491" s="56"/>
      <c r="Q491" s="57"/>
      <c r="R491" s="57"/>
      <c r="S491" s="56"/>
      <c r="T491" s="60"/>
      <c r="U491" s="57"/>
      <c r="V491" s="71"/>
      <c r="W491" s="56"/>
    </row>
    <row r="492" ht="16.5" customHeight="1" spans="1:23" x14ac:dyDescent="0.25">
      <c r="A492" s="69"/>
      <c r="B492" s="54"/>
      <c r="C492" s="54"/>
      <c r="D492" s="55"/>
      <c r="E492" s="54"/>
      <c r="F492" s="54"/>
      <c r="G492" s="54"/>
      <c r="H492" s="54"/>
      <c r="I492" s="54"/>
      <c r="J492" s="65"/>
      <c r="K492" s="54"/>
      <c r="L492" s="57"/>
      <c r="M492" s="54"/>
      <c r="N492" s="54"/>
      <c r="O492" s="57"/>
      <c r="P492" s="56"/>
      <c r="Q492" s="57"/>
      <c r="R492" s="57"/>
      <c r="S492" s="56"/>
      <c r="T492" s="60"/>
      <c r="U492" s="57"/>
      <c r="V492" s="71"/>
      <c r="W492" s="56"/>
    </row>
    <row r="493" ht="16.5" customHeight="1" spans="1:23" x14ac:dyDescent="0.25">
      <c r="A493" s="69"/>
      <c r="B493" s="54"/>
      <c r="C493" s="54"/>
      <c r="D493" s="55"/>
      <c r="E493" s="54"/>
      <c r="F493" s="54"/>
      <c r="G493" s="54"/>
      <c r="H493" s="54"/>
      <c r="I493" s="54"/>
      <c r="J493" s="65"/>
      <c r="K493" s="54"/>
      <c r="L493" s="57"/>
      <c r="M493" s="54"/>
      <c r="N493" s="54"/>
      <c r="O493" s="57"/>
      <c r="P493" s="56"/>
      <c r="Q493" s="57"/>
      <c r="R493" s="57"/>
      <c r="S493" s="56"/>
      <c r="T493" s="60"/>
      <c r="U493" s="57"/>
      <c r="V493" s="71"/>
      <c r="W493" s="56"/>
    </row>
    <row r="494" ht="16.5" customHeight="1" spans="1:23" x14ac:dyDescent="0.25">
      <c r="A494" s="69"/>
      <c r="B494" s="54"/>
      <c r="C494" s="54"/>
      <c r="D494" s="55"/>
      <c r="E494" s="54"/>
      <c r="F494" s="54"/>
      <c r="G494" s="54"/>
      <c r="H494" s="54"/>
      <c r="I494" s="54"/>
      <c r="J494" s="65"/>
      <c r="K494" s="54"/>
      <c r="L494" s="57"/>
      <c r="M494" s="54"/>
      <c r="N494" s="54"/>
      <c r="O494" s="57"/>
      <c r="P494" s="56"/>
      <c r="Q494" s="57"/>
      <c r="R494" s="57"/>
      <c r="S494" s="56"/>
      <c r="T494" s="60"/>
      <c r="U494" s="57"/>
      <c r="V494" s="71"/>
      <c r="W494" s="56"/>
    </row>
    <row r="495" ht="16.5" customHeight="1" spans="1:23" x14ac:dyDescent="0.25">
      <c r="A495" s="69"/>
      <c r="B495" s="54"/>
      <c r="C495" s="54"/>
      <c r="D495" s="55"/>
      <c r="E495" s="54"/>
      <c r="F495" s="54"/>
      <c r="G495" s="54"/>
      <c r="H495" s="54"/>
      <c r="I495" s="54"/>
      <c r="J495" s="65"/>
      <c r="K495" s="54"/>
      <c r="L495" s="57"/>
      <c r="M495" s="54"/>
      <c r="N495" s="54"/>
      <c r="O495" s="57"/>
      <c r="P495" s="56"/>
      <c r="Q495" s="57"/>
      <c r="R495" s="57"/>
      <c r="S495" s="56"/>
      <c r="T495" s="60"/>
      <c r="U495" s="57"/>
      <c r="V495" s="71"/>
      <c r="W495" s="56"/>
    </row>
    <row r="496" ht="16.5" customHeight="1" spans="1:23" x14ac:dyDescent="0.25">
      <c r="A496" s="69"/>
      <c r="B496" s="54"/>
      <c r="C496" s="54"/>
      <c r="D496" s="55"/>
      <c r="E496" s="54"/>
      <c r="F496" s="54"/>
      <c r="G496" s="54"/>
      <c r="H496" s="54"/>
      <c r="I496" s="54"/>
      <c r="J496" s="65"/>
      <c r="K496" s="54"/>
      <c r="L496" s="57"/>
      <c r="M496" s="54"/>
      <c r="N496" s="54"/>
      <c r="O496" s="57"/>
      <c r="P496" s="56"/>
      <c r="Q496" s="57"/>
      <c r="R496" s="57"/>
      <c r="S496" s="56"/>
      <c r="T496" s="60"/>
      <c r="U496" s="57"/>
      <c r="V496" s="71"/>
      <c r="W496" s="56"/>
    </row>
    <row r="497" ht="16.5" customHeight="1" spans="1:23" x14ac:dyDescent="0.25">
      <c r="A497" s="69"/>
      <c r="B497" s="54"/>
      <c r="C497" s="54"/>
      <c r="D497" s="55"/>
      <c r="E497" s="54"/>
      <c r="F497" s="54"/>
      <c r="G497" s="54"/>
      <c r="H497" s="54"/>
      <c r="I497" s="54"/>
      <c r="J497" s="65"/>
      <c r="K497" s="54"/>
      <c r="L497" s="57"/>
      <c r="M497" s="54"/>
      <c r="N497" s="54"/>
      <c r="O497" s="57"/>
      <c r="P497" s="56"/>
      <c r="Q497" s="57"/>
      <c r="R497" s="57"/>
      <c r="S497" s="56"/>
      <c r="T497" s="60"/>
      <c r="U497" s="57"/>
      <c r="V497" s="71"/>
      <c r="W497" s="56"/>
    </row>
    <row r="498" ht="16.5" customHeight="1" spans="1:23" x14ac:dyDescent="0.25">
      <c r="A498" s="69"/>
      <c r="B498" s="54"/>
      <c r="C498" s="54"/>
      <c r="D498" s="55"/>
      <c r="E498" s="54"/>
      <c r="F498" s="54"/>
      <c r="G498" s="54"/>
      <c r="H498" s="54"/>
      <c r="I498" s="54"/>
      <c r="J498" s="65"/>
      <c r="K498" s="54"/>
      <c r="L498" s="57"/>
      <c r="M498" s="54"/>
      <c r="N498" s="54"/>
      <c r="O498" s="57"/>
      <c r="P498" s="56"/>
      <c r="Q498" s="57"/>
      <c r="R498" s="57"/>
      <c r="S498" s="56"/>
      <c r="T498" s="60"/>
      <c r="U498" s="57"/>
      <c r="V498" s="71"/>
      <c r="W498" s="56"/>
    </row>
    <row r="499" ht="16.5" customHeight="1" spans="1:23" x14ac:dyDescent="0.25">
      <c r="A499" s="69"/>
      <c r="B499" s="54"/>
      <c r="C499" s="54"/>
      <c r="D499" s="55"/>
      <c r="E499" s="54"/>
      <c r="F499" s="54"/>
      <c r="G499" s="54"/>
      <c r="H499" s="54"/>
      <c r="I499" s="54"/>
      <c r="J499" s="65"/>
      <c r="K499" s="54"/>
      <c r="L499" s="57"/>
      <c r="M499" s="54"/>
      <c r="N499" s="54"/>
      <c r="O499" s="57"/>
      <c r="P499" s="56"/>
      <c r="Q499" s="57"/>
      <c r="R499" s="57"/>
      <c r="S499" s="56"/>
      <c r="T499" s="60"/>
      <c r="U499" s="57"/>
      <c r="V499" s="71"/>
      <c r="W499" s="56"/>
    </row>
    <row r="500" ht="16.5" customHeight="1" spans="1:23" x14ac:dyDescent="0.25">
      <c r="A500" s="69"/>
      <c r="B500" s="54"/>
      <c r="C500" s="54"/>
      <c r="D500" s="55"/>
      <c r="E500" s="54"/>
      <c r="F500" s="54"/>
      <c r="G500" s="54"/>
      <c r="H500" s="54"/>
      <c r="I500" s="54"/>
      <c r="J500" s="65"/>
      <c r="K500" s="54"/>
      <c r="L500" s="57"/>
      <c r="M500" s="54"/>
      <c r="N500" s="54"/>
      <c r="O500" s="57"/>
      <c r="P500" s="56"/>
      <c r="Q500" s="57"/>
      <c r="R500" s="57"/>
      <c r="S500" s="56"/>
      <c r="T500" s="60"/>
      <c r="U500" s="57"/>
      <c r="V500" s="71"/>
      <c r="W500" s="56"/>
    </row>
    <row r="501" ht="16.5" customHeight="1" spans="1:23" x14ac:dyDescent="0.25">
      <c r="A501" s="69"/>
      <c r="B501" s="54"/>
      <c r="C501" s="54"/>
      <c r="D501" s="55"/>
      <c r="E501" s="54"/>
      <c r="F501" s="54"/>
      <c r="G501" s="54"/>
      <c r="H501" s="54"/>
      <c r="I501" s="54"/>
      <c r="J501" s="65"/>
      <c r="K501" s="54"/>
      <c r="L501" s="57"/>
      <c r="M501" s="54"/>
      <c r="N501" s="54"/>
      <c r="O501" s="57"/>
      <c r="P501" s="56"/>
      <c r="Q501" s="57"/>
      <c r="R501" s="57"/>
      <c r="S501" s="56"/>
      <c r="T501" s="60"/>
      <c r="U501" s="57"/>
      <c r="V501" s="71"/>
      <c r="W501" s="56"/>
    </row>
    <row r="502" ht="16.5" customHeight="1" spans="1:23" x14ac:dyDescent="0.25">
      <c r="A502" s="69"/>
      <c r="B502" s="54"/>
      <c r="C502" s="54"/>
      <c r="D502" s="55"/>
      <c r="E502" s="54"/>
      <c r="F502" s="54"/>
      <c r="G502" s="54"/>
      <c r="H502" s="54"/>
      <c r="I502" s="54"/>
      <c r="J502" s="65"/>
      <c r="K502" s="54"/>
      <c r="L502" s="57"/>
      <c r="M502" s="54"/>
      <c r="N502" s="54"/>
      <c r="O502" s="57"/>
      <c r="P502" s="56"/>
      <c r="Q502" s="57"/>
      <c r="R502" s="57"/>
      <c r="S502" s="56"/>
      <c r="T502" s="60"/>
      <c r="U502" s="57"/>
      <c r="V502" s="71"/>
      <c r="W502" s="56"/>
    </row>
    <row r="503" ht="16.5" customHeight="1" spans="1:23" x14ac:dyDescent="0.25">
      <c r="A503" s="69"/>
      <c r="B503" s="54"/>
      <c r="C503" s="54"/>
      <c r="D503" s="55"/>
      <c r="E503" s="54"/>
      <c r="F503" s="54"/>
      <c r="G503" s="54"/>
      <c r="H503" s="54"/>
      <c r="I503" s="54"/>
      <c r="J503" s="65"/>
      <c r="K503" s="54"/>
      <c r="L503" s="57"/>
      <c r="M503" s="54"/>
      <c r="N503" s="54"/>
      <c r="O503" s="57"/>
      <c r="P503" s="56"/>
      <c r="Q503" s="57"/>
      <c r="R503" s="57"/>
      <c r="S503" s="56"/>
      <c r="T503" s="60"/>
      <c r="U503" s="57"/>
      <c r="V503" s="71"/>
      <c r="W503" s="56"/>
    </row>
    <row r="504" ht="16.5" customHeight="1" spans="1:23" x14ac:dyDescent="0.25">
      <c r="A504" s="69"/>
      <c r="B504" s="54"/>
      <c r="C504" s="54"/>
      <c r="D504" s="55"/>
      <c r="E504" s="54"/>
      <c r="F504" s="54"/>
      <c r="G504" s="54"/>
      <c r="H504" s="54"/>
      <c r="I504" s="54"/>
      <c r="J504" s="65"/>
      <c r="K504" s="54"/>
      <c r="L504" s="57"/>
      <c r="M504" s="54"/>
      <c r="N504" s="54"/>
      <c r="O504" s="57"/>
      <c r="P504" s="56"/>
      <c r="Q504" s="57"/>
      <c r="R504" s="57"/>
      <c r="S504" s="56"/>
      <c r="T504" s="60"/>
      <c r="U504" s="57"/>
      <c r="V504" s="71"/>
      <c r="W504" s="56"/>
    </row>
    <row r="505" ht="16.5" customHeight="1" spans="1:23" x14ac:dyDescent="0.25">
      <c r="A505" s="69"/>
      <c r="B505" s="54"/>
      <c r="C505" s="54"/>
      <c r="D505" s="55"/>
      <c r="E505" s="54"/>
      <c r="F505" s="54"/>
      <c r="G505" s="54"/>
      <c r="H505" s="54"/>
      <c r="I505" s="54"/>
      <c r="J505" s="65"/>
      <c r="K505" s="54"/>
      <c r="L505" s="57"/>
      <c r="M505" s="54"/>
      <c r="N505" s="54"/>
      <c r="O505" s="57"/>
      <c r="P505" s="56"/>
      <c r="Q505" s="57"/>
      <c r="R505" s="57"/>
      <c r="S505" s="56"/>
      <c r="T505" s="60"/>
      <c r="U505" s="57"/>
      <c r="V505" s="71"/>
      <c r="W505" s="56"/>
    </row>
    <row r="506" ht="16.5" customHeight="1" spans="1:23" x14ac:dyDescent="0.25">
      <c r="A506" s="69"/>
      <c r="B506" s="54"/>
      <c r="C506" s="54"/>
      <c r="D506" s="55"/>
      <c r="E506" s="54"/>
      <c r="F506" s="54"/>
      <c r="G506" s="54"/>
      <c r="H506" s="54"/>
      <c r="I506" s="54"/>
      <c r="J506" s="65"/>
      <c r="K506" s="54"/>
      <c r="L506" s="57"/>
      <c r="M506" s="54"/>
      <c r="N506" s="54"/>
      <c r="O506" s="57"/>
      <c r="P506" s="56"/>
      <c r="Q506" s="57"/>
      <c r="R506" s="57"/>
      <c r="S506" s="56"/>
      <c r="T506" s="60"/>
      <c r="U506" s="57"/>
      <c r="V506" s="71"/>
      <c r="W506" s="56"/>
    </row>
    <row r="507" ht="16.5" customHeight="1" spans="1:23" x14ac:dyDescent="0.25">
      <c r="A507" s="69"/>
      <c r="B507" s="54"/>
      <c r="C507" s="54"/>
      <c r="D507" s="55"/>
      <c r="E507" s="54"/>
      <c r="F507" s="54"/>
      <c r="G507" s="54"/>
      <c r="H507" s="54"/>
      <c r="I507" s="54"/>
      <c r="J507" s="65"/>
      <c r="K507" s="54"/>
      <c r="L507" s="57"/>
      <c r="M507" s="54"/>
      <c r="N507" s="54"/>
      <c r="O507" s="57"/>
      <c r="P507" s="56"/>
      <c r="Q507" s="57"/>
      <c r="R507" s="57"/>
      <c r="S507" s="56"/>
      <c r="T507" s="60"/>
      <c r="U507" s="57"/>
      <c r="V507" s="71"/>
      <c r="W507" s="56"/>
    </row>
    <row r="508" ht="16.5" customHeight="1" spans="1:23" x14ac:dyDescent="0.25">
      <c r="A508" s="69"/>
      <c r="B508" s="54"/>
      <c r="C508" s="54"/>
      <c r="D508" s="55"/>
      <c r="E508" s="54"/>
      <c r="F508" s="54"/>
      <c r="G508" s="54"/>
      <c r="H508" s="54"/>
      <c r="I508" s="54"/>
      <c r="J508" s="65"/>
      <c r="K508" s="54"/>
      <c r="L508" s="57"/>
      <c r="M508" s="54"/>
      <c r="N508" s="54"/>
      <c r="O508" s="57"/>
      <c r="P508" s="56"/>
      <c r="Q508" s="57"/>
      <c r="R508" s="57"/>
      <c r="S508" s="56"/>
      <c r="T508" s="60"/>
      <c r="U508" s="57"/>
      <c r="V508" s="71"/>
      <c r="W508" s="56"/>
    </row>
    <row r="509" ht="16.5" customHeight="1" spans="1:23" x14ac:dyDescent="0.25">
      <c r="A509" s="69"/>
      <c r="B509" s="54"/>
      <c r="C509" s="54"/>
      <c r="D509" s="55"/>
      <c r="E509" s="54"/>
      <c r="F509" s="54"/>
      <c r="G509" s="54"/>
      <c r="H509" s="54"/>
      <c r="I509" s="54"/>
      <c r="J509" s="65"/>
      <c r="K509" s="54"/>
      <c r="L509" s="57"/>
      <c r="M509" s="54"/>
      <c r="N509" s="54"/>
      <c r="O509" s="57"/>
      <c r="P509" s="56"/>
      <c r="Q509" s="57"/>
      <c r="R509" s="57"/>
      <c r="S509" s="56"/>
      <c r="T509" s="60"/>
      <c r="U509" s="57"/>
      <c r="V509" s="71"/>
      <c r="W509" s="56"/>
    </row>
    <row r="510" ht="16.5" customHeight="1" spans="1:23" x14ac:dyDescent="0.25">
      <c r="A510" s="69"/>
      <c r="B510" s="54"/>
      <c r="C510" s="54"/>
      <c r="D510" s="55"/>
      <c r="E510" s="54"/>
      <c r="F510" s="54"/>
      <c r="G510" s="54"/>
      <c r="H510" s="54"/>
      <c r="I510" s="54"/>
      <c r="J510" s="65"/>
      <c r="K510" s="54"/>
      <c r="L510" s="57"/>
      <c r="M510" s="54"/>
      <c r="N510" s="54"/>
      <c r="O510" s="57"/>
      <c r="P510" s="56"/>
      <c r="Q510" s="57"/>
      <c r="R510" s="57"/>
      <c r="S510" s="56"/>
      <c r="T510" s="60"/>
      <c r="U510" s="57"/>
      <c r="V510" s="71"/>
      <c r="W510" s="56"/>
    </row>
    <row r="511" ht="16.5" customHeight="1" spans="1:23" x14ac:dyDescent="0.25">
      <c r="A511" s="69"/>
      <c r="B511" s="54"/>
      <c r="C511" s="54"/>
      <c r="D511" s="55"/>
      <c r="E511" s="54"/>
      <c r="F511" s="54"/>
      <c r="G511" s="54"/>
      <c r="H511" s="54"/>
      <c r="I511" s="54"/>
      <c r="J511" s="65"/>
      <c r="K511" s="54"/>
      <c r="L511" s="57"/>
      <c r="M511" s="54"/>
      <c r="N511" s="54"/>
      <c r="O511" s="57"/>
      <c r="P511" s="56"/>
      <c r="Q511" s="57"/>
      <c r="R511" s="57"/>
      <c r="S511" s="56"/>
      <c r="T511" s="60"/>
      <c r="U511" s="57"/>
      <c r="V511" s="71"/>
      <c r="W511" s="56"/>
    </row>
    <row r="512" ht="16.5" customHeight="1" spans="1:23" x14ac:dyDescent="0.25">
      <c r="A512" s="69"/>
      <c r="B512" s="54"/>
      <c r="C512" s="54"/>
      <c r="D512" s="55"/>
      <c r="E512" s="54"/>
      <c r="F512" s="54"/>
      <c r="G512" s="54"/>
      <c r="H512" s="54"/>
      <c r="I512" s="54"/>
      <c r="J512" s="65"/>
      <c r="K512" s="54"/>
      <c r="L512" s="57"/>
      <c r="M512" s="54"/>
      <c r="N512" s="54"/>
      <c r="O512" s="57"/>
      <c r="P512" s="56"/>
      <c r="Q512" s="57"/>
      <c r="R512" s="57"/>
      <c r="S512" s="56"/>
      <c r="T512" s="60"/>
      <c r="U512" s="57"/>
      <c r="V512" s="71"/>
      <c r="W512" s="56"/>
    </row>
    <row r="513" ht="16.5" customHeight="1" spans="1:23" x14ac:dyDescent="0.25">
      <c r="A513" s="69"/>
      <c r="B513" s="54"/>
      <c r="C513" s="54"/>
      <c r="D513" s="55"/>
      <c r="E513" s="54"/>
      <c r="F513" s="54"/>
      <c r="G513" s="54"/>
      <c r="H513" s="54"/>
      <c r="I513" s="54"/>
      <c r="J513" s="65"/>
      <c r="K513" s="54"/>
      <c r="L513" s="57"/>
      <c r="M513" s="54"/>
      <c r="N513" s="54"/>
      <c r="O513" s="57"/>
      <c r="P513" s="56"/>
      <c r="Q513" s="57"/>
      <c r="R513" s="57"/>
      <c r="S513" s="56"/>
      <c r="T513" s="60"/>
      <c r="U513" s="57"/>
      <c r="V513" s="71"/>
      <c r="W513" s="56"/>
    </row>
    <row r="514" ht="16.5" customHeight="1" spans="1:23" x14ac:dyDescent="0.25">
      <c r="A514" s="69"/>
      <c r="B514" s="54"/>
      <c r="C514" s="54"/>
      <c r="D514" s="55"/>
      <c r="E514" s="54"/>
      <c r="F514" s="54"/>
      <c r="G514" s="54"/>
      <c r="H514" s="54"/>
      <c r="I514" s="54"/>
      <c r="J514" s="65"/>
      <c r="K514" s="54"/>
      <c r="L514" s="57"/>
      <c r="M514" s="54"/>
      <c r="N514" s="54"/>
      <c r="O514" s="57"/>
      <c r="P514" s="56"/>
      <c r="Q514" s="57"/>
      <c r="R514" s="57"/>
      <c r="S514" s="56"/>
      <c r="T514" s="60"/>
      <c r="U514" s="57"/>
      <c r="V514" s="71"/>
      <c r="W514" s="56"/>
    </row>
    <row r="515" ht="16.5" customHeight="1" spans="1:23" x14ac:dyDescent="0.25">
      <c r="A515" s="69"/>
      <c r="B515" s="54"/>
      <c r="C515" s="54"/>
      <c r="D515" s="55"/>
      <c r="E515" s="54"/>
      <c r="F515" s="54"/>
      <c r="G515" s="54"/>
      <c r="H515" s="54"/>
      <c r="I515" s="54"/>
      <c r="J515" s="65"/>
      <c r="K515" s="54"/>
      <c r="L515" s="57"/>
      <c r="M515" s="54"/>
      <c r="N515" s="54"/>
      <c r="O515" s="57"/>
      <c r="P515" s="56"/>
      <c r="Q515" s="57"/>
      <c r="R515" s="57"/>
      <c r="S515" s="56"/>
      <c r="T515" s="60"/>
      <c r="U515" s="57"/>
      <c r="V515" s="71"/>
      <c r="W515" s="56"/>
    </row>
    <row r="516" ht="16.5" customHeight="1" spans="1:23" x14ac:dyDescent="0.25">
      <c r="A516" s="69"/>
      <c r="B516" s="54"/>
      <c r="C516" s="54"/>
      <c r="D516" s="55"/>
      <c r="E516" s="54"/>
      <c r="F516" s="54"/>
      <c r="G516" s="54"/>
      <c r="H516" s="54"/>
      <c r="I516" s="54"/>
      <c r="J516" s="65"/>
      <c r="K516" s="54"/>
      <c r="L516" s="57"/>
      <c r="M516" s="54"/>
      <c r="N516" s="54"/>
      <c r="O516" s="57"/>
      <c r="P516" s="56"/>
      <c r="Q516" s="57"/>
      <c r="R516" s="57"/>
      <c r="S516" s="56"/>
      <c r="T516" s="60"/>
      <c r="U516" s="57"/>
      <c r="V516" s="71"/>
      <c r="W516" s="56"/>
    </row>
    <row r="517" ht="16.5" customHeight="1" spans="1:23" x14ac:dyDescent="0.25">
      <c r="A517" s="69"/>
      <c r="B517" s="54"/>
      <c r="C517" s="54"/>
      <c r="D517" s="55"/>
      <c r="E517" s="54"/>
      <c r="F517" s="54"/>
      <c r="G517" s="54"/>
      <c r="H517" s="54"/>
      <c r="I517" s="54"/>
      <c r="J517" s="65"/>
      <c r="K517" s="54"/>
      <c r="L517" s="57"/>
      <c r="M517" s="54"/>
      <c r="N517" s="54"/>
      <c r="O517" s="57"/>
      <c r="P517" s="56"/>
      <c r="Q517" s="57"/>
      <c r="R517" s="57"/>
      <c r="S517" s="56"/>
      <c r="T517" s="60"/>
      <c r="U517" s="57"/>
      <c r="V517" s="71"/>
      <c r="W517" s="56"/>
    </row>
    <row r="518" ht="16.5" customHeight="1" spans="1:23" x14ac:dyDescent="0.25">
      <c r="A518" s="69"/>
      <c r="B518" s="54"/>
      <c r="C518" s="54"/>
      <c r="D518" s="55"/>
      <c r="E518" s="54"/>
      <c r="F518" s="54"/>
      <c r="G518" s="54"/>
      <c r="H518" s="54"/>
      <c r="I518" s="54"/>
      <c r="J518" s="65"/>
      <c r="K518" s="54"/>
      <c r="L518" s="57"/>
      <c r="M518" s="54"/>
      <c r="N518" s="54"/>
      <c r="O518" s="57"/>
      <c r="P518" s="56"/>
      <c r="Q518" s="57"/>
      <c r="R518" s="57"/>
      <c r="S518" s="56"/>
      <c r="T518" s="60"/>
      <c r="U518" s="57"/>
      <c r="V518" s="71"/>
      <c r="W518" s="56"/>
    </row>
    <row r="519" ht="16.5" customHeight="1" spans="1:23" x14ac:dyDescent="0.25">
      <c r="A519" s="69"/>
      <c r="B519" s="54"/>
      <c r="C519" s="54"/>
      <c r="D519" s="55"/>
      <c r="E519" s="54"/>
      <c r="F519" s="54"/>
      <c r="G519" s="54"/>
      <c r="H519" s="54"/>
      <c r="I519" s="54"/>
      <c r="J519" s="65"/>
      <c r="K519" s="54"/>
      <c r="L519" s="57"/>
      <c r="M519" s="54"/>
      <c r="N519" s="54"/>
      <c r="O519" s="57"/>
      <c r="P519" s="56"/>
      <c r="Q519" s="57"/>
      <c r="R519" s="57"/>
      <c r="S519" s="56"/>
      <c r="T519" s="60"/>
      <c r="U519" s="57"/>
      <c r="V519" s="71"/>
      <c r="W519" s="56"/>
    </row>
    <row r="520" ht="16.5" customHeight="1" spans="1:23" x14ac:dyDescent="0.25">
      <c r="A520" s="69"/>
      <c r="B520" s="54"/>
      <c r="C520" s="54"/>
      <c r="D520" s="55"/>
      <c r="E520" s="54"/>
      <c r="F520" s="54"/>
      <c r="G520" s="54"/>
      <c r="H520" s="54"/>
      <c r="I520" s="54"/>
      <c r="J520" s="65"/>
      <c r="K520" s="54"/>
      <c r="L520" s="57"/>
      <c r="M520" s="54"/>
      <c r="N520" s="54"/>
      <c r="O520" s="57"/>
      <c r="P520" s="56"/>
      <c r="Q520" s="57"/>
      <c r="R520" s="57"/>
      <c r="S520" s="56"/>
      <c r="T520" s="60"/>
      <c r="U520" s="57"/>
      <c r="V520" s="71"/>
      <c r="W520" s="56"/>
    </row>
    <row r="521" ht="16.5" customHeight="1" spans="1:23" x14ac:dyDescent="0.25">
      <c r="A521" s="69"/>
      <c r="B521" s="54"/>
      <c r="C521" s="54"/>
      <c r="D521" s="55"/>
      <c r="E521" s="54"/>
      <c r="F521" s="54"/>
      <c r="G521" s="54"/>
      <c r="H521" s="54"/>
      <c r="I521" s="54"/>
      <c r="J521" s="65"/>
      <c r="K521" s="54"/>
      <c r="L521" s="57"/>
      <c r="M521" s="54"/>
      <c r="N521" s="54"/>
      <c r="O521" s="57"/>
      <c r="P521" s="56"/>
      <c r="Q521" s="57"/>
      <c r="R521" s="57"/>
      <c r="S521" s="56"/>
      <c r="T521" s="60"/>
      <c r="U521" s="57"/>
      <c r="V521" s="71"/>
      <c r="W521" s="56"/>
    </row>
    <row r="522" ht="16.5" customHeight="1" spans="1:23" x14ac:dyDescent="0.25">
      <c r="A522" s="69"/>
      <c r="B522" s="54"/>
      <c r="C522" s="54"/>
      <c r="D522" s="55"/>
      <c r="E522" s="54"/>
      <c r="F522" s="54"/>
      <c r="G522" s="54"/>
      <c r="H522" s="54"/>
      <c r="I522" s="54"/>
      <c r="J522" s="65"/>
      <c r="K522" s="54"/>
      <c r="L522" s="57"/>
      <c r="M522" s="54"/>
      <c r="N522" s="54"/>
      <c r="O522" s="57"/>
      <c r="P522" s="56"/>
      <c r="Q522" s="57"/>
      <c r="R522" s="57"/>
      <c r="S522" s="56"/>
      <c r="T522" s="60"/>
      <c r="U522" s="57"/>
      <c r="V522" s="71"/>
      <c r="W522" s="56"/>
    </row>
    <row r="523" ht="16.5" customHeight="1" spans="1:23" x14ac:dyDescent="0.25">
      <c r="A523" s="69"/>
      <c r="B523" s="54"/>
      <c r="C523" s="54"/>
      <c r="D523" s="55"/>
      <c r="E523" s="54"/>
      <c r="F523" s="54"/>
      <c r="G523" s="54"/>
      <c r="H523" s="54"/>
      <c r="I523" s="54"/>
      <c r="J523" s="65"/>
      <c r="K523" s="54"/>
      <c r="L523" s="57"/>
      <c r="M523" s="54"/>
      <c r="N523" s="54"/>
      <c r="O523" s="57"/>
      <c r="P523" s="56"/>
      <c r="Q523" s="57"/>
      <c r="R523" s="57"/>
      <c r="S523" s="56"/>
      <c r="T523" s="60"/>
      <c r="U523" s="57"/>
      <c r="V523" s="71"/>
      <c r="W523" s="56"/>
    </row>
    <row r="524" ht="16.5" customHeight="1" spans="1:23" x14ac:dyDescent="0.25">
      <c r="A524" s="69"/>
      <c r="B524" s="54"/>
      <c r="C524" s="54"/>
      <c r="D524" s="55"/>
      <c r="E524" s="54"/>
      <c r="F524" s="54"/>
      <c r="G524" s="54"/>
      <c r="H524" s="54"/>
      <c r="I524" s="54"/>
      <c r="J524" s="65"/>
      <c r="K524" s="54"/>
      <c r="L524" s="57"/>
      <c r="M524" s="54"/>
      <c r="N524" s="54"/>
      <c r="O524" s="57"/>
      <c r="P524" s="56"/>
      <c r="Q524" s="57"/>
      <c r="R524" s="57"/>
      <c r="S524" s="56"/>
      <c r="T524" s="60"/>
      <c r="U524" s="57"/>
      <c r="V524" s="71"/>
      <c r="W524" s="56"/>
    </row>
    <row r="525" ht="16.5" customHeight="1" spans="1:23" x14ac:dyDescent="0.25">
      <c r="A525" s="69"/>
      <c r="B525" s="54"/>
      <c r="C525" s="54"/>
      <c r="D525" s="55"/>
      <c r="E525" s="54"/>
      <c r="F525" s="54"/>
      <c r="G525" s="54"/>
      <c r="H525" s="54"/>
      <c r="I525" s="54"/>
      <c r="J525" s="65"/>
      <c r="K525" s="54"/>
      <c r="L525" s="57"/>
      <c r="M525" s="54"/>
      <c r="N525" s="54"/>
      <c r="O525" s="57"/>
      <c r="P525" s="56"/>
      <c r="Q525" s="57"/>
      <c r="R525" s="57"/>
      <c r="S525" s="56"/>
      <c r="T525" s="60"/>
      <c r="U525" s="57"/>
      <c r="V525" s="71"/>
      <c r="W525" s="56"/>
    </row>
    <row r="526" ht="16.5" customHeight="1" spans="1:23" x14ac:dyDescent="0.25">
      <c r="A526" s="69"/>
      <c r="B526" s="54"/>
      <c r="C526" s="54"/>
      <c r="D526" s="55"/>
      <c r="E526" s="54"/>
      <c r="F526" s="54"/>
      <c r="G526" s="54"/>
      <c r="H526" s="54"/>
      <c r="I526" s="54"/>
      <c r="J526" s="65"/>
      <c r="K526" s="54"/>
      <c r="L526" s="57"/>
      <c r="M526" s="54"/>
      <c r="N526" s="54"/>
      <c r="O526" s="57"/>
      <c r="P526" s="56"/>
      <c r="Q526" s="57"/>
      <c r="R526" s="57"/>
      <c r="S526" s="56"/>
      <c r="T526" s="60"/>
      <c r="U526" s="57"/>
      <c r="V526" s="71"/>
      <c r="W526" s="56"/>
    </row>
    <row r="527" ht="16.5" customHeight="1" spans="1:23" x14ac:dyDescent="0.25">
      <c r="A527" s="69"/>
      <c r="B527" s="54"/>
      <c r="C527" s="54"/>
      <c r="D527" s="55"/>
      <c r="E527" s="54"/>
      <c r="F527" s="54"/>
      <c r="G527" s="54"/>
      <c r="H527" s="54"/>
      <c r="I527" s="54"/>
      <c r="J527" s="65"/>
      <c r="K527" s="54"/>
      <c r="L527" s="57"/>
      <c r="M527" s="54"/>
      <c r="N527" s="54"/>
      <c r="O527" s="57"/>
      <c r="P527" s="56"/>
      <c r="Q527" s="57"/>
      <c r="R527" s="57"/>
      <c r="S527" s="56"/>
      <c r="T527" s="60"/>
      <c r="U527" s="57"/>
      <c r="V527" s="71"/>
      <c r="W527" s="56"/>
    </row>
    <row r="528" ht="16.5" customHeight="1" spans="1:23" x14ac:dyDescent="0.25">
      <c r="A528" s="69"/>
      <c r="B528" s="54"/>
      <c r="C528" s="54"/>
      <c r="D528" s="55"/>
      <c r="E528" s="54"/>
      <c r="F528" s="54"/>
      <c r="G528" s="54"/>
      <c r="H528" s="54"/>
      <c r="I528" s="54"/>
      <c r="J528" s="65"/>
      <c r="K528" s="54"/>
      <c r="L528" s="57"/>
      <c r="M528" s="54"/>
      <c r="N528" s="54"/>
      <c r="O528" s="57"/>
      <c r="P528" s="56"/>
      <c r="Q528" s="57"/>
      <c r="R528" s="57"/>
      <c r="S528" s="56"/>
      <c r="T528" s="60"/>
      <c r="U528" s="57"/>
      <c r="V528" s="71"/>
      <c r="W528" s="56"/>
    </row>
    <row r="529" ht="16.5" customHeight="1" spans="1:23" x14ac:dyDescent="0.25">
      <c r="A529" s="69"/>
      <c r="B529" s="54"/>
      <c r="C529" s="54"/>
      <c r="D529" s="55"/>
      <c r="E529" s="54"/>
      <c r="F529" s="54"/>
      <c r="G529" s="54"/>
      <c r="H529" s="54"/>
      <c r="I529" s="54"/>
      <c r="J529" s="65"/>
      <c r="K529" s="54"/>
      <c r="L529" s="57"/>
      <c r="M529" s="54"/>
      <c r="N529" s="54"/>
      <c r="O529" s="57"/>
      <c r="P529" s="56"/>
      <c r="Q529" s="57"/>
      <c r="R529" s="57"/>
      <c r="S529" s="56"/>
      <c r="T529" s="60"/>
      <c r="U529" s="57"/>
      <c r="V529" s="71"/>
      <c r="W529" s="56"/>
    </row>
    <row r="530" ht="16.5" customHeight="1" spans="1:23" x14ac:dyDescent="0.25">
      <c r="A530" s="69"/>
      <c r="B530" s="54"/>
      <c r="C530" s="54"/>
      <c r="D530" s="55"/>
      <c r="E530" s="54"/>
      <c r="F530" s="54"/>
      <c r="G530" s="54"/>
      <c r="H530" s="54"/>
      <c r="I530" s="54"/>
      <c r="J530" s="65"/>
      <c r="K530" s="54"/>
      <c r="L530" s="57"/>
      <c r="M530" s="54"/>
      <c r="N530" s="54"/>
      <c r="O530" s="57"/>
      <c r="P530" s="56"/>
      <c r="Q530" s="57"/>
      <c r="R530" s="57"/>
      <c r="S530" s="56"/>
      <c r="T530" s="60"/>
      <c r="U530" s="57"/>
      <c r="V530" s="71"/>
      <c r="W530" s="56"/>
    </row>
    <row r="531" ht="16.5" customHeight="1" spans="1:23" x14ac:dyDescent="0.25">
      <c r="A531" s="69"/>
      <c r="B531" s="54"/>
      <c r="C531" s="54"/>
      <c r="D531" s="55"/>
      <c r="E531" s="54"/>
      <c r="F531" s="54"/>
      <c r="G531" s="54"/>
      <c r="H531" s="54"/>
      <c r="I531" s="54"/>
      <c r="J531" s="65"/>
      <c r="K531" s="54"/>
      <c r="L531" s="57"/>
      <c r="M531" s="54"/>
      <c r="N531" s="54"/>
      <c r="O531" s="57"/>
      <c r="P531" s="56"/>
      <c r="Q531" s="57"/>
      <c r="R531" s="57"/>
      <c r="S531" s="56"/>
      <c r="T531" s="60"/>
      <c r="U531" s="57"/>
      <c r="V531" s="71"/>
      <c r="W531" s="56"/>
    </row>
    <row r="532" ht="16.5" customHeight="1" spans="1:23" x14ac:dyDescent="0.25">
      <c r="A532" s="69"/>
      <c r="B532" s="54"/>
      <c r="C532" s="54"/>
      <c r="D532" s="55"/>
      <c r="E532" s="54"/>
      <c r="F532" s="54"/>
      <c r="G532" s="54"/>
      <c r="H532" s="54"/>
      <c r="I532" s="54"/>
      <c r="J532" s="65"/>
      <c r="K532" s="54"/>
      <c r="L532" s="57"/>
      <c r="M532" s="54"/>
      <c r="N532" s="54"/>
      <c r="O532" s="57"/>
      <c r="P532" s="56"/>
      <c r="Q532" s="57"/>
      <c r="R532" s="57"/>
      <c r="S532" s="56"/>
      <c r="T532" s="60"/>
      <c r="U532" s="57"/>
      <c r="V532" s="71"/>
      <c r="W532" s="56"/>
    </row>
    <row r="533" ht="16.5" customHeight="1" spans="1:23" x14ac:dyDescent="0.25">
      <c r="A533" s="69"/>
      <c r="B533" s="54"/>
      <c r="C533" s="54"/>
      <c r="D533" s="55"/>
      <c r="E533" s="54"/>
      <c r="F533" s="54"/>
      <c r="G533" s="54"/>
      <c r="H533" s="54"/>
      <c r="I533" s="54"/>
      <c r="J533" s="65"/>
      <c r="K533" s="54"/>
      <c r="L533" s="57"/>
      <c r="M533" s="54"/>
      <c r="N533" s="54"/>
      <c r="O533" s="57"/>
      <c r="P533" s="56"/>
      <c r="Q533" s="57"/>
      <c r="R533" s="57"/>
      <c r="S533" s="56"/>
      <c r="T533" s="60"/>
      <c r="U533" s="57"/>
      <c r="V533" s="71"/>
      <c r="W533" s="56"/>
    </row>
    <row r="534" ht="16.5" customHeight="1" spans="1:23" x14ac:dyDescent="0.25">
      <c r="A534" s="69"/>
      <c r="B534" s="54"/>
      <c r="C534" s="54"/>
      <c r="D534" s="55"/>
      <c r="E534" s="54"/>
      <c r="F534" s="54"/>
      <c r="G534" s="54"/>
      <c r="H534" s="54"/>
      <c r="I534" s="54"/>
      <c r="J534" s="65"/>
      <c r="K534" s="54"/>
      <c r="L534" s="57"/>
      <c r="M534" s="54"/>
      <c r="N534" s="54"/>
      <c r="O534" s="57"/>
      <c r="P534" s="56"/>
      <c r="Q534" s="57"/>
      <c r="R534" s="57"/>
      <c r="S534" s="56"/>
      <c r="T534" s="60"/>
      <c r="U534" s="57"/>
      <c r="V534" s="71"/>
      <c r="W534" s="56"/>
    </row>
    <row r="535" ht="16.5" customHeight="1" spans="1:23" x14ac:dyDescent="0.25">
      <c r="A535" s="69"/>
      <c r="B535" s="54"/>
      <c r="C535" s="54"/>
      <c r="D535" s="55"/>
      <c r="E535" s="54"/>
      <c r="F535" s="54"/>
      <c r="G535" s="54"/>
      <c r="H535" s="54"/>
      <c r="I535" s="54"/>
      <c r="J535" s="65"/>
      <c r="K535" s="54"/>
      <c r="L535" s="57"/>
      <c r="M535" s="54"/>
      <c r="N535" s="54"/>
      <c r="O535" s="57"/>
      <c r="P535" s="56"/>
      <c r="Q535" s="57"/>
      <c r="R535" s="57"/>
      <c r="S535" s="56"/>
      <c r="T535" s="60"/>
      <c r="U535" s="57"/>
      <c r="V535" s="71"/>
      <c r="W535" s="56"/>
    </row>
    <row r="536" ht="16.5" customHeight="1" spans="1:23" x14ac:dyDescent="0.25">
      <c r="A536" s="69"/>
      <c r="B536" s="54"/>
      <c r="C536" s="54"/>
      <c r="D536" s="55"/>
      <c r="E536" s="54"/>
      <c r="F536" s="54"/>
      <c r="G536" s="54"/>
      <c r="H536" s="54"/>
      <c r="I536" s="54"/>
      <c r="J536" s="65"/>
      <c r="K536" s="54"/>
      <c r="L536" s="57"/>
      <c r="M536" s="54"/>
      <c r="N536" s="54"/>
      <c r="O536" s="57"/>
      <c r="P536" s="56"/>
      <c r="Q536" s="57"/>
      <c r="R536" s="57"/>
      <c r="S536" s="56"/>
      <c r="T536" s="60"/>
      <c r="U536" s="57"/>
      <c r="V536" s="71"/>
      <c r="W536" s="56"/>
    </row>
    <row r="537" ht="16.5" customHeight="1" spans="1:23" x14ac:dyDescent="0.25">
      <c r="A537" s="69"/>
      <c r="B537" s="54"/>
      <c r="C537" s="54"/>
      <c r="D537" s="55"/>
      <c r="E537" s="54"/>
      <c r="F537" s="54"/>
      <c r="G537" s="54"/>
      <c r="H537" s="54"/>
      <c r="I537" s="54"/>
      <c r="J537" s="65"/>
      <c r="K537" s="54"/>
      <c r="L537" s="57"/>
      <c r="M537" s="54"/>
      <c r="N537" s="54"/>
      <c r="O537" s="57"/>
      <c r="P537" s="56"/>
      <c r="Q537" s="57"/>
      <c r="R537" s="57"/>
      <c r="S537" s="56"/>
      <c r="T537" s="60"/>
      <c r="U537" s="57"/>
      <c r="V537" s="71"/>
      <c r="W537" s="56"/>
    </row>
    <row r="538" ht="16.5" customHeight="1" spans="1:23" x14ac:dyDescent="0.25">
      <c r="A538" s="69"/>
      <c r="B538" s="54"/>
      <c r="C538" s="54"/>
      <c r="D538" s="55"/>
      <c r="E538" s="54"/>
      <c r="F538" s="54"/>
      <c r="G538" s="54"/>
      <c r="H538" s="54"/>
      <c r="I538" s="54"/>
      <c r="J538" s="65"/>
      <c r="K538" s="54"/>
      <c r="L538" s="57"/>
      <c r="M538" s="54"/>
      <c r="N538" s="54"/>
      <c r="O538" s="57"/>
      <c r="P538" s="56"/>
      <c r="Q538" s="57"/>
      <c r="R538" s="57"/>
      <c r="S538" s="56"/>
      <c r="T538" s="60"/>
      <c r="U538" s="57"/>
      <c r="V538" s="71"/>
      <c r="W538" s="56"/>
    </row>
    <row r="539" ht="16.5" customHeight="1" spans="1:23" x14ac:dyDescent="0.25">
      <c r="A539" s="69"/>
      <c r="B539" s="54"/>
      <c r="C539" s="54"/>
      <c r="D539" s="55"/>
      <c r="E539" s="54"/>
      <c r="F539" s="54"/>
      <c r="G539" s="54"/>
      <c r="H539" s="54"/>
      <c r="I539" s="54"/>
      <c r="J539" s="65"/>
      <c r="K539" s="54"/>
      <c r="L539" s="57"/>
      <c r="M539" s="54"/>
      <c r="N539" s="54"/>
      <c r="O539" s="57"/>
      <c r="P539" s="56"/>
      <c r="Q539" s="57"/>
      <c r="R539" s="57"/>
      <c r="S539" s="56"/>
      <c r="T539" s="60"/>
      <c r="U539" s="57"/>
      <c r="V539" s="71"/>
      <c r="W539" s="56"/>
    </row>
    <row r="540" ht="16.5" customHeight="1" spans="1:23" x14ac:dyDescent="0.25">
      <c r="A540" s="69"/>
      <c r="B540" s="54"/>
      <c r="C540" s="54"/>
      <c r="D540" s="55"/>
      <c r="E540" s="54"/>
      <c r="F540" s="54"/>
      <c r="G540" s="54"/>
      <c r="H540" s="54"/>
      <c r="I540" s="54"/>
      <c r="J540" s="65"/>
      <c r="K540" s="54"/>
      <c r="L540" s="57"/>
      <c r="M540" s="54"/>
      <c r="N540" s="54"/>
      <c r="O540" s="57"/>
      <c r="P540" s="56"/>
      <c r="Q540" s="57"/>
      <c r="R540" s="57"/>
      <c r="S540" s="56"/>
      <c r="T540" s="60"/>
      <c r="U540" s="57"/>
      <c r="V540" s="71"/>
      <c r="W540" s="56"/>
    </row>
    <row r="541" ht="16.5" customHeight="1" spans="1:23" x14ac:dyDescent="0.25">
      <c r="A541" s="69"/>
      <c r="B541" s="54"/>
      <c r="C541" s="54"/>
      <c r="D541" s="55"/>
      <c r="E541" s="54"/>
      <c r="F541" s="54"/>
      <c r="G541" s="54"/>
      <c r="H541" s="54"/>
      <c r="I541" s="54"/>
      <c r="J541" s="65"/>
      <c r="K541" s="54"/>
      <c r="L541" s="57"/>
      <c r="M541" s="54"/>
      <c r="N541" s="54"/>
      <c r="O541" s="57"/>
      <c r="P541" s="56"/>
      <c r="Q541" s="57"/>
      <c r="R541" s="57"/>
      <c r="S541" s="56"/>
      <c r="T541" s="60"/>
      <c r="U541" s="57"/>
      <c r="V541" s="71"/>
      <c r="W541" s="56"/>
    </row>
    <row r="542" ht="16.5" customHeight="1" spans="1:23" x14ac:dyDescent="0.25">
      <c r="A542" s="69"/>
      <c r="B542" s="54"/>
      <c r="C542" s="54"/>
      <c r="D542" s="55"/>
      <c r="E542" s="54"/>
      <c r="F542" s="54"/>
      <c r="G542" s="54"/>
      <c r="H542" s="54"/>
      <c r="I542" s="54"/>
      <c r="J542" s="65"/>
      <c r="K542" s="54"/>
      <c r="L542" s="57"/>
      <c r="M542" s="54"/>
      <c r="N542" s="54"/>
      <c r="O542" s="57"/>
      <c r="P542" s="56"/>
      <c r="Q542" s="57"/>
      <c r="R542" s="57"/>
      <c r="S542" s="56"/>
      <c r="T542" s="60"/>
      <c r="U542" s="57"/>
      <c r="V542" s="71"/>
      <c r="W542" s="56"/>
    </row>
    <row r="543" ht="16.5" customHeight="1" spans="1:23" x14ac:dyDescent="0.25">
      <c r="A543" s="69"/>
      <c r="B543" s="54"/>
      <c r="C543" s="54"/>
      <c r="D543" s="55"/>
      <c r="E543" s="54"/>
      <c r="F543" s="54"/>
      <c r="G543" s="54"/>
      <c r="H543" s="54"/>
      <c r="I543" s="54"/>
      <c r="J543" s="65"/>
      <c r="K543" s="54"/>
      <c r="L543" s="57"/>
      <c r="M543" s="54"/>
      <c r="N543" s="54"/>
      <c r="O543" s="57"/>
      <c r="P543" s="56"/>
      <c r="Q543" s="57"/>
      <c r="R543" s="57"/>
      <c r="S543" s="56"/>
      <c r="T543" s="60"/>
      <c r="U543" s="57"/>
      <c r="V543" s="71"/>
      <c r="W543" s="56"/>
    </row>
    <row r="544" ht="16.5" customHeight="1" spans="1:23" x14ac:dyDescent="0.25">
      <c r="A544" s="69"/>
      <c r="B544" s="54"/>
      <c r="C544" s="54"/>
      <c r="D544" s="55"/>
      <c r="E544" s="54"/>
      <c r="F544" s="54"/>
      <c r="G544" s="54"/>
      <c r="H544" s="54"/>
      <c r="I544" s="54"/>
      <c r="J544" s="65"/>
      <c r="K544" s="54"/>
      <c r="L544" s="57"/>
      <c r="M544" s="54"/>
      <c r="N544" s="54"/>
      <c r="O544" s="57"/>
      <c r="P544" s="56"/>
      <c r="Q544" s="57"/>
      <c r="R544" s="57"/>
      <c r="S544" s="56"/>
      <c r="T544" s="60"/>
      <c r="U544" s="57"/>
      <c r="V544" s="71"/>
      <c r="W544" s="56"/>
    </row>
    <row r="545" ht="16.5" customHeight="1" spans="1:23" x14ac:dyDescent="0.25">
      <c r="A545" s="69"/>
      <c r="B545" s="54"/>
      <c r="C545" s="54"/>
      <c r="D545" s="55"/>
      <c r="E545" s="54"/>
      <c r="F545" s="54"/>
      <c r="G545" s="54"/>
      <c r="H545" s="54"/>
      <c r="I545" s="54"/>
      <c r="J545" s="65"/>
      <c r="K545" s="54"/>
      <c r="L545" s="57"/>
      <c r="M545" s="54"/>
      <c r="N545" s="54"/>
      <c r="O545" s="57"/>
      <c r="P545" s="56"/>
      <c r="Q545" s="57"/>
      <c r="R545" s="57"/>
      <c r="S545" s="56"/>
      <c r="T545" s="60"/>
      <c r="U545" s="57"/>
      <c r="V545" s="71"/>
      <c r="W545" s="56"/>
    </row>
    <row r="546" ht="16.5" customHeight="1" spans="1:23" x14ac:dyDescent="0.25">
      <c r="A546" s="69"/>
      <c r="B546" s="54"/>
      <c r="C546" s="54"/>
      <c r="D546" s="55"/>
      <c r="E546" s="54"/>
      <c r="F546" s="54"/>
      <c r="G546" s="54"/>
      <c r="H546" s="54"/>
      <c r="I546" s="54"/>
      <c r="J546" s="65"/>
      <c r="K546" s="54"/>
      <c r="L546" s="57"/>
      <c r="M546" s="54"/>
      <c r="N546" s="54"/>
      <c r="O546" s="57"/>
      <c r="P546" s="56"/>
      <c r="Q546" s="57"/>
      <c r="R546" s="57"/>
      <c r="S546" s="56"/>
      <c r="T546" s="60"/>
      <c r="U546" s="57"/>
      <c r="V546" s="71"/>
      <c r="W546" s="56"/>
    </row>
    <row r="547" ht="16.5" customHeight="1" spans="1:23" x14ac:dyDescent="0.25">
      <c r="A547" s="69"/>
      <c r="B547" s="54"/>
      <c r="C547" s="54"/>
      <c r="D547" s="55"/>
      <c r="E547" s="54"/>
      <c r="F547" s="54"/>
      <c r="G547" s="54"/>
      <c r="H547" s="54"/>
      <c r="I547" s="54"/>
      <c r="J547" s="65"/>
      <c r="K547" s="54"/>
      <c r="L547" s="57"/>
      <c r="M547" s="54"/>
      <c r="N547" s="54"/>
      <c r="O547" s="57"/>
      <c r="P547" s="56"/>
      <c r="Q547" s="57"/>
      <c r="R547" s="57"/>
      <c r="S547" s="56"/>
      <c r="T547" s="60"/>
      <c r="U547" s="57"/>
      <c r="V547" s="71"/>
      <c r="W547" s="56"/>
    </row>
    <row r="548" ht="16.5" customHeight="1" spans="1:23" x14ac:dyDescent="0.25">
      <c r="A548" s="69"/>
      <c r="B548" s="54"/>
      <c r="C548" s="54"/>
      <c r="D548" s="55"/>
      <c r="E548" s="54"/>
      <c r="F548" s="54"/>
      <c r="G548" s="54"/>
      <c r="H548" s="54"/>
      <c r="I548" s="54"/>
      <c r="J548" s="65"/>
      <c r="K548" s="54"/>
      <c r="L548" s="57"/>
      <c r="M548" s="54"/>
      <c r="N548" s="54"/>
      <c r="O548" s="57"/>
      <c r="P548" s="56"/>
      <c r="Q548" s="57"/>
      <c r="R548" s="57"/>
      <c r="S548" s="56"/>
      <c r="T548" s="60"/>
      <c r="U548" s="57"/>
      <c r="V548" s="71"/>
      <c r="W548" s="56"/>
    </row>
    <row r="549" ht="16.5" customHeight="1" spans="1:23" x14ac:dyDescent="0.25">
      <c r="A549" s="69"/>
      <c r="B549" s="54"/>
      <c r="C549" s="54"/>
      <c r="D549" s="55"/>
      <c r="E549" s="54"/>
      <c r="F549" s="54"/>
      <c r="G549" s="54"/>
      <c r="H549" s="54"/>
      <c r="I549" s="54"/>
      <c r="J549" s="65"/>
      <c r="K549" s="54"/>
      <c r="L549" s="57"/>
      <c r="M549" s="54"/>
      <c r="N549" s="54"/>
      <c r="O549" s="57"/>
      <c r="P549" s="56"/>
      <c r="Q549" s="57"/>
      <c r="R549" s="57"/>
      <c r="S549" s="56"/>
      <c r="T549" s="60"/>
      <c r="U549" s="57"/>
      <c r="V549" s="71"/>
      <c r="W549" s="56"/>
    </row>
    <row r="550" ht="16.5" customHeight="1" spans="1:23" x14ac:dyDescent="0.25">
      <c r="A550" s="69"/>
      <c r="B550" s="54"/>
      <c r="C550" s="54"/>
      <c r="D550" s="55"/>
      <c r="E550" s="54"/>
      <c r="F550" s="54"/>
      <c r="G550" s="54"/>
      <c r="H550" s="54"/>
      <c r="I550" s="54"/>
      <c r="J550" s="65"/>
      <c r="K550" s="54"/>
      <c r="L550" s="57"/>
      <c r="M550" s="54"/>
      <c r="N550" s="54"/>
      <c r="O550" s="57"/>
      <c r="P550" s="56"/>
      <c r="Q550" s="57"/>
      <c r="R550" s="57"/>
      <c r="S550" s="56"/>
      <c r="T550" s="60"/>
      <c r="U550" s="57"/>
      <c r="V550" s="71"/>
      <c r="W550" s="56"/>
    </row>
    <row r="551" ht="16.5" customHeight="1" spans="1:23" x14ac:dyDescent="0.25">
      <c r="A551" s="69"/>
      <c r="B551" s="54"/>
      <c r="C551" s="54"/>
      <c r="D551" s="55"/>
      <c r="E551" s="54"/>
      <c r="F551" s="54"/>
      <c r="G551" s="54"/>
      <c r="H551" s="54"/>
      <c r="I551" s="54"/>
      <c r="J551" s="65"/>
      <c r="K551" s="54"/>
      <c r="L551" s="57"/>
      <c r="M551" s="54"/>
      <c r="N551" s="54"/>
      <c r="O551" s="57"/>
      <c r="P551" s="56"/>
      <c r="Q551" s="57"/>
      <c r="R551" s="57"/>
      <c r="S551" s="56"/>
      <c r="T551" s="60"/>
      <c r="U551" s="57"/>
      <c r="V551" s="71"/>
      <c r="W551" s="56"/>
    </row>
    <row r="552" ht="16.5" customHeight="1" spans="1:23" x14ac:dyDescent="0.25">
      <c r="A552" s="69"/>
      <c r="B552" s="54"/>
      <c r="C552" s="54"/>
      <c r="D552" s="55"/>
      <c r="E552" s="54"/>
      <c r="F552" s="54"/>
      <c r="G552" s="54"/>
      <c r="H552" s="54"/>
      <c r="I552" s="54"/>
      <c r="J552" s="65"/>
      <c r="K552" s="54"/>
      <c r="L552" s="57"/>
      <c r="M552" s="54"/>
      <c r="N552" s="54"/>
      <c r="O552" s="57"/>
      <c r="P552" s="56"/>
      <c r="Q552" s="57"/>
      <c r="R552" s="57"/>
      <c r="S552" s="56"/>
      <c r="T552" s="60"/>
      <c r="U552" s="57"/>
      <c r="V552" s="71"/>
      <c r="W552" s="56"/>
    </row>
    <row r="553" ht="16.5" customHeight="1" spans="1:23" x14ac:dyDescent="0.25">
      <c r="A553" s="69"/>
      <c r="B553" s="54"/>
      <c r="C553" s="54"/>
      <c r="D553" s="55"/>
      <c r="E553" s="54"/>
      <c r="F553" s="54"/>
      <c r="G553" s="54"/>
      <c r="H553" s="54"/>
      <c r="I553" s="54"/>
      <c r="J553" s="65"/>
      <c r="K553" s="54"/>
      <c r="L553" s="57"/>
      <c r="M553" s="54"/>
      <c r="N553" s="54"/>
      <c r="O553" s="57"/>
      <c r="P553" s="56"/>
      <c r="Q553" s="57"/>
      <c r="R553" s="57"/>
      <c r="S553" s="56"/>
      <c r="T553" s="60"/>
      <c r="U553" s="57"/>
      <c r="V553" s="71"/>
      <c r="W553" s="56"/>
    </row>
    <row r="554" ht="16.5" customHeight="1" spans="1:23" x14ac:dyDescent="0.25">
      <c r="A554" s="69"/>
      <c r="B554" s="54"/>
      <c r="C554" s="54"/>
      <c r="D554" s="55"/>
      <c r="E554" s="54"/>
      <c r="F554" s="54"/>
      <c r="G554" s="54"/>
      <c r="H554" s="54"/>
      <c r="I554" s="54"/>
      <c r="J554" s="65"/>
      <c r="K554" s="54"/>
      <c r="L554" s="57"/>
      <c r="M554" s="54"/>
      <c r="N554" s="54"/>
      <c r="O554" s="57"/>
      <c r="P554" s="56"/>
      <c r="Q554" s="57"/>
      <c r="R554" s="57"/>
      <c r="S554" s="56"/>
      <c r="T554" s="60"/>
      <c r="U554" s="57"/>
      <c r="V554" s="71"/>
      <c r="W554" s="56"/>
    </row>
    <row r="555" ht="16.5" customHeight="1" spans="1:23" x14ac:dyDescent="0.25">
      <c r="A555" s="69"/>
      <c r="B555" s="54"/>
      <c r="C555" s="54"/>
      <c r="D555" s="55"/>
      <c r="E555" s="54"/>
      <c r="F555" s="54"/>
      <c r="G555" s="54"/>
      <c r="H555" s="54"/>
      <c r="I555" s="54"/>
      <c r="J555" s="65"/>
      <c r="K555" s="54"/>
      <c r="L555" s="57"/>
      <c r="M555" s="54"/>
      <c r="N555" s="54"/>
      <c r="O555" s="57"/>
      <c r="P555" s="56"/>
      <c r="Q555" s="57"/>
      <c r="R555" s="57"/>
      <c r="S555" s="56"/>
      <c r="T555" s="60"/>
      <c r="U555" s="57"/>
      <c r="V555" s="71"/>
      <c r="W555" s="56"/>
    </row>
    <row r="556" ht="16.5" customHeight="1" spans="1:23" x14ac:dyDescent="0.25">
      <c r="A556" s="69"/>
      <c r="B556" s="54"/>
      <c r="C556" s="54"/>
      <c r="D556" s="55"/>
      <c r="E556" s="54"/>
      <c r="F556" s="54"/>
      <c r="G556" s="54"/>
      <c r="H556" s="54"/>
      <c r="I556" s="54"/>
      <c r="J556" s="65"/>
      <c r="K556" s="54"/>
      <c r="L556" s="57"/>
      <c r="M556" s="54"/>
      <c r="N556" s="54"/>
      <c r="O556" s="57"/>
      <c r="P556" s="56"/>
      <c r="Q556" s="57"/>
      <c r="R556" s="57"/>
      <c r="S556" s="56"/>
      <c r="T556" s="60"/>
      <c r="U556" s="57"/>
      <c r="V556" s="71"/>
      <c r="W556" s="56"/>
    </row>
    <row r="557" ht="16.5" customHeight="1" spans="1:23" x14ac:dyDescent="0.25">
      <c r="A557" s="69"/>
      <c r="B557" s="54"/>
      <c r="C557" s="54"/>
      <c r="D557" s="55"/>
      <c r="E557" s="54"/>
      <c r="F557" s="54"/>
      <c r="G557" s="54"/>
      <c r="H557" s="54"/>
      <c r="I557" s="54"/>
      <c r="J557" s="65"/>
      <c r="K557" s="54"/>
      <c r="L557" s="57"/>
      <c r="M557" s="54"/>
      <c r="N557" s="54"/>
      <c r="O557" s="57"/>
      <c r="P557" s="56"/>
      <c r="Q557" s="57"/>
      <c r="R557" s="57"/>
      <c r="S557" s="56"/>
      <c r="T557" s="60"/>
      <c r="U557" s="57"/>
      <c r="V557" s="71"/>
      <c r="W557" s="56"/>
    </row>
    <row r="558" ht="16.5" customHeight="1" spans="1:23" x14ac:dyDescent="0.25">
      <c r="A558" s="69"/>
      <c r="B558" s="54"/>
      <c r="C558" s="54"/>
      <c r="D558" s="55"/>
      <c r="E558" s="54"/>
      <c r="F558" s="54"/>
      <c r="G558" s="54"/>
      <c r="H558" s="54"/>
      <c r="I558" s="54"/>
      <c r="J558" s="65"/>
      <c r="K558" s="54"/>
      <c r="L558" s="57"/>
      <c r="M558" s="54"/>
      <c r="N558" s="54"/>
      <c r="O558" s="57"/>
      <c r="P558" s="56"/>
      <c r="Q558" s="57"/>
      <c r="R558" s="57"/>
      <c r="S558" s="56"/>
      <c r="T558" s="60"/>
      <c r="U558" s="57"/>
      <c r="V558" s="71"/>
      <c r="W558" s="56"/>
    </row>
    <row r="559" ht="16.5" customHeight="1" spans="1:23" x14ac:dyDescent="0.25">
      <c r="A559" s="69"/>
      <c r="B559" s="54"/>
      <c r="C559" s="54"/>
      <c r="D559" s="55"/>
      <c r="E559" s="54"/>
      <c r="F559" s="54"/>
      <c r="G559" s="54"/>
      <c r="H559" s="54"/>
      <c r="I559" s="54"/>
      <c r="J559" s="65"/>
      <c r="K559" s="54"/>
      <c r="L559" s="57"/>
      <c r="M559" s="54"/>
      <c r="N559" s="54"/>
      <c r="O559" s="57"/>
      <c r="P559" s="56"/>
      <c r="Q559" s="57"/>
      <c r="R559" s="57"/>
      <c r="S559" s="56"/>
      <c r="T559" s="60"/>
      <c r="U559" s="57"/>
      <c r="V559" s="71"/>
      <c r="W559" s="56"/>
    </row>
    <row r="560" ht="16.5" customHeight="1" spans="1:23" x14ac:dyDescent="0.25">
      <c r="A560" s="69"/>
      <c r="B560" s="54"/>
      <c r="C560" s="54"/>
      <c r="D560" s="55"/>
      <c r="E560" s="54"/>
      <c r="F560" s="54"/>
      <c r="G560" s="54"/>
      <c r="H560" s="54"/>
      <c r="I560" s="54"/>
      <c r="J560" s="65"/>
      <c r="K560" s="54"/>
      <c r="L560" s="57"/>
      <c r="M560" s="54"/>
      <c r="N560" s="54"/>
      <c r="O560" s="57"/>
      <c r="P560" s="56"/>
      <c r="Q560" s="57"/>
      <c r="R560" s="57"/>
      <c r="S560" s="56"/>
      <c r="T560" s="60"/>
      <c r="U560" s="57"/>
      <c r="V560" s="71"/>
      <c r="W560" s="56"/>
    </row>
    <row r="561" ht="16.5" customHeight="1" spans="1:23" x14ac:dyDescent="0.25">
      <c r="A561" s="69"/>
      <c r="B561" s="54"/>
      <c r="C561" s="54"/>
      <c r="D561" s="55"/>
      <c r="E561" s="54"/>
      <c r="F561" s="54"/>
      <c r="G561" s="54"/>
      <c r="H561" s="54"/>
      <c r="I561" s="54"/>
      <c r="J561" s="65"/>
      <c r="K561" s="54"/>
      <c r="L561" s="57"/>
      <c r="M561" s="54"/>
      <c r="N561" s="54"/>
      <c r="O561" s="57"/>
      <c r="P561" s="56"/>
      <c r="Q561" s="57"/>
      <c r="R561" s="57"/>
      <c r="S561" s="56"/>
      <c r="T561" s="60"/>
      <c r="U561" s="57"/>
      <c r="V561" s="71"/>
      <c r="W561" s="56"/>
    </row>
    <row r="562" ht="16.5" customHeight="1" spans="1:23" x14ac:dyDescent="0.25">
      <c r="A562" s="69"/>
      <c r="B562" s="54"/>
      <c r="C562" s="54"/>
      <c r="D562" s="55"/>
      <c r="E562" s="54"/>
      <c r="F562" s="54"/>
      <c r="G562" s="54"/>
      <c r="H562" s="54"/>
      <c r="I562" s="54"/>
      <c r="J562" s="65"/>
      <c r="K562" s="54"/>
      <c r="L562" s="57"/>
      <c r="M562" s="54"/>
      <c r="N562" s="54"/>
      <c r="O562" s="57"/>
      <c r="P562" s="56"/>
      <c r="Q562" s="57"/>
      <c r="R562" s="57"/>
      <c r="S562" s="56"/>
      <c r="T562" s="60"/>
      <c r="U562" s="57"/>
      <c r="V562" s="71"/>
      <c r="W562" s="56"/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1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56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56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56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56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56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56"/>
      <c r="W574" s="56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2" customWidth="1"/>
    <col min="2" max="2" width="10.875" style="73" customWidth="1"/>
    <col min="3" max="3" width="10.875" style="72" customWidth="1"/>
    <col min="4" max="4" width="9.125" style="72" customWidth="1"/>
    <col min="5" max="5" width="8.875" style="72" customWidth="1"/>
    <col min="6" max="9" width="5.75" style="72" customWidth="1"/>
    <col min="10" max="10" width="8.375" style="72" customWidth="1"/>
    <col min="11" max="11" width="6.625" style="73" customWidth="1"/>
    <col min="12" max="12" width="7.125" style="73" customWidth="1"/>
    <col min="13" max="16" width="6.625" style="73" customWidth="1"/>
    <col min="17" max="17" width="3.125" style="73" customWidth="1"/>
    <col min="18" max="18" width="6.625" style="73" customWidth="1"/>
    <col min="19" max="19" width="7.375" style="73" customWidth="1"/>
    <col min="20" max="23" width="6.625" style="73" customWidth="1"/>
    <col min="24" max="24" width="9" style="72" customWidth="1"/>
    <col min="25" max="25" width="5.875" style="72" hidden="1" customWidth="1"/>
    <col min="26" max="29" width="4.75" style="72" hidden="1" customWidth="1"/>
    <col min="30" max="31" width="5.25" style="72" hidden="1" customWidth="1"/>
    <col min="32" max="35" width="4.75" style="73" hidden="1" customWidth="1"/>
    <col min="36" max="36" width="5.25" style="73" hidden="1" customWidth="1"/>
    <col min="37" max="37" width="2.875" style="72" hidden="1" customWidth="1"/>
    <col min="38" max="41" width="4.75" style="73" hidden="1" customWidth="1"/>
    <col min="42" max="42" width="5.25" style="73" hidden="1" customWidth="1"/>
    <col min="43" max="43" width="6.125" style="72" hidden="1" customWidth="1"/>
    <col min="44" max="47" width="4.75" style="73" hidden="1" customWidth="1"/>
    <col min="48" max="48" width="5.25" style="73" hidden="1" customWidth="1"/>
    <col min="49" max="49" width="7.125" style="73" hidden="1" customWidth="1"/>
    <col min="50" max="16384" width="11.75" style="73" customWidth="1"/>
  </cols>
  <sheetData>
    <row r="1" ht="17.1" customHeight="1" spans="1:49" x14ac:dyDescent="0.25">
      <c r="A1" s="74" t="s">
        <v>793</v>
      </c>
      <c r="B1" s="75"/>
      <c r="C1" s="75"/>
      <c r="D1" s="75"/>
      <c r="E1" s="75"/>
      <c r="F1" s="74" t="s">
        <v>794</v>
      </c>
      <c r="G1" s="75"/>
      <c r="H1" s="74" t="s">
        <v>270</v>
      </c>
      <c r="I1" s="75"/>
      <c r="J1" s="76" t="s">
        <v>795</v>
      </c>
      <c r="K1" s="77" t="s">
        <v>794</v>
      </c>
      <c r="L1" s="78" t="s">
        <v>796</v>
      </c>
      <c r="M1" s="79" t="s">
        <v>797</v>
      </c>
      <c r="N1" s="80"/>
      <c r="O1" s="80"/>
      <c r="P1" s="81"/>
      <c r="R1" s="77" t="s">
        <v>270</v>
      </c>
      <c r="S1" s="78" t="s">
        <v>796</v>
      </c>
      <c r="T1" s="79" t="s">
        <v>797</v>
      </c>
      <c r="U1" s="80"/>
      <c r="V1" s="80"/>
      <c r="W1" s="81"/>
      <c r="X1" s="82"/>
      <c r="Y1" s="82" t="s">
        <v>794</v>
      </c>
      <c r="Z1" s="82" t="s">
        <v>798</v>
      </c>
      <c r="AA1" s="82"/>
      <c r="AB1" s="82"/>
      <c r="AC1" s="82"/>
      <c r="AD1" s="82"/>
      <c r="AE1" s="82" t="s">
        <v>794</v>
      </c>
      <c r="AF1" s="82" t="s">
        <v>799</v>
      </c>
      <c r="AG1" s="82"/>
      <c r="AH1" s="82"/>
      <c r="AI1" s="82"/>
      <c r="AJ1" s="82"/>
      <c r="AL1" s="83" t="s">
        <v>270</v>
      </c>
      <c r="AM1" s="83" t="s">
        <v>798</v>
      </c>
      <c r="AN1" s="84"/>
      <c r="AO1" s="84"/>
      <c r="AP1" s="84"/>
      <c r="AQ1" s="84"/>
      <c r="AR1" s="83" t="s">
        <v>270</v>
      </c>
      <c r="AS1" s="83" t="s">
        <v>799</v>
      </c>
      <c r="AT1" s="85"/>
      <c r="AU1" s="86"/>
      <c r="AV1" s="85"/>
      <c r="AW1" s="85"/>
    </row>
    <row r="2" ht="17.1" customHeight="1" spans="1:49" x14ac:dyDescent="0.25">
      <c r="A2" s="72" t="s">
        <v>800</v>
      </c>
      <c r="B2" s="72" t="s">
        <v>801</v>
      </c>
      <c r="C2" s="72" t="s">
        <v>802</v>
      </c>
      <c r="D2" s="72" t="s">
        <v>803</v>
      </c>
      <c r="E2" s="72" t="s">
        <v>804</v>
      </c>
      <c r="F2" s="72" t="s">
        <v>798</v>
      </c>
      <c r="G2" s="72" t="s">
        <v>799</v>
      </c>
      <c r="H2" s="72" t="s">
        <v>798</v>
      </c>
      <c r="I2" s="72" t="s">
        <v>799</v>
      </c>
      <c r="K2" s="72" t="s">
        <v>805</v>
      </c>
      <c r="L2" s="72" t="s">
        <v>806</v>
      </c>
      <c r="M2" s="72" t="s">
        <v>798</v>
      </c>
      <c r="N2" s="72" t="s">
        <v>805</v>
      </c>
      <c r="O2" s="72" t="s">
        <v>807</v>
      </c>
      <c r="P2" s="72" t="s">
        <v>799</v>
      </c>
      <c r="Q2" s="72"/>
      <c r="R2" s="72" t="s">
        <v>805</v>
      </c>
      <c r="S2" s="72" t="s">
        <v>806</v>
      </c>
      <c r="T2" s="72" t="s">
        <v>798</v>
      </c>
      <c r="U2" s="72" t="s">
        <v>805</v>
      </c>
      <c r="V2" s="72" t="s">
        <v>807</v>
      </c>
      <c r="W2" s="72" t="s">
        <v>799</v>
      </c>
      <c r="X2" s="82"/>
      <c r="Y2" s="87">
        <v>0</v>
      </c>
      <c r="Z2" s="86">
        <v>0</v>
      </c>
      <c r="AA2" s="86">
        <f>Z2</f>
      </c>
      <c r="AB2" s="86">
        <v>4</v>
      </c>
      <c r="AC2" s="85">
        <v>250</v>
      </c>
      <c r="AD2" s="85">
        <f>AA5+AC2</f>
      </c>
      <c r="AE2" s="87">
        <v>0</v>
      </c>
      <c r="AF2" s="86">
        <v>0</v>
      </c>
      <c r="AG2" s="86">
        <f>AF2</f>
      </c>
      <c r="AH2" s="86">
        <v>4</v>
      </c>
      <c r="AI2" s="85">
        <v>500</v>
      </c>
      <c r="AJ2" s="85">
        <f>AG5+AI2</f>
      </c>
      <c r="AL2" s="87">
        <v>0</v>
      </c>
      <c r="AM2" s="86">
        <v>0</v>
      </c>
      <c r="AN2" s="86">
        <f>AM2</f>
      </c>
      <c r="AO2" s="86">
        <v>4</v>
      </c>
      <c r="AP2" s="85">
        <v>750</v>
      </c>
      <c r="AQ2" s="85">
        <f>AN5+AP2</f>
      </c>
      <c r="AR2" s="87">
        <v>0</v>
      </c>
      <c r="AS2" s="86">
        <v>0</v>
      </c>
      <c r="AT2" s="86">
        <f>AS2</f>
      </c>
      <c r="AU2" s="86">
        <v>4</v>
      </c>
      <c r="AV2" s="85">
        <v>1500</v>
      </c>
      <c r="AW2" s="85">
        <f>AT5+AV2</f>
      </c>
    </row>
    <row r="3" ht="17.1" customHeight="1" spans="1:49" x14ac:dyDescent="0.25">
      <c r="A3" s="72" t="s">
        <v>808</v>
      </c>
      <c r="B3" s="73" t="s">
        <v>809</v>
      </c>
      <c r="C3" s="72" t="s">
        <v>797</v>
      </c>
      <c r="D3" s="72">
        <v>7</v>
      </c>
      <c r="E3" s="88" t="s">
        <v>810</v>
      </c>
      <c r="F3" s="82">
        <v>125</v>
      </c>
      <c r="G3" s="82">
        <v>250</v>
      </c>
      <c r="H3" s="89">
        <v>375</v>
      </c>
      <c r="I3" s="89">
        <v>750</v>
      </c>
      <c r="J3" s="89"/>
      <c r="K3" s="72">
        <v>0</v>
      </c>
      <c r="L3" s="72">
        <v>0</v>
      </c>
      <c r="M3" s="90">
        <v>125</v>
      </c>
      <c r="N3" s="72">
        <v>0</v>
      </c>
      <c r="O3" s="72">
        <v>0</v>
      </c>
      <c r="P3" s="91">
        <v>250</v>
      </c>
      <c r="Q3" s="72"/>
      <c r="R3" s="72">
        <v>0</v>
      </c>
      <c r="S3" s="72">
        <v>0</v>
      </c>
      <c r="T3" s="89">
        <v>375</v>
      </c>
      <c r="U3" s="72">
        <v>0</v>
      </c>
      <c r="V3" s="72">
        <v>0</v>
      </c>
      <c r="W3" s="89">
        <v>750</v>
      </c>
      <c r="Y3" s="87">
        <v>1</v>
      </c>
      <c r="Z3" s="85">
        <v>125</v>
      </c>
      <c r="AA3" s="85">
        <f>Z2+Z3</f>
      </c>
      <c r="AB3" s="86">
        <v>5</v>
      </c>
      <c r="AC3" s="85">
        <v>250</v>
      </c>
      <c r="AD3" s="85">
        <f>AD2+AC3</f>
      </c>
      <c r="AE3" s="87">
        <v>1</v>
      </c>
      <c r="AF3" s="85">
        <v>250</v>
      </c>
      <c r="AG3" s="85">
        <f>AF2+AF3</f>
      </c>
      <c r="AH3" s="86">
        <v>5</v>
      </c>
      <c r="AI3" s="85">
        <v>500</v>
      </c>
      <c r="AJ3" s="85">
        <f>AJ2+AI3</f>
      </c>
      <c r="AL3" s="87">
        <v>1</v>
      </c>
      <c r="AM3" s="85">
        <v>375</v>
      </c>
      <c r="AN3" s="85">
        <f>AM2+AM3</f>
      </c>
      <c r="AO3" s="86">
        <v>5</v>
      </c>
      <c r="AP3" s="85">
        <v>750</v>
      </c>
      <c r="AQ3" s="85">
        <f>AQ2+AP3</f>
      </c>
      <c r="AR3" s="87">
        <v>1</v>
      </c>
      <c r="AS3" s="85">
        <v>750</v>
      </c>
      <c r="AT3" s="85">
        <f>AS2+AS3</f>
      </c>
      <c r="AU3" s="86">
        <v>5</v>
      </c>
      <c r="AV3" s="85">
        <v>1500</v>
      </c>
      <c r="AW3" s="85">
        <f>AW2+AV3</f>
      </c>
    </row>
    <row r="4" ht="17.1" customHeight="1" spans="5:49" x14ac:dyDescent="0.25">
      <c r="E4" s="88" t="s">
        <v>811</v>
      </c>
      <c r="F4" s="82">
        <v>250</v>
      </c>
      <c r="G4" s="82">
        <v>500</v>
      </c>
      <c r="H4" s="89">
        <v>750</v>
      </c>
      <c r="I4" s="89">
        <v>1500</v>
      </c>
      <c r="J4" s="89"/>
      <c r="K4" s="72">
        <v>3</v>
      </c>
      <c r="L4" s="92">
        <v>375</v>
      </c>
      <c r="M4" s="90">
        <v>250</v>
      </c>
      <c r="N4" s="72">
        <v>3</v>
      </c>
      <c r="O4" s="92">
        <v>750</v>
      </c>
      <c r="P4" s="91">
        <v>500</v>
      </c>
      <c r="Q4" s="72"/>
      <c r="R4" s="72">
        <v>3</v>
      </c>
      <c r="S4" s="93">
        <v>1125</v>
      </c>
      <c r="T4" s="89">
        <v>750</v>
      </c>
      <c r="U4" s="72">
        <v>3</v>
      </c>
      <c r="V4" s="93">
        <v>2250</v>
      </c>
      <c r="W4" s="89">
        <v>1500</v>
      </c>
      <c r="Y4" s="87">
        <v>2</v>
      </c>
      <c r="Z4" s="85">
        <v>125</v>
      </c>
      <c r="AA4" s="85">
        <f>AA3+Z4</f>
      </c>
      <c r="AB4" s="86">
        <v>6</v>
      </c>
      <c r="AC4" s="85">
        <v>250</v>
      </c>
      <c r="AD4" s="85">
        <f>AD3+AC4</f>
      </c>
      <c r="AE4" s="87">
        <v>2</v>
      </c>
      <c r="AF4" s="85">
        <v>250</v>
      </c>
      <c r="AG4" s="85">
        <f>AG3+AF4</f>
      </c>
      <c r="AH4" s="86">
        <v>6</v>
      </c>
      <c r="AI4" s="85">
        <v>500</v>
      </c>
      <c r="AJ4" s="85">
        <f>AJ3+AI4</f>
      </c>
      <c r="AL4" s="87">
        <v>2</v>
      </c>
      <c r="AM4" s="85">
        <v>375</v>
      </c>
      <c r="AN4" s="85">
        <f>AN3+AM4</f>
      </c>
      <c r="AO4" s="86">
        <v>6</v>
      </c>
      <c r="AP4" s="85">
        <v>750</v>
      </c>
      <c r="AQ4" s="85">
        <f>AQ3+AP4</f>
      </c>
      <c r="AR4" s="87">
        <v>2</v>
      </c>
      <c r="AS4" s="85">
        <v>750</v>
      </c>
      <c r="AT4" s="85">
        <f>AT3+AS4</f>
      </c>
      <c r="AU4" s="86">
        <v>6</v>
      </c>
      <c r="AV4" s="85">
        <v>1500</v>
      </c>
      <c r="AW4" s="85">
        <f>AW3+AV4</f>
      </c>
    </row>
    <row r="5" ht="17.1" customHeight="1" spans="1:49" x14ac:dyDescent="0.25">
      <c r="A5" s="94"/>
      <c r="B5" s="95"/>
      <c r="C5" s="94"/>
      <c r="D5" s="94"/>
      <c r="E5" s="96" t="s">
        <v>812</v>
      </c>
      <c r="F5" s="97">
        <v>400</v>
      </c>
      <c r="G5" s="97">
        <v>800</v>
      </c>
      <c r="H5" s="98">
        <v>1200</v>
      </c>
      <c r="I5" s="98">
        <v>2400</v>
      </c>
      <c r="J5" s="89"/>
      <c r="K5" s="94">
        <v>10</v>
      </c>
      <c r="L5" s="99">
        <v>2275</v>
      </c>
      <c r="M5" s="100">
        <v>400</v>
      </c>
      <c r="N5" s="94">
        <v>10</v>
      </c>
      <c r="O5" s="99">
        <v>4550</v>
      </c>
      <c r="P5" s="101">
        <v>800</v>
      </c>
      <c r="Q5" s="72"/>
      <c r="R5" s="94">
        <v>10</v>
      </c>
      <c r="S5" s="102">
        <v>6825</v>
      </c>
      <c r="T5" s="98">
        <v>1200</v>
      </c>
      <c r="U5" s="94">
        <v>10</v>
      </c>
      <c r="V5" s="102">
        <v>13650</v>
      </c>
      <c r="W5" s="98">
        <v>2400</v>
      </c>
      <c r="Y5" s="87">
        <v>3</v>
      </c>
      <c r="Z5" s="85">
        <v>125</v>
      </c>
      <c r="AA5" s="103">
        <f>AA4+Z5</f>
      </c>
      <c r="AB5" s="86">
        <v>7</v>
      </c>
      <c r="AC5" s="85">
        <v>250</v>
      </c>
      <c r="AD5" s="85">
        <f>AD4+AC5</f>
      </c>
      <c r="AE5" s="87">
        <v>3</v>
      </c>
      <c r="AF5" s="85">
        <v>250</v>
      </c>
      <c r="AG5" s="103">
        <f>AG4+AF5</f>
      </c>
      <c r="AH5" s="86">
        <v>7</v>
      </c>
      <c r="AI5" s="85">
        <v>500</v>
      </c>
      <c r="AJ5" s="85">
        <f>AJ4+AI5</f>
      </c>
      <c r="AL5" s="87">
        <v>3</v>
      </c>
      <c r="AM5" s="85">
        <v>375</v>
      </c>
      <c r="AN5" s="104">
        <f>AN4+AM5</f>
      </c>
      <c r="AO5" s="86">
        <v>7</v>
      </c>
      <c r="AP5" s="85">
        <v>750</v>
      </c>
      <c r="AQ5" s="85">
        <f>AQ4+AP5</f>
      </c>
      <c r="AR5" s="87">
        <v>3</v>
      </c>
      <c r="AS5" s="85">
        <v>750</v>
      </c>
      <c r="AT5" s="104">
        <f>AT4+AS5</f>
      </c>
      <c r="AU5" s="86">
        <v>7</v>
      </c>
      <c r="AV5" s="85">
        <v>1500</v>
      </c>
      <c r="AW5" s="85">
        <f>AW4+AV5</f>
      </c>
    </row>
    <row r="6" ht="17.1" customHeight="1" spans="5:49" x14ac:dyDescent="0.25">
      <c r="E6" s="88"/>
      <c r="K6" s="72"/>
      <c r="L6" s="72"/>
      <c r="M6" s="105"/>
      <c r="N6" s="72"/>
      <c r="O6" s="72"/>
      <c r="P6" s="72"/>
      <c r="Q6" s="72"/>
      <c r="R6" s="72"/>
      <c r="S6" s="72"/>
      <c r="T6" s="105"/>
      <c r="U6" s="72"/>
      <c r="V6" s="72"/>
      <c r="W6" s="72"/>
      <c r="Y6" s="87"/>
      <c r="Z6" s="86"/>
      <c r="AA6" s="86"/>
      <c r="AB6" s="86">
        <v>8</v>
      </c>
      <c r="AC6" s="85">
        <v>250</v>
      </c>
      <c r="AD6" s="85">
        <f>AD5+AC6</f>
      </c>
      <c r="AE6" s="87"/>
      <c r="AF6" s="86"/>
      <c r="AG6" s="86"/>
      <c r="AH6" s="86">
        <v>8</v>
      </c>
      <c r="AI6" s="85">
        <v>500</v>
      </c>
      <c r="AJ6" s="85">
        <f>AJ5+AI6</f>
      </c>
      <c r="AL6" s="87"/>
      <c r="AM6" s="86"/>
      <c r="AN6" s="86"/>
      <c r="AO6" s="86">
        <v>8</v>
      </c>
      <c r="AP6" s="85">
        <v>750</v>
      </c>
      <c r="AQ6" s="85">
        <f>AQ5+AP6</f>
      </c>
      <c r="AR6" s="87"/>
      <c r="AS6" s="86"/>
      <c r="AT6" s="86"/>
      <c r="AU6" s="86">
        <v>8</v>
      </c>
      <c r="AV6" s="85">
        <v>1500</v>
      </c>
      <c r="AW6" s="85">
        <f>AW5+AV6</f>
      </c>
    </row>
    <row r="7" ht="17.1" customHeight="1" spans="1:49" x14ac:dyDescent="0.25">
      <c r="A7" s="74" t="s">
        <v>793</v>
      </c>
      <c r="B7" s="75"/>
      <c r="C7" s="75"/>
      <c r="D7" s="75"/>
      <c r="E7" s="75"/>
      <c r="F7" s="74" t="s">
        <v>794</v>
      </c>
      <c r="G7" s="75"/>
      <c r="H7" s="74" t="s">
        <v>270</v>
      </c>
      <c r="I7" s="75"/>
      <c r="J7" s="76" t="s">
        <v>813</v>
      </c>
      <c r="K7" s="77" t="s">
        <v>794</v>
      </c>
      <c r="L7" s="78" t="s">
        <v>796</v>
      </c>
      <c r="M7" s="79" t="s">
        <v>814</v>
      </c>
      <c r="N7" s="78" t="s">
        <v>815</v>
      </c>
      <c r="O7" s="79" t="s">
        <v>816</v>
      </c>
      <c r="P7" s="78" t="s">
        <v>817</v>
      </c>
      <c r="Q7" s="106"/>
      <c r="R7" s="77" t="s">
        <v>270</v>
      </c>
      <c r="S7" s="78" t="s">
        <v>796</v>
      </c>
      <c r="T7" s="79" t="s">
        <v>814</v>
      </c>
      <c r="U7" s="78" t="s">
        <v>815</v>
      </c>
      <c r="V7" s="79" t="s">
        <v>816</v>
      </c>
      <c r="W7" s="78" t="s">
        <v>817</v>
      </c>
      <c r="Y7" s="87"/>
      <c r="Z7" s="86"/>
      <c r="AA7" s="86"/>
      <c r="AB7" s="86">
        <v>9</v>
      </c>
      <c r="AC7" s="85">
        <v>250</v>
      </c>
      <c r="AD7" s="85">
        <f>AD6+AC7</f>
      </c>
      <c r="AE7" s="87"/>
      <c r="AF7" s="86"/>
      <c r="AG7" s="86"/>
      <c r="AH7" s="86">
        <v>9</v>
      </c>
      <c r="AI7" s="85">
        <v>500</v>
      </c>
      <c r="AJ7" s="85">
        <f>AJ6+AI7</f>
      </c>
      <c r="AL7" s="87"/>
      <c r="AM7" s="86"/>
      <c r="AN7" s="86"/>
      <c r="AO7" s="86">
        <v>9</v>
      </c>
      <c r="AP7" s="85">
        <v>750</v>
      </c>
      <c r="AQ7" s="85">
        <f>AQ6+AP7</f>
      </c>
      <c r="AR7" s="87"/>
      <c r="AS7" s="86"/>
      <c r="AT7" s="86"/>
      <c r="AU7" s="86">
        <v>9</v>
      </c>
      <c r="AV7" s="85">
        <v>1500</v>
      </c>
      <c r="AW7" s="85">
        <f>AW6+AV7</f>
      </c>
    </row>
    <row r="8" ht="17.1" customHeight="1" spans="1:49" x14ac:dyDescent="0.25">
      <c r="A8" s="72" t="s">
        <v>800</v>
      </c>
      <c r="B8" s="72" t="s">
        <v>801</v>
      </c>
      <c r="C8" s="72" t="s">
        <v>802</v>
      </c>
      <c r="D8" s="72" t="s">
        <v>803</v>
      </c>
      <c r="E8" s="72" t="s">
        <v>804</v>
      </c>
      <c r="F8" s="72" t="s">
        <v>798</v>
      </c>
      <c r="G8" s="72" t="s">
        <v>799</v>
      </c>
      <c r="H8" s="72" t="s">
        <v>798</v>
      </c>
      <c r="I8" s="72" t="s">
        <v>799</v>
      </c>
      <c r="M8" s="107" t="s">
        <v>818</v>
      </c>
      <c r="N8" s="107" t="s">
        <v>819</v>
      </c>
      <c r="T8" s="107" t="s">
        <v>818</v>
      </c>
      <c r="U8" s="107" t="s">
        <v>819</v>
      </c>
      <c r="Y8" s="87"/>
      <c r="Z8" s="86"/>
      <c r="AA8" s="86"/>
      <c r="AB8" s="86">
        <v>10</v>
      </c>
      <c r="AC8" s="85">
        <v>400</v>
      </c>
      <c r="AD8" s="103">
        <f>AD7+AC8</f>
      </c>
      <c r="AE8" s="87"/>
      <c r="AF8" s="86"/>
      <c r="AG8" s="86"/>
      <c r="AH8" s="86">
        <v>10</v>
      </c>
      <c r="AI8" s="85">
        <v>800</v>
      </c>
      <c r="AJ8" s="103">
        <f>AJ7+AI8</f>
      </c>
      <c r="AL8" s="87"/>
      <c r="AM8" s="86"/>
      <c r="AN8" s="86"/>
      <c r="AO8" s="86">
        <v>10</v>
      </c>
      <c r="AP8" s="85">
        <v>1200</v>
      </c>
      <c r="AQ8" s="104">
        <f>AQ7+AP8</f>
      </c>
      <c r="AR8" s="87"/>
      <c r="AS8" s="86"/>
      <c r="AT8" s="86"/>
      <c r="AU8" s="86">
        <v>10</v>
      </c>
      <c r="AV8" s="85">
        <v>2400</v>
      </c>
      <c r="AW8" s="104">
        <f>AW7+AV8</f>
      </c>
    </row>
    <row r="9" ht="17.1" customHeight="1" spans="1:44" x14ac:dyDescent="0.25">
      <c r="A9" s="72" t="s">
        <v>820</v>
      </c>
      <c r="B9" s="73" t="s">
        <v>821</v>
      </c>
      <c r="C9" s="72" t="s">
        <v>814</v>
      </c>
      <c r="D9" s="72">
        <v>7</v>
      </c>
      <c r="E9" s="88" t="s">
        <v>822</v>
      </c>
      <c r="F9" s="91">
        <v>125</v>
      </c>
      <c r="G9" s="91">
        <v>250</v>
      </c>
      <c r="H9" s="89">
        <v>375</v>
      </c>
      <c r="I9" s="89">
        <v>750</v>
      </c>
      <c r="J9" s="89"/>
      <c r="K9" s="72" t="s">
        <v>805</v>
      </c>
      <c r="L9" s="72" t="s">
        <v>806</v>
      </c>
      <c r="M9" s="72" t="s">
        <v>798</v>
      </c>
      <c r="N9" s="72" t="s">
        <v>805</v>
      </c>
      <c r="O9" s="72" t="s">
        <v>807</v>
      </c>
      <c r="P9" s="72" t="s">
        <v>799</v>
      </c>
      <c r="Q9" s="72"/>
      <c r="R9" s="72" t="s">
        <v>805</v>
      </c>
      <c r="S9" s="72" t="s">
        <v>806</v>
      </c>
      <c r="T9" s="72" t="s">
        <v>798</v>
      </c>
      <c r="U9" s="72" t="s">
        <v>805</v>
      </c>
      <c r="V9" s="72" t="s">
        <v>807</v>
      </c>
      <c r="W9" s="72" t="s">
        <v>799</v>
      </c>
      <c r="Y9" s="108"/>
      <c r="Z9" s="109"/>
      <c r="AA9" s="109"/>
      <c r="AB9" s="109"/>
      <c r="AC9" s="110"/>
      <c r="AD9" s="110"/>
      <c r="AE9" s="108"/>
      <c r="AF9" s="109"/>
      <c r="AG9" s="109"/>
      <c r="AH9" s="109"/>
      <c r="AI9" s="110"/>
      <c r="AJ9" s="110"/>
      <c r="AL9" s="72"/>
      <c r="AQ9" s="73"/>
      <c r="AR9" s="72"/>
    </row>
    <row r="10" ht="17.1" customHeight="1" spans="1:49" x14ac:dyDescent="0.25">
      <c r="A10" s="72" t="s">
        <v>823</v>
      </c>
      <c r="B10" s="73" t="s">
        <v>824</v>
      </c>
      <c r="C10" s="72" t="s">
        <v>815</v>
      </c>
      <c r="D10" s="72">
        <v>7</v>
      </c>
      <c r="E10" s="88" t="s">
        <v>825</v>
      </c>
      <c r="F10" s="91">
        <v>250</v>
      </c>
      <c r="G10" s="91">
        <v>500</v>
      </c>
      <c r="H10" s="89">
        <v>750</v>
      </c>
      <c r="I10" s="89">
        <v>1500</v>
      </c>
      <c r="J10" s="89"/>
      <c r="K10" s="72">
        <v>0</v>
      </c>
      <c r="L10" s="72">
        <v>0</v>
      </c>
      <c r="M10" s="90">
        <v>125</v>
      </c>
      <c r="N10" s="72">
        <v>0</v>
      </c>
      <c r="O10" s="72">
        <v>0</v>
      </c>
      <c r="P10" s="91">
        <v>250</v>
      </c>
      <c r="Q10" s="72"/>
      <c r="R10" s="72">
        <v>0</v>
      </c>
      <c r="S10" s="72">
        <v>0</v>
      </c>
      <c r="T10" s="89">
        <v>375</v>
      </c>
      <c r="U10" s="72">
        <v>0</v>
      </c>
      <c r="V10" s="72">
        <v>0</v>
      </c>
      <c r="W10" s="89">
        <v>750</v>
      </c>
      <c r="Y10" s="82" t="s">
        <v>794</v>
      </c>
      <c r="Z10" s="82" t="s">
        <v>798</v>
      </c>
      <c r="AA10" s="82"/>
      <c r="AB10" s="82"/>
      <c r="AC10" s="82"/>
      <c r="AD10" s="82"/>
      <c r="AE10" s="82" t="s">
        <v>794</v>
      </c>
      <c r="AF10" s="82" t="s">
        <v>799</v>
      </c>
      <c r="AG10" s="82"/>
      <c r="AH10" s="82"/>
      <c r="AI10" s="82"/>
      <c r="AJ10" s="82"/>
      <c r="AL10" s="83" t="s">
        <v>270</v>
      </c>
      <c r="AM10" s="83" t="s">
        <v>798</v>
      </c>
      <c r="AN10" s="84"/>
      <c r="AO10" s="84"/>
      <c r="AP10" s="84"/>
      <c r="AQ10" s="84"/>
      <c r="AR10" s="83" t="s">
        <v>270</v>
      </c>
      <c r="AS10" s="83" t="s">
        <v>799</v>
      </c>
      <c r="AT10" s="85"/>
      <c r="AU10" s="86"/>
      <c r="AV10" s="85"/>
      <c r="AW10" s="85"/>
    </row>
    <row r="11" ht="17.1" customHeight="1" spans="5:49" x14ac:dyDescent="0.25">
      <c r="E11" s="88" t="s">
        <v>826</v>
      </c>
      <c r="F11" s="91">
        <v>400</v>
      </c>
      <c r="G11" s="91">
        <v>800</v>
      </c>
      <c r="H11" s="89">
        <v>1200</v>
      </c>
      <c r="I11" s="89">
        <v>2400</v>
      </c>
      <c r="J11" s="89"/>
      <c r="K11" s="72">
        <v>7</v>
      </c>
      <c r="L11" s="92">
        <v>875</v>
      </c>
      <c r="M11" s="90">
        <v>250</v>
      </c>
      <c r="N11" s="72">
        <v>7</v>
      </c>
      <c r="O11" s="92">
        <v>1750</v>
      </c>
      <c r="P11" s="91">
        <v>500</v>
      </c>
      <c r="Q11" s="72"/>
      <c r="R11" s="72">
        <v>7</v>
      </c>
      <c r="S11" s="93">
        <v>2625</v>
      </c>
      <c r="T11" s="89">
        <v>750</v>
      </c>
      <c r="U11" s="72">
        <v>7</v>
      </c>
      <c r="V11" s="93">
        <v>5250</v>
      </c>
      <c r="W11" s="89">
        <v>1500</v>
      </c>
      <c r="Y11" s="108">
        <v>0</v>
      </c>
      <c r="Z11" s="109">
        <v>0</v>
      </c>
      <c r="AA11" s="109">
        <f>Z11</f>
      </c>
      <c r="AB11" s="109"/>
      <c r="AC11" s="109"/>
      <c r="AD11" s="109"/>
      <c r="AE11" s="108">
        <v>0</v>
      </c>
      <c r="AF11" s="109">
        <v>0</v>
      </c>
      <c r="AG11" s="109">
        <f>AF11</f>
      </c>
      <c r="AH11" s="109"/>
      <c r="AI11" s="109"/>
      <c r="AJ11" s="109"/>
      <c r="AL11" s="109">
        <v>0</v>
      </c>
      <c r="AM11" s="109">
        <v>0</v>
      </c>
      <c r="AN11" s="109">
        <f>AM11</f>
      </c>
      <c r="AO11" s="109"/>
      <c r="AP11" s="109"/>
      <c r="AQ11" s="109"/>
      <c r="AR11" s="109">
        <v>0</v>
      </c>
      <c r="AS11" s="109">
        <v>0</v>
      </c>
      <c r="AT11" s="109">
        <f>AS11</f>
      </c>
      <c r="AU11" s="109"/>
      <c r="AV11" s="109"/>
      <c r="AW11" s="109"/>
    </row>
    <row r="12" ht="17.1" customHeight="1" spans="1:49" x14ac:dyDescent="0.25">
      <c r="A12" s="72" t="s">
        <v>827</v>
      </c>
      <c r="B12" s="73" t="s">
        <v>828</v>
      </c>
      <c r="C12" s="72" t="s">
        <v>816</v>
      </c>
      <c r="D12" s="72">
        <v>7</v>
      </c>
      <c r="E12" s="88"/>
      <c r="K12" s="72">
        <v>14</v>
      </c>
      <c r="L12" s="92">
        <v>2625</v>
      </c>
      <c r="M12" s="90">
        <v>400</v>
      </c>
      <c r="N12" s="72">
        <v>14</v>
      </c>
      <c r="O12" s="92">
        <v>5250</v>
      </c>
      <c r="P12" s="91">
        <v>800</v>
      </c>
      <c r="Q12" s="72"/>
      <c r="R12" s="72">
        <v>14</v>
      </c>
      <c r="S12" s="93">
        <v>7875</v>
      </c>
      <c r="T12" s="89">
        <v>1200</v>
      </c>
      <c r="U12" s="72">
        <v>14</v>
      </c>
      <c r="V12" s="93">
        <v>15750</v>
      </c>
      <c r="W12" s="89">
        <v>2400</v>
      </c>
      <c r="Y12" s="108">
        <v>1</v>
      </c>
      <c r="Z12" s="110">
        <v>125</v>
      </c>
      <c r="AA12" s="110">
        <f>Z11+Z12</f>
      </c>
      <c r="AB12" s="109">
        <v>8</v>
      </c>
      <c r="AC12" s="109">
        <v>250</v>
      </c>
      <c r="AD12" s="110">
        <f>AA18+AC12</f>
      </c>
      <c r="AE12" s="108">
        <v>1</v>
      </c>
      <c r="AF12" s="110">
        <v>250</v>
      </c>
      <c r="AG12" s="110">
        <f>AF11+AF12</f>
      </c>
      <c r="AH12" s="109">
        <v>8</v>
      </c>
      <c r="AI12" s="109">
        <v>500</v>
      </c>
      <c r="AJ12" s="110">
        <f>AG18+AI12</f>
      </c>
      <c r="AL12" s="109">
        <v>1</v>
      </c>
      <c r="AM12" s="110">
        <v>375</v>
      </c>
      <c r="AN12" s="110">
        <f>AM11+AM12</f>
      </c>
      <c r="AO12" s="109">
        <v>8</v>
      </c>
      <c r="AP12" s="109">
        <v>750</v>
      </c>
      <c r="AQ12" s="110">
        <f>AN18+AP12</f>
      </c>
      <c r="AR12" s="109">
        <v>1</v>
      </c>
      <c r="AS12" s="110">
        <v>750</v>
      </c>
      <c r="AT12" s="110">
        <f>AS11+AS12</f>
      </c>
      <c r="AU12" s="109">
        <v>8</v>
      </c>
      <c r="AV12" s="109">
        <v>1500</v>
      </c>
      <c r="AW12" s="110">
        <f>AT18+AV12</f>
      </c>
    </row>
    <row r="13" ht="17.1" customHeight="1" spans="3:49" x14ac:dyDescent="0.25">
      <c r="C13" s="72" t="s">
        <v>817</v>
      </c>
      <c r="D13" s="72">
        <v>7</v>
      </c>
      <c r="E13" s="88"/>
      <c r="Y13" s="108">
        <v>2</v>
      </c>
      <c r="Z13" s="110">
        <v>125</v>
      </c>
      <c r="AA13" s="110">
        <f>AA12+Z13</f>
      </c>
      <c r="AB13" s="109">
        <v>9</v>
      </c>
      <c r="AC13" s="109">
        <v>250</v>
      </c>
      <c r="AD13" s="110">
        <f>AD12+AC13</f>
      </c>
      <c r="AE13" s="108">
        <v>2</v>
      </c>
      <c r="AF13" s="110">
        <v>250</v>
      </c>
      <c r="AG13" s="110">
        <f>AG12+AF13</f>
      </c>
      <c r="AH13" s="109">
        <v>9</v>
      </c>
      <c r="AI13" s="109">
        <v>500</v>
      </c>
      <c r="AJ13" s="110">
        <f>AJ12+AI13</f>
      </c>
      <c r="AL13" s="109">
        <v>2</v>
      </c>
      <c r="AM13" s="110">
        <v>375</v>
      </c>
      <c r="AN13" s="110">
        <f>AN12+AM13</f>
      </c>
      <c r="AO13" s="109">
        <v>9</v>
      </c>
      <c r="AP13" s="109">
        <v>750</v>
      </c>
      <c r="AQ13" s="110">
        <f>AQ12+AP13</f>
      </c>
      <c r="AR13" s="109">
        <v>2</v>
      </c>
      <c r="AS13" s="110">
        <v>750</v>
      </c>
      <c r="AT13" s="110">
        <f>AT12+AS13</f>
      </c>
      <c r="AU13" s="109">
        <v>9</v>
      </c>
      <c r="AV13" s="109">
        <v>1500</v>
      </c>
      <c r="AW13" s="110">
        <f>AW12+AV13</f>
      </c>
    </row>
    <row r="14" ht="17.1" customHeight="1" spans="1:49" x14ac:dyDescent="0.25">
      <c r="A14" s="72" t="s">
        <v>829</v>
      </c>
      <c r="B14" s="73" t="s">
        <v>830</v>
      </c>
      <c r="C14" s="76" t="s">
        <v>815</v>
      </c>
      <c r="D14" s="72">
        <v>7</v>
      </c>
      <c r="E14" s="88"/>
      <c r="X14" s="73"/>
      <c r="Y14" s="108">
        <v>3</v>
      </c>
      <c r="Z14" s="110">
        <v>125</v>
      </c>
      <c r="AA14" s="110">
        <f>AA13+Z14</f>
      </c>
      <c r="AB14" s="109">
        <v>10</v>
      </c>
      <c r="AC14" s="109">
        <v>250</v>
      </c>
      <c r="AD14" s="110">
        <f>AD13+AC14</f>
      </c>
      <c r="AE14" s="108">
        <v>3</v>
      </c>
      <c r="AF14" s="110">
        <v>250</v>
      </c>
      <c r="AG14" s="110">
        <f>AG13+AF14</f>
      </c>
      <c r="AH14" s="109">
        <v>10</v>
      </c>
      <c r="AI14" s="109">
        <v>500</v>
      </c>
      <c r="AJ14" s="110">
        <f>AJ13+AI14</f>
      </c>
      <c r="AL14" s="109">
        <v>3</v>
      </c>
      <c r="AM14" s="110">
        <v>375</v>
      </c>
      <c r="AN14" s="110">
        <f>AN13+AM14</f>
      </c>
      <c r="AO14" s="109">
        <v>10</v>
      </c>
      <c r="AP14" s="109">
        <v>750</v>
      </c>
      <c r="AQ14" s="110">
        <f>AQ13+AP14</f>
      </c>
      <c r="AR14" s="109">
        <v>3</v>
      </c>
      <c r="AS14" s="110">
        <v>750</v>
      </c>
      <c r="AT14" s="110">
        <f>AT13+AS14</f>
      </c>
      <c r="AU14" s="109">
        <v>10</v>
      </c>
      <c r="AV14" s="109">
        <v>1500</v>
      </c>
      <c r="AW14" s="110">
        <f>AW13+AV14</f>
      </c>
    </row>
    <row r="15" ht="17.1" customHeight="1" spans="1:49" x14ac:dyDescent="0.25">
      <c r="A15" s="94"/>
      <c r="B15" s="95" t="s">
        <v>831</v>
      </c>
      <c r="C15" s="111" t="s">
        <v>832</v>
      </c>
      <c r="D15" s="97">
        <v>7</v>
      </c>
      <c r="E15" s="96"/>
      <c r="F15" s="94"/>
      <c r="G15" s="94"/>
      <c r="H15" s="94"/>
      <c r="I15" s="94"/>
      <c r="K15" s="95"/>
      <c r="L15" s="95"/>
      <c r="M15" s="95"/>
      <c r="N15" s="95"/>
      <c r="O15" s="95"/>
      <c r="P15" s="95"/>
      <c r="R15" s="95"/>
      <c r="S15" s="95"/>
      <c r="T15" s="95"/>
      <c r="U15" s="95"/>
      <c r="V15" s="95"/>
      <c r="W15" s="95"/>
      <c r="X15" s="73"/>
      <c r="Y15" s="108">
        <v>4</v>
      </c>
      <c r="Z15" s="110">
        <v>125</v>
      </c>
      <c r="AA15" s="110">
        <f>AA14+Z15</f>
      </c>
      <c r="AB15" s="109">
        <v>11</v>
      </c>
      <c r="AC15" s="109">
        <v>250</v>
      </c>
      <c r="AD15" s="110">
        <f>AD14+AC15</f>
      </c>
      <c r="AE15" s="108">
        <v>4</v>
      </c>
      <c r="AF15" s="110">
        <v>250</v>
      </c>
      <c r="AG15" s="110">
        <f>AG14+AF15</f>
      </c>
      <c r="AH15" s="109">
        <v>11</v>
      </c>
      <c r="AI15" s="109">
        <v>500</v>
      </c>
      <c r="AJ15" s="110">
        <f>AJ14+AI15</f>
      </c>
      <c r="AL15" s="109">
        <v>4</v>
      </c>
      <c r="AM15" s="110">
        <v>375</v>
      </c>
      <c r="AN15" s="110">
        <f>AN14+AM15</f>
      </c>
      <c r="AO15" s="109">
        <v>11</v>
      </c>
      <c r="AP15" s="109">
        <v>750</v>
      </c>
      <c r="AQ15" s="110">
        <f>AQ14+AP15</f>
      </c>
      <c r="AR15" s="109">
        <v>4</v>
      </c>
      <c r="AS15" s="110">
        <v>750</v>
      </c>
      <c r="AT15" s="110">
        <f>AT14+AS15</f>
      </c>
      <c r="AU15" s="109">
        <v>11</v>
      </c>
      <c r="AV15" s="109">
        <v>1500</v>
      </c>
      <c r="AW15" s="110">
        <f>AW14+AV15</f>
      </c>
    </row>
    <row r="16" ht="17.1" customHeight="1" spans="5:49" x14ac:dyDescent="0.25">
      <c r="E16" s="88"/>
      <c r="X16" s="73"/>
      <c r="Y16" s="108">
        <v>5</v>
      </c>
      <c r="Z16" s="110">
        <v>125</v>
      </c>
      <c r="AA16" s="110">
        <f>AA15+Z16</f>
      </c>
      <c r="AB16" s="109">
        <v>12</v>
      </c>
      <c r="AC16" s="109">
        <v>250</v>
      </c>
      <c r="AD16" s="110">
        <f>AD15+AC16</f>
      </c>
      <c r="AE16" s="108">
        <v>5</v>
      </c>
      <c r="AF16" s="110">
        <v>250</v>
      </c>
      <c r="AG16" s="110">
        <f>AG15+AF16</f>
      </c>
      <c r="AH16" s="109">
        <v>12</v>
      </c>
      <c r="AI16" s="109">
        <v>500</v>
      </c>
      <c r="AJ16" s="110">
        <f>AJ15+AI16</f>
      </c>
      <c r="AL16" s="109">
        <v>5</v>
      </c>
      <c r="AM16" s="110">
        <v>375</v>
      </c>
      <c r="AN16" s="110">
        <f>AN15+AM16</f>
      </c>
      <c r="AO16" s="109">
        <v>12</v>
      </c>
      <c r="AP16" s="109">
        <v>750</v>
      </c>
      <c r="AQ16" s="110">
        <f>AQ15+AP16</f>
      </c>
      <c r="AR16" s="109">
        <v>5</v>
      </c>
      <c r="AS16" s="110">
        <v>750</v>
      </c>
      <c r="AT16" s="110">
        <f>AT15+AS16</f>
      </c>
      <c r="AU16" s="109">
        <v>12</v>
      </c>
      <c r="AV16" s="109">
        <v>1500</v>
      </c>
      <c r="AW16" s="110">
        <f>AW15+AV16</f>
      </c>
    </row>
    <row r="17" ht="17.1" customHeight="1" spans="1:49" x14ac:dyDescent="0.25">
      <c r="A17" s="74" t="s">
        <v>793</v>
      </c>
      <c r="B17" s="75"/>
      <c r="C17" s="75"/>
      <c r="D17" s="75"/>
      <c r="E17" s="75"/>
      <c r="F17" s="74" t="s">
        <v>794</v>
      </c>
      <c r="G17" s="75"/>
      <c r="H17" s="74" t="s">
        <v>270</v>
      </c>
      <c r="I17" s="75"/>
      <c r="J17" s="76" t="s">
        <v>833</v>
      </c>
      <c r="K17" s="77" t="s">
        <v>794</v>
      </c>
      <c r="L17" s="78" t="s">
        <v>800</v>
      </c>
      <c r="M17" s="78" t="s">
        <v>40</v>
      </c>
      <c r="N17" s="78" t="s">
        <v>756</v>
      </c>
      <c r="O17" s="112"/>
      <c r="P17" s="112"/>
      <c r="Q17" s="113"/>
      <c r="R17" s="77" t="s">
        <v>270</v>
      </c>
      <c r="S17" s="78" t="s">
        <v>800</v>
      </c>
      <c r="T17" s="78" t="s">
        <v>40</v>
      </c>
      <c r="U17" s="78" t="s">
        <v>756</v>
      </c>
      <c r="V17" s="112"/>
      <c r="W17" s="112"/>
      <c r="X17" s="73"/>
      <c r="Y17" s="108">
        <v>6</v>
      </c>
      <c r="Z17" s="110">
        <v>125</v>
      </c>
      <c r="AA17" s="110">
        <f>AA16+Z17</f>
      </c>
      <c r="AB17" s="109">
        <v>13</v>
      </c>
      <c r="AC17" s="109">
        <v>250</v>
      </c>
      <c r="AD17" s="110">
        <f>AD16+AC17</f>
      </c>
      <c r="AE17" s="108">
        <v>6</v>
      </c>
      <c r="AF17" s="110">
        <v>250</v>
      </c>
      <c r="AG17" s="110">
        <f>AG16+AF17</f>
      </c>
      <c r="AH17" s="109">
        <v>13</v>
      </c>
      <c r="AI17" s="109">
        <v>500</v>
      </c>
      <c r="AJ17" s="110">
        <f>AJ16+AI17</f>
      </c>
      <c r="AL17" s="109">
        <v>6</v>
      </c>
      <c r="AM17" s="110">
        <v>375</v>
      </c>
      <c r="AN17" s="110">
        <f>AN16+AM17</f>
      </c>
      <c r="AO17" s="109">
        <v>13</v>
      </c>
      <c r="AP17" s="109">
        <v>750</v>
      </c>
      <c r="AQ17" s="110">
        <f>AQ16+AP17</f>
      </c>
      <c r="AR17" s="109">
        <v>6</v>
      </c>
      <c r="AS17" s="110">
        <v>750</v>
      </c>
      <c r="AT17" s="110">
        <f>AT16+AS17</f>
      </c>
      <c r="AU17" s="109">
        <v>13</v>
      </c>
      <c r="AV17" s="109">
        <v>1500</v>
      </c>
      <c r="AW17" s="110">
        <f>AW16+AV17</f>
      </c>
    </row>
    <row r="18" ht="17.1" customHeight="1" spans="1:49" x14ac:dyDescent="0.25">
      <c r="A18" s="72" t="s">
        <v>800</v>
      </c>
      <c r="B18" s="72" t="s">
        <v>801</v>
      </c>
      <c r="C18" s="72" t="s">
        <v>802</v>
      </c>
      <c r="D18" s="72" t="s">
        <v>803</v>
      </c>
      <c r="E18" s="72" t="s">
        <v>804</v>
      </c>
      <c r="F18" s="72" t="s">
        <v>798</v>
      </c>
      <c r="G18" s="72" t="s">
        <v>799</v>
      </c>
      <c r="H18" s="72" t="s">
        <v>798</v>
      </c>
      <c r="I18" s="72" t="s">
        <v>799</v>
      </c>
      <c r="K18" s="72" t="s">
        <v>805</v>
      </c>
      <c r="L18" s="72" t="s">
        <v>806</v>
      </c>
      <c r="M18" s="72" t="s">
        <v>798</v>
      </c>
      <c r="N18" s="72" t="s">
        <v>805</v>
      </c>
      <c r="O18" s="72" t="s">
        <v>807</v>
      </c>
      <c r="P18" s="72" t="s">
        <v>799</v>
      </c>
      <c r="Q18" s="72"/>
      <c r="R18" s="72" t="s">
        <v>805</v>
      </c>
      <c r="S18" s="72" t="s">
        <v>806</v>
      </c>
      <c r="T18" s="72" t="s">
        <v>798</v>
      </c>
      <c r="U18" s="72" t="s">
        <v>805</v>
      </c>
      <c r="V18" s="72" t="s">
        <v>807</v>
      </c>
      <c r="W18" s="72" t="s">
        <v>799</v>
      </c>
      <c r="X18" s="73"/>
      <c r="Y18" s="108">
        <v>7</v>
      </c>
      <c r="Z18" s="110">
        <v>125</v>
      </c>
      <c r="AA18" s="103">
        <f>AA17+Z18</f>
      </c>
      <c r="AB18" s="109">
        <v>14</v>
      </c>
      <c r="AC18" s="109">
        <v>400</v>
      </c>
      <c r="AD18" s="103">
        <f>AD17+AC18</f>
      </c>
      <c r="AE18" s="108">
        <v>7</v>
      </c>
      <c r="AF18" s="110">
        <v>250</v>
      </c>
      <c r="AG18" s="103">
        <f>AG17+AF18</f>
      </c>
      <c r="AH18" s="109">
        <v>14</v>
      </c>
      <c r="AI18" s="109">
        <v>800</v>
      </c>
      <c r="AJ18" s="103">
        <f>AJ17+AI18</f>
      </c>
      <c r="AL18" s="109">
        <v>7</v>
      </c>
      <c r="AM18" s="110">
        <v>375</v>
      </c>
      <c r="AN18" s="104">
        <f>AN17+AM18</f>
      </c>
      <c r="AO18" s="109">
        <v>14</v>
      </c>
      <c r="AP18" s="109">
        <v>1200</v>
      </c>
      <c r="AQ18" s="104">
        <f>AQ17+AP18</f>
      </c>
      <c r="AR18" s="109">
        <v>7</v>
      </c>
      <c r="AS18" s="110">
        <v>750</v>
      </c>
      <c r="AT18" s="104">
        <f>AT17+AS18</f>
      </c>
      <c r="AU18" s="109">
        <v>14</v>
      </c>
      <c r="AV18" s="109">
        <v>2400</v>
      </c>
      <c r="AW18" s="104">
        <f>AW17+AV18</f>
      </c>
    </row>
    <row r="19" ht="17.1" customHeight="1" spans="1:43" x14ac:dyDescent="0.25">
      <c r="A19" s="72" t="s">
        <v>834</v>
      </c>
      <c r="C19" s="72" t="s">
        <v>40</v>
      </c>
      <c r="D19" s="72">
        <v>3</v>
      </c>
      <c r="E19" s="88" t="s">
        <v>822</v>
      </c>
      <c r="F19" s="91">
        <v>160</v>
      </c>
      <c r="G19" s="91">
        <v>320</v>
      </c>
      <c r="H19" s="89">
        <v>480</v>
      </c>
      <c r="I19" s="89">
        <v>960</v>
      </c>
      <c r="J19" s="89"/>
      <c r="K19" s="72">
        <v>0</v>
      </c>
      <c r="L19" s="72">
        <v>0</v>
      </c>
      <c r="M19" s="90">
        <v>160</v>
      </c>
      <c r="N19" s="72">
        <v>0</v>
      </c>
      <c r="O19" s="72">
        <v>0</v>
      </c>
      <c r="P19" s="91">
        <v>320</v>
      </c>
      <c r="Q19" s="72"/>
      <c r="R19" s="72">
        <v>0</v>
      </c>
      <c r="S19" s="72">
        <v>0</v>
      </c>
      <c r="T19" s="89">
        <v>480</v>
      </c>
      <c r="U19" s="72">
        <v>0</v>
      </c>
      <c r="V19" s="72">
        <v>0</v>
      </c>
      <c r="W19" s="89">
        <v>960</v>
      </c>
      <c r="X19" s="73"/>
      <c r="AL19" s="109"/>
      <c r="AM19" s="110"/>
      <c r="AN19" s="110"/>
      <c r="AO19" s="109"/>
      <c r="AP19" s="109"/>
      <c r="AQ19" s="110"/>
    </row>
    <row r="20" ht="17.1" customHeight="1" spans="3:49" x14ac:dyDescent="0.25">
      <c r="C20" s="72" t="s">
        <v>756</v>
      </c>
      <c r="D20" s="72">
        <v>3</v>
      </c>
      <c r="E20" s="88" t="s">
        <v>825</v>
      </c>
      <c r="F20" s="91">
        <v>275</v>
      </c>
      <c r="G20" s="91">
        <v>550</v>
      </c>
      <c r="H20" s="89">
        <v>825</v>
      </c>
      <c r="I20" s="89">
        <v>1650</v>
      </c>
      <c r="J20" s="89"/>
      <c r="K20" s="72">
        <v>7</v>
      </c>
      <c r="L20" s="92">
        <v>1120</v>
      </c>
      <c r="M20" s="90">
        <v>275</v>
      </c>
      <c r="N20" s="72">
        <v>7</v>
      </c>
      <c r="O20" s="92">
        <v>2240</v>
      </c>
      <c r="P20" s="91">
        <v>550</v>
      </c>
      <c r="Q20" s="72"/>
      <c r="R20" s="72">
        <v>7</v>
      </c>
      <c r="S20" s="93">
        <v>3360</v>
      </c>
      <c r="T20" s="89">
        <v>825</v>
      </c>
      <c r="U20" s="72">
        <v>7</v>
      </c>
      <c r="V20" s="93">
        <v>6720</v>
      </c>
      <c r="W20" s="89">
        <v>1650</v>
      </c>
      <c r="X20" s="73"/>
      <c r="Y20" s="82" t="s">
        <v>794</v>
      </c>
      <c r="Z20" s="82" t="s">
        <v>798</v>
      </c>
      <c r="AA20" s="82"/>
      <c r="AB20" s="82"/>
      <c r="AC20" s="82"/>
      <c r="AD20" s="82"/>
      <c r="AE20" s="82" t="s">
        <v>794</v>
      </c>
      <c r="AF20" s="82" t="s">
        <v>799</v>
      </c>
      <c r="AG20" s="82"/>
      <c r="AH20" s="82"/>
      <c r="AI20" s="82"/>
      <c r="AJ20" s="82"/>
      <c r="AL20" s="83" t="s">
        <v>270</v>
      </c>
      <c r="AM20" s="83" t="s">
        <v>798</v>
      </c>
      <c r="AN20" s="84"/>
      <c r="AO20" s="84"/>
      <c r="AP20" s="84"/>
      <c r="AQ20" s="84"/>
      <c r="AR20" s="83" t="s">
        <v>270</v>
      </c>
      <c r="AS20" s="83" t="s">
        <v>799</v>
      </c>
      <c r="AT20" s="85"/>
      <c r="AU20" s="86"/>
      <c r="AV20" s="85"/>
      <c r="AW20" s="85"/>
    </row>
    <row r="21" ht="17.1" customHeight="1" spans="1:49" x14ac:dyDescent="0.25">
      <c r="A21" s="94"/>
      <c r="B21" s="95"/>
      <c r="C21" s="94"/>
      <c r="D21" s="94"/>
      <c r="E21" s="96" t="s">
        <v>826</v>
      </c>
      <c r="F21" s="101">
        <v>390</v>
      </c>
      <c r="G21" s="101">
        <v>780</v>
      </c>
      <c r="H21" s="98">
        <v>1170</v>
      </c>
      <c r="I21" s="98">
        <v>2340</v>
      </c>
      <c r="J21" s="89"/>
      <c r="K21" s="94">
        <v>14</v>
      </c>
      <c r="L21" s="99">
        <v>3045</v>
      </c>
      <c r="M21" s="100">
        <v>390</v>
      </c>
      <c r="N21" s="94">
        <v>14</v>
      </c>
      <c r="O21" s="99">
        <v>6090</v>
      </c>
      <c r="P21" s="101">
        <v>780</v>
      </c>
      <c r="Q21" s="72"/>
      <c r="R21" s="94">
        <v>14</v>
      </c>
      <c r="S21" s="102">
        <v>9135</v>
      </c>
      <c r="T21" s="98">
        <v>1170</v>
      </c>
      <c r="U21" s="94">
        <v>14</v>
      </c>
      <c r="V21" s="102">
        <v>18270</v>
      </c>
      <c r="W21" s="98">
        <v>2340</v>
      </c>
      <c r="X21" s="73"/>
      <c r="Y21" s="109">
        <v>0</v>
      </c>
      <c r="Z21" s="109">
        <v>0</v>
      </c>
      <c r="AA21" s="109">
        <f>Z21</f>
      </c>
      <c r="AB21" s="109"/>
      <c r="AC21" s="109"/>
      <c r="AD21" s="109"/>
      <c r="AE21" s="109">
        <v>0</v>
      </c>
      <c r="AF21" s="109">
        <v>0</v>
      </c>
      <c r="AG21" s="109">
        <f>AF21</f>
      </c>
      <c r="AH21" s="109"/>
      <c r="AI21" s="109"/>
      <c r="AJ21" s="109"/>
      <c r="AL21" s="109">
        <v>0</v>
      </c>
      <c r="AM21" s="109">
        <v>0</v>
      </c>
      <c r="AN21" s="109">
        <f>AM21</f>
      </c>
      <c r="AO21" s="109"/>
      <c r="AP21" s="109"/>
      <c r="AQ21" s="109"/>
      <c r="AR21" s="109">
        <v>0</v>
      </c>
      <c r="AS21" s="109">
        <v>0</v>
      </c>
      <c r="AT21" s="109">
        <f>AS21</f>
      </c>
      <c r="AU21" s="109"/>
      <c r="AV21" s="109"/>
      <c r="AW21" s="109"/>
    </row>
    <row r="22" ht="17.1" customHeight="1" spans="5:49" x14ac:dyDescent="0.25">
      <c r="E22" s="88"/>
      <c r="K22" s="72"/>
      <c r="L22" s="72"/>
      <c r="M22" s="105"/>
      <c r="N22" s="72"/>
      <c r="O22" s="72"/>
      <c r="P22" s="72"/>
      <c r="Q22" s="72"/>
      <c r="R22" s="72"/>
      <c r="S22" s="72"/>
      <c r="T22" s="105"/>
      <c r="U22" s="72"/>
      <c r="V22" s="72"/>
      <c r="W22" s="72"/>
      <c r="X22" s="73"/>
      <c r="Y22" s="109">
        <v>1</v>
      </c>
      <c r="Z22" s="110">
        <v>160</v>
      </c>
      <c r="AA22" s="110">
        <f>Z21+Z22</f>
      </c>
      <c r="AB22" s="109">
        <v>8</v>
      </c>
      <c r="AC22" s="109">
        <v>275</v>
      </c>
      <c r="AD22" s="110">
        <f>AA28+AC22</f>
      </c>
      <c r="AE22" s="109">
        <v>1</v>
      </c>
      <c r="AF22" s="110">
        <v>320</v>
      </c>
      <c r="AG22" s="110">
        <f>AF21+AF22</f>
      </c>
      <c r="AH22" s="109">
        <v>8</v>
      </c>
      <c r="AI22" s="109">
        <v>550</v>
      </c>
      <c r="AJ22" s="110">
        <f>AG28+AI22</f>
      </c>
      <c r="AL22" s="109">
        <v>1</v>
      </c>
      <c r="AM22" s="110">
        <v>480</v>
      </c>
      <c r="AN22" s="110">
        <f>AM21+AM22</f>
      </c>
      <c r="AO22" s="109">
        <v>8</v>
      </c>
      <c r="AP22" s="109">
        <v>825</v>
      </c>
      <c r="AQ22" s="110">
        <f>AN28+AP22</f>
      </c>
      <c r="AR22" s="109">
        <v>1</v>
      </c>
      <c r="AS22" s="110">
        <v>960</v>
      </c>
      <c r="AT22" s="110">
        <f>AS21+AS22</f>
      </c>
      <c r="AU22" s="109">
        <v>8</v>
      </c>
      <c r="AV22" s="109">
        <v>1650</v>
      </c>
      <c r="AW22" s="110">
        <f>AT28+AV22</f>
      </c>
    </row>
    <row r="23" ht="17.1" customHeight="1" spans="1:49" x14ac:dyDescent="0.25">
      <c r="A23" s="74" t="s">
        <v>793</v>
      </c>
      <c r="B23" s="75"/>
      <c r="C23" s="75"/>
      <c r="D23" s="75"/>
      <c r="E23" s="75"/>
      <c r="F23" s="74" t="s">
        <v>794</v>
      </c>
      <c r="G23" s="75"/>
      <c r="H23" s="74" t="s">
        <v>270</v>
      </c>
      <c r="I23" s="75"/>
      <c r="J23" s="76" t="s">
        <v>835</v>
      </c>
      <c r="K23" s="77" t="s">
        <v>794</v>
      </c>
      <c r="L23" s="78" t="s">
        <v>800</v>
      </c>
      <c r="M23" s="78" t="s">
        <v>836</v>
      </c>
      <c r="N23" s="112"/>
      <c r="O23" s="112"/>
      <c r="P23" s="112"/>
      <c r="Q23" s="113"/>
      <c r="R23" s="77" t="s">
        <v>270</v>
      </c>
      <c r="S23" s="78" t="s">
        <v>800</v>
      </c>
      <c r="T23" s="78" t="s">
        <v>836</v>
      </c>
      <c r="U23" s="112"/>
      <c r="V23" s="112"/>
      <c r="W23" s="112"/>
      <c r="Y23" s="109">
        <v>2</v>
      </c>
      <c r="Z23" s="110">
        <v>160</v>
      </c>
      <c r="AA23" s="110">
        <f>AA22+Z23</f>
      </c>
      <c r="AB23" s="109">
        <v>9</v>
      </c>
      <c r="AC23" s="109">
        <v>275</v>
      </c>
      <c r="AD23" s="110">
        <f>AD22+AC23</f>
      </c>
      <c r="AE23" s="109">
        <v>2</v>
      </c>
      <c r="AF23" s="110">
        <v>320</v>
      </c>
      <c r="AG23" s="110">
        <f>AG22+AF23</f>
      </c>
      <c r="AH23" s="109">
        <v>9</v>
      </c>
      <c r="AI23" s="109">
        <v>550</v>
      </c>
      <c r="AJ23" s="110">
        <f>AJ22+AI23</f>
      </c>
      <c r="AL23" s="109">
        <v>2</v>
      </c>
      <c r="AM23" s="110">
        <v>480</v>
      </c>
      <c r="AN23" s="110">
        <f>AN22+AM23</f>
      </c>
      <c r="AO23" s="109">
        <v>9</v>
      </c>
      <c r="AP23" s="109">
        <v>825</v>
      </c>
      <c r="AQ23" s="110">
        <f>AQ22+AP23</f>
      </c>
      <c r="AR23" s="109">
        <v>2</v>
      </c>
      <c r="AS23" s="110">
        <v>960</v>
      </c>
      <c r="AT23" s="110">
        <f>AT22+AS23</f>
      </c>
      <c r="AU23" s="109">
        <v>9</v>
      </c>
      <c r="AV23" s="109">
        <v>1650</v>
      </c>
      <c r="AW23" s="110">
        <f>AW22+AV23</f>
      </c>
    </row>
    <row r="24" ht="17.1" customHeight="1" spans="1:49" x14ac:dyDescent="0.25">
      <c r="A24" s="72" t="s">
        <v>800</v>
      </c>
      <c r="B24" s="72" t="s">
        <v>801</v>
      </c>
      <c r="C24" s="72" t="s">
        <v>802</v>
      </c>
      <c r="D24" s="72" t="s">
        <v>803</v>
      </c>
      <c r="E24" s="72" t="s">
        <v>804</v>
      </c>
      <c r="F24" s="72" t="s">
        <v>798</v>
      </c>
      <c r="G24" s="72" t="s">
        <v>799</v>
      </c>
      <c r="H24" s="72" t="s">
        <v>798</v>
      </c>
      <c r="I24" s="72" t="s">
        <v>799</v>
      </c>
      <c r="K24" s="72" t="s">
        <v>805</v>
      </c>
      <c r="L24" s="72" t="s">
        <v>806</v>
      </c>
      <c r="M24" s="72" t="s">
        <v>798</v>
      </c>
      <c r="N24" s="72" t="s">
        <v>805</v>
      </c>
      <c r="O24" s="72" t="s">
        <v>807</v>
      </c>
      <c r="P24" s="72" t="s">
        <v>799</v>
      </c>
      <c r="Q24" s="72"/>
      <c r="R24" s="72" t="s">
        <v>805</v>
      </c>
      <c r="S24" s="72" t="s">
        <v>806</v>
      </c>
      <c r="T24" s="72" t="s">
        <v>798</v>
      </c>
      <c r="U24" s="72" t="s">
        <v>805</v>
      </c>
      <c r="V24" s="72" t="s">
        <v>807</v>
      </c>
      <c r="W24" s="72" t="s">
        <v>799</v>
      </c>
      <c r="Y24" s="109">
        <v>3</v>
      </c>
      <c r="Z24" s="110">
        <v>160</v>
      </c>
      <c r="AA24" s="110">
        <f>AA23+Z24</f>
      </c>
      <c r="AB24" s="109">
        <v>10</v>
      </c>
      <c r="AC24" s="109">
        <v>275</v>
      </c>
      <c r="AD24" s="110">
        <f>AD23+AC24</f>
      </c>
      <c r="AE24" s="109">
        <v>3</v>
      </c>
      <c r="AF24" s="110">
        <v>320</v>
      </c>
      <c r="AG24" s="110">
        <f>AG23+AF24</f>
      </c>
      <c r="AH24" s="109">
        <v>10</v>
      </c>
      <c r="AI24" s="109">
        <v>550</v>
      </c>
      <c r="AJ24" s="110">
        <f>AJ23+AI24</f>
      </c>
      <c r="AL24" s="109">
        <v>3</v>
      </c>
      <c r="AM24" s="110">
        <v>480</v>
      </c>
      <c r="AN24" s="110">
        <f>AN23+AM24</f>
      </c>
      <c r="AO24" s="109">
        <v>10</v>
      </c>
      <c r="AP24" s="109">
        <v>825</v>
      </c>
      <c r="AQ24" s="110">
        <f>AQ23+AP24</f>
      </c>
      <c r="AR24" s="109">
        <v>3</v>
      </c>
      <c r="AS24" s="110">
        <v>960</v>
      </c>
      <c r="AT24" s="110">
        <f>AT23+AS24</f>
      </c>
      <c r="AU24" s="109">
        <v>10</v>
      </c>
      <c r="AV24" s="109">
        <v>1650</v>
      </c>
      <c r="AW24" s="110">
        <f>AW23+AV24</f>
      </c>
    </row>
    <row r="25" ht="17.1" customHeight="1" spans="1:49" x14ac:dyDescent="0.25">
      <c r="A25" s="94" t="s">
        <v>837</v>
      </c>
      <c r="B25" s="95"/>
      <c r="C25" s="94" t="s">
        <v>836</v>
      </c>
      <c r="D25" s="111">
        <v>5</v>
      </c>
      <c r="E25" s="96" t="s">
        <v>838</v>
      </c>
      <c r="F25" s="101">
        <v>50</v>
      </c>
      <c r="G25" s="101">
        <v>100</v>
      </c>
      <c r="H25" s="98">
        <v>150</v>
      </c>
      <c r="I25" s="98">
        <v>300</v>
      </c>
      <c r="J25" s="89"/>
      <c r="K25" s="94"/>
      <c r="L25" s="94"/>
      <c r="M25" s="100">
        <v>50</v>
      </c>
      <c r="N25" s="94"/>
      <c r="O25" s="94"/>
      <c r="P25" s="101">
        <v>100</v>
      </c>
      <c r="Q25" s="72"/>
      <c r="R25" s="94"/>
      <c r="S25" s="94"/>
      <c r="T25" s="98">
        <v>150</v>
      </c>
      <c r="U25" s="94"/>
      <c r="V25" s="94"/>
      <c r="W25" s="98">
        <v>300</v>
      </c>
      <c r="Y25" s="109">
        <v>4</v>
      </c>
      <c r="Z25" s="110">
        <v>160</v>
      </c>
      <c r="AA25" s="110">
        <f>AA24+Z25</f>
      </c>
      <c r="AB25" s="109">
        <v>11</v>
      </c>
      <c r="AC25" s="109">
        <v>275</v>
      </c>
      <c r="AD25" s="110">
        <f>AD24+AC25</f>
      </c>
      <c r="AE25" s="109">
        <v>4</v>
      </c>
      <c r="AF25" s="110">
        <v>320</v>
      </c>
      <c r="AG25" s="110">
        <f>AG24+AF25</f>
      </c>
      <c r="AH25" s="109">
        <v>11</v>
      </c>
      <c r="AI25" s="109">
        <v>550</v>
      </c>
      <c r="AJ25" s="110">
        <f>AJ24+AI25</f>
      </c>
      <c r="AL25" s="109">
        <v>4</v>
      </c>
      <c r="AM25" s="110">
        <v>480</v>
      </c>
      <c r="AN25" s="110">
        <f>AN24+AM25</f>
      </c>
      <c r="AO25" s="109">
        <v>11</v>
      </c>
      <c r="AP25" s="109">
        <v>825</v>
      </c>
      <c r="AQ25" s="110">
        <f>AQ24+AP25</f>
      </c>
      <c r="AR25" s="109">
        <v>4</v>
      </c>
      <c r="AS25" s="110">
        <v>960</v>
      </c>
      <c r="AT25" s="110">
        <f>AT24+AS25</f>
      </c>
      <c r="AU25" s="109">
        <v>11</v>
      </c>
      <c r="AV25" s="109">
        <v>1650</v>
      </c>
      <c r="AW25" s="110">
        <f>AW24+AV25</f>
      </c>
    </row>
    <row r="26" ht="17.1" customHeight="1" spans="25:49" x14ac:dyDescent="0.25">
      <c r="Y26" s="109">
        <v>5</v>
      </c>
      <c r="Z26" s="110">
        <v>160</v>
      </c>
      <c r="AA26" s="110">
        <f>AA25+Z26</f>
      </c>
      <c r="AB26" s="109">
        <v>12</v>
      </c>
      <c r="AC26" s="109">
        <v>275</v>
      </c>
      <c r="AD26" s="110">
        <f>AD25+AC26</f>
      </c>
      <c r="AE26" s="109">
        <v>5</v>
      </c>
      <c r="AF26" s="110">
        <v>320</v>
      </c>
      <c r="AG26" s="110">
        <f>AG25+AF26</f>
      </c>
      <c r="AH26" s="109">
        <v>12</v>
      </c>
      <c r="AI26" s="109">
        <v>550</v>
      </c>
      <c r="AJ26" s="110">
        <f>AJ25+AI26</f>
      </c>
      <c r="AL26" s="109">
        <v>5</v>
      </c>
      <c r="AM26" s="110">
        <v>480</v>
      </c>
      <c r="AN26" s="110">
        <f>AN25+AM26</f>
      </c>
      <c r="AO26" s="109">
        <v>12</v>
      </c>
      <c r="AP26" s="109">
        <v>825</v>
      </c>
      <c r="AQ26" s="110">
        <f>AQ25+AP26</f>
      </c>
      <c r="AR26" s="109">
        <v>5</v>
      </c>
      <c r="AS26" s="110">
        <v>960</v>
      </c>
      <c r="AT26" s="110">
        <f>AT25+AS26</f>
      </c>
      <c r="AU26" s="109">
        <v>12</v>
      </c>
      <c r="AV26" s="109">
        <v>1650</v>
      </c>
      <c r="AW26" s="110">
        <f>AW25+AV26</f>
      </c>
    </row>
    <row r="27" ht="17.1" customHeight="1" spans="25:49" x14ac:dyDescent="0.25">
      <c r="Y27" s="109">
        <v>6</v>
      </c>
      <c r="Z27" s="110">
        <v>160</v>
      </c>
      <c r="AA27" s="110">
        <f>AA26+Z27</f>
      </c>
      <c r="AB27" s="109">
        <v>13</v>
      </c>
      <c r="AC27" s="109">
        <v>275</v>
      </c>
      <c r="AD27" s="110">
        <f>AD26+AC27</f>
      </c>
      <c r="AE27" s="109">
        <v>6</v>
      </c>
      <c r="AF27" s="110">
        <v>320</v>
      </c>
      <c r="AG27" s="110">
        <f>AG26+AF27</f>
      </c>
      <c r="AH27" s="109">
        <v>13</v>
      </c>
      <c r="AI27" s="109">
        <v>550</v>
      </c>
      <c r="AJ27" s="110">
        <f>AJ26+AI27</f>
      </c>
      <c r="AL27" s="109">
        <v>6</v>
      </c>
      <c r="AM27" s="110">
        <v>480</v>
      </c>
      <c r="AN27" s="110">
        <f>AN26+AM27</f>
      </c>
      <c r="AO27" s="109">
        <v>13</v>
      </c>
      <c r="AP27" s="109">
        <v>825</v>
      </c>
      <c r="AQ27" s="110">
        <f>AQ26+AP27</f>
      </c>
      <c r="AR27" s="109">
        <v>6</v>
      </c>
      <c r="AS27" s="110">
        <v>960</v>
      </c>
      <c r="AT27" s="110">
        <f>AT26+AS27</f>
      </c>
      <c r="AU27" s="109">
        <v>13</v>
      </c>
      <c r="AV27" s="109">
        <v>1650</v>
      </c>
      <c r="AW27" s="110">
        <f>AW26+AV27</f>
      </c>
    </row>
    <row r="28" ht="17.1" customHeight="1" spans="25:49" x14ac:dyDescent="0.25">
      <c r="Y28" s="109">
        <v>7</v>
      </c>
      <c r="Z28" s="110">
        <v>160</v>
      </c>
      <c r="AA28" s="103">
        <f>AA27+Z28</f>
      </c>
      <c r="AB28" s="109">
        <v>14</v>
      </c>
      <c r="AC28" s="109">
        <v>390</v>
      </c>
      <c r="AD28" s="103">
        <f>AD27+AC28</f>
      </c>
      <c r="AE28" s="108">
        <v>7</v>
      </c>
      <c r="AF28" s="110">
        <v>320</v>
      </c>
      <c r="AG28" s="103">
        <f>AG27+AF28</f>
      </c>
      <c r="AH28" s="109">
        <v>14</v>
      </c>
      <c r="AI28" s="109">
        <v>780</v>
      </c>
      <c r="AJ28" s="103">
        <f>AJ27+AI28</f>
      </c>
      <c r="AL28" s="109">
        <v>7</v>
      </c>
      <c r="AM28" s="110">
        <v>480</v>
      </c>
      <c r="AN28" s="104">
        <f>AN27+AM28</f>
      </c>
      <c r="AO28" s="109">
        <v>14</v>
      </c>
      <c r="AP28" s="109">
        <v>1170</v>
      </c>
      <c r="AQ28" s="104">
        <f>AQ27+AP28</f>
      </c>
      <c r="AR28" s="109">
        <v>7</v>
      </c>
      <c r="AS28" s="110">
        <v>960</v>
      </c>
      <c r="AT28" s="104">
        <f>AT27+AS28</f>
      </c>
      <c r="AU28" s="109">
        <v>14</v>
      </c>
      <c r="AV28" s="109">
        <v>2340</v>
      </c>
      <c r="AW28" s="104">
        <f>AW27+AV28</f>
      </c>
    </row>
    <row r="29" ht="17.1" customHeight="1" spans="25:49" x14ac:dyDescent="0.25">
      <c r="Y29" s="109"/>
      <c r="Z29" s="110"/>
      <c r="AA29" s="85"/>
      <c r="AB29" s="109"/>
      <c r="AC29" s="109"/>
      <c r="AD29" s="85"/>
      <c r="AE29" s="108"/>
      <c r="AF29" s="110"/>
      <c r="AG29" s="85"/>
      <c r="AH29" s="109"/>
      <c r="AI29" s="109"/>
      <c r="AJ29" s="85"/>
      <c r="AL29" s="109"/>
      <c r="AM29" s="110"/>
      <c r="AN29" s="85"/>
      <c r="AO29" s="109"/>
      <c r="AP29" s="109"/>
      <c r="AQ29" s="85"/>
      <c r="AR29" s="109"/>
      <c r="AS29" s="110"/>
      <c r="AT29" s="85"/>
      <c r="AU29" s="109"/>
      <c r="AV29" s="109"/>
      <c r="AW29" s="85"/>
    </row>
    <row r="30" ht="17.1" customHeight="1" spans="1:49" x14ac:dyDescent="0.25">
      <c r="A30" s="82" t="s">
        <v>839</v>
      </c>
      <c r="B30" s="113" t="s">
        <v>840</v>
      </c>
      <c r="J30" s="76" t="s">
        <v>841</v>
      </c>
      <c r="K30" s="77" t="s">
        <v>794</v>
      </c>
      <c r="L30" s="78"/>
      <c r="M30" s="78"/>
      <c r="N30" s="78"/>
      <c r="O30" s="112"/>
      <c r="P30" s="112"/>
      <c r="Q30" s="113"/>
      <c r="R30" s="77" t="s">
        <v>270</v>
      </c>
      <c r="S30" s="78"/>
      <c r="T30" s="78"/>
      <c r="U30" s="78"/>
      <c r="V30" s="112"/>
      <c r="W30" s="112"/>
      <c r="Y30" s="82" t="s">
        <v>794</v>
      </c>
      <c r="Z30" s="82" t="s">
        <v>798</v>
      </c>
      <c r="AA30" s="82"/>
      <c r="AB30" s="82"/>
      <c r="AC30" s="82"/>
      <c r="AD30" s="82"/>
      <c r="AE30" s="82" t="s">
        <v>794</v>
      </c>
      <c r="AF30" s="82" t="s">
        <v>799</v>
      </c>
      <c r="AG30" s="82"/>
      <c r="AH30" s="82"/>
      <c r="AI30" s="82"/>
      <c r="AJ30" s="82"/>
      <c r="AL30" s="83" t="s">
        <v>270</v>
      </c>
      <c r="AM30" s="83" t="s">
        <v>798</v>
      </c>
      <c r="AN30" s="84"/>
      <c r="AO30" s="84"/>
      <c r="AP30" s="84"/>
      <c r="AQ30" s="84"/>
      <c r="AR30" s="83" t="s">
        <v>270</v>
      </c>
      <c r="AS30" s="83" t="s">
        <v>799</v>
      </c>
      <c r="AT30" s="85"/>
      <c r="AU30" s="86"/>
      <c r="AV30" s="85"/>
      <c r="AW30" s="85"/>
    </row>
    <row r="31" ht="17.1" customHeight="1" spans="2:49" x14ac:dyDescent="0.25">
      <c r="B31" s="113" t="s">
        <v>842</v>
      </c>
      <c r="K31" s="72" t="s">
        <v>805</v>
      </c>
      <c r="L31" s="72" t="s">
        <v>806</v>
      </c>
      <c r="M31" s="72" t="s">
        <v>798</v>
      </c>
      <c r="N31" s="72" t="s">
        <v>805</v>
      </c>
      <c r="O31" s="72" t="s">
        <v>807</v>
      </c>
      <c r="P31" s="72" t="s">
        <v>799</v>
      </c>
      <c r="Q31" s="72"/>
      <c r="R31" s="72" t="s">
        <v>805</v>
      </c>
      <c r="S31" s="72" t="s">
        <v>806</v>
      </c>
      <c r="T31" s="72" t="s">
        <v>798</v>
      </c>
      <c r="U31" s="72" t="s">
        <v>805</v>
      </c>
      <c r="V31" s="72" t="s">
        <v>807</v>
      </c>
      <c r="W31" s="72" t="s">
        <v>799</v>
      </c>
      <c r="Y31" s="87">
        <v>0</v>
      </c>
      <c r="Z31" s="86">
        <v>0</v>
      </c>
      <c r="AA31" s="86">
        <f>Z31</f>
      </c>
      <c r="AB31" s="86">
        <v>5</v>
      </c>
      <c r="AC31" s="85">
        <v>600</v>
      </c>
      <c r="AD31" s="85">
        <f>AA35+AC31</f>
      </c>
      <c r="AE31" s="87">
        <v>0</v>
      </c>
      <c r="AF31" s="86">
        <v>0</v>
      </c>
      <c r="AG31" s="86">
        <f>AF31</f>
      </c>
      <c r="AH31" s="86">
        <v>5</v>
      </c>
      <c r="AI31" s="85">
        <v>1200</v>
      </c>
      <c r="AJ31" s="85">
        <f>AG35+AI31</f>
      </c>
      <c r="AL31" s="87">
        <v>0</v>
      </c>
      <c r="AM31" s="86">
        <v>0</v>
      </c>
      <c r="AN31" s="86">
        <f>AM31</f>
      </c>
      <c r="AO31" s="86">
        <v>5</v>
      </c>
      <c r="AP31" s="85">
        <v>1800</v>
      </c>
      <c r="AQ31" s="85">
        <f>AN35+AP31</f>
      </c>
      <c r="AR31" s="87">
        <v>0</v>
      </c>
      <c r="AS31" s="86">
        <v>0</v>
      </c>
      <c r="AT31" s="86">
        <f>AS31</f>
      </c>
      <c r="AU31" s="86">
        <v>5</v>
      </c>
      <c r="AV31" s="85">
        <v>3600</v>
      </c>
      <c r="AW31" s="85">
        <f>AT35+AV31</f>
      </c>
    </row>
    <row r="32" ht="17.1" customHeight="1" spans="1:49" s="23" customFormat="1" x14ac:dyDescent="0.25">
      <c r="A32" s="73"/>
      <c r="C32" s="21"/>
      <c r="D32" s="21"/>
      <c r="E32" s="21"/>
      <c r="F32" s="21"/>
      <c r="G32" s="21"/>
      <c r="H32" s="21"/>
      <c r="I32" s="21"/>
      <c r="J32" s="21"/>
      <c r="K32" s="72">
        <v>0</v>
      </c>
      <c r="L32" s="72">
        <v>0</v>
      </c>
      <c r="M32" s="114">
        <v>375</v>
      </c>
      <c r="N32" s="72">
        <v>0</v>
      </c>
      <c r="O32" s="72">
        <v>0</v>
      </c>
      <c r="P32" s="115">
        <v>750</v>
      </c>
      <c r="Q32" s="72"/>
      <c r="R32" s="72">
        <v>0</v>
      </c>
      <c r="S32" s="72">
        <v>0</v>
      </c>
      <c r="T32" s="89">
        <v>900</v>
      </c>
      <c r="U32" s="72">
        <v>0</v>
      </c>
      <c r="V32" s="72">
        <v>0</v>
      </c>
      <c r="W32" s="89">
        <v>1800</v>
      </c>
      <c r="X32" s="21"/>
      <c r="Y32" s="87">
        <v>1</v>
      </c>
      <c r="Z32" s="85">
        <v>300</v>
      </c>
      <c r="AA32" s="85">
        <f>Z31+Z32</f>
      </c>
      <c r="AB32" s="86">
        <v>6</v>
      </c>
      <c r="AC32" s="85">
        <v>600</v>
      </c>
      <c r="AD32" s="85">
        <f>AD31+AC32</f>
      </c>
      <c r="AE32" s="87">
        <v>1</v>
      </c>
      <c r="AF32" s="85">
        <v>600</v>
      </c>
      <c r="AG32" s="85">
        <f>AF31+AF32</f>
      </c>
      <c r="AH32" s="86">
        <v>6</v>
      </c>
      <c r="AI32" s="85">
        <v>1200</v>
      </c>
      <c r="AJ32" s="85">
        <f>AJ31+AI32</f>
      </c>
      <c r="AK32" s="72"/>
      <c r="AL32" s="87">
        <v>1</v>
      </c>
      <c r="AM32" s="85">
        <v>900</v>
      </c>
      <c r="AN32" s="85">
        <f>AM31+AM32</f>
      </c>
      <c r="AO32" s="86">
        <v>6</v>
      </c>
      <c r="AP32" s="85">
        <v>1800</v>
      </c>
      <c r="AQ32" s="85">
        <f>AQ31+AP32</f>
      </c>
      <c r="AR32" s="87">
        <v>1</v>
      </c>
      <c r="AS32" s="85">
        <v>1800</v>
      </c>
      <c r="AT32" s="85">
        <f>AS31+AS32</f>
      </c>
      <c r="AU32" s="86">
        <v>6</v>
      </c>
      <c r="AV32" s="85">
        <v>3600</v>
      </c>
      <c r="AW32" s="85">
        <f>AW31+AV32</f>
      </c>
    </row>
    <row r="33" ht="17.1" customHeight="1" spans="1:49" s="23" customFormat="1" x14ac:dyDescent="0.25">
      <c r="A33" s="73"/>
      <c r="C33" s="21"/>
      <c r="D33" s="21"/>
      <c r="E33" s="21"/>
      <c r="F33" s="21"/>
      <c r="G33" s="21"/>
      <c r="H33" s="21"/>
      <c r="I33" s="21"/>
      <c r="J33" s="21"/>
      <c r="K33" s="72">
        <v>5</v>
      </c>
      <c r="L33" s="92">
        <v>1200</v>
      </c>
      <c r="M33" s="114">
        <v>750</v>
      </c>
      <c r="N33" s="72">
        <v>7</v>
      </c>
      <c r="O33" s="92">
        <v>2400</v>
      </c>
      <c r="P33" s="115">
        <v>1500</v>
      </c>
      <c r="Q33" s="72"/>
      <c r="R33" s="72">
        <v>5</v>
      </c>
      <c r="S33" s="93">
        <v>3360</v>
      </c>
      <c r="T33" s="89">
        <v>1800</v>
      </c>
      <c r="U33" s="72">
        <v>9</v>
      </c>
      <c r="V33" s="93">
        <v>6720</v>
      </c>
      <c r="W33" s="89">
        <v>3600</v>
      </c>
      <c r="X33" s="21"/>
      <c r="Y33" s="87">
        <v>2</v>
      </c>
      <c r="Z33" s="85">
        <v>300</v>
      </c>
      <c r="AA33" s="85">
        <f>AA32+Z33</f>
      </c>
      <c r="AB33" s="86">
        <v>7</v>
      </c>
      <c r="AC33" s="85">
        <v>600</v>
      </c>
      <c r="AD33" s="85">
        <f>AD32+AC33</f>
      </c>
      <c r="AE33" s="87">
        <v>2</v>
      </c>
      <c r="AF33" s="85">
        <v>600</v>
      </c>
      <c r="AG33" s="85">
        <f>AG32+AF33</f>
      </c>
      <c r="AH33" s="86">
        <v>7</v>
      </c>
      <c r="AI33" s="85">
        <v>1200</v>
      </c>
      <c r="AJ33" s="85">
        <f>AJ32+AI33</f>
      </c>
      <c r="AK33" s="72"/>
      <c r="AL33" s="87">
        <v>2</v>
      </c>
      <c r="AM33" s="85">
        <v>900</v>
      </c>
      <c r="AN33" s="85">
        <f>AN32+AM33</f>
      </c>
      <c r="AO33" s="86">
        <v>7</v>
      </c>
      <c r="AP33" s="85">
        <v>1800</v>
      </c>
      <c r="AQ33" s="85">
        <f>AQ32+AP33</f>
      </c>
      <c r="AR33" s="87">
        <v>2</v>
      </c>
      <c r="AS33" s="85">
        <v>1800</v>
      </c>
      <c r="AT33" s="85">
        <f>AT32+AS33</f>
      </c>
      <c r="AU33" s="86">
        <v>7</v>
      </c>
      <c r="AV33" s="85">
        <v>3600</v>
      </c>
      <c r="AW33" s="85">
        <f>AW32+AV33</f>
      </c>
    </row>
    <row r="34" ht="17.1" customHeight="1" spans="1:49" s="23" customFormat="1" x14ac:dyDescent="0.25">
      <c r="A34" s="73"/>
      <c r="C34" s="21"/>
      <c r="D34" s="21"/>
      <c r="E34" s="21"/>
      <c r="F34" s="21"/>
      <c r="G34" s="21"/>
      <c r="H34" s="21"/>
      <c r="I34" s="21"/>
      <c r="J34" s="21"/>
      <c r="K34" s="94">
        <v>9</v>
      </c>
      <c r="L34" s="99">
        <v>4800</v>
      </c>
      <c r="M34" s="116">
        <v>1500</v>
      </c>
      <c r="N34" s="94">
        <v>14</v>
      </c>
      <c r="O34" s="99">
        <v>9600</v>
      </c>
      <c r="P34" s="117">
        <v>3000</v>
      </c>
      <c r="Q34" s="72"/>
      <c r="R34" s="94">
        <v>9</v>
      </c>
      <c r="S34" s="102">
        <v>9135</v>
      </c>
      <c r="T34" s="98">
        <v>3600</v>
      </c>
      <c r="U34" s="94">
        <v>9</v>
      </c>
      <c r="V34" s="102">
        <v>18270</v>
      </c>
      <c r="W34" s="98">
        <v>7200</v>
      </c>
      <c r="X34" s="21"/>
      <c r="Y34" s="87">
        <v>3</v>
      </c>
      <c r="Z34" s="85">
        <v>300</v>
      </c>
      <c r="AA34" s="85">
        <f>AA33+Z34</f>
      </c>
      <c r="AB34" s="86">
        <v>8</v>
      </c>
      <c r="AC34" s="85">
        <v>600</v>
      </c>
      <c r="AD34" s="85">
        <f>AD33+AC34</f>
      </c>
      <c r="AE34" s="87">
        <v>3</v>
      </c>
      <c r="AF34" s="85">
        <v>600</v>
      </c>
      <c r="AG34" s="85">
        <f>AG33+AF34</f>
      </c>
      <c r="AH34" s="86">
        <v>8</v>
      </c>
      <c r="AI34" s="85">
        <v>1200</v>
      </c>
      <c r="AJ34" s="85">
        <f>AJ33+AI34</f>
      </c>
      <c r="AK34" s="72"/>
      <c r="AL34" s="87">
        <v>3</v>
      </c>
      <c r="AM34" s="85">
        <v>900</v>
      </c>
      <c r="AN34" s="85">
        <f>AN33+AM34</f>
      </c>
      <c r="AO34" s="86">
        <v>8</v>
      </c>
      <c r="AP34" s="85">
        <v>1800</v>
      </c>
      <c r="AQ34" s="85">
        <f>AQ33+AP34</f>
      </c>
      <c r="AR34" s="87">
        <v>3</v>
      </c>
      <c r="AS34" s="85">
        <v>1800</v>
      </c>
      <c r="AT34" s="85">
        <f>AT33+AS34</f>
      </c>
      <c r="AU34" s="86">
        <v>8</v>
      </c>
      <c r="AV34" s="85">
        <v>3600</v>
      </c>
      <c r="AW34" s="85">
        <f>AW33+AV34</f>
      </c>
    </row>
    <row r="35" ht="17.1" customHeight="1" spans="1:49" s="23" customFormat="1" x14ac:dyDescent="0.25">
      <c r="A35" s="73"/>
      <c r="C35" s="21"/>
      <c r="D35" s="21"/>
      <c r="E35" s="21"/>
      <c r="F35" s="21"/>
      <c r="G35" s="21"/>
      <c r="H35" s="21"/>
      <c r="I35" s="21"/>
      <c r="J35" s="21"/>
      <c r="X35" s="21"/>
      <c r="Y35" s="87">
        <v>4</v>
      </c>
      <c r="Z35" s="86">
        <v>300</v>
      </c>
      <c r="AA35" s="103">
        <f>AA34+Z35</f>
      </c>
      <c r="AB35" s="86">
        <v>9</v>
      </c>
      <c r="AC35" s="85">
        <v>1200</v>
      </c>
      <c r="AD35" s="103">
        <f>AD34+AC35</f>
      </c>
      <c r="AE35" s="87">
        <v>4</v>
      </c>
      <c r="AF35" s="86">
        <v>600</v>
      </c>
      <c r="AG35" s="103">
        <f>AG34+AF35</f>
      </c>
      <c r="AH35" s="86">
        <v>9</v>
      </c>
      <c r="AI35" s="85">
        <v>2400</v>
      </c>
      <c r="AJ35" s="103">
        <f>AJ34+AI35</f>
      </c>
      <c r="AK35" s="72"/>
      <c r="AL35" s="87">
        <v>4</v>
      </c>
      <c r="AM35" s="86">
        <v>900</v>
      </c>
      <c r="AN35" s="103">
        <f>AN34+AM35</f>
      </c>
      <c r="AO35" s="86">
        <v>9</v>
      </c>
      <c r="AP35" s="85">
        <v>3600</v>
      </c>
      <c r="AQ35" s="103">
        <f>AQ34+AP35</f>
      </c>
      <c r="AR35" s="87">
        <v>4</v>
      </c>
      <c r="AS35" s="86">
        <v>1800</v>
      </c>
      <c r="AT35" s="103">
        <f>AT34+AS35</f>
      </c>
      <c r="AU35" s="86">
        <v>9</v>
      </c>
      <c r="AV35" s="85">
        <v>7200</v>
      </c>
      <c r="AW35" s="103">
        <f>AW34+AV35</f>
      </c>
    </row>
    <row r="36" ht="17.1" customHeight="1" hidden="1" spans="1:49" s="23" customFormat="1" x14ac:dyDescent="0.25">
      <c r="A36" s="23" t="s">
        <v>797</v>
      </c>
      <c r="B36" s="23" t="s">
        <v>794</v>
      </c>
      <c r="C36" s="23" t="s">
        <v>843</v>
      </c>
      <c r="D36" s="21"/>
      <c r="E36" s="21"/>
      <c r="F36" s="21"/>
      <c r="G36" s="21"/>
      <c r="H36" s="21"/>
      <c r="I36" s="21"/>
      <c r="J36" s="21"/>
      <c r="X36" s="21"/>
      <c r="Y36" s="87"/>
      <c r="Z36" s="86"/>
      <c r="AA36" s="86"/>
      <c r="AB36" s="86"/>
      <c r="AC36" s="85"/>
      <c r="AD36" s="85"/>
      <c r="AE36" s="87"/>
      <c r="AF36" s="86"/>
      <c r="AG36" s="86"/>
      <c r="AH36" s="86"/>
      <c r="AI36" s="85"/>
      <c r="AJ36" s="85"/>
      <c r="AK36" s="72"/>
      <c r="AL36" s="87"/>
      <c r="AM36" s="86"/>
      <c r="AN36" s="86"/>
      <c r="AO36" s="86"/>
      <c r="AP36" s="85"/>
      <c r="AQ36" s="85"/>
      <c r="AR36" s="87"/>
      <c r="AS36" s="86"/>
      <c r="AT36" s="86"/>
      <c r="AU36" s="86"/>
      <c r="AV36" s="85"/>
      <c r="AW36" s="85"/>
    </row>
    <row r="37" ht="17.1" customHeight="1" hidden="1" spans="2:49" s="23" customFormat="1" x14ac:dyDescent="0.25">
      <c r="B37" s="23" t="s">
        <v>270</v>
      </c>
      <c r="C37" s="23" t="s">
        <v>844</v>
      </c>
      <c r="D37" s="21"/>
      <c r="E37" s="21"/>
      <c r="F37" s="21"/>
      <c r="G37" s="21"/>
      <c r="H37" s="21"/>
      <c r="I37" s="21"/>
      <c r="J37" s="21"/>
      <c r="X37" s="21"/>
      <c r="Y37" s="87"/>
      <c r="Z37" s="86"/>
      <c r="AA37" s="86"/>
      <c r="AB37" s="86"/>
      <c r="AC37" s="85"/>
      <c r="AD37" s="85"/>
      <c r="AE37" s="87"/>
      <c r="AF37" s="86"/>
      <c r="AG37" s="86"/>
      <c r="AH37" s="86"/>
      <c r="AI37" s="85"/>
      <c r="AJ37" s="85"/>
      <c r="AK37" s="72"/>
      <c r="AL37" s="87"/>
      <c r="AM37" s="86"/>
      <c r="AN37" s="86"/>
      <c r="AO37" s="86"/>
      <c r="AP37" s="85"/>
      <c r="AQ37" s="85"/>
      <c r="AR37" s="87"/>
      <c r="AS37" s="86"/>
      <c r="AT37" s="86"/>
      <c r="AU37" s="86"/>
      <c r="AV37" s="85"/>
      <c r="AW37" s="85"/>
    </row>
    <row r="38" ht="17.1" customHeight="1" hidden="1" spans="1:24" s="23" customFormat="1" x14ac:dyDescent="0.25">
      <c r="A38" s="23" t="s">
        <v>845</v>
      </c>
      <c r="B38" s="23" t="s">
        <v>794</v>
      </c>
      <c r="C38" s="23" t="s">
        <v>846</v>
      </c>
      <c r="D38" s="21"/>
      <c r="E38" s="21"/>
      <c r="F38" s="21"/>
      <c r="G38" s="21"/>
      <c r="H38" s="21"/>
      <c r="I38" s="21"/>
      <c r="J38" s="21"/>
      <c r="X38" s="21"/>
    </row>
    <row r="39" ht="17.1" customHeight="1" hidden="1" spans="2:43" s="23" customFormat="1" x14ac:dyDescent="0.25">
      <c r="B39" s="23" t="s">
        <v>270</v>
      </c>
      <c r="C39" s="23" t="s">
        <v>847</v>
      </c>
      <c r="D39" s="21"/>
      <c r="E39" s="21"/>
      <c r="F39" s="21"/>
      <c r="G39" s="21"/>
      <c r="H39" s="21"/>
      <c r="I39" s="21"/>
      <c r="J39" s="21"/>
      <c r="X39" s="21"/>
      <c r="Y39" s="21"/>
      <c r="Z39" s="21"/>
      <c r="AA39" s="21"/>
      <c r="AB39" s="21"/>
      <c r="AC39" s="21"/>
      <c r="AD39" s="21"/>
      <c r="AE39" s="21"/>
      <c r="AK39" s="21"/>
      <c r="AQ39" s="21"/>
    </row>
    <row r="40" ht="17.1" customHeight="1" hidden="1" spans="1:43" s="23" customFormat="1" x14ac:dyDescent="0.25">
      <c r="A40" s="23" t="s">
        <v>836</v>
      </c>
      <c r="B40" s="23" t="s">
        <v>794</v>
      </c>
      <c r="C40" s="23" t="s">
        <v>848</v>
      </c>
      <c r="D40" s="21"/>
      <c r="E40" s="21"/>
      <c r="F40" s="21"/>
      <c r="G40" s="21"/>
      <c r="H40" s="21"/>
      <c r="I40" s="21"/>
      <c r="J40" s="21"/>
      <c r="X40" s="21"/>
      <c r="Y40" s="21"/>
      <c r="Z40" s="21"/>
      <c r="AA40" s="21"/>
      <c r="AB40" s="21"/>
      <c r="AC40" s="21"/>
      <c r="AD40" s="21"/>
      <c r="AE40" s="21"/>
      <c r="AK40" s="21"/>
      <c r="AQ40" s="21"/>
    </row>
    <row r="41" ht="17.1" customHeight="1" hidden="1" spans="1:43" s="23" customFormat="1" x14ac:dyDescent="0.25">
      <c r="A41" s="21"/>
      <c r="B41" s="23" t="s">
        <v>270</v>
      </c>
      <c r="C41" s="23" t="s">
        <v>849</v>
      </c>
      <c r="D41" s="21"/>
      <c r="E41" s="21"/>
      <c r="F41" s="21"/>
      <c r="G41" s="21"/>
      <c r="H41" s="21"/>
      <c r="I41" s="21"/>
      <c r="J41" s="21"/>
      <c r="X41" s="21"/>
      <c r="Y41" s="21"/>
      <c r="Z41" s="21"/>
      <c r="AA41" s="21"/>
      <c r="AB41" s="21"/>
      <c r="AC41" s="21"/>
      <c r="AD41" s="21"/>
      <c r="AE41" s="21"/>
      <c r="AK41" s="21"/>
      <c r="AQ41" s="21"/>
    </row>
    <row r="42" ht="17.1" customHeight="1" hidden="1" spans="1:43" s="23" customFormat="1" x14ac:dyDescent="0.25">
      <c r="A42" s="23" t="s">
        <v>850</v>
      </c>
      <c r="B42" s="23" t="s">
        <v>794</v>
      </c>
      <c r="C42" s="23" t="s">
        <v>851</v>
      </c>
      <c r="D42" s="21"/>
      <c r="E42" s="21"/>
      <c r="F42" s="21"/>
      <c r="G42" s="21"/>
      <c r="H42" s="21"/>
      <c r="I42" s="21"/>
      <c r="J42" s="21"/>
      <c r="X42" s="21"/>
      <c r="Y42" s="21"/>
      <c r="Z42" s="21"/>
      <c r="AA42" s="21"/>
      <c r="AB42" s="21"/>
      <c r="AC42" s="21"/>
      <c r="AD42" s="21"/>
      <c r="AE42" s="21"/>
      <c r="AK42" s="21"/>
      <c r="AQ42" s="21"/>
    </row>
    <row r="43" ht="17.1" customHeight="1" hidden="1" spans="2:3" x14ac:dyDescent="0.25">
      <c r="B43" s="23" t="s">
        <v>270</v>
      </c>
      <c r="C43" s="23" t="s">
        <v>852</v>
      </c>
    </row>
    <row r="44" ht="17.1" customHeight="1" hidden="1" x14ac:dyDescent="0.25"/>
    <row r="45" ht="17.1" customHeight="1" hidden="1" spans="1:3" x14ac:dyDescent="0.25">
      <c r="A45" s="108" t="s">
        <v>853</v>
      </c>
      <c r="B45" s="108" t="s">
        <v>805</v>
      </c>
      <c r="C45" s="108" t="s">
        <v>854</v>
      </c>
    </row>
    <row r="46" ht="17.1" customHeight="1" hidden="1" spans="1:3" x14ac:dyDescent="0.25">
      <c r="A46" s="108" t="s">
        <v>798</v>
      </c>
      <c r="B46" s="108">
        <v>0</v>
      </c>
      <c r="C46" s="21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08" t="s">
        <v>798</v>
      </c>
      <c r="B47" s="108">
        <v>1</v>
      </c>
      <c r="C47" s="21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08" t="s">
        <v>798</v>
      </c>
      <c r="B48" s="108">
        <v>2</v>
      </c>
      <c r="C48" s="21">
        <f>IF(A48="20'",VLOOKUP(B48,$R$9:$T$12,2,TRUE)+(B48-VLOOKUP(B48,$R$9:$T$12,1,TRUE))*VLOOKUP(B48,$R$9:$T$12,3,TRUE),VLOOKUP(B48,$U$9:$W$12,2,TRUE)+(B48-VLOOKUP(B48,$U$9:$W$12,1,TRUE))*VLOOKUP(B48,$U$9:$W$12,3,TRUE))</f>
      </c>
      <c r="G48" s="73"/>
    </row>
    <row r="49" ht="17.1" customHeight="1" hidden="1" spans="1:3" x14ac:dyDescent="0.25">
      <c r="A49" s="108" t="s">
        <v>798</v>
      </c>
      <c r="B49" s="108">
        <v>3</v>
      </c>
      <c r="C49" s="21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08" t="s">
        <v>798</v>
      </c>
      <c r="B50" s="108">
        <v>4</v>
      </c>
      <c r="C50" s="21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08" t="s">
        <v>798</v>
      </c>
      <c r="B51" s="108">
        <v>5</v>
      </c>
      <c r="C51" s="21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08" t="s">
        <v>798</v>
      </c>
      <c r="B52" s="108">
        <v>6</v>
      </c>
      <c r="C52" s="21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08" t="s">
        <v>798</v>
      </c>
      <c r="B53" s="108">
        <v>7</v>
      </c>
      <c r="C53" s="21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08" t="s">
        <v>798</v>
      </c>
      <c r="B54" s="108">
        <v>8</v>
      </c>
      <c r="C54" s="21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08" t="s">
        <v>798</v>
      </c>
      <c r="B55" s="108">
        <v>9</v>
      </c>
      <c r="C55" s="21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08" t="s">
        <v>798</v>
      </c>
      <c r="B56" s="108">
        <v>10</v>
      </c>
      <c r="C56" s="21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08" t="s">
        <v>798</v>
      </c>
      <c r="B57" s="108">
        <v>11</v>
      </c>
      <c r="C57" s="21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08" t="s">
        <v>798</v>
      </c>
      <c r="B58" s="108">
        <v>12</v>
      </c>
      <c r="C58" s="21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08" t="s">
        <v>798</v>
      </c>
      <c r="B59" s="108">
        <v>13</v>
      </c>
      <c r="C59" s="21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08" t="s">
        <v>798</v>
      </c>
      <c r="B60" s="108">
        <v>14</v>
      </c>
      <c r="C60" s="21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08" t="s">
        <v>798</v>
      </c>
      <c r="B61" s="108">
        <v>15</v>
      </c>
      <c r="C61" s="21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08" t="s">
        <v>799</v>
      </c>
      <c r="B62" s="108">
        <v>0</v>
      </c>
      <c r="C62" s="21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08" t="s">
        <v>799</v>
      </c>
      <c r="B63" s="108">
        <v>1</v>
      </c>
      <c r="C63" s="21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08" t="s">
        <v>799</v>
      </c>
      <c r="B64" s="108">
        <v>2</v>
      </c>
      <c r="C64" s="21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08" t="s">
        <v>799</v>
      </c>
      <c r="B65" s="108">
        <v>3</v>
      </c>
      <c r="C65" s="21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08" t="s">
        <v>799</v>
      </c>
      <c r="B66" s="108">
        <v>4</v>
      </c>
      <c r="C66" s="21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08" t="s">
        <v>799</v>
      </c>
      <c r="B67" s="108">
        <v>5</v>
      </c>
      <c r="C67" s="21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08" t="s">
        <v>799</v>
      </c>
      <c r="B68" s="108">
        <v>6</v>
      </c>
      <c r="C68" s="21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08" t="s">
        <v>799</v>
      </c>
      <c r="B69" s="108">
        <v>7</v>
      </c>
      <c r="C69" s="21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08" t="s">
        <v>799</v>
      </c>
      <c r="B70" s="108">
        <v>8</v>
      </c>
      <c r="C70" s="21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08" t="s">
        <v>799</v>
      </c>
      <c r="B71" s="108">
        <v>9</v>
      </c>
      <c r="C71" s="21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08" t="s">
        <v>799</v>
      </c>
      <c r="B72" s="108">
        <v>10</v>
      </c>
      <c r="C72" s="21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08" t="s">
        <v>799</v>
      </c>
      <c r="B73" s="108">
        <v>11</v>
      </c>
      <c r="C73" s="21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08" t="s">
        <v>799</v>
      </c>
      <c r="B74" s="108">
        <v>12</v>
      </c>
      <c r="C74" s="21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08" t="s">
        <v>799</v>
      </c>
      <c r="B75" s="108">
        <v>13</v>
      </c>
      <c r="C75" s="21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08" t="s">
        <v>799</v>
      </c>
      <c r="B76" s="108">
        <v>14</v>
      </c>
      <c r="C76" s="21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08" t="s">
        <v>799</v>
      </c>
      <c r="B77" s="108">
        <v>15</v>
      </c>
      <c r="C77" s="21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