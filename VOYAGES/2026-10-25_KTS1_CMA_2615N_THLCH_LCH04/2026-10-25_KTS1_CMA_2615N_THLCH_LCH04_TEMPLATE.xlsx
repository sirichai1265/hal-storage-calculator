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9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3" fillId="3" borderId="5" applyAlignment="1" pivotButton="0" quotePrefix="0" xfId="0">
      <alignment horizontal="left" vertical="center" readingOrder="1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7" fontId="33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 wrapText="1"/>
    </xf>
    <xf numFmtId="0" fontId="33" fillId="0" borderId="1" applyAlignment="1" pivotButton="0" quotePrefix="0" xfId="0">
      <alignment vertical="center"/>
    </xf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BEAU2358290</t>
        </is>
      </c>
      <c r="B2" s="161" t="inlineStr">
        <is>
          <t>2026-10-25</t>
        </is>
      </c>
      <c r="C2" s="96" t="inlineStr">
        <is>
          <t>CMA</t>
        </is>
      </c>
      <c r="D2" s="96" t="inlineStr">
        <is>
          <t>2615N</t>
        </is>
      </c>
      <c r="E2" s="96" t="inlineStr">
        <is>
          <t>22GP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HKHKG</t>
        </is>
      </c>
      <c r="J2" s="96" t="inlineStr">
        <is>
          <t>HKHKG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LCH04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HASLS22261000852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KTS</t>
        </is>
      </c>
      <c r="U2" s="97" t="n"/>
      <c r="V2" s="96" t="inlineStr">
        <is>
          <t>TSN15L03</t>
        </is>
      </c>
      <c r="W2" s="96" t="inlineStr">
        <is>
          <t>TRANSCONTAINER LOGISTICS (THAILAND)</t>
        </is>
      </c>
      <c r="X2" s="96" t="inlineStr">
        <is>
          <t>VED</t>
        </is>
      </c>
      <c r="Y2" s="96" t="inlineStr">
        <is>
          <t>YUSEN LOGISTICS (HONG KONG) LIMITED</t>
        </is>
      </c>
      <c r="Z2" s="96" t="inlineStr">
        <is>
          <t>YUSEN LOGISTICS (HONG KONG) LIMITED</t>
        </is>
      </c>
      <c r="AA2" s="97" t="n">
        <v>5476</v>
      </c>
      <c r="AB2" s="96" t="inlineStr">
        <is>
          <t>LCH04</t>
        </is>
      </c>
      <c r="AC2" s="96" t="inlineStr">
        <is>
          <t>HKG03</t>
        </is>
      </c>
    </row>
    <row r="3" ht="12" customHeight="1">
      <c r="A3" s="96" t="inlineStr">
        <is>
          <t>BMOU4936392</t>
        </is>
      </c>
      <c r="B3" s="161" t="inlineStr">
        <is>
          <t>2026-10-25</t>
        </is>
      </c>
      <c r="C3" s="96" t="inlineStr">
        <is>
          <t>CMA</t>
        </is>
      </c>
      <c r="D3" s="96" t="inlineStr">
        <is>
          <t>2615N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HKHKG</t>
        </is>
      </c>
      <c r="J3" s="96" t="inlineStr">
        <is>
          <t>HKHKG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LCH04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HASLS22261001183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KTS</t>
        </is>
      </c>
      <c r="U3" s="97" t="n"/>
      <c r="V3" s="96" t="inlineStr">
        <is>
          <t>K0121028</t>
        </is>
      </c>
      <c r="W3" s="96" t="inlineStr">
        <is>
          <t>YUSEN LOGISTICS (THAILAND) CO., LTD</t>
        </is>
      </c>
      <c r="X3" s="96" t="inlineStr">
        <is>
          <t>VFD</t>
        </is>
      </c>
      <c r="Y3" s="96" t="inlineStr">
        <is>
          <t>YUSEN LOGISTICS (HONG KONG) LTD.</t>
        </is>
      </c>
      <c r="Z3" s="96" t="inlineStr">
        <is>
          <t>YUSEN LOGISTICS (HONG KONG) LTD.</t>
        </is>
      </c>
      <c r="AA3" s="97" t="n">
        <v>16400</v>
      </c>
      <c r="AB3" s="96" t="inlineStr">
        <is>
          <t>LCH04</t>
        </is>
      </c>
      <c r="AC3" s="96" t="inlineStr">
        <is>
          <t>HKG03</t>
        </is>
      </c>
    </row>
    <row r="4" ht="12" customHeight="1">
      <c r="A4" s="96" t="inlineStr">
        <is>
          <t>FBIU5094886</t>
        </is>
      </c>
      <c r="B4" s="161" t="inlineStr">
        <is>
          <t>2026-10-25</t>
        </is>
      </c>
      <c r="C4" s="96" t="inlineStr">
        <is>
          <t>CMA</t>
        </is>
      </c>
      <c r="D4" s="96" t="inlineStr">
        <is>
          <t>2615N</t>
        </is>
      </c>
      <c r="E4" s="96" t="inlineStr">
        <is>
          <t>45RE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KRPUS</t>
        </is>
      </c>
      <c r="J4" s="96" t="inlineStr">
        <is>
          <t>KRPUS</t>
        </is>
      </c>
      <c r="K4" s="96" t="inlineStr">
        <is>
          <t>F</t>
        </is>
      </c>
      <c r="L4" s="96" t="inlineStr">
        <is>
          <t>ONE</t>
        </is>
      </c>
      <c r="M4" s="96" t="inlineStr">
        <is>
          <t>VFL</t>
        </is>
      </c>
      <c r="N4" s="96" t="inlineStr">
        <is>
          <t>LCH04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HASLS22261001478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KTS</t>
        </is>
      </c>
      <c r="U4" s="97" t="n"/>
      <c r="V4" s="96" t="inlineStr">
        <is>
          <t>K0120025</t>
        </is>
      </c>
      <c r="W4" s="96" t="inlineStr">
        <is>
          <t>PJW CORPORATION CO.,LTD.</t>
        </is>
      </c>
      <c r="X4" s="96" t="inlineStr">
        <is>
          <t>VFD</t>
        </is>
      </c>
      <c r="Y4" s="96" t="inlineStr">
        <is>
          <t>TO THE ORDER OF WOORI BANK</t>
        </is>
      </c>
      <c r="Z4" s="96" t="inlineStr">
        <is>
          <t>HIGHLAND FOODS CO., LTD.</t>
        </is>
      </c>
      <c r="AA4" s="97" t="n">
        <v>24633</v>
      </c>
      <c r="AB4" s="96" t="inlineStr">
        <is>
          <t>LCH04</t>
        </is>
      </c>
      <c r="AC4" s="96" t="inlineStr">
        <is>
          <t>PUSH4</t>
        </is>
      </c>
    </row>
    <row r="5" ht="12" customHeight="1">
      <c r="A5" s="96" t="inlineStr">
        <is>
          <t>HALU2033771</t>
        </is>
      </c>
      <c r="B5" s="161" t="inlineStr">
        <is>
          <t>2026-10-25</t>
        </is>
      </c>
      <c r="C5" s="96" t="inlineStr">
        <is>
          <t>CMA</t>
        </is>
      </c>
      <c r="D5" s="96" t="inlineStr">
        <is>
          <t>2615N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CNSHK</t>
        </is>
      </c>
      <c r="J5" s="96" t="inlineStr">
        <is>
          <t>CNSHK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LCH04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HASLS22260901853</t>
        </is>
      </c>
      <c r="R5" s="96" t="inlineStr">
        <is>
          <t>N</t>
        </is>
      </c>
      <c r="S5" s="96" t="inlineStr">
        <is>
          <t>N</t>
        </is>
      </c>
      <c r="T5" s="96" t="inlineStr">
        <is>
          <t>KTS</t>
        </is>
      </c>
      <c r="U5" s="97" t="n"/>
      <c r="V5" s="96" t="inlineStr">
        <is>
          <t>TXG14011</t>
        </is>
      </c>
      <c r="W5" s="96" t="inlineStr">
        <is>
          <t>DIMERCO EXPRESS (THAILAND) CO.,LTD.</t>
        </is>
      </c>
      <c r="X5" s="96" t="inlineStr">
        <is>
          <t>VFD</t>
        </is>
      </c>
      <c r="Y5" s="96" t="inlineStr">
        <is>
          <t>DIVERSIFIED INTERNATIONAL</t>
        </is>
      </c>
      <c r="Z5" s="96" t="inlineStr">
        <is>
          <t>DIVERSIFIED INTERNATIONAL</t>
        </is>
      </c>
      <c r="AA5" s="97" t="n">
        <v>3220.1</v>
      </c>
      <c r="AB5" s="96" t="inlineStr">
        <is>
          <t>LCH04</t>
        </is>
      </c>
      <c r="AC5" s="96" t="inlineStr">
        <is>
          <t>SHE04</t>
        </is>
      </c>
    </row>
    <row r="6" ht="12" customHeight="1">
      <c r="A6" s="96" t="inlineStr">
        <is>
          <t>HALU2455545</t>
        </is>
      </c>
      <c r="B6" s="161" t="inlineStr">
        <is>
          <t>2026-10-25</t>
        </is>
      </c>
      <c r="C6" s="96" t="inlineStr">
        <is>
          <t>CMA</t>
        </is>
      </c>
      <c r="D6" s="96" t="inlineStr">
        <is>
          <t>2615N</t>
        </is>
      </c>
      <c r="E6" s="96" t="inlineStr">
        <is>
          <t>22GP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HKHKG</t>
        </is>
      </c>
      <c r="J6" s="96" t="inlineStr">
        <is>
          <t>HKHKG</t>
        </is>
      </c>
      <c r="K6" s="96" t="inlineStr">
        <is>
          <t>F</t>
        </is>
      </c>
      <c r="L6" s="96" t="inlineStr">
        <is>
          <t>OWN</t>
        </is>
      </c>
      <c r="M6" s="96" t="inlineStr">
        <is>
          <t>VFL</t>
        </is>
      </c>
      <c r="N6" s="96" t="inlineStr">
        <is>
          <t>LCH04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HASLS22261001392</t>
        </is>
      </c>
      <c r="R6" s="96" t="inlineStr">
        <is>
          <t>N</t>
        </is>
      </c>
      <c r="S6" s="96" t="inlineStr">
        <is>
          <t>N</t>
        </is>
      </c>
      <c r="T6" s="96" t="inlineStr">
        <is>
          <t>KTS</t>
        </is>
      </c>
      <c r="U6" s="97" t="n"/>
      <c r="V6" s="96" t="inlineStr">
        <is>
          <t>C0324009</t>
        </is>
      </c>
      <c r="W6" s="96" t="inlineStr">
        <is>
          <t>DOLPHIN LOGISTICS (THAILAND)</t>
        </is>
      </c>
      <c r="X6" s="96" t="inlineStr">
        <is>
          <t>VFD</t>
        </is>
      </c>
      <c r="Y6" s="96" t="inlineStr">
        <is>
          <t>SIG FAI TRANSPORTATION COMPANY</t>
        </is>
      </c>
      <c r="Z6" s="96" t="inlineStr">
        <is>
          <t>SIG FAI TRANSPORTATION COMPANY</t>
        </is>
      </c>
      <c r="AA6" s="97" t="n">
        <v>2761.4</v>
      </c>
      <c r="AB6" s="96" t="inlineStr">
        <is>
          <t>LCH04</t>
        </is>
      </c>
      <c r="AC6" s="96" t="inlineStr">
        <is>
          <t>HKG03</t>
        </is>
      </c>
    </row>
    <row r="7" ht="12" customHeight="1">
      <c r="A7" s="96" t="inlineStr">
        <is>
          <t>HALU2502056</t>
        </is>
      </c>
      <c r="B7" s="161" t="inlineStr">
        <is>
          <t>2026-10-25</t>
        </is>
      </c>
      <c r="C7" s="96" t="inlineStr">
        <is>
          <t>CMA</t>
        </is>
      </c>
      <c r="D7" s="96" t="inlineStr">
        <is>
          <t>2615N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CNSHK</t>
        </is>
      </c>
      <c r="J7" s="96" t="inlineStr">
        <is>
          <t>CNSHK</t>
        </is>
      </c>
      <c r="K7" s="96" t="inlineStr">
        <is>
          <t>F</t>
        </is>
      </c>
      <c r="L7" s="96" t="inlineStr">
        <is>
          <t>OWN</t>
        </is>
      </c>
      <c r="M7" s="96" t="inlineStr">
        <is>
          <t>VFL</t>
        </is>
      </c>
      <c r="N7" s="96" t="inlineStr">
        <is>
          <t>LCH04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HASLS22261001499</t>
        </is>
      </c>
      <c r="R7" s="96" t="inlineStr">
        <is>
          <t>N</t>
        </is>
      </c>
      <c r="S7" s="96" t="inlineStr">
        <is>
          <t>N</t>
        </is>
      </c>
      <c r="T7" s="96" t="inlineStr">
        <is>
          <t>KTS</t>
        </is>
      </c>
      <c r="U7" s="97" t="n"/>
      <c r="V7" s="96" t="inlineStr">
        <is>
          <t>C0125002</t>
        </is>
      </c>
      <c r="W7" s="96" t="inlineStr">
        <is>
          <t>UBE CHEMICALS (ASIA) PUBLIC</t>
        </is>
      </c>
      <c r="X7" s="96" t="inlineStr">
        <is>
          <t>VED</t>
        </is>
      </c>
      <c r="Y7" s="96" t="inlineStr">
        <is>
          <t>DONGGUAN STARPLAS ENGINEERING</t>
        </is>
      </c>
      <c r="Z7" s="96" t="inlineStr">
        <is>
          <t>DONGGUAN STARPLAS ENGINEERING</t>
        </is>
      </c>
      <c r="AA7" s="97" t="n">
        <v>19190</v>
      </c>
      <c r="AB7" s="96" t="inlineStr">
        <is>
          <t>LCH04</t>
        </is>
      </c>
      <c r="AC7" s="96" t="inlineStr">
        <is>
          <t>SHE04</t>
        </is>
      </c>
    </row>
    <row r="8" ht="12" customHeight="1">
      <c r="A8" s="96" t="inlineStr">
        <is>
          <t>HALU2585338</t>
        </is>
      </c>
      <c r="B8" s="161" t="inlineStr">
        <is>
          <t>2026-10-25</t>
        </is>
      </c>
      <c r="C8" s="96" t="inlineStr">
        <is>
          <t>CMA</t>
        </is>
      </c>
      <c r="D8" s="96" t="inlineStr">
        <is>
          <t>2615N</t>
        </is>
      </c>
      <c r="E8" s="96" t="inlineStr">
        <is>
          <t>22GP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CNSHK</t>
        </is>
      </c>
      <c r="J8" s="96" t="inlineStr">
        <is>
          <t>CNSHK</t>
        </is>
      </c>
      <c r="K8" s="96" t="inlineStr">
        <is>
          <t>F</t>
        </is>
      </c>
      <c r="L8" s="96" t="inlineStr">
        <is>
          <t>OWN</t>
        </is>
      </c>
      <c r="M8" s="96" t="inlineStr">
        <is>
          <t>VFL</t>
        </is>
      </c>
      <c r="N8" s="96" t="inlineStr">
        <is>
          <t>LCH04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HASLS22261001499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KTS</t>
        </is>
      </c>
      <c r="U8" s="97" t="n"/>
      <c r="V8" s="96" t="inlineStr">
        <is>
          <t>C0426001</t>
        </is>
      </c>
      <c r="W8" s="96" t="inlineStr">
        <is>
          <t>UBE CHEMICALS (ASIA) PUBLIC</t>
        </is>
      </c>
      <c r="X8" s="96" t="inlineStr">
        <is>
          <t>VFD</t>
        </is>
      </c>
      <c r="Y8" s="96" t="inlineStr">
        <is>
          <t>DONGGUAN STARPLAS ENGINEERING</t>
        </is>
      </c>
      <c r="Z8" s="96" t="inlineStr">
        <is>
          <t>DONGGUAN STARPLAS ENGINEERING</t>
        </is>
      </c>
      <c r="AA8" s="97" t="n">
        <v>19190</v>
      </c>
      <c r="AB8" s="96" t="inlineStr">
        <is>
          <t>LCH04</t>
        </is>
      </c>
      <c r="AC8" s="96" t="inlineStr">
        <is>
          <t>SHE04</t>
        </is>
      </c>
    </row>
    <row r="9" ht="12" customHeight="1">
      <c r="A9" s="96" t="inlineStr">
        <is>
          <t>HALU5632876</t>
        </is>
      </c>
      <c r="B9" s="161" t="inlineStr">
        <is>
          <t>2026-10-25</t>
        </is>
      </c>
      <c r="C9" s="96" t="inlineStr">
        <is>
          <t>CMA</t>
        </is>
      </c>
      <c r="D9" s="96" t="inlineStr">
        <is>
          <t>2615N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HKHKG</t>
        </is>
      </c>
      <c r="J9" s="96" t="inlineStr">
        <is>
          <t>HKHKG</t>
        </is>
      </c>
      <c r="K9" s="96" t="inlineStr">
        <is>
          <t>F</t>
        </is>
      </c>
      <c r="L9" s="96" t="inlineStr">
        <is>
          <t>OWN</t>
        </is>
      </c>
      <c r="M9" s="96" t="inlineStr">
        <is>
          <t>VFL</t>
        </is>
      </c>
      <c r="N9" s="96" t="inlineStr">
        <is>
          <t>LCH04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HASLS22261001183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KTS</t>
        </is>
      </c>
      <c r="U9" s="97" t="n"/>
      <c r="V9" s="96" t="inlineStr">
        <is>
          <t>TAO13013</t>
        </is>
      </c>
      <c r="W9" s="96" t="inlineStr">
        <is>
          <t>YUSEN LOGISTICS (THAILAND) CO., LTD</t>
        </is>
      </c>
      <c r="X9" s="96" t="inlineStr">
        <is>
          <t>VFD</t>
        </is>
      </c>
      <c r="Y9" s="96" t="inlineStr">
        <is>
          <t>YUSEN LOGISTICS (HONG KONG) LTD.</t>
        </is>
      </c>
      <c r="Z9" s="96" t="inlineStr">
        <is>
          <t>YUSEN LOGISTICS (HONG KONG) LTD.</t>
        </is>
      </c>
      <c r="AA9" s="97" t="n">
        <v>16400</v>
      </c>
      <c r="AB9" s="96" t="inlineStr">
        <is>
          <t>LCH04</t>
        </is>
      </c>
      <c r="AC9" s="96" t="inlineStr">
        <is>
          <t>HKG03</t>
        </is>
      </c>
    </row>
    <row r="10" ht="12" customHeight="1">
      <c r="A10" s="96" t="inlineStr">
        <is>
          <t>SKHU8925490</t>
        </is>
      </c>
      <c r="B10" s="161" t="inlineStr">
        <is>
          <t>2026-10-25</t>
        </is>
      </c>
      <c r="C10" s="96" t="inlineStr">
        <is>
          <t>CMA</t>
        </is>
      </c>
      <c r="D10" s="96" t="inlineStr">
        <is>
          <t>2615N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HKHKG</t>
        </is>
      </c>
      <c r="J10" s="96" t="inlineStr">
        <is>
          <t>HKHKG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LCH04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HASLS22261001183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KTS</t>
        </is>
      </c>
      <c r="U10" s="97" t="n"/>
      <c r="V10" s="96" t="inlineStr">
        <is>
          <t>K0120023</t>
        </is>
      </c>
      <c r="W10" s="96" t="inlineStr">
        <is>
          <t>YUSEN LOGISTICS (THAILAND) CO., LTD</t>
        </is>
      </c>
      <c r="X10" s="96" t="inlineStr">
        <is>
          <t>VFD</t>
        </is>
      </c>
      <c r="Y10" s="96" t="inlineStr">
        <is>
          <t>YUSEN LOGISTICS (HONG KONG) LTD.</t>
        </is>
      </c>
      <c r="Z10" s="96" t="inlineStr">
        <is>
          <t>YUSEN LOGISTICS (HONG KONG) LTD.</t>
        </is>
      </c>
      <c r="AA10" s="97" t="n">
        <v>16400</v>
      </c>
      <c r="AB10" s="96" t="inlineStr">
        <is>
          <t>LCH04</t>
        </is>
      </c>
      <c r="AC10" s="96" t="inlineStr">
        <is>
          <t>HKG03</t>
        </is>
      </c>
    </row>
    <row r="11" ht="12" customHeight="1">
      <c r="A11" s="96" t="inlineStr">
        <is>
          <t>SKHU9203506</t>
        </is>
      </c>
      <c r="B11" s="161" t="inlineStr">
        <is>
          <t>2026-10-25</t>
        </is>
      </c>
      <c r="C11" s="96" t="inlineStr">
        <is>
          <t>CMA</t>
        </is>
      </c>
      <c r="D11" s="96" t="inlineStr">
        <is>
          <t>2615N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HKHKG</t>
        </is>
      </c>
      <c r="J11" s="96" t="inlineStr">
        <is>
          <t>HKHKG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LCH04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HASLS22261001183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KTS</t>
        </is>
      </c>
      <c r="U11" s="97" t="n"/>
      <c r="V11" s="96" t="inlineStr">
        <is>
          <t>K0120023</t>
        </is>
      </c>
      <c r="W11" s="96" t="inlineStr">
        <is>
          <t>YUSEN LOGISTICS (THAILAND) CO., LTD</t>
        </is>
      </c>
      <c r="X11" s="96" t="inlineStr">
        <is>
          <t>VFD</t>
        </is>
      </c>
      <c r="Y11" s="96" t="inlineStr">
        <is>
          <t>YUSEN LOGISTICS (HONG KONG) LTD.</t>
        </is>
      </c>
      <c r="Z11" s="96" t="inlineStr">
        <is>
          <t>YUSEN LOGISTICS (HONG KONG) LTD.</t>
        </is>
      </c>
      <c r="AA11" s="97" t="n">
        <v>16400</v>
      </c>
      <c r="AB11" s="96" t="inlineStr">
        <is>
          <t>LCH04</t>
        </is>
      </c>
      <c r="AC11" s="96" t="inlineStr">
        <is>
          <t>HKG03</t>
        </is>
      </c>
    </row>
    <row r="12" ht="12" customHeight="1">
      <c r="A12" s="96" t="inlineStr">
        <is>
          <t>SKHU9406910</t>
        </is>
      </c>
      <c r="B12" s="161" t="inlineStr">
        <is>
          <t>2026-10-25</t>
        </is>
      </c>
      <c r="C12" s="96" t="inlineStr">
        <is>
          <t>CMA</t>
        </is>
      </c>
      <c r="D12" s="96" t="inlineStr">
        <is>
          <t>2615N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HKHKG</t>
        </is>
      </c>
      <c r="J12" s="96" t="inlineStr">
        <is>
          <t>HKHKG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LCH04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HASLS22261001183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KTS</t>
        </is>
      </c>
      <c r="U12" s="97" t="n"/>
      <c r="V12" s="96" t="inlineStr">
        <is>
          <t>K0120023</t>
        </is>
      </c>
      <c r="W12" s="96" t="inlineStr">
        <is>
          <t>YUSEN LOGISTICS (THAILAND) CO., LTD</t>
        </is>
      </c>
      <c r="X12" s="96" t="inlineStr">
        <is>
          <t>VFD</t>
        </is>
      </c>
      <c r="Y12" s="96" t="inlineStr">
        <is>
          <t>YUSEN LOGISTICS (HONG KONG) LTD.</t>
        </is>
      </c>
      <c r="Z12" s="96" t="inlineStr">
        <is>
          <t>YUSEN LOGISTICS (HONG KONG) LTD.</t>
        </is>
      </c>
      <c r="AA12" s="97" t="n">
        <v>16400</v>
      </c>
      <c r="AB12" s="96" t="inlineStr">
        <is>
          <t>LCH04</t>
        </is>
      </c>
      <c r="AC12" s="96" t="inlineStr">
        <is>
          <t>HKG03</t>
        </is>
      </c>
    </row>
    <row r="13" ht="12" customHeight="1">
      <c r="A13" s="96" t="inlineStr">
        <is>
          <t>SKHU9800327</t>
        </is>
      </c>
      <c r="B13" s="161" t="inlineStr">
        <is>
          <t>2026-10-25</t>
        </is>
      </c>
      <c r="C13" s="96" t="inlineStr">
        <is>
          <t>CMA</t>
        </is>
      </c>
      <c r="D13" s="96" t="inlineStr">
        <is>
          <t>2615N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HKHKG</t>
        </is>
      </c>
      <c r="J13" s="96" t="inlineStr">
        <is>
          <t>HKHKG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LCH04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HASLS22261001183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KTS</t>
        </is>
      </c>
      <c r="U13" s="97" t="n"/>
      <c r="V13" s="96" t="inlineStr">
        <is>
          <t>K0120023</t>
        </is>
      </c>
      <c r="W13" s="96" t="inlineStr">
        <is>
          <t>YUSEN LOGISTICS (THAILAND) CO., LTD</t>
        </is>
      </c>
      <c r="X13" s="96" t="inlineStr">
        <is>
          <t>VFD</t>
        </is>
      </c>
      <c r="Y13" s="96" t="inlineStr">
        <is>
          <t>YUSEN LOGISTICS (HONG KONG) LTD.</t>
        </is>
      </c>
      <c r="Z13" s="96" t="inlineStr">
        <is>
          <t>YUSEN LOGISTICS (HONG KONG) LTD.</t>
        </is>
      </c>
      <c r="AA13" s="97" t="n">
        <v>16400</v>
      </c>
      <c r="AB13" s="96" t="inlineStr">
        <is>
          <t>LCH04</t>
        </is>
      </c>
      <c r="AC13" s="96" t="inlineStr">
        <is>
          <t>HKG03</t>
        </is>
      </c>
    </row>
    <row r="14" ht="12" customHeight="1">
      <c r="A14" s="96" t="inlineStr">
        <is>
          <t>SKHU9812502</t>
        </is>
      </c>
      <c r="B14" s="161" t="inlineStr">
        <is>
          <t>2026-10-25</t>
        </is>
      </c>
      <c r="C14" s="96" t="inlineStr">
        <is>
          <t>CMA</t>
        </is>
      </c>
      <c r="D14" s="96" t="inlineStr">
        <is>
          <t>2615N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HKHKG</t>
        </is>
      </c>
      <c r="J14" s="96" t="inlineStr">
        <is>
          <t>HKHKG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LCH04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HASLS22261001183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KTS</t>
        </is>
      </c>
      <c r="U14" s="97" t="n"/>
      <c r="V14" s="96" t="inlineStr">
        <is>
          <t>K0120023</t>
        </is>
      </c>
      <c r="W14" s="96" t="inlineStr">
        <is>
          <t>YUSEN LOGISTICS (THAILAND) CO., LTD</t>
        </is>
      </c>
      <c r="X14" s="96" t="inlineStr">
        <is>
          <t>VFD</t>
        </is>
      </c>
      <c r="Y14" s="96" t="inlineStr">
        <is>
          <t>YUSEN LOGISTICS (HONG KONG) LTD.</t>
        </is>
      </c>
      <c r="Z14" s="96" t="inlineStr">
        <is>
          <t>YUSEN LOGISTICS (HONG KONG) LTD.</t>
        </is>
      </c>
      <c r="AA14" s="97" t="n">
        <v>16400</v>
      </c>
      <c r="AB14" s="96" t="inlineStr">
        <is>
          <t>LCH04</t>
        </is>
      </c>
      <c r="AC14" s="96" t="inlineStr">
        <is>
          <t>HKG03</t>
        </is>
      </c>
    </row>
    <row r="15" ht="12" customHeight="1">
      <c r="A15" s="96" t="inlineStr">
        <is>
          <t>SKHU9918623</t>
        </is>
      </c>
      <c r="B15" s="161" t="inlineStr">
        <is>
          <t>2026-10-25</t>
        </is>
      </c>
      <c r="C15" s="96" t="inlineStr">
        <is>
          <t>CMA</t>
        </is>
      </c>
      <c r="D15" s="96" t="inlineStr">
        <is>
          <t>2615N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HKHKG</t>
        </is>
      </c>
      <c r="J15" s="96" t="inlineStr">
        <is>
          <t>HKHKG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LCH04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HASLS22261001183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KTS</t>
        </is>
      </c>
      <c r="U15" s="97" t="n"/>
      <c r="V15" s="96" t="inlineStr">
        <is>
          <t>K0120023</t>
        </is>
      </c>
      <c r="W15" s="96" t="inlineStr">
        <is>
          <t>YUSEN LOGISTICS (THAILAND) CO., LTD</t>
        </is>
      </c>
      <c r="X15" s="96" t="inlineStr">
        <is>
          <t>VFD</t>
        </is>
      </c>
      <c r="Y15" s="96" t="inlineStr">
        <is>
          <t>YUSEN LOGISTICS (HONG KONG) LTD.</t>
        </is>
      </c>
      <c r="Z15" s="96" t="inlineStr">
        <is>
          <t>YUSEN LOGISTICS (HONG KONG) LTD.</t>
        </is>
      </c>
      <c r="AA15" s="97" t="n">
        <v>16400</v>
      </c>
      <c r="AB15" s="96" t="inlineStr">
        <is>
          <t>LCH04</t>
        </is>
      </c>
      <c r="AC15" s="96" t="inlineStr">
        <is>
          <t>HKG03</t>
        </is>
      </c>
    </row>
    <row r="16" ht="12" customHeight="1">
      <c r="A16" s="96" t="inlineStr">
        <is>
          <t>SKHU9941860</t>
        </is>
      </c>
      <c r="B16" s="161" t="inlineStr">
        <is>
          <t>2026-10-25</t>
        </is>
      </c>
      <c r="C16" s="96" t="inlineStr">
        <is>
          <t>CMA</t>
        </is>
      </c>
      <c r="D16" s="96" t="inlineStr">
        <is>
          <t>2615N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HKHKG</t>
        </is>
      </c>
      <c r="J16" s="96" t="inlineStr">
        <is>
          <t>HKHKG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LCH04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HASLS22261001183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KTS</t>
        </is>
      </c>
      <c r="U16" s="97" t="n"/>
      <c r="V16" s="96" t="inlineStr">
        <is>
          <t>K0120023</t>
        </is>
      </c>
      <c r="W16" s="96" t="inlineStr">
        <is>
          <t>YUSEN LOGISTICS (THAILAND) CO., LTD</t>
        </is>
      </c>
      <c r="X16" s="96" t="inlineStr">
        <is>
          <t>VFD</t>
        </is>
      </c>
      <c r="Y16" s="96" t="inlineStr">
        <is>
          <t>YUSEN LOGISTICS (HONG KONG) LTD.</t>
        </is>
      </c>
      <c r="Z16" s="96" t="inlineStr">
        <is>
          <t>YUSEN LOGISTICS (HONG KONG) LTD.</t>
        </is>
      </c>
      <c r="AA16" s="97" t="n">
        <v>16400</v>
      </c>
      <c r="AB16" s="96" t="inlineStr">
        <is>
          <t>LCH04</t>
        </is>
      </c>
      <c r="AC16" s="96" t="inlineStr">
        <is>
          <t>HKG03</t>
        </is>
      </c>
    </row>
    <row r="17" ht="12" customHeight="1">
      <c r="A17" s="96" t="inlineStr">
        <is>
          <t>SKHU9952989</t>
        </is>
      </c>
      <c r="B17" s="161" t="inlineStr">
        <is>
          <t>2026-10-25</t>
        </is>
      </c>
      <c r="C17" s="96" t="inlineStr">
        <is>
          <t>CMA</t>
        </is>
      </c>
      <c r="D17" s="96" t="inlineStr">
        <is>
          <t>2615N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HKHKG</t>
        </is>
      </c>
      <c r="J17" s="96" t="inlineStr">
        <is>
          <t>HKHKG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LCH04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HASLS22261001183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KTS</t>
        </is>
      </c>
      <c r="U17" s="97" t="n"/>
      <c r="V17" s="96" t="inlineStr">
        <is>
          <t>K0120023</t>
        </is>
      </c>
      <c r="W17" s="96" t="inlineStr">
        <is>
          <t>YUSEN LOGISTICS (THAILAND) CO., LTD</t>
        </is>
      </c>
      <c r="X17" s="96" t="inlineStr">
        <is>
          <t>VFD</t>
        </is>
      </c>
      <c r="Y17" s="96" t="inlineStr">
        <is>
          <t>YUSEN LOGISTICS (HONG KONG) LTD.</t>
        </is>
      </c>
      <c r="Z17" s="96" t="inlineStr">
        <is>
          <t>YUSEN LOGISTICS (HONG KONG) LTD.</t>
        </is>
      </c>
      <c r="AA17" s="97" t="n">
        <v>16400</v>
      </c>
      <c r="AB17" s="96" t="inlineStr">
        <is>
          <t>LCH04</t>
        </is>
      </c>
      <c r="AC17" s="96" t="inlineStr">
        <is>
          <t>HKG03</t>
        </is>
      </c>
    </row>
    <row r="18" ht="12" customHeight="1">
      <c r="A18" s="96" t="inlineStr">
        <is>
          <t>SKLU0574227</t>
        </is>
      </c>
      <c r="B18" s="161" t="inlineStr">
        <is>
          <t>2026-10-25</t>
        </is>
      </c>
      <c r="C18" s="96" t="inlineStr">
        <is>
          <t>CMA</t>
        </is>
      </c>
      <c r="D18" s="96" t="inlineStr">
        <is>
          <t>2615N</t>
        </is>
      </c>
      <c r="E18" s="96" t="inlineStr">
        <is>
          <t>22GP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CNSHK</t>
        </is>
      </c>
      <c r="J18" s="96" t="inlineStr">
        <is>
          <t>CNSHK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LCH04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HASLS22261001499</t>
        </is>
      </c>
      <c r="R18" s="96" t="inlineStr">
        <is>
          <t>N</t>
        </is>
      </c>
      <c r="S18" s="96" t="inlineStr">
        <is>
          <t>N</t>
        </is>
      </c>
      <c r="T18" s="96" t="inlineStr">
        <is>
          <t>KTS</t>
        </is>
      </c>
      <c r="U18" s="97" t="n"/>
      <c r="V18" s="96" t="inlineStr">
        <is>
          <t>K0120021</t>
        </is>
      </c>
      <c r="W18" s="96" t="inlineStr">
        <is>
          <t>UBE CHEMICALS (ASIA) PUBLIC</t>
        </is>
      </c>
      <c r="X18" s="96" t="inlineStr">
        <is>
          <t>VFD</t>
        </is>
      </c>
      <c r="Y18" s="96" t="inlineStr">
        <is>
          <t>DONGGUAN STARPLAS ENGINEERING</t>
        </is>
      </c>
      <c r="Z18" s="96" t="inlineStr">
        <is>
          <t>DONGGUAN STARPLAS ENGINEERING</t>
        </is>
      </c>
      <c r="AA18" s="97" t="n">
        <v>19190</v>
      </c>
      <c r="AB18" s="96" t="inlineStr">
        <is>
          <t>LCH04</t>
        </is>
      </c>
      <c r="AC18" s="96" t="inlineStr">
        <is>
          <t>SHE04</t>
        </is>
      </c>
    </row>
    <row r="19" ht="12" customHeight="1">
      <c r="A19" s="96" t="inlineStr">
        <is>
          <t>SKLU2324340</t>
        </is>
      </c>
      <c r="B19" s="161" t="inlineStr">
        <is>
          <t>2026-10-25</t>
        </is>
      </c>
      <c r="C19" s="96" t="inlineStr">
        <is>
          <t>CMA</t>
        </is>
      </c>
      <c r="D19" s="96" t="inlineStr">
        <is>
          <t>2615N</t>
        </is>
      </c>
      <c r="E19" s="96" t="inlineStr">
        <is>
          <t>22GP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CNSHK</t>
        </is>
      </c>
      <c r="J19" s="96" t="inlineStr">
        <is>
          <t>CNSHK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LCH04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HASLS22261001499</t>
        </is>
      </c>
      <c r="R19" s="96" t="inlineStr">
        <is>
          <t>N</t>
        </is>
      </c>
      <c r="S19" s="96" t="inlineStr">
        <is>
          <t>N</t>
        </is>
      </c>
      <c r="T19" s="96" t="inlineStr">
        <is>
          <t>KTS</t>
        </is>
      </c>
      <c r="U19" s="97" t="n"/>
      <c r="V19" s="96" t="inlineStr">
        <is>
          <t>K0120021</t>
        </is>
      </c>
      <c r="W19" s="96" t="inlineStr">
        <is>
          <t>UBE CHEMICALS (ASIA) PUBLIC</t>
        </is>
      </c>
      <c r="X19" s="96" t="inlineStr">
        <is>
          <t>VED</t>
        </is>
      </c>
      <c r="Y19" s="96" t="inlineStr">
        <is>
          <t>DONGGUAN STARPLAS ENGINEERING</t>
        </is>
      </c>
      <c r="Z19" s="96" t="inlineStr">
        <is>
          <t>DONGGUAN STARPLAS ENGINEERING</t>
        </is>
      </c>
      <c r="AA19" s="97" t="n">
        <v>19190</v>
      </c>
      <c r="AB19" s="96" t="inlineStr">
        <is>
          <t>LCH04</t>
        </is>
      </c>
      <c r="AC19" s="96" t="inlineStr">
        <is>
          <t>SHE04</t>
        </is>
      </c>
    </row>
    <row r="20" ht="12" customHeight="1">
      <c r="A20" s="96" t="inlineStr">
        <is>
          <t>SKLU2480430</t>
        </is>
      </c>
      <c r="B20" s="161" t="inlineStr">
        <is>
          <t>2026-10-25</t>
        </is>
      </c>
      <c r="C20" s="96" t="inlineStr">
        <is>
          <t>CMA</t>
        </is>
      </c>
      <c r="D20" s="96" t="inlineStr">
        <is>
          <t>2615N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HKHKG</t>
        </is>
      </c>
      <c r="J20" s="96" t="inlineStr">
        <is>
          <t>HKHKG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LCH04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HASLS22261000843</t>
        </is>
      </c>
      <c r="R20" s="96" t="inlineStr">
        <is>
          <t>N</t>
        </is>
      </c>
      <c r="S20" s="96" t="inlineStr">
        <is>
          <t>N</t>
        </is>
      </c>
      <c r="T20" s="96" t="inlineStr">
        <is>
          <t>KTS</t>
        </is>
      </c>
      <c r="U20" s="97" t="n"/>
      <c r="V20" s="96" t="inlineStr">
        <is>
          <t>K0120021</t>
        </is>
      </c>
      <c r="W20" s="96" t="inlineStr">
        <is>
          <t>YUSEN LOGISTICS (THAILAND) CO., LTD</t>
        </is>
      </c>
      <c r="X20" s="96" t="inlineStr">
        <is>
          <t>VFD</t>
        </is>
      </c>
      <c r="Y20" s="96" t="inlineStr">
        <is>
          <t>YUSEN LOGISTICS (HONG KONG) LTD.</t>
        </is>
      </c>
      <c r="Z20" s="96" t="inlineStr">
        <is>
          <t>YUSEN LOGISTICS (HONG KONG) LTD.</t>
        </is>
      </c>
      <c r="AA20" s="97" t="n">
        <v>10907.6</v>
      </c>
      <c r="AB20" s="96" t="inlineStr">
        <is>
          <t>LCH04</t>
        </is>
      </c>
      <c r="AC20" s="96" t="inlineStr">
        <is>
          <t>HKG03</t>
        </is>
      </c>
    </row>
    <row r="21" ht="12" customHeight="1">
      <c r="A21" s="96" t="inlineStr">
        <is>
          <t>TEMU3392636</t>
        </is>
      </c>
      <c r="B21" s="161" t="inlineStr">
        <is>
          <t>2026-10-25</t>
        </is>
      </c>
      <c r="C21" s="96" t="inlineStr">
        <is>
          <t>CMA</t>
        </is>
      </c>
      <c r="D21" s="96" t="inlineStr">
        <is>
          <t>2615N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CNSHK</t>
        </is>
      </c>
      <c r="J21" s="96" t="inlineStr">
        <is>
          <t>CNSHK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LCH04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HASLS22260901642</t>
        </is>
      </c>
      <c r="R21" s="96" t="inlineStr">
        <is>
          <t>N</t>
        </is>
      </c>
      <c r="S21" s="96" t="inlineStr">
        <is>
          <t>N</t>
        </is>
      </c>
      <c r="T21" s="96" t="inlineStr">
        <is>
          <t>KTS</t>
        </is>
      </c>
      <c r="U21" s="97" t="n"/>
      <c r="V21" s="96" t="inlineStr">
        <is>
          <t>K0120021</t>
        </is>
      </c>
      <c r="W21" s="96" t="inlineStr">
        <is>
          <t>LOUIS ADHESIVE TAPES CO., LTD.</t>
        </is>
      </c>
      <c r="X21" s="96" t="inlineStr">
        <is>
          <t>VED</t>
        </is>
      </c>
      <c r="Y21" s="96" t="inlineStr">
        <is>
          <t>SHENZHEN HUAHUI PACKAGE PRODUCT</t>
        </is>
      </c>
      <c r="Z21" s="96" t="inlineStr">
        <is>
          <t>SHENZHEN HUAHUI PACKAGE PRODUCT</t>
        </is>
      </c>
      <c r="AA21" s="97" t="n">
        <v>8979</v>
      </c>
      <c r="AB21" s="96" t="inlineStr">
        <is>
          <t>LCH04</t>
        </is>
      </c>
      <c r="AC21" s="96" t="inlineStr">
        <is>
          <t>SHE04</t>
        </is>
      </c>
    </row>
    <row r="22" ht="12" customHeight="1">
      <c r="A22" s="96" t="n"/>
      <c r="B22" s="161" t="n"/>
      <c r="C22" s="96" t="n"/>
      <c r="D22" s="96" t="n"/>
      <c r="E22" s="96" t="n"/>
      <c r="F22" s="96" t="n"/>
      <c r="G22" s="96" t="n"/>
      <c r="H22" s="96" t="n"/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7" t="n"/>
      <c r="V22" s="96" t="n"/>
      <c r="W22" s="96" t="n"/>
      <c r="X22" s="96" t="n"/>
      <c r="Y22" s="96" t="n"/>
      <c r="Z22" s="96" t="n"/>
      <c r="AA22" s="97" t="n"/>
      <c r="AB22" s="96" t="n"/>
      <c r="AC22" s="96" t="n"/>
    </row>
    <row r="23" ht="12" customHeight="1">
      <c r="A23" s="96" t="n"/>
      <c r="B23" s="161" t="n"/>
      <c r="C23" s="96" t="n"/>
      <c r="D23" s="96" t="n"/>
      <c r="E23" s="96" t="n"/>
      <c r="F23" s="96" t="n"/>
      <c r="G23" s="96" t="n"/>
      <c r="H23" s="96" t="n"/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7" t="n"/>
      <c r="V23" s="96" t="n"/>
      <c r="W23" s="96" t="n"/>
      <c r="X23" s="96" t="n"/>
      <c r="Y23" s="96" t="n"/>
      <c r="Z23" s="96" t="n"/>
      <c r="AA23" s="97" t="n"/>
      <c r="AB23" s="96" t="n"/>
      <c r="AC23" s="96" t="n"/>
    </row>
    <row r="24" ht="12" customHeight="1">
      <c r="A24" s="96" t="n"/>
      <c r="B24" s="161" t="n"/>
      <c r="C24" s="96" t="n"/>
      <c r="D24" s="96" t="n"/>
      <c r="E24" s="96" t="n"/>
      <c r="F24" s="96" t="n"/>
      <c r="G24" s="96" t="n"/>
      <c r="H24" s="96" t="n"/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7" t="n"/>
      <c r="V24" s="96" t="n"/>
      <c r="W24" s="96" t="n"/>
      <c r="X24" s="96" t="n"/>
      <c r="Y24" s="96" t="n"/>
      <c r="Z24" s="96" t="n"/>
      <c r="AA24" s="97" t="n"/>
      <c r="AB24" s="96" t="n"/>
      <c r="AC24" s="96" t="n"/>
    </row>
    <row r="25" ht="12" customHeight="1">
      <c r="A25" s="96" t="n"/>
      <c r="B25" s="161" t="n"/>
      <c r="C25" s="96" t="n"/>
      <c r="D25" s="96" t="n"/>
      <c r="E25" s="96" t="n"/>
      <c r="F25" s="96" t="n"/>
      <c r="G25" s="96" t="n"/>
      <c r="H25" s="96" t="n"/>
      <c r="I25" s="96" t="n"/>
      <c r="J25" s="96" t="n"/>
      <c r="K25" s="96" t="n"/>
      <c r="L25" s="96" t="n"/>
      <c r="M25" s="96" t="n"/>
      <c r="N25" s="96" t="n"/>
      <c r="O25" s="96" t="n"/>
      <c r="P25" s="96" t="n"/>
      <c r="Q25" s="96" t="n"/>
      <c r="R25" s="96" t="n"/>
      <c r="S25" s="96" t="n"/>
      <c r="T25" s="96" t="n"/>
      <c r="U25" s="97" t="n"/>
      <c r="V25" s="96" t="n"/>
      <c r="W25" s="96" t="n"/>
      <c r="X25" s="96" t="n"/>
      <c r="Y25" s="96" t="n"/>
      <c r="Z25" s="96" t="n"/>
      <c r="AA25" s="97" t="n"/>
      <c r="AB25" s="96" t="n"/>
      <c r="AC25" s="96" t="n"/>
    </row>
    <row r="26" ht="12" customHeight="1">
      <c r="A26" s="96" t="n"/>
      <c r="B26" s="161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7" t="n"/>
      <c r="V26" s="96" t="n"/>
      <c r="W26" s="96" t="n"/>
      <c r="X26" s="96" t="n"/>
      <c r="Y26" s="96" t="n"/>
      <c r="Z26" s="96" t="n"/>
      <c r="AA26" s="97" t="n"/>
      <c r="AB26" s="96" t="n"/>
      <c r="AC26" s="96" t="n"/>
    </row>
    <row r="27" ht="12" customHeight="1">
      <c r="A27" s="96" t="n"/>
      <c r="B27" s="161" t="n"/>
      <c r="C27" s="96" t="n"/>
      <c r="D27" s="96" t="n"/>
      <c r="E27" s="96" t="n"/>
      <c r="F27" s="96" t="n"/>
      <c r="G27" s="96" t="n"/>
      <c r="H27" s="96" t="n"/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7" t="n"/>
      <c r="V27" s="96" t="n"/>
      <c r="W27" s="96" t="n"/>
      <c r="X27" s="96" t="n"/>
      <c r="Y27" s="96" t="n"/>
      <c r="Z27" s="96" t="n"/>
      <c r="AA27" s="97" t="n"/>
      <c r="AB27" s="96" t="n"/>
      <c r="AC27" s="96" t="n"/>
    </row>
    <row r="28" ht="12" customHeight="1">
      <c r="A28" s="96" t="n"/>
      <c r="B28" s="161" t="n"/>
      <c r="C28" s="96" t="n"/>
      <c r="D28" s="96" t="n"/>
      <c r="E28" s="96" t="n"/>
      <c r="F28" s="96" t="n"/>
      <c r="G28" s="96" t="n"/>
      <c r="H28" s="96" t="n"/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7" t="n"/>
      <c r="V28" s="96" t="n"/>
      <c r="W28" s="96" t="n"/>
      <c r="X28" s="96" t="n"/>
      <c r="Y28" s="96" t="n"/>
      <c r="Z28" s="96" t="n"/>
      <c r="AA28" s="97" t="n"/>
      <c r="AB28" s="96" t="n"/>
      <c r="AC28" s="96" t="n"/>
    </row>
    <row r="29" ht="12" customHeight="1">
      <c r="A29" s="96" t="n"/>
      <c r="B29" s="161" t="n"/>
      <c r="C29" s="96" t="n"/>
      <c r="D29" s="96" t="n"/>
      <c r="E29" s="96" t="n"/>
      <c r="F29" s="96" t="n"/>
      <c r="G29" s="96" t="n"/>
      <c r="H29" s="96" t="n"/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7" t="n"/>
      <c r="V29" s="96" t="n"/>
      <c r="W29" s="96" t="n"/>
      <c r="X29" s="96" t="n"/>
      <c r="Y29" s="96" t="n"/>
      <c r="Z29" s="96" t="n"/>
      <c r="AA29" s="97" t="n"/>
      <c r="AB29" s="96" t="n"/>
      <c r="AC29" s="96" t="n"/>
    </row>
    <row r="30" ht="12" customHeight="1">
      <c r="A30" s="96" t="n"/>
      <c r="B30" s="161" t="n"/>
      <c r="C30" s="96" t="n"/>
      <c r="D30" s="96" t="n"/>
      <c r="E30" s="96" t="n"/>
      <c r="F30" s="96" t="n"/>
      <c r="G30" s="96" t="n"/>
      <c r="H30" s="96" t="n"/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7" t="n"/>
      <c r="V30" s="96" t="n"/>
      <c r="W30" s="96" t="n"/>
      <c r="X30" s="96" t="n"/>
      <c r="Y30" s="96" t="n"/>
      <c r="Z30" s="96" t="n"/>
      <c r="AA30" s="97" t="n"/>
      <c r="AB30" s="96" t="n"/>
      <c r="AC30" s="96" t="n"/>
    </row>
    <row r="31" ht="12" customHeight="1">
      <c r="A31" s="96" t="n"/>
      <c r="B31" s="161" t="n"/>
      <c r="C31" s="96" t="n"/>
      <c r="D31" s="96" t="n"/>
      <c r="E31" s="96" t="n"/>
      <c r="F31" s="96" t="n"/>
      <c r="G31" s="96" t="n"/>
      <c r="H31" s="96" t="n"/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7" t="n"/>
      <c r="V31" s="96" t="n"/>
      <c r="W31" s="96" t="n"/>
      <c r="X31" s="96" t="n"/>
      <c r="Y31" s="96" t="n"/>
      <c r="Z31" s="96" t="n"/>
      <c r="AA31" s="97" t="n"/>
      <c r="AB31" s="96" t="n"/>
      <c r="AC31" s="96" t="n"/>
    </row>
    <row r="32" ht="12" customHeight="1">
      <c r="A32" s="96" t="n"/>
      <c r="B32" s="161" t="n"/>
      <c r="C32" s="96" t="n"/>
      <c r="D32" s="96" t="n"/>
      <c r="E32" s="96" t="n"/>
      <c r="F32" s="96" t="n"/>
      <c r="G32" s="96" t="n"/>
      <c r="H32" s="96" t="n"/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7" t="n"/>
      <c r="V32" s="96" t="n"/>
      <c r="W32" s="96" t="n"/>
      <c r="X32" s="96" t="n"/>
      <c r="Y32" s="96" t="n"/>
      <c r="Z32" s="96" t="n"/>
      <c r="AA32" s="97" t="n"/>
      <c r="AB32" s="96" t="n"/>
      <c r="AC32" s="96" t="n"/>
    </row>
    <row r="33" ht="12" customHeight="1">
      <c r="A33" s="96" t="n"/>
      <c r="B33" s="161" t="n"/>
      <c r="C33" s="96" t="n"/>
      <c r="D33" s="96" t="n"/>
      <c r="E33" s="96" t="n"/>
      <c r="F33" s="96" t="n"/>
      <c r="G33" s="96" t="n"/>
      <c r="H33" s="96" t="n"/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7" t="n"/>
      <c r="V33" s="96" t="n"/>
      <c r="W33" s="96" t="n"/>
      <c r="X33" s="96" t="n"/>
      <c r="Y33" s="96" t="n"/>
      <c r="Z33" s="96" t="n"/>
      <c r="AA33" s="97" t="n"/>
      <c r="AB33" s="96" t="n"/>
      <c r="AC33" s="96" t="n"/>
    </row>
    <row r="34" ht="12" customHeight="1">
      <c r="A34" s="96" t="n"/>
      <c r="B34" s="161" t="n"/>
      <c r="C34" s="96" t="n"/>
      <c r="D34" s="96" t="n"/>
      <c r="E34" s="96" t="n"/>
      <c r="F34" s="96" t="n"/>
      <c r="G34" s="96" t="n"/>
      <c r="H34" s="96" t="n"/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7" t="n"/>
      <c r="V34" s="96" t="n"/>
      <c r="W34" s="96" t="n"/>
      <c r="X34" s="96" t="n"/>
      <c r="Y34" s="96" t="n"/>
      <c r="Z34" s="96" t="n"/>
      <c r="AA34" s="97" t="n"/>
      <c r="AB34" s="96" t="n"/>
      <c r="AC34" s="96" t="n"/>
    </row>
    <row r="35" ht="12" customHeight="1">
      <c r="A35" s="96" t="n"/>
      <c r="B35" s="161" t="n"/>
      <c r="C35" s="96" t="n"/>
      <c r="D35" s="96" t="n"/>
      <c r="E35" s="96" t="n"/>
      <c r="F35" s="96" t="n"/>
      <c r="G35" s="96" t="n"/>
      <c r="H35" s="96" t="n"/>
      <c r="I35" s="96" t="n"/>
      <c r="J35" s="96" t="n"/>
      <c r="K35" s="96" t="n"/>
      <c r="L35" s="96" t="n"/>
      <c r="M35" s="96" t="n"/>
      <c r="N35" s="96" t="n"/>
      <c r="O35" s="96" t="n"/>
      <c r="P35" s="96" t="n"/>
      <c r="Q35" s="96" t="n"/>
      <c r="R35" s="96" t="n"/>
      <c r="S35" s="96" t="n"/>
      <c r="T35" s="96" t="n"/>
      <c r="U35" s="97" t="n"/>
      <c r="V35" s="96" t="n"/>
      <c r="W35" s="96" t="n"/>
      <c r="X35" s="96" t="n"/>
      <c r="Y35" s="96" t="n"/>
      <c r="Z35" s="96" t="n"/>
      <c r="AA35" s="97" t="n"/>
      <c r="AB35" s="96" t="n"/>
      <c r="AC35" s="96" t="n"/>
    </row>
    <row r="36" ht="12" customHeight="1">
      <c r="A36" s="96" t="n"/>
      <c r="B36" s="161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6" t="n"/>
      <c r="L36" s="96" t="n"/>
      <c r="M36" s="96" t="n"/>
      <c r="N36" s="96" t="n"/>
      <c r="O36" s="96" t="n"/>
      <c r="P36" s="96" t="n"/>
      <c r="Q36" s="96" t="n"/>
      <c r="R36" s="96" t="n"/>
      <c r="S36" s="96" t="n"/>
      <c r="T36" s="96" t="n"/>
      <c r="U36" s="97" t="n"/>
      <c r="V36" s="96" t="n"/>
      <c r="W36" s="96" t="n"/>
      <c r="X36" s="96" t="n"/>
      <c r="Y36" s="96" t="n"/>
      <c r="Z36" s="96" t="n"/>
      <c r="AA36" s="97" t="n"/>
      <c r="AB36" s="96" t="n"/>
      <c r="AC36" s="96" t="n"/>
    </row>
    <row r="37" ht="12" customHeight="1">
      <c r="A37" s="96" t="n"/>
      <c r="B37" s="161" t="n"/>
      <c r="C37" s="96" t="n"/>
      <c r="D37" s="96" t="n"/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6" t="n"/>
      <c r="S37" s="96" t="n"/>
      <c r="T37" s="96" t="n"/>
      <c r="U37" s="97" t="n"/>
      <c r="V37" s="96" t="n"/>
      <c r="W37" s="96" t="n"/>
      <c r="X37" s="96" t="n"/>
      <c r="Y37" s="96" t="n"/>
      <c r="Z37" s="96" t="n"/>
      <c r="AA37" s="97" t="n"/>
      <c r="AB37" s="96" t="n"/>
      <c r="AC37" s="96" t="n"/>
    </row>
    <row r="38" ht="12" customHeight="1">
      <c r="A38" s="96" t="n"/>
      <c r="B38" s="161" t="n"/>
      <c r="C38" s="96" t="n"/>
      <c r="D38" s="96" t="n"/>
      <c r="E38" s="96" t="n"/>
      <c r="F38" s="96" t="n"/>
      <c r="G38" s="96" t="n"/>
      <c r="H38" s="96" t="n"/>
      <c r="I38" s="96" t="n"/>
      <c r="J38" s="96" t="n"/>
      <c r="K38" s="96" t="n"/>
      <c r="L38" s="96" t="n"/>
      <c r="M38" s="96" t="n"/>
      <c r="N38" s="96" t="n"/>
      <c r="O38" s="96" t="n"/>
      <c r="P38" s="96" t="n"/>
      <c r="Q38" s="96" t="n"/>
      <c r="R38" s="96" t="n"/>
      <c r="S38" s="96" t="n"/>
      <c r="T38" s="96" t="n"/>
      <c r="U38" s="97" t="n"/>
      <c r="V38" s="96" t="n"/>
      <c r="W38" s="96" t="n"/>
      <c r="X38" s="96" t="n"/>
      <c r="Y38" s="96" t="n"/>
      <c r="Z38" s="96" t="n"/>
      <c r="AA38" s="97" t="n"/>
      <c r="AB38" s="96" t="n"/>
      <c r="AC38" s="96" t="n"/>
    </row>
    <row r="39" ht="12" customHeight="1">
      <c r="A39" s="96" t="n"/>
      <c r="B39" s="161" t="n"/>
      <c r="C39" s="96" t="n"/>
      <c r="D39" s="96" t="n"/>
      <c r="E39" s="96" t="n"/>
      <c r="F39" s="96" t="n"/>
      <c r="G39" s="96" t="n"/>
      <c r="H39" s="96" t="n"/>
      <c r="I39" s="96" t="n"/>
      <c r="J39" s="96" t="n"/>
      <c r="K39" s="96" t="n"/>
      <c r="L39" s="96" t="n"/>
      <c r="M39" s="96" t="n"/>
      <c r="N39" s="96" t="n"/>
      <c r="O39" s="96" t="n"/>
      <c r="P39" s="96" t="n"/>
      <c r="Q39" s="96" t="n"/>
      <c r="R39" s="96" t="n"/>
      <c r="S39" s="96" t="n"/>
      <c r="T39" s="96" t="n"/>
      <c r="U39" s="97" t="n"/>
      <c r="V39" s="96" t="n"/>
      <c r="W39" s="96" t="n"/>
      <c r="X39" s="96" t="n"/>
      <c r="Y39" s="96" t="n"/>
      <c r="Z39" s="96" t="n"/>
      <c r="AA39" s="97" t="n"/>
      <c r="AB39" s="96" t="n"/>
      <c r="AC39" s="96" t="n"/>
    </row>
    <row r="40" ht="12" customHeight="1">
      <c r="A40" s="96" t="n"/>
      <c r="B40" s="161" t="n"/>
      <c r="C40" s="96" t="n"/>
      <c r="D40" s="96" t="n"/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6" t="n"/>
      <c r="S40" s="96" t="n"/>
      <c r="T40" s="96" t="n"/>
      <c r="U40" s="97" t="n"/>
      <c r="V40" s="96" t="n"/>
      <c r="W40" s="96" t="n"/>
      <c r="X40" s="96" t="n"/>
      <c r="Y40" s="96" t="n"/>
      <c r="Z40" s="96" t="n"/>
      <c r="AA40" s="97" t="n"/>
      <c r="AB40" s="96" t="n"/>
      <c r="AC40" s="96" t="n"/>
    </row>
    <row r="41" ht="12" customHeight="1">
      <c r="A41" s="96" t="n"/>
      <c r="B41" s="161" t="n"/>
      <c r="C41" s="96" t="n"/>
      <c r="D41" s="96" t="n"/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6" t="n"/>
      <c r="S41" s="96" t="n"/>
      <c r="T41" s="96" t="n"/>
      <c r="U41" s="97" t="n"/>
      <c r="V41" s="96" t="n"/>
      <c r="W41" s="96" t="n"/>
      <c r="X41" s="96" t="n"/>
      <c r="Y41" s="96" t="n"/>
      <c r="Z41" s="96" t="n"/>
      <c r="AA41" s="97" t="n"/>
      <c r="AB41" s="96" t="n"/>
      <c r="AC41" s="96" t="n"/>
    </row>
    <row r="42" ht="12" customHeight="1">
      <c r="A42" s="96" t="n"/>
      <c r="B42" s="161" t="n"/>
      <c r="C42" s="96" t="n"/>
      <c r="D42" s="96" t="n"/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6" t="n"/>
      <c r="S42" s="96" t="n"/>
      <c r="T42" s="96" t="n"/>
      <c r="U42" s="97" t="n"/>
      <c r="V42" s="96" t="n"/>
      <c r="W42" s="96" t="n"/>
      <c r="X42" s="96" t="n"/>
      <c r="Y42" s="96" t="n"/>
      <c r="Z42" s="96" t="n"/>
      <c r="AA42" s="97" t="n"/>
      <c r="AB42" s="96" t="n"/>
      <c r="AC42" s="96" t="n"/>
    </row>
    <row r="43" ht="12" customHeight="1">
      <c r="A43" s="96" t="n"/>
      <c r="B43" s="161" t="n"/>
      <c r="C43" s="96" t="n"/>
      <c r="D43" s="96" t="n"/>
      <c r="E43" s="96" t="n"/>
      <c r="F43" s="96" t="n"/>
      <c r="G43" s="96" t="n"/>
      <c r="H43" s="96" t="n"/>
      <c r="I43" s="96" t="n"/>
      <c r="J43" s="96" t="n"/>
      <c r="K43" s="96" t="n"/>
      <c r="L43" s="96" t="n"/>
      <c r="M43" s="96" t="n"/>
      <c r="N43" s="96" t="n"/>
      <c r="O43" s="96" t="n"/>
      <c r="P43" s="96" t="n"/>
      <c r="Q43" s="96" t="n"/>
      <c r="R43" s="96" t="n"/>
      <c r="S43" s="96" t="n"/>
      <c r="T43" s="96" t="n"/>
      <c r="U43" s="97" t="n"/>
      <c r="V43" s="96" t="n"/>
      <c r="W43" s="96" t="n"/>
      <c r="X43" s="96" t="n"/>
      <c r="Y43" s="96" t="n"/>
      <c r="Z43" s="96" t="n"/>
      <c r="AA43" s="97" t="n"/>
      <c r="AB43" s="96" t="n"/>
      <c r="AC43" s="96" t="n"/>
    </row>
    <row r="44" ht="12" customHeight="1">
      <c r="A44" s="96" t="n"/>
      <c r="B44" s="161" t="n"/>
      <c r="C44" s="96" t="n"/>
      <c r="D44" s="96" t="n"/>
      <c r="E44" s="96" t="n"/>
      <c r="F44" s="96" t="n"/>
      <c r="G44" s="96" t="n"/>
      <c r="H44" s="96" t="n"/>
      <c r="I44" s="96" t="n"/>
      <c r="J44" s="96" t="n"/>
      <c r="K44" s="96" t="n"/>
      <c r="L44" s="96" t="n"/>
      <c r="M44" s="96" t="n"/>
      <c r="N44" s="96" t="n"/>
      <c r="O44" s="96" t="n"/>
      <c r="P44" s="96" t="n"/>
      <c r="Q44" s="96" t="n"/>
      <c r="R44" s="96" t="n"/>
      <c r="S44" s="96" t="n"/>
      <c r="T44" s="96" t="n"/>
      <c r="U44" s="97" t="n"/>
      <c r="V44" s="96" t="n"/>
      <c r="W44" s="96" t="n"/>
      <c r="X44" s="96" t="n"/>
      <c r="Y44" s="96" t="n"/>
      <c r="Z44" s="96" t="n"/>
      <c r="AA44" s="97" t="n"/>
      <c r="AB44" s="96" t="n"/>
      <c r="AC44" s="96" t="n"/>
    </row>
    <row r="45" ht="12" customHeight="1">
      <c r="A45" s="96" t="n"/>
      <c r="B45" s="161" t="n"/>
      <c r="C45" s="96" t="n"/>
      <c r="D45" s="96" t="n"/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6" t="n"/>
      <c r="S45" s="96" t="n"/>
      <c r="T45" s="96" t="n"/>
      <c r="U45" s="97" t="n"/>
      <c r="V45" s="96" t="n"/>
      <c r="W45" s="96" t="n"/>
      <c r="X45" s="96" t="n"/>
      <c r="Y45" s="96" t="n"/>
      <c r="Z45" s="96" t="n"/>
      <c r="AA45" s="97" t="n"/>
      <c r="AB45" s="96" t="n"/>
      <c r="AC45" s="96" t="n"/>
    </row>
    <row r="46" ht="12" customHeight="1">
      <c r="A46" s="96" t="n"/>
      <c r="B46" s="161" t="n"/>
      <c r="C46" s="96" t="n"/>
      <c r="D46" s="96" t="n"/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6" t="n"/>
      <c r="S46" s="96" t="n"/>
      <c r="T46" s="96" t="n"/>
      <c r="U46" s="97" t="n"/>
      <c r="V46" s="96" t="n"/>
      <c r="W46" s="96" t="n"/>
      <c r="X46" s="96" t="n"/>
      <c r="Y46" s="96" t="n"/>
      <c r="Z46" s="96" t="n"/>
      <c r="AA46" s="97" t="n"/>
      <c r="AB46" s="96" t="n"/>
      <c r="AC46" s="96" t="n"/>
    </row>
    <row r="47" ht="12" customHeight="1">
      <c r="A47" s="96" t="n"/>
      <c r="B47" s="161" t="n"/>
      <c r="C47" s="96" t="n"/>
      <c r="D47" s="96" t="n"/>
      <c r="E47" s="96" t="n"/>
      <c r="F47" s="96" t="n"/>
      <c r="G47" s="96" t="n"/>
      <c r="H47" s="96" t="n"/>
      <c r="I47" s="96" t="n"/>
      <c r="J47" s="96" t="n"/>
      <c r="K47" s="96" t="n"/>
      <c r="L47" s="96" t="n"/>
      <c r="M47" s="96" t="n"/>
      <c r="N47" s="96" t="n"/>
      <c r="O47" s="96" t="n"/>
      <c r="P47" s="96" t="n"/>
      <c r="Q47" s="96" t="n"/>
      <c r="R47" s="96" t="n"/>
      <c r="S47" s="96" t="n"/>
      <c r="T47" s="96" t="n"/>
      <c r="U47" s="97" t="n"/>
      <c r="V47" s="96" t="n"/>
      <c r="W47" s="96" t="n"/>
      <c r="X47" s="96" t="n"/>
      <c r="Y47" s="96" t="n"/>
      <c r="Z47" s="96" t="n"/>
      <c r="AA47" s="97" t="n"/>
      <c r="AB47" s="96" t="n"/>
      <c r="AC47" s="96" t="n"/>
    </row>
    <row r="48" ht="12" customHeight="1">
      <c r="A48" s="96" t="n"/>
      <c r="B48" s="161" t="n"/>
      <c r="C48" s="96" t="n"/>
      <c r="D48" s="96" t="n"/>
      <c r="E48" s="96" t="n"/>
      <c r="F48" s="96" t="n"/>
      <c r="G48" s="96" t="n"/>
      <c r="H48" s="96" t="n"/>
      <c r="I48" s="96" t="n"/>
      <c r="J48" s="96" t="n"/>
      <c r="K48" s="96" t="n"/>
      <c r="L48" s="96" t="n"/>
      <c r="M48" s="96" t="n"/>
      <c r="N48" s="96" t="n"/>
      <c r="O48" s="96" t="n"/>
      <c r="P48" s="96" t="n"/>
      <c r="Q48" s="96" t="n"/>
      <c r="R48" s="96" t="n"/>
      <c r="S48" s="96" t="n"/>
      <c r="T48" s="96" t="n"/>
      <c r="U48" s="97" t="n"/>
      <c r="V48" s="96" t="n"/>
      <c r="W48" s="96" t="n"/>
      <c r="X48" s="96" t="n"/>
      <c r="Y48" s="96" t="n"/>
      <c r="Z48" s="96" t="n"/>
      <c r="AA48" s="97" t="n"/>
      <c r="AB48" s="96" t="n"/>
      <c r="AC48" s="96" t="n"/>
    </row>
    <row r="49" ht="12" customHeight="1">
      <c r="A49" s="96" t="n"/>
      <c r="B49" s="161" t="n"/>
      <c r="C49" s="96" t="n"/>
      <c r="D49" s="96" t="n"/>
      <c r="E49" s="96" t="n"/>
      <c r="F49" s="96" t="n"/>
      <c r="G49" s="96" t="n"/>
      <c r="H49" s="96" t="n"/>
      <c r="I49" s="96" t="n"/>
      <c r="J49" s="96" t="n"/>
      <c r="K49" s="96" t="n"/>
      <c r="L49" s="96" t="n"/>
      <c r="M49" s="96" t="n"/>
      <c r="N49" s="96" t="n"/>
      <c r="O49" s="96" t="n"/>
      <c r="P49" s="96" t="n"/>
      <c r="Q49" s="96" t="n"/>
      <c r="R49" s="96" t="n"/>
      <c r="S49" s="96" t="n"/>
      <c r="T49" s="96" t="n"/>
      <c r="U49" s="97" t="n"/>
      <c r="V49" s="96" t="n"/>
      <c r="W49" s="96" t="n"/>
      <c r="X49" s="96" t="n"/>
      <c r="Y49" s="96" t="n"/>
      <c r="Z49" s="96" t="n"/>
      <c r="AA49" s="97" t="n"/>
      <c r="AB49" s="96" t="n"/>
      <c r="AC49" s="96" t="n"/>
    </row>
    <row r="50" ht="12" customHeight="1">
      <c r="A50" s="96" t="n"/>
      <c r="B50" s="161" t="n"/>
      <c r="C50" s="96" t="n"/>
      <c r="D50" s="96" t="n"/>
      <c r="E50" s="96" t="n"/>
      <c r="F50" s="96" t="n"/>
      <c r="G50" s="96" t="n"/>
      <c r="H50" s="96" t="n"/>
      <c r="I50" s="96" t="n"/>
      <c r="J50" s="96" t="n"/>
      <c r="K50" s="96" t="n"/>
      <c r="L50" s="96" t="n"/>
      <c r="M50" s="96" t="n"/>
      <c r="N50" s="96" t="n"/>
      <c r="O50" s="96" t="n"/>
      <c r="P50" s="96" t="n"/>
      <c r="Q50" s="96" t="n"/>
      <c r="R50" s="96" t="n"/>
      <c r="S50" s="96" t="n"/>
      <c r="T50" s="96" t="n"/>
      <c r="U50" s="97" t="n"/>
      <c r="V50" s="96" t="n"/>
      <c r="W50" s="96" t="n"/>
      <c r="X50" s="96" t="n"/>
      <c r="Y50" s="96" t="n"/>
      <c r="Z50" s="96" t="n"/>
      <c r="AA50" s="97" t="n"/>
      <c r="AB50" s="96" t="n"/>
      <c r="AC50" s="96" t="n"/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0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HASLS22260901642</t>
        </is>
      </c>
      <c r="B2" s="96" t="inlineStr">
        <is>
          <t>20'x1</t>
        </is>
      </c>
      <c r="C2" s="97" t="n">
        <v>1</v>
      </c>
      <c r="D2" s="97" t="n">
        <v>1</v>
      </c>
      <c r="E2" s="97" t="n"/>
      <c r="F2" s="97" t="n">
        <v>0</v>
      </c>
      <c r="G2" s="97" t="n">
        <v>1</v>
      </c>
      <c r="H2" s="97" t="n">
        <v>0</v>
      </c>
      <c r="I2" s="97" t="n">
        <v>0</v>
      </c>
      <c r="J2" s="97" t="n">
        <v>1</v>
      </c>
      <c r="K2" s="96" t="inlineStr">
        <is>
          <t>N</t>
        </is>
      </c>
      <c r="L2" s="96" t="inlineStr">
        <is>
          <t>KTS1</t>
        </is>
      </c>
      <c r="M2" s="96" t="inlineStr">
        <is>
          <t>CMA</t>
        </is>
      </c>
      <c r="N2" s="96" t="inlineStr">
        <is>
          <t>2615N</t>
        </is>
      </c>
      <c r="O2" s="96" t="inlineStr">
        <is>
          <t>THLCH</t>
        </is>
      </c>
      <c r="P2" s="96" t="inlineStr">
        <is>
          <t>LCH04</t>
        </is>
      </c>
      <c r="Q2" s="96" t="inlineStr">
        <is>
          <t>IA</t>
        </is>
      </c>
      <c r="R2" s="161" t="inlineStr">
        <is>
          <t>2026-10-25</t>
        </is>
      </c>
      <c r="S2" s="96" t="inlineStr">
        <is>
          <t>CNSHK</t>
        </is>
      </c>
      <c r="T2" s="96" t="inlineStr">
        <is>
          <t>SHE04</t>
        </is>
      </c>
      <c r="U2" s="96" t="inlineStr">
        <is>
          <t>CNSHK</t>
        </is>
      </c>
      <c r="V2" s="161" t="inlineStr">
        <is>
          <t>2026-10-30</t>
        </is>
      </c>
      <c r="W2" s="96" t="inlineStr">
        <is>
          <t>IA</t>
        </is>
      </c>
      <c r="X2" s="97" t="n"/>
      <c r="Y2" s="97" t="n"/>
      <c r="Z2" s="97" t="n"/>
      <c r="AA2" s="96" t="inlineStr">
        <is>
          <t>LOUIS ADHESIVE TAPES CO., LTD.</t>
        </is>
      </c>
      <c r="AB2" s="96" t="inlineStr">
        <is>
          <t>LOUIS ADHESIVE TAPES CO., LTD.</t>
        </is>
      </c>
      <c r="AC2" s="163" t="n">
        <v>8979</v>
      </c>
      <c r="AD2" s="163" t="n">
        <v>11179</v>
      </c>
      <c r="AE2" s="96" t="inlineStr">
        <is>
          <t>OK</t>
        </is>
      </c>
      <c r="AF2" s="96" t="n"/>
      <c r="AG2" s="97" t="n"/>
      <c r="AH2" s="96" t="inlineStr">
        <is>
          <t>CHK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TBKK97</t>
        </is>
      </c>
      <c r="AN2" s="96" t="inlineStr">
        <is>
          <t>Arunphat W. (Aiw)</t>
        </is>
      </c>
      <c r="AO2" s="96" t="inlineStr">
        <is>
          <t>CELLULOSE TAPE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 xml:space="preserve">Pickup : 2026-10-19, Return : 2026-10-20 
 ** PLEASE CHECK OPEN GATE BEFORE RETURN CNTR **
</t>
        </is>
      </c>
      <c r="BA2" s="97" t="inlineStr">
        <is>
          <t>NEW, CLEAN, DRY &amp; NO PUSH IN CONTAINER</t>
        </is>
      </c>
      <c r="BB2" s="96" t="inlineStr">
        <is>
          <t>P</t>
        </is>
      </c>
      <c r="BC2" s="161" t="inlineStr">
        <is>
          <t>2026-09-18</t>
        </is>
      </c>
      <c r="BD2" s="161" t="inlineStr">
        <is>
          <t>2026-10-19</t>
        </is>
      </c>
      <c r="BE2" s="96" t="inlineStr">
        <is>
          <t>Y</t>
        </is>
      </c>
      <c r="BF2" s="96" t="inlineStr">
        <is>
          <t>CELLULOSE TAPE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LCHY5</t>
        </is>
      </c>
      <c r="BL2" s="161" t="inlineStr">
        <is>
          <t>2026-10-19</t>
        </is>
      </c>
      <c r="BM2" s="127" t="n"/>
      <c r="BN2" s="127" t="n">
        <v>1</v>
      </c>
      <c r="BO2" s="127" t="n"/>
      <c r="BP2" s="127" t="n"/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LCH04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export_admin@louistapes.com</t>
        </is>
      </c>
      <c r="CJ2" s="96" t="inlineStr">
        <is>
          <t>LOUIS ADHESIVE TAPES CO., LTD.</t>
        </is>
      </c>
      <c r="CK2" s="96" t="inlineStr">
        <is>
          <t>SHENZHEN HUAHUI PACKAGE PRODUCT</t>
        </is>
      </c>
      <c r="CL2" s="96" t="inlineStr">
        <is>
          <t>SHENZHEN HUAHUI PACKAGE PRODUCT</t>
        </is>
      </c>
      <c r="CM2" s="97" t="inlineStr">
        <is>
          <t>CLOSED</t>
        </is>
      </c>
      <c r="CN2" s="96" t="inlineStr">
        <is>
          <t>202610232359</t>
        </is>
      </c>
      <c r="CO2" s="96" t="inlineStr">
        <is>
          <t>202610230700</t>
        </is>
      </c>
      <c r="CP2" s="97" t="n"/>
      <c r="CQ2" s="96" t="inlineStr">
        <is>
          <t>S22-2606031</t>
        </is>
      </c>
      <c r="CR2" s="96" t="inlineStr">
        <is>
          <t>TH032I</t>
        </is>
      </c>
      <c r="CS2" s="96" t="inlineStr">
        <is>
          <t>LOUIS ADHESIVE TAPES CO., LTD.</t>
        </is>
      </c>
      <c r="CT2" s="96" t="inlineStr">
        <is>
          <t>N</t>
        </is>
      </c>
      <c r="CU2" s="97" t="n"/>
      <c r="CV2" s="97" t="n"/>
      <c r="CW2" s="161" t="inlineStr">
        <is>
          <t>2026-10-24</t>
        </is>
      </c>
      <c r="CX2" s="97" t="n"/>
      <c r="CY2" s="156" t="n"/>
    </row>
    <row r="3" ht="12" customHeight="1">
      <c r="A3" s="116" t="inlineStr">
        <is>
          <t>HASLS22260901853</t>
        </is>
      </c>
      <c r="B3" s="96" t="inlineStr">
        <is>
          <t>20'x1</t>
        </is>
      </c>
      <c r="C3" s="97" t="n">
        <v>1</v>
      </c>
      <c r="D3" s="97" t="n">
        <v>1</v>
      </c>
      <c r="E3" s="97" t="n"/>
      <c r="F3" s="97" t="n">
        <v>0</v>
      </c>
      <c r="G3" s="97" t="n">
        <v>1</v>
      </c>
      <c r="H3" s="97" t="n">
        <v>0</v>
      </c>
      <c r="I3" s="97" t="n">
        <v>0</v>
      </c>
      <c r="J3" s="97" t="n">
        <v>1</v>
      </c>
      <c r="K3" s="96" t="inlineStr">
        <is>
          <t>N</t>
        </is>
      </c>
      <c r="L3" s="96" t="inlineStr">
        <is>
          <t>KTS1</t>
        </is>
      </c>
      <c r="M3" s="96" t="inlineStr">
        <is>
          <t>CMA</t>
        </is>
      </c>
      <c r="N3" s="96" t="inlineStr">
        <is>
          <t>2615N</t>
        </is>
      </c>
      <c r="O3" s="96" t="inlineStr">
        <is>
          <t>THLCH</t>
        </is>
      </c>
      <c r="P3" s="96" t="inlineStr">
        <is>
          <t>LCH04</t>
        </is>
      </c>
      <c r="Q3" s="96" t="inlineStr">
        <is>
          <t>IA</t>
        </is>
      </c>
      <c r="R3" s="161" t="inlineStr">
        <is>
          <t>2026-10-25</t>
        </is>
      </c>
      <c r="S3" s="96" t="inlineStr">
        <is>
          <t>CNSHK</t>
        </is>
      </c>
      <c r="T3" s="96" t="inlineStr">
        <is>
          <t>SHE04</t>
        </is>
      </c>
      <c r="U3" s="96" t="inlineStr">
        <is>
          <t>CNSHK</t>
        </is>
      </c>
      <c r="V3" s="161" t="inlineStr">
        <is>
          <t>2026-10-30</t>
        </is>
      </c>
      <c r="W3" s="96" t="inlineStr">
        <is>
          <t>IA</t>
        </is>
      </c>
      <c r="X3" s="97" t="n"/>
      <c r="Y3" s="97" t="n"/>
      <c r="Z3" s="97" t="n"/>
      <c r="AA3" s="96" t="inlineStr">
        <is>
          <t>DIMERCO EXPRESS (THAILAND) CO., LTD.</t>
        </is>
      </c>
      <c r="AB3" s="96" t="inlineStr">
        <is>
          <t>THAILON TECHNO FIBER LIMITED</t>
        </is>
      </c>
      <c r="AC3" s="163" t="n">
        <v>3220.1</v>
      </c>
      <c r="AD3" s="163" t="n">
        <v>5420.1</v>
      </c>
      <c r="AE3" s="96" t="inlineStr">
        <is>
          <t>OK</t>
        </is>
      </c>
      <c r="AF3" s="96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TBKK28</t>
        </is>
      </c>
      <c r="AN3" s="96" t="inlineStr">
        <is>
          <t>Nustsireerach</t>
        </is>
      </c>
      <c r="AO3" s="96" t="inlineStr">
        <is>
          <t>POLYAMIDE 66 TEXTURED YARN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Pickup : 2026-10-19, Return : 2026-10-20
** PLEASE CHECK OPEN GATE BEFORE RETURN CONTAINER ** </t>
        </is>
      </c>
      <c r="BA3" s="97" t="n"/>
      <c r="BB3" s="96" t="inlineStr">
        <is>
          <t>P</t>
        </is>
      </c>
      <c r="BC3" s="161" t="inlineStr">
        <is>
          <t>2026-09-21</t>
        </is>
      </c>
      <c r="BD3" s="161" t="inlineStr">
        <is>
          <t>2026-10-19</t>
        </is>
      </c>
      <c r="BE3" s="96" t="inlineStr">
        <is>
          <t>Y</t>
        </is>
      </c>
      <c r="BF3" s="96" t="inlineStr">
        <is>
          <t>POLYAMIDE 66 TEXTURED YARN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LCHY5</t>
        </is>
      </c>
      <c r="BL3" s="161" t="inlineStr">
        <is>
          <t>2026-10-19</t>
        </is>
      </c>
      <c r="BM3" s="127" t="n"/>
      <c r="BN3" s="127" t="n">
        <v>1</v>
      </c>
      <c r="BO3" s="127" t="n"/>
      <c r="BP3" s="127" t="n"/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inlineStr">
        <is>
          <t>Y</t>
        </is>
      </c>
      <c r="CB3" s="97" t="n"/>
      <c r="CC3" s="96" t="inlineStr">
        <is>
          <t>LCH04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7" t="n"/>
      <c r="CI3" s="96" t="inlineStr">
        <is>
          <t>oe_dimbkk@dimerco.com</t>
        </is>
      </c>
      <c r="CJ3" s="96" t="inlineStr">
        <is>
          <t>DIMERCO EXPRESS (THAILAND) CO.,LTD.</t>
        </is>
      </c>
      <c r="CK3" s="96" t="inlineStr">
        <is>
          <t>DIVERSIFIED INTERNATIONAL</t>
        </is>
      </c>
      <c r="CL3" s="96" t="inlineStr">
        <is>
          <t>DIVERSIFIED INTERNATIONAL</t>
        </is>
      </c>
      <c r="CM3" s="97" t="inlineStr">
        <is>
          <t>CLOSED</t>
        </is>
      </c>
      <c r="CN3" s="96" t="inlineStr">
        <is>
          <t>202610232359</t>
        </is>
      </c>
      <c r="CO3" s="96" t="inlineStr">
        <is>
          <t>202610230700</t>
        </is>
      </c>
      <c r="CP3" s="97" t="n"/>
      <c r="CQ3" s="96" t="inlineStr">
        <is>
          <t>S19-2307006</t>
        </is>
      </c>
      <c r="CR3" s="96" t="inlineStr">
        <is>
          <t>BB0164</t>
        </is>
      </c>
      <c r="CS3" s="96" t="inlineStr">
        <is>
          <t>DIMERCO EXPRESS (THAILAND) CO., LTD.</t>
        </is>
      </c>
      <c r="CT3" s="96" t="inlineStr">
        <is>
          <t>N</t>
        </is>
      </c>
      <c r="CU3" s="97" t="n"/>
      <c r="CV3" s="97" t="n"/>
      <c r="CW3" s="161" t="inlineStr">
        <is>
          <t>2026-10-22</t>
        </is>
      </c>
      <c r="CX3" s="97" t="n"/>
      <c r="CY3" s="183" t="n"/>
    </row>
    <row r="4" ht="12" customHeight="1">
      <c r="A4" s="116" t="inlineStr">
        <is>
          <t>HASLS22260902472</t>
        </is>
      </c>
      <c r="B4" s="96" t="inlineStr">
        <is>
          <t>40Hx5</t>
        </is>
      </c>
      <c r="C4" s="97" t="n">
        <v>0</v>
      </c>
      <c r="D4" s="97" t="n">
        <v>0</v>
      </c>
      <c r="E4" s="97" t="n"/>
      <c r="F4" s="97" t="n">
        <v>0</v>
      </c>
      <c r="G4" s="97" t="n">
        <v>0</v>
      </c>
      <c r="H4" s="97" t="n">
        <v>0</v>
      </c>
      <c r="I4" s="97" t="n">
        <v>5</v>
      </c>
      <c r="J4" s="97" t="n">
        <v>10</v>
      </c>
      <c r="K4" s="96" t="inlineStr">
        <is>
          <t>SOC</t>
        </is>
      </c>
      <c r="L4" s="96" t="inlineStr">
        <is>
          <t>KTS1</t>
        </is>
      </c>
      <c r="M4" s="96" t="inlineStr">
        <is>
          <t>CMA</t>
        </is>
      </c>
      <c r="N4" s="96" t="inlineStr">
        <is>
          <t>2615N</t>
        </is>
      </c>
      <c r="O4" s="96" t="inlineStr">
        <is>
          <t>THLCH</t>
        </is>
      </c>
      <c r="P4" s="96" t="inlineStr">
        <is>
          <t>LCH04</t>
        </is>
      </c>
      <c r="Q4" s="96" t="inlineStr">
        <is>
          <t>IA</t>
        </is>
      </c>
      <c r="R4" s="161" t="inlineStr">
        <is>
          <t>2026-10-25</t>
        </is>
      </c>
      <c r="S4" s="96" t="inlineStr">
        <is>
          <t>RUVST</t>
        </is>
      </c>
      <c r="T4" s="96" t="inlineStr">
        <is>
          <t>VST01</t>
        </is>
      </c>
      <c r="U4" s="96" t="inlineStr">
        <is>
          <t>RUVST</t>
        </is>
      </c>
      <c r="V4" s="161" t="inlineStr">
        <is>
          <t>2026-11-07</t>
        </is>
      </c>
      <c r="W4" s="96" t="inlineStr">
        <is>
          <t>RU</t>
        </is>
      </c>
      <c r="X4" s="97" t="n"/>
      <c r="Y4" s="97" t="inlineStr">
        <is>
          <t>PUSH4</t>
        </is>
      </c>
      <c r="Z4" s="97" t="inlineStr">
        <is>
          <t>KRPUS</t>
        </is>
      </c>
      <c r="AA4" s="96" t="inlineStr">
        <is>
          <t>SWIFT CARGO LIMITED</t>
        </is>
      </c>
      <c r="AB4" s="96" t="inlineStr">
        <is>
          <t>YOKOHAMA TIRE MANUFACTURING (THAILAND) CO., LTD.</t>
        </is>
      </c>
      <c r="AC4" s="163" t="n">
        <v>55403.659</v>
      </c>
      <c r="AD4" s="163" t="n">
        <v>75403.659</v>
      </c>
      <c r="AE4" s="96" t="inlineStr">
        <is>
          <t>OK</t>
        </is>
      </c>
      <c r="AF4" s="96" t="inlineStr">
        <is>
          <t>SR</t>
        </is>
      </c>
      <c r="AG4" s="97" t="n"/>
      <c r="AH4" s="96" t="inlineStr">
        <is>
          <t>CHK</t>
        </is>
      </c>
      <c r="AI4" s="97" t="inlineStr">
        <is>
          <t>OK</t>
        </is>
      </c>
      <c r="AJ4" s="97" t="n"/>
      <c r="AK4" s="97" t="n"/>
      <c r="AL4" s="97" t="n"/>
      <c r="AM4" s="96" t="inlineStr">
        <is>
          <t>RUVO04</t>
        </is>
      </c>
      <c r="AN4" s="96" t="inlineStr">
        <is>
          <t>Victoria Shitova</t>
        </is>
      </c>
      <c r="AO4" s="96" t="inlineStr">
        <is>
          <t>NEW "YOKOHAMA" BRAND TIRES</t>
        </is>
      </c>
      <c r="AP4" s="96" t="inlineStr">
        <is>
          <t>T/S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 xml:space="preserve">[FIX][FIX]CMA/2615N/11/02[FIX] Pickup : 2026-10-16, Return : 2026-10-18 SOC 
CUSTOMS FORMALITY (SOC) BY HAL = 5,000 BAHT </t>
        </is>
      </c>
      <c r="BA4" s="97" t="inlineStr">
        <is>
          <t>FM PP TERM DD 07/10 
Drop off : St.Petersburg
CUSTOMS FORMALITY (SOC) BY HAL = 5,000 BAHT 
FM RUVVO 19/10Drop off : St.PetersburgPlease filled SC :  R01-2309017</t>
        </is>
      </c>
      <c r="BB4" s="96" t="inlineStr">
        <is>
          <t>C</t>
        </is>
      </c>
      <c r="BC4" s="161" t="inlineStr">
        <is>
          <t>2026-09-27</t>
        </is>
      </c>
      <c r="BD4" s="161" t="inlineStr">
        <is>
          <t>2026-10-21</t>
        </is>
      </c>
      <c r="BE4" s="96" t="inlineStr">
        <is>
          <t>Y</t>
        </is>
      </c>
      <c r="BF4" s="96" t="inlineStr">
        <is>
          <t xml:space="preserve">NEW TYRES 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n"/>
      <c r="BL4" s="161" t="inlineStr">
        <is>
          <t>2026-10-16</t>
        </is>
      </c>
      <c r="BM4" s="127" t="n"/>
      <c r="BN4" s="127" t="n"/>
      <c r="BO4" s="127" t="n"/>
      <c r="BP4" s="127" t="n">
        <v>5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>
        <v>1</v>
      </c>
      <c r="CA4" s="96" t="inlineStr">
        <is>
          <t>Y</t>
        </is>
      </c>
      <c r="CB4" s="97" t="n"/>
      <c r="CC4" s="96" t="inlineStr">
        <is>
          <t>LCH04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inlineStr">
        <is>
          <t>POL: THLCH [CMA/2615N]; T/S(1st): KRPUS [SDTR/2631N]; POD: RUVST [/]</t>
        </is>
      </c>
      <c r="CI4" s="96" t="inlineStr">
        <is>
          <t>csbkk@swiftcargo.com</t>
        </is>
      </c>
      <c r="CJ4" s="96" t="inlineStr">
        <is>
          <t>YOKOHAMA TIRE MANUFACTURING</t>
        </is>
      </c>
      <c r="CK4" s="96" t="inlineStr">
        <is>
          <t>YOKOHAMA RUSSIA LLC</t>
        </is>
      </c>
      <c r="CL4" s="96" t="inlineStr">
        <is>
          <t>YOKOHAMA RUSSIA LLC</t>
        </is>
      </c>
      <c r="CM4" s="97" t="inlineStr">
        <is>
          <t>CLOSED</t>
        </is>
      </c>
      <c r="CN4" s="96" t="inlineStr">
        <is>
          <t>202610232359</t>
        </is>
      </c>
      <c r="CO4" s="96" t="inlineStr">
        <is>
          <t>202610230700</t>
        </is>
      </c>
      <c r="CP4" s="97" t="n"/>
      <c r="CQ4" s="96" t="inlineStr">
        <is>
          <t>R01-2309017</t>
        </is>
      </c>
      <c r="CR4" s="96" t="inlineStr">
        <is>
          <t>THTRTX</t>
        </is>
      </c>
      <c r="CS4" s="96" t="inlineStr">
        <is>
          <t>SWIFT CARGO LIMITED</t>
        </is>
      </c>
      <c r="CT4" s="96" t="inlineStr">
        <is>
          <t>N</t>
        </is>
      </c>
      <c r="CU4" s="97" t="n"/>
      <c r="CV4" s="97" t="n"/>
      <c r="CW4" s="161" t="inlineStr">
        <is>
          <t>2026-10-24</t>
        </is>
      </c>
      <c r="CX4" s="97" t="inlineStr">
        <is>
          <t>401110</t>
        </is>
      </c>
      <c r="CY4" s="183" t="n"/>
    </row>
    <row r="5" ht="12" customHeight="1">
      <c r="A5" s="116" t="inlineStr">
        <is>
          <t>HASLS22261000843</t>
        </is>
      </c>
      <c r="B5" s="96" t="inlineStr">
        <is>
          <t>20'x1</t>
        </is>
      </c>
      <c r="C5" s="97" t="n">
        <v>1</v>
      </c>
      <c r="D5" s="97" t="n">
        <v>1</v>
      </c>
      <c r="E5" s="97" t="n"/>
      <c r="F5" s="97" t="n">
        <v>0</v>
      </c>
      <c r="G5" s="97" t="n">
        <v>1</v>
      </c>
      <c r="H5" s="97" t="n">
        <v>0</v>
      </c>
      <c r="I5" s="97" t="n">
        <v>0</v>
      </c>
      <c r="J5" s="97" t="n">
        <v>1</v>
      </c>
      <c r="K5" s="96" t="inlineStr">
        <is>
          <t>N</t>
        </is>
      </c>
      <c r="L5" s="96" t="inlineStr">
        <is>
          <t>KTS1</t>
        </is>
      </c>
      <c r="M5" s="96" t="inlineStr">
        <is>
          <t>CMA</t>
        </is>
      </c>
      <c r="N5" s="96" t="inlineStr">
        <is>
          <t>2615N</t>
        </is>
      </c>
      <c r="O5" s="96" t="inlineStr">
        <is>
          <t>THLCH</t>
        </is>
      </c>
      <c r="P5" s="96" t="inlineStr">
        <is>
          <t>LCH04</t>
        </is>
      </c>
      <c r="Q5" s="96" t="inlineStr">
        <is>
          <t>IA</t>
        </is>
      </c>
      <c r="R5" s="161" t="inlineStr">
        <is>
          <t>2026-10-25</t>
        </is>
      </c>
      <c r="S5" s="96" t="inlineStr">
        <is>
          <t>HKHKG</t>
        </is>
      </c>
      <c r="T5" s="96" t="inlineStr">
        <is>
          <t>HKG03</t>
        </is>
      </c>
      <c r="U5" s="96" t="inlineStr">
        <is>
          <t>HKHKG</t>
        </is>
      </c>
      <c r="V5" s="161" t="inlineStr">
        <is>
          <t>2026-10-30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YUSEN LOGISTICS (THAILAND) CO., LTD.</t>
        </is>
      </c>
      <c r="AB5" s="96" t="inlineStr">
        <is>
          <t>POLYFOOD IMPORT-EXPORT CO.,LTD.</t>
        </is>
      </c>
      <c r="AC5" s="163" t="n">
        <v>10907.6</v>
      </c>
      <c r="AD5" s="163" t="n">
        <v>13107.6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7" t="inlineStr">
        <is>
          <t>OK</t>
        </is>
      </c>
      <c r="AJ5" s="97" t="n"/>
      <c r="AK5" s="97" t="n"/>
      <c r="AL5" s="97" t="n"/>
      <c r="AM5" s="96" t="inlineStr">
        <is>
          <t>TBKK55</t>
        </is>
      </c>
      <c r="AN5" s="96" t="inlineStr">
        <is>
          <t>Vilaiporn</t>
        </is>
      </c>
      <c r="AO5" s="96" t="inlineStr">
        <is>
          <t>THAI FOODSTUFFS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n"/>
      <c r="AZ5" s="96" t="inlineStr">
        <is>
          <t xml:space="preserve">Pickup : 2026-10-19, Return : 2026-10-20 
 </t>
        </is>
      </c>
      <c r="BA5" s="97" t="inlineStr">
        <is>
          <t>FM SHPR: SUREE INTERFOODS CO., LTD. 12/10
FM POL : THBKK BY K'PEAT DD.19/10/2026</t>
        </is>
      </c>
      <c r="BB5" s="96" t="inlineStr">
        <is>
          <t>P</t>
        </is>
      </c>
      <c r="BC5" s="161" t="inlineStr">
        <is>
          <t>2026-10-12</t>
        </is>
      </c>
      <c r="BD5" s="161" t="inlineStr">
        <is>
          <t>2026-10-22</t>
        </is>
      </c>
      <c r="BE5" s="96" t="inlineStr">
        <is>
          <t>Y</t>
        </is>
      </c>
      <c r="BF5" s="96" t="inlineStr">
        <is>
          <t>FOODSTUFFS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LCHY5</t>
        </is>
      </c>
      <c r="BL5" s="161" t="inlineStr">
        <is>
          <t>2026-10-19</t>
        </is>
      </c>
      <c r="BM5" s="127" t="n"/>
      <c r="BN5" s="127" t="n">
        <v>1</v>
      </c>
      <c r="BO5" s="127" t="n"/>
      <c r="BP5" s="127" t="n"/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inlineStr">
        <is>
          <t>Y</t>
        </is>
      </c>
      <c r="CB5" s="97" t="n"/>
      <c r="CC5" s="96" t="inlineStr">
        <is>
          <t>LCH04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JIRAWAT.H@th.yusen-logistics.com</t>
        </is>
      </c>
      <c r="CJ5" s="96" t="inlineStr">
        <is>
          <t>YUSEN LOGISTICS (THAILAND) CO., LTD</t>
        </is>
      </c>
      <c r="CK5" s="96" t="inlineStr">
        <is>
          <t>YUSEN LOGISTICS (HONG KONG) LTD.</t>
        </is>
      </c>
      <c r="CL5" s="96" t="inlineStr">
        <is>
          <t>YUSEN LOGISTICS (HONG KONG) LTD.</t>
        </is>
      </c>
      <c r="CM5" s="97" t="n"/>
      <c r="CN5" s="96" t="inlineStr">
        <is>
          <t>202610232359</t>
        </is>
      </c>
      <c r="CO5" s="96" t="inlineStr">
        <is>
          <t>202610230700</t>
        </is>
      </c>
      <c r="CP5" s="97" t="n"/>
      <c r="CQ5" s="96" t="inlineStr">
        <is>
          <t>S19-2112038</t>
        </is>
      </c>
      <c r="CR5" s="96" t="inlineStr">
        <is>
          <t>TH03TL</t>
        </is>
      </c>
      <c r="CS5" s="96" t="inlineStr">
        <is>
          <t>YUSEN LOGISTICS (THAILAND) CO., LTD.</t>
        </is>
      </c>
      <c r="CT5" s="96" t="inlineStr">
        <is>
          <t>N</t>
        </is>
      </c>
      <c r="CU5" s="97" t="n"/>
      <c r="CV5" s="97" t="n"/>
      <c r="CW5" s="161" t="inlineStr">
        <is>
          <t>2026-10-24</t>
        </is>
      </c>
      <c r="CX5" s="97" t="n"/>
      <c r="CY5" s="183" t="n"/>
    </row>
    <row r="6" ht="12" customHeight="1">
      <c r="A6" s="116" t="inlineStr">
        <is>
          <t>HASLS22261000852</t>
        </is>
      </c>
      <c r="B6" s="96" t="inlineStr">
        <is>
          <t>20'x1</t>
        </is>
      </c>
      <c r="C6" s="97" t="n">
        <v>1</v>
      </c>
      <c r="D6" s="97" t="n">
        <v>1</v>
      </c>
      <c r="E6" s="97" t="n"/>
      <c r="F6" s="97" t="n">
        <v>0</v>
      </c>
      <c r="G6" s="97" t="n">
        <v>1</v>
      </c>
      <c r="H6" s="97" t="n">
        <v>0</v>
      </c>
      <c r="I6" s="97" t="n">
        <v>0</v>
      </c>
      <c r="J6" s="97" t="n">
        <v>1</v>
      </c>
      <c r="K6" s="96" t="inlineStr">
        <is>
          <t>N</t>
        </is>
      </c>
      <c r="L6" s="96" t="inlineStr">
        <is>
          <t>KTS1</t>
        </is>
      </c>
      <c r="M6" s="96" t="inlineStr">
        <is>
          <t>CMA</t>
        </is>
      </c>
      <c r="N6" s="96" t="inlineStr">
        <is>
          <t>2615N</t>
        </is>
      </c>
      <c r="O6" s="96" t="inlineStr">
        <is>
          <t>THLCH</t>
        </is>
      </c>
      <c r="P6" s="96" t="inlineStr">
        <is>
          <t>LCH04</t>
        </is>
      </c>
      <c r="Q6" s="96" t="inlineStr">
        <is>
          <t>IA</t>
        </is>
      </c>
      <c r="R6" s="161" t="inlineStr">
        <is>
          <t>2026-10-25</t>
        </is>
      </c>
      <c r="S6" s="96" t="inlineStr">
        <is>
          <t>HKHKG</t>
        </is>
      </c>
      <c r="T6" s="96" t="inlineStr">
        <is>
          <t>HKG03</t>
        </is>
      </c>
      <c r="U6" s="96" t="inlineStr">
        <is>
          <t>HKHKG</t>
        </is>
      </c>
      <c r="V6" s="161" t="inlineStr">
        <is>
          <t>2026-10-30</t>
        </is>
      </c>
      <c r="W6" s="96" t="inlineStr">
        <is>
          <t>IA</t>
        </is>
      </c>
      <c r="X6" s="97" t="n"/>
      <c r="Y6" s="97" t="n"/>
      <c r="Z6" s="97" t="n"/>
      <c r="AA6" s="96" t="inlineStr">
        <is>
          <t>TRANSCONTAINER LOGISTICS (THAILAND) CO., LTD.</t>
        </is>
      </c>
      <c r="AB6" s="96" t="inlineStr">
        <is>
          <t>SHIN-ETSU SILICONES (THAILAND) LTD.</t>
        </is>
      </c>
      <c r="AC6" s="163" t="n">
        <v>5476</v>
      </c>
      <c r="AD6" s="163" t="n">
        <v>7676</v>
      </c>
      <c r="AE6" s="96" t="inlineStr">
        <is>
          <t>OK</t>
        </is>
      </c>
      <c r="AF6" s="96" t="inlineStr">
        <is>
          <t>SR</t>
        </is>
      </c>
      <c r="AG6" s="97" t="n"/>
      <c r="AH6" s="96" t="inlineStr">
        <is>
          <t>CHK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TBKK28</t>
        </is>
      </c>
      <c r="AN6" s="96" t="inlineStr">
        <is>
          <t>Nustsireerach</t>
        </is>
      </c>
      <c r="AO6" s="96" t="inlineStr">
        <is>
          <t>SILICONE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 xml:space="preserve">Pickup : 2026-10-19, Return : 2026-10-20
** PLEASE CHECK OPEN GATE BEFORE RETURN CONTAINER **  </t>
        </is>
      </c>
      <c r="BA6" s="97" t="inlineStr">
        <is>
          <t>S19-2308012</t>
        </is>
      </c>
      <c r="BB6" s="96" t="inlineStr">
        <is>
          <t>P</t>
        </is>
      </c>
      <c r="BC6" s="161" t="inlineStr">
        <is>
          <t>2026-10-12</t>
        </is>
      </c>
      <c r="BD6" s="161" t="inlineStr">
        <is>
          <t>2026-10-21</t>
        </is>
      </c>
      <c r="BE6" s="96" t="inlineStr">
        <is>
          <t>Y</t>
        </is>
      </c>
      <c r="BF6" s="96" t="inlineStr">
        <is>
          <t>SILICONE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2026-10-19</t>
        </is>
      </c>
      <c r="BM6" s="127" t="n"/>
      <c r="BN6" s="127" t="n">
        <v>1</v>
      </c>
      <c r="BO6" s="127" t="n"/>
      <c r="BP6" s="127" t="n"/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LCH04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7" t="n"/>
      <c r="CI6" s="96" t="inlineStr">
        <is>
          <t>areerat@tcl.co.th</t>
        </is>
      </c>
      <c r="CJ6" s="96" t="inlineStr">
        <is>
          <t>TRANSCONTAINER LOGISTICS (THAILAND)</t>
        </is>
      </c>
      <c r="CK6" s="96" t="inlineStr">
        <is>
          <t>YUSEN LOGISTICS (HONG KONG) LIMITED</t>
        </is>
      </c>
      <c r="CL6" s="96" t="inlineStr">
        <is>
          <t>YUSEN LOGISTICS (HONG KONG) LIMITED</t>
        </is>
      </c>
      <c r="CM6" s="97" t="inlineStr">
        <is>
          <t>CLOSED</t>
        </is>
      </c>
      <c r="CN6" s="96" t="inlineStr">
        <is>
          <t>202610232359</t>
        </is>
      </c>
      <c r="CO6" s="96" t="inlineStr">
        <is>
          <t>202610230700</t>
        </is>
      </c>
      <c r="CP6" s="97" t="n"/>
      <c r="CQ6" s="96" t="inlineStr">
        <is>
          <t>S19-2308012</t>
        </is>
      </c>
      <c r="CR6" s="96" t="inlineStr">
        <is>
          <t>TH00Y6</t>
        </is>
      </c>
      <c r="CS6" s="96" t="inlineStr">
        <is>
          <t>TRANSCONTAINER LOGISTICS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2026-10-24</t>
        </is>
      </c>
      <c r="CX6" s="97" t="n"/>
      <c r="CY6" s="183" t="n"/>
    </row>
    <row r="7" ht="12" customHeight="1">
      <c r="A7" s="116" t="inlineStr">
        <is>
          <t>HASLS22261000880</t>
        </is>
      </c>
      <c r="B7" s="96" t="inlineStr">
        <is>
          <t>20TKx4</t>
        </is>
      </c>
      <c r="C7" s="97" t="n">
        <v>0</v>
      </c>
      <c r="D7" s="97" t="n">
        <v>0</v>
      </c>
      <c r="E7" s="97" t="n"/>
      <c r="F7" s="97" t="n">
        <v>0</v>
      </c>
      <c r="G7" s="97" t="n">
        <v>4</v>
      </c>
      <c r="H7" s="97" t="n">
        <v>0</v>
      </c>
      <c r="I7" s="97" t="n">
        <v>0</v>
      </c>
      <c r="J7" s="97" t="n">
        <v>4</v>
      </c>
      <c r="K7" s="96" t="inlineStr">
        <is>
          <t>SOC</t>
        </is>
      </c>
      <c r="L7" s="96" t="inlineStr">
        <is>
          <t>KTS1</t>
        </is>
      </c>
      <c r="M7" s="96" t="inlineStr">
        <is>
          <t>CMA</t>
        </is>
      </c>
      <c r="N7" s="96" t="inlineStr">
        <is>
          <t>2615N</t>
        </is>
      </c>
      <c r="O7" s="96" t="inlineStr">
        <is>
          <t>THLCH</t>
        </is>
      </c>
      <c r="P7" s="96" t="inlineStr">
        <is>
          <t>LCH04</t>
        </is>
      </c>
      <c r="Q7" s="96" t="inlineStr">
        <is>
          <t>IA</t>
        </is>
      </c>
      <c r="R7" s="161" t="inlineStr">
        <is>
          <t>2026-10-25</t>
        </is>
      </c>
      <c r="S7" s="96" t="inlineStr">
        <is>
          <t>HKHKG</t>
        </is>
      </c>
      <c r="T7" s="96" t="inlineStr">
        <is>
          <t>HKG03</t>
        </is>
      </c>
      <c r="U7" s="96" t="inlineStr">
        <is>
          <t>CNSTN</t>
        </is>
      </c>
      <c r="V7" s="161" t="inlineStr">
        <is>
          <t>2026-10-30</t>
        </is>
      </c>
      <c r="W7" s="96" t="inlineStr">
        <is>
          <t>IA</t>
        </is>
      </c>
      <c r="X7" s="97" t="inlineStr">
        <is>
          <t>Barge</t>
        </is>
      </c>
      <c r="Y7" s="97" t="n"/>
      <c r="Z7" s="97" t="n"/>
      <c r="AA7" s="96" t="inlineStr">
        <is>
          <t>EAGLETAINER LOGISTICS (THAILAND) CO., LTD.</t>
        </is>
      </c>
      <c r="AB7" s="96" t="inlineStr">
        <is>
          <t>DOW CHEMICAL THAILAND LTD.</t>
        </is>
      </c>
      <c r="AC7" s="163" t="n">
        <v>92060</v>
      </c>
      <c r="AD7" s="163" t="n">
        <v>108060</v>
      </c>
      <c r="AE7" s="96" t="inlineStr">
        <is>
          <t>OK</t>
        </is>
      </c>
      <c r="AF7" s="96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TH0011</t>
        </is>
      </c>
      <c r="AN7" s="96" t="inlineStr">
        <is>
          <t>Nannaapust Sukporntaweewat</t>
        </is>
      </c>
      <c r="AO7" s="96" t="inlineStr">
        <is>
          <t>PROPYLENE GLYCOL USP/EP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>Pickup : 2026-10-16, Return : 2026-10-17 SOC (1ST RTN DD: 20/10/26 WO/RENT)
CUSTOMS FORMALITY (SOC) BY CUSTOMER / TAX ID : 0105559117179
**CHECK OPENGATE BEFORE RETURN CNTR**</t>
        </is>
      </c>
      <c r="BA7" s="97" t="inlineStr">
        <is>
          <t>CUSTOMS FORMALITY (SOC) BY CUSTOMER / TAX ID : 0105559117179
FM KMGY 2611N 12/10</t>
        </is>
      </c>
      <c r="BB7" s="96" t="inlineStr">
        <is>
          <t>P</t>
        </is>
      </c>
      <c r="BC7" s="161" t="inlineStr">
        <is>
          <t>2026-10-12</t>
        </is>
      </c>
      <c r="BD7" s="161" t="inlineStr">
        <is>
          <t>2026-10-22</t>
        </is>
      </c>
      <c r="BE7" s="96" t="inlineStr">
        <is>
          <t>Y</t>
        </is>
      </c>
      <c r="BF7" s="96" t="inlineStr">
        <is>
          <t>PG USP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n"/>
      <c r="BL7" s="161" t="inlineStr">
        <is>
          <t>2026-10-16</t>
        </is>
      </c>
      <c r="BM7" s="127" t="n"/>
      <c r="BN7" s="127" t="n"/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>
        <v>4</v>
      </c>
      <c r="BX7" s="127" t="n"/>
      <c r="BY7" s="96" t="inlineStr">
        <is>
          <t>FULL</t>
        </is>
      </c>
      <c r="BZ7" s="97" t="n"/>
      <c r="CA7" s="96" t="inlineStr">
        <is>
          <t>Y</t>
        </is>
      </c>
      <c r="CB7" s="97" t="n"/>
      <c r="CC7" s="96" t="inlineStr">
        <is>
          <t>LCH04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7" t="n"/>
      <c r="CI7" s="96" t="inlineStr">
        <is>
          <t>cs01@eagletainer.co.th</t>
        </is>
      </c>
      <c r="CJ7" s="96" t="inlineStr">
        <is>
          <t>EAGLETAINER LOGISTICS (THAILAND)</t>
        </is>
      </c>
      <c r="CK7" s="96" t="inlineStr">
        <is>
          <t>INDO-CHINA MARITIME LIMITED</t>
        </is>
      </c>
      <c r="CL7" s="96" t="inlineStr">
        <is>
          <t>INDO-CHINA MARITIME LIMITED</t>
        </is>
      </c>
      <c r="CM7" s="97" t="inlineStr">
        <is>
          <t>CLOSED</t>
        </is>
      </c>
      <c r="CN7" s="96" t="inlineStr">
        <is>
          <t>202610232359</t>
        </is>
      </c>
      <c r="CO7" s="96" t="inlineStr">
        <is>
          <t>202610230700</t>
        </is>
      </c>
      <c r="CP7" s="97" t="n"/>
      <c r="CQ7" s="96" t="inlineStr">
        <is>
          <t>S22-2508015</t>
        </is>
      </c>
      <c r="CR7" s="96" t="inlineStr">
        <is>
          <t>THTMGZ</t>
        </is>
      </c>
      <c r="CS7" s="96" t="inlineStr">
        <is>
          <t>EAGLETAINER LOGISTICS (THAILAND) CO., LTD.</t>
        </is>
      </c>
      <c r="CT7" s="96" t="inlineStr">
        <is>
          <t>N</t>
        </is>
      </c>
      <c r="CU7" s="97" t="n"/>
      <c r="CV7" s="97" t="n"/>
      <c r="CW7" s="161" t="inlineStr">
        <is>
          <t>2026-10-24</t>
        </is>
      </c>
      <c r="CX7" s="97" t="n"/>
      <c r="CY7" s="183" t="n"/>
    </row>
    <row r="8" ht="12" customHeight="1">
      <c r="A8" s="116" t="inlineStr">
        <is>
          <t>HASLS22261000882</t>
        </is>
      </c>
      <c r="B8" s="96" t="inlineStr">
        <is>
          <t>20TKx4</t>
        </is>
      </c>
      <c r="C8" s="97" t="n">
        <v>0</v>
      </c>
      <c r="D8" s="97" t="n">
        <v>0</v>
      </c>
      <c r="E8" s="97" t="n"/>
      <c r="F8" s="97" t="n">
        <v>0</v>
      </c>
      <c r="G8" s="97" t="n">
        <v>4</v>
      </c>
      <c r="H8" s="97" t="n">
        <v>0</v>
      </c>
      <c r="I8" s="97" t="n">
        <v>0</v>
      </c>
      <c r="J8" s="97" t="n">
        <v>4</v>
      </c>
      <c r="K8" s="96" t="inlineStr">
        <is>
          <t>SOC</t>
        </is>
      </c>
      <c r="L8" s="96" t="inlineStr">
        <is>
          <t>KTS1</t>
        </is>
      </c>
      <c r="M8" s="96" t="inlineStr">
        <is>
          <t>CMA</t>
        </is>
      </c>
      <c r="N8" s="96" t="inlineStr">
        <is>
          <t>2615N</t>
        </is>
      </c>
      <c r="O8" s="96" t="inlineStr">
        <is>
          <t>THLCH</t>
        </is>
      </c>
      <c r="P8" s="96" t="inlineStr">
        <is>
          <t>LCH04</t>
        </is>
      </c>
      <c r="Q8" s="96" t="inlineStr">
        <is>
          <t>IA</t>
        </is>
      </c>
      <c r="R8" s="161" t="inlineStr">
        <is>
          <t>2026-10-25</t>
        </is>
      </c>
      <c r="S8" s="96" t="inlineStr">
        <is>
          <t>HKHKG</t>
        </is>
      </c>
      <c r="T8" s="96" t="inlineStr">
        <is>
          <t>HKG03</t>
        </is>
      </c>
      <c r="U8" s="96" t="inlineStr">
        <is>
          <t>CNSTN</t>
        </is>
      </c>
      <c r="V8" s="161" t="inlineStr">
        <is>
          <t>2026-10-30</t>
        </is>
      </c>
      <c r="W8" s="96" t="inlineStr">
        <is>
          <t>IA</t>
        </is>
      </c>
      <c r="X8" s="97" t="inlineStr">
        <is>
          <t>Barge</t>
        </is>
      </c>
      <c r="Y8" s="97" t="n"/>
      <c r="Z8" s="97" t="n"/>
      <c r="AA8" s="96" t="inlineStr">
        <is>
          <t>EAGLETAINER LOGISTICS (THAILAND) CO., LTD.</t>
        </is>
      </c>
      <c r="AB8" s="96" t="inlineStr">
        <is>
          <t>DOW CHEMICAL THAILAND LTD.</t>
        </is>
      </c>
      <c r="AC8" s="163" t="n">
        <v>92060</v>
      </c>
      <c r="AD8" s="163" t="n">
        <v>108060</v>
      </c>
      <c r="AE8" s="96" t="inlineStr">
        <is>
          <t>OK</t>
        </is>
      </c>
      <c r="AF8" s="96" t="n"/>
      <c r="AG8" s="97" t="n"/>
      <c r="AH8" s="96" t="inlineStr">
        <is>
          <t>CHK</t>
        </is>
      </c>
      <c r="AI8" s="97" t="inlineStr">
        <is>
          <t>OK</t>
        </is>
      </c>
      <c r="AJ8" s="97" t="n"/>
      <c r="AK8" s="97" t="n"/>
      <c r="AL8" s="97" t="n"/>
      <c r="AM8" s="96" t="inlineStr">
        <is>
          <t>TH0011</t>
        </is>
      </c>
      <c r="AN8" s="96" t="inlineStr">
        <is>
          <t>Nannaapust Sukporntaweewat</t>
        </is>
      </c>
      <c r="AO8" s="96" t="inlineStr">
        <is>
          <t>PROPYLENE GLYCOL USP/EP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Pickup : 2026-10-16, Return : 2026-10-17 SOC (1ST RTN DD: 20/10/26 WO/RENT)
CUSTOMS FORMALITY (SOC) BY CUSTOMER / TAX ID : 0105559117179
**CHECK OPENGATE BEFORE RETURN CNTR**</t>
        </is>
      </c>
      <c r="BA8" s="97" t="inlineStr">
        <is>
          <t>CUSTOMS FORMALITY (SOC) BY CUSTOMER / TAX ID : 0105559117179
FM KMGY 2612N 12/10</t>
        </is>
      </c>
      <c r="BB8" s="96" t="inlineStr">
        <is>
          <t>P</t>
        </is>
      </c>
      <c r="BC8" s="161" t="inlineStr">
        <is>
          <t>2026-10-12</t>
        </is>
      </c>
      <c r="BD8" s="161" t="inlineStr">
        <is>
          <t>2026-10-22</t>
        </is>
      </c>
      <c r="BE8" s="96" t="inlineStr">
        <is>
          <t>Y</t>
        </is>
      </c>
      <c r="BF8" s="96" t="inlineStr">
        <is>
          <t>PG USP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n"/>
      <c r="BL8" s="161" t="inlineStr">
        <is>
          <t>2026-10-16</t>
        </is>
      </c>
      <c r="BM8" s="127" t="n"/>
      <c r="BN8" s="127" t="n"/>
      <c r="BO8" s="127" t="n"/>
      <c r="BP8" s="127" t="n"/>
      <c r="BQ8" s="127" t="n"/>
      <c r="BR8" s="127" t="n"/>
      <c r="BS8" s="127" t="n"/>
      <c r="BT8" s="127" t="n"/>
      <c r="BU8" s="127" t="n"/>
      <c r="BV8" s="127" t="n"/>
      <c r="BW8" s="127" t="n">
        <v>4</v>
      </c>
      <c r="BX8" s="127" t="n"/>
      <c r="BY8" s="96" t="inlineStr">
        <is>
          <t>FULL</t>
        </is>
      </c>
      <c r="BZ8" s="97" t="n"/>
      <c r="CA8" s="96" t="inlineStr">
        <is>
          <t>Y</t>
        </is>
      </c>
      <c r="CB8" s="97" t="n"/>
      <c r="CC8" s="96" t="inlineStr">
        <is>
          <t>LCH04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n"/>
      <c r="CI8" s="96" t="inlineStr">
        <is>
          <t>cs01@eagletainer.co.th</t>
        </is>
      </c>
      <c r="CJ8" s="96" t="inlineStr">
        <is>
          <t>EAGLETAINER LOGISTICS (THAILAND)</t>
        </is>
      </c>
      <c r="CK8" s="96" t="inlineStr">
        <is>
          <t>INDO-CHINA MARITIME LIMITED</t>
        </is>
      </c>
      <c r="CL8" s="96" t="inlineStr">
        <is>
          <t>INDO-CHINA MARITIME LIMITED</t>
        </is>
      </c>
      <c r="CM8" s="97" t="inlineStr">
        <is>
          <t>CLOSED</t>
        </is>
      </c>
      <c r="CN8" s="96" t="inlineStr">
        <is>
          <t>202610232359</t>
        </is>
      </c>
      <c r="CO8" s="96" t="inlineStr">
        <is>
          <t>202610230700</t>
        </is>
      </c>
      <c r="CP8" s="97" t="n"/>
      <c r="CQ8" s="96" t="inlineStr">
        <is>
          <t>S22-2508015</t>
        </is>
      </c>
      <c r="CR8" s="96" t="inlineStr">
        <is>
          <t>THTMGZ</t>
        </is>
      </c>
      <c r="CS8" s="96" t="inlineStr">
        <is>
          <t>EAGLETAINER LOGISTICS (THAILAND) CO., LTD.</t>
        </is>
      </c>
      <c r="CT8" s="96" t="inlineStr">
        <is>
          <t>N</t>
        </is>
      </c>
      <c r="CU8" s="97" t="n"/>
      <c r="CV8" s="97" t="n"/>
      <c r="CW8" s="161" t="inlineStr">
        <is>
          <t>2026-10-24</t>
        </is>
      </c>
      <c r="CX8" s="97" t="n"/>
      <c r="CY8" s="183" t="n"/>
    </row>
    <row r="9" ht="12" customHeight="1">
      <c r="A9" s="116" t="inlineStr">
        <is>
          <t>HASLS22261001183</t>
        </is>
      </c>
      <c r="B9" s="96" t="inlineStr">
        <is>
          <t>40Hx10</t>
        </is>
      </c>
      <c r="C9" s="97" t="n">
        <v>10</v>
      </c>
      <c r="D9" s="97" t="n">
        <v>10</v>
      </c>
      <c r="E9" s="97" t="n"/>
      <c r="F9" s="97" t="n">
        <v>0</v>
      </c>
      <c r="G9" s="97" t="n">
        <v>0</v>
      </c>
      <c r="H9" s="97" t="n">
        <v>0</v>
      </c>
      <c r="I9" s="97" t="n">
        <v>10</v>
      </c>
      <c r="J9" s="97" t="n">
        <v>20</v>
      </c>
      <c r="K9" s="96" t="inlineStr">
        <is>
          <t>N</t>
        </is>
      </c>
      <c r="L9" s="96" t="inlineStr">
        <is>
          <t>KTS1</t>
        </is>
      </c>
      <c r="M9" s="96" t="inlineStr">
        <is>
          <t>CMA</t>
        </is>
      </c>
      <c r="N9" s="96" t="inlineStr">
        <is>
          <t>2615N</t>
        </is>
      </c>
      <c r="O9" s="96" t="inlineStr">
        <is>
          <t>THLCH</t>
        </is>
      </c>
      <c r="P9" s="96" t="inlineStr">
        <is>
          <t>LCH04</t>
        </is>
      </c>
      <c r="Q9" s="96" t="inlineStr">
        <is>
          <t>IA</t>
        </is>
      </c>
      <c r="R9" s="161" t="inlineStr">
        <is>
          <t>2026-10-25</t>
        </is>
      </c>
      <c r="S9" s="96" t="inlineStr">
        <is>
          <t>HKHKG</t>
        </is>
      </c>
      <c r="T9" s="96" t="inlineStr">
        <is>
          <t>HKG03</t>
        </is>
      </c>
      <c r="U9" s="96" t="inlineStr">
        <is>
          <t>HKHKG</t>
        </is>
      </c>
      <c r="V9" s="161" t="inlineStr">
        <is>
          <t>2026-10-30</t>
        </is>
      </c>
      <c r="W9" s="96" t="inlineStr">
        <is>
          <t>IA</t>
        </is>
      </c>
      <c r="X9" s="97" t="n"/>
      <c r="Y9" s="97" t="n"/>
      <c r="Z9" s="97" t="n"/>
      <c r="AA9" s="96" t="inlineStr">
        <is>
          <t>YUSEN LOGISTICS (THAILAND) CO., LTD.</t>
        </is>
      </c>
      <c r="AB9" s="96" t="inlineStr">
        <is>
          <t>KURARAY GC ADVANCED MATERIALS CO.,LTD.</t>
        </is>
      </c>
      <c r="AC9" s="163" t="n">
        <v>164000</v>
      </c>
      <c r="AD9" s="163" t="n">
        <v>204000</v>
      </c>
      <c r="AE9" s="96" t="inlineStr">
        <is>
          <t>OK</t>
        </is>
      </c>
      <c r="AF9" s="96" t="n"/>
      <c r="AG9" s="97" t="n"/>
      <c r="AH9" s="96" t="inlineStr">
        <is>
          <t>CHK</t>
        </is>
      </c>
      <c r="AI9" s="97" t="inlineStr">
        <is>
          <t>OK</t>
        </is>
      </c>
      <c r="AJ9" s="97" t="n"/>
      <c r="AK9" s="97" t="n"/>
      <c r="AL9" s="97" t="n"/>
      <c r="AM9" s="96" t="inlineStr">
        <is>
          <t>TBKK55</t>
        </is>
      </c>
      <c r="AN9" s="96" t="inlineStr">
        <is>
          <t>Vilaiporn</t>
        </is>
      </c>
      <c r="AO9" s="96" t="inlineStr">
        <is>
          <t>GENESTAR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inlineStr">
        <is>
          <t>OBL</t>
        </is>
      </c>
      <c r="AZ9" s="96" t="inlineStr">
        <is>
          <t xml:space="preserve">Pickup : 2026-10-17, Return : 2026-10-19 
 ** PLEASE CHECK OPEN GATE BEFORE RETURN CNTR **
</t>
        </is>
      </c>
      <c r="BA9" s="97" t="n"/>
      <c r="BB9" s="96" t="inlineStr">
        <is>
          <t>P</t>
        </is>
      </c>
      <c r="BC9" s="161" t="inlineStr">
        <is>
          <t>2026-10-15</t>
        </is>
      </c>
      <c r="BD9" s="161" t="inlineStr">
        <is>
          <t>2026-10-19</t>
        </is>
      </c>
      <c r="BE9" s="96" t="inlineStr">
        <is>
          <t>Y</t>
        </is>
      </c>
      <c r="BF9" s="96" t="inlineStr">
        <is>
          <t>GENESTAR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LCH27</t>
        </is>
      </c>
      <c r="BL9" s="161" t="inlineStr">
        <is>
          <t>2026-10-17</t>
        </is>
      </c>
      <c r="BM9" s="127" t="n"/>
      <c r="BN9" s="127" t="n"/>
      <c r="BO9" s="127" t="n"/>
      <c r="BP9" s="127" t="n">
        <v>10</v>
      </c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/>
      <c r="CA9" s="96" t="inlineStr">
        <is>
          <t>Y</t>
        </is>
      </c>
      <c r="CB9" s="97" t="n"/>
      <c r="CC9" s="96" t="inlineStr">
        <is>
          <t>LCH04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7" t="n"/>
      <c r="CI9" s="96" t="inlineStr">
        <is>
          <t>benjawan.s@th.yusen-logistics.com</t>
        </is>
      </c>
      <c r="CJ9" s="96" t="inlineStr">
        <is>
          <t>YUSEN LOGISTICS (THAILAND) CO., LTD</t>
        </is>
      </c>
      <c r="CK9" s="96" t="inlineStr">
        <is>
          <t>YUSEN LOGISTICS (HONG KONG) LTD.</t>
        </is>
      </c>
      <c r="CL9" s="96" t="inlineStr">
        <is>
          <t>YUSEN LOGISTICS (HONG KONG) LTD.</t>
        </is>
      </c>
      <c r="CM9" s="97" t="inlineStr">
        <is>
          <t>CLOSED</t>
        </is>
      </c>
      <c r="CN9" s="96" t="inlineStr">
        <is>
          <t>202610232359</t>
        </is>
      </c>
      <c r="CO9" s="96" t="inlineStr">
        <is>
          <t>202610230700</t>
        </is>
      </c>
      <c r="CP9" s="97" t="n"/>
      <c r="CQ9" s="96" t="inlineStr">
        <is>
          <t>S19-2112038</t>
        </is>
      </c>
      <c r="CR9" s="96" t="inlineStr">
        <is>
          <t>TH03TL</t>
        </is>
      </c>
      <c r="CS9" s="96" t="inlineStr">
        <is>
          <t>YUSEN LOGISTICS (THAILAND) CO., LTD.</t>
        </is>
      </c>
      <c r="CT9" s="96" t="inlineStr">
        <is>
          <t>N</t>
        </is>
      </c>
      <c r="CU9" s="97" t="n"/>
      <c r="CV9" s="97" t="n"/>
      <c r="CW9" s="161" t="inlineStr">
        <is>
          <t>2026-10-24</t>
        </is>
      </c>
      <c r="CX9" s="97" t="n"/>
      <c r="CY9" s="183" t="n"/>
    </row>
    <row r="10" ht="12" customHeight="1">
      <c r="A10" s="116" t="inlineStr">
        <is>
          <t>HASLS22261001392</t>
        </is>
      </c>
      <c r="B10" s="96" t="inlineStr">
        <is>
          <t>20'x1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1</v>
      </c>
      <c r="H10" s="97" t="n">
        <v>0</v>
      </c>
      <c r="I10" s="97" t="n">
        <v>0</v>
      </c>
      <c r="J10" s="97" t="n">
        <v>1</v>
      </c>
      <c r="K10" s="96" t="inlineStr">
        <is>
          <t>N</t>
        </is>
      </c>
      <c r="L10" s="96" t="inlineStr">
        <is>
          <t>KTS1</t>
        </is>
      </c>
      <c r="M10" s="96" t="inlineStr">
        <is>
          <t>CMA</t>
        </is>
      </c>
      <c r="N10" s="96" t="inlineStr">
        <is>
          <t>2615N</t>
        </is>
      </c>
      <c r="O10" s="96" t="inlineStr">
        <is>
          <t>THLCH</t>
        </is>
      </c>
      <c r="P10" s="96" t="inlineStr">
        <is>
          <t>LCH04</t>
        </is>
      </c>
      <c r="Q10" s="96" t="inlineStr">
        <is>
          <t>IA</t>
        </is>
      </c>
      <c r="R10" s="161" t="inlineStr">
        <is>
          <t>2026-10-25</t>
        </is>
      </c>
      <c r="S10" s="96" t="inlineStr">
        <is>
          <t>HKHKG</t>
        </is>
      </c>
      <c r="T10" s="96" t="inlineStr">
        <is>
          <t>HKG03</t>
        </is>
      </c>
      <c r="U10" s="96" t="inlineStr">
        <is>
          <t>HKHKG</t>
        </is>
      </c>
      <c r="V10" s="161" t="inlineStr">
        <is>
          <t>2026-10-30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DOLPHIN LOGISTICS (THAILAND) CO., LTD.</t>
        </is>
      </c>
      <c r="AB10" s="96" t="inlineStr">
        <is>
          <t>I ONE TECHNOLOGY (THAILAND) CO.,LTD.</t>
        </is>
      </c>
      <c r="AC10" s="163" t="n">
        <v>2761.4</v>
      </c>
      <c r="AD10" s="163" t="n">
        <v>4961.4</v>
      </c>
      <c r="AE10" s="96" t="inlineStr">
        <is>
          <t>OK</t>
        </is>
      </c>
      <c r="AF10" s="96" t="inlineStr">
        <is>
          <t>SR</t>
        </is>
      </c>
      <c r="AG10" s="97" t="n"/>
      <c r="AH10" s="96" t="inlineStr">
        <is>
          <t>CHK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TH0042</t>
        </is>
      </c>
      <c r="AN10" s="96" t="inlineStr">
        <is>
          <t>Sukunpoj Damrongying</t>
        </is>
      </c>
      <c r="AO10" s="96" t="inlineStr">
        <is>
          <t>MOUSE PCBA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Pickup : 2026-10-20, Return : 2026-10-20 // EXTEND CLS TIME 21/10 @23.59 
 ** PLEASE CHECK OPEN GATE BEFORE RETURN CNTR **
</t>
        </is>
      </c>
      <c r="BA10" s="97" t="inlineStr">
        <is>
          <t>REQUEST GOOD, CLEAN AND NO LEAK CONTAINER</t>
        </is>
      </c>
      <c r="BB10" s="96" t="inlineStr">
        <is>
          <t>P</t>
        </is>
      </c>
      <c r="BC10" s="161" t="inlineStr">
        <is>
          <t>2026-10-19</t>
        </is>
      </c>
      <c r="BD10" s="161" t="inlineStr">
        <is>
          <t>2026-10-20</t>
        </is>
      </c>
      <c r="BE10" s="96" t="inlineStr">
        <is>
          <t>Y</t>
        </is>
      </c>
      <c r="BF10" s="96" t="inlineStr">
        <is>
          <t>MOUSE PCBA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LCH27</t>
        </is>
      </c>
      <c r="BL10" s="161" t="inlineStr">
        <is>
          <t>2026-10-20</t>
        </is>
      </c>
      <c r="BM10" s="127" t="n"/>
      <c r="BN10" s="127" t="n">
        <v>1</v>
      </c>
      <c r="BO10" s="127" t="n"/>
      <c r="BP10" s="127" t="n"/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LCH04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dolphin-th-exp@dolphinth.com</t>
        </is>
      </c>
      <c r="CJ10" s="96" t="inlineStr">
        <is>
          <t>DOLPHIN LOGISTICS (THAILAND)</t>
        </is>
      </c>
      <c r="CK10" s="96" t="inlineStr">
        <is>
          <t>SIG FAI TRANSPORTATION COMPANY</t>
        </is>
      </c>
      <c r="CL10" s="96" t="inlineStr">
        <is>
          <t>SIG FAI TRANSPORTATION COMPANY</t>
        </is>
      </c>
      <c r="CM10" s="97" t="inlineStr">
        <is>
          <t>CLOSED</t>
        </is>
      </c>
      <c r="CN10" s="96" t="inlineStr">
        <is>
          <t>202610232359</t>
        </is>
      </c>
      <c r="CO10" s="96" t="inlineStr">
        <is>
          <t>202610230700</t>
        </is>
      </c>
      <c r="CP10" s="97" t="n"/>
      <c r="CQ10" s="96" t="inlineStr">
        <is>
          <t>S22-2308056</t>
        </is>
      </c>
      <c r="CR10" s="96" t="inlineStr">
        <is>
          <t>TH018T</t>
        </is>
      </c>
      <c r="CS10" s="96" t="inlineStr">
        <is>
          <t>DOLPHIN LOGISTICS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2026-10-24</t>
        </is>
      </c>
      <c r="CX10" s="97" t="n"/>
      <c r="CY10" s="183" t="n"/>
    </row>
    <row r="11" ht="12" customHeight="1">
      <c r="A11" s="116" t="inlineStr">
        <is>
          <t>HASLS22261001478</t>
        </is>
      </c>
      <c r="B11" s="96" t="inlineStr">
        <is>
          <t>R40Hx1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KTS1</t>
        </is>
      </c>
      <c r="M11" s="96" t="inlineStr">
        <is>
          <t>CMA</t>
        </is>
      </c>
      <c r="N11" s="96" t="inlineStr">
        <is>
          <t>2615N</t>
        </is>
      </c>
      <c r="O11" s="96" t="inlineStr">
        <is>
          <t>THLCH</t>
        </is>
      </c>
      <c r="P11" s="96" t="inlineStr">
        <is>
          <t>LCH04</t>
        </is>
      </c>
      <c r="Q11" s="96" t="inlineStr">
        <is>
          <t>IA</t>
        </is>
      </c>
      <c r="R11" s="161" t="inlineStr">
        <is>
          <t>2026-10-25</t>
        </is>
      </c>
      <c r="S11" s="96" t="inlineStr">
        <is>
          <t>KRPUS</t>
        </is>
      </c>
      <c r="T11" s="96" t="inlineStr">
        <is>
          <t>PUSH4</t>
        </is>
      </c>
      <c r="U11" s="96" t="inlineStr">
        <is>
          <t>KRPUS</t>
        </is>
      </c>
      <c r="V11" s="161" t="inlineStr">
        <is>
          <t>2026-11-03</t>
        </is>
      </c>
      <c r="W11" s="96" t="inlineStr">
        <is>
          <t>KR</t>
        </is>
      </c>
      <c r="X11" s="97" t="n"/>
      <c r="Y11" s="97" t="n"/>
      <c r="Z11" s="97" t="n"/>
      <c r="AA11" s="96" t="inlineStr">
        <is>
          <t>ISSIRA INTERGROUP CO., LTD.</t>
        </is>
      </c>
      <c r="AB11" s="96" t="inlineStr">
        <is>
          <t>PJW CORPORATION CO., LTD.</t>
        </is>
      </c>
      <c r="AC11" s="163" t="n">
        <v>25024</v>
      </c>
      <c r="AD11" s="163" t="n">
        <v>29024</v>
      </c>
      <c r="AE11" s="96" t="inlineStr">
        <is>
          <t>OK</t>
        </is>
      </c>
      <c r="AF11" s="96" t="n"/>
      <c r="AG11" s="97" t="n"/>
      <c r="AH11" s="96" t="inlineStr">
        <is>
          <t>CHK</t>
        </is>
      </c>
      <c r="AI11" s="97" t="inlineStr">
        <is>
          <t>OK</t>
        </is>
      </c>
      <c r="AJ11" s="97" t="n"/>
      <c r="AK11" s="97" t="n"/>
      <c r="AL11" s="97" t="n"/>
      <c r="AM11" s="96" t="inlineStr">
        <is>
          <t>TBKK47</t>
        </is>
      </c>
      <c r="AN11" s="96" t="inlineStr">
        <is>
          <t>Tarn(Supaporn)</t>
        </is>
      </c>
      <c r="AO11" s="96" t="inlineStr">
        <is>
          <t>FROZEN FRESH CHICKEN MEAT</t>
        </is>
      </c>
      <c r="AP11" s="96" t="inlineStr">
        <is>
          <t>Normal</t>
        </is>
      </c>
      <c r="AQ11" s="97" t="n"/>
      <c r="AR11" s="97" t="n"/>
      <c r="AS11" s="97" t="inlineStr">
        <is>
          <t>RF// MIN:-20.0 MAX:-20.0 [COVER:CLOSE]</t>
        </is>
      </c>
      <c r="AT11" s="97" t="inlineStr">
        <is>
          <t xml:space="preserve">45REx1 </t>
        </is>
      </c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2026-10-20, Return : 2026-10-21(Temp -20.0 / Vent Close) 
CLS TIME DD.23/10/2026 @ 23.59HRS.</t>
        </is>
      </c>
      <c r="BA11" s="97" t="inlineStr">
        <is>
          <t>CY ; 20-OCT-26 AT LCHRE : 21-OCT-26- AT LCH</t>
        </is>
      </c>
      <c r="BB11" s="96" t="inlineStr">
        <is>
          <t>P</t>
        </is>
      </c>
      <c r="BC11" s="161" t="inlineStr">
        <is>
          <t>2026-10-19</t>
        </is>
      </c>
      <c r="BD11" s="161" t="inlineStr">
        <is>
          <t>2026-10-22</t>
        </is>
      </c>
      <c r="BE11" s="96" t="inlineStr">
        <is>
          <t>Y</t>
        </is>
      </c>
      <c r="BF11" s="96" t="inlineStr">
        <is>
          <t>FROZEN CHICKEN MEAT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LCH27</t>
        </is>
      </c>
      <c r="BL11" s="161" t="inlineStr">
        <is>
          <t>2026-10-20</t>
        </is>
      </c>
      <c r="BM11" s="127" t="n"/>
      <c r="BN11" s="127" t="n"/>
      <c r="BO11" s="127" t="n"/>
      <c r="BP11" s="127" t="n"/>
      <c r="BQ11" s="127" t="n"/>
      <c r="BR11" s="127" t="n">
        <v>1</v>
      </c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LCH04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chonly.isl@outlook.com</t>
        </is>
      </c>
      <c r="CJ11" s="96" t="inlineStr">
        <is>
          <t>PJW CORPORATION CO.,LTD.</t>
        </is>
      </c>
      <c r="CK11" s="96" t="inlineStr">
        <is>
          <t>TO THE ORDER OF WOORI BANK</t>
        </is>
      </c>
      <c r="CL11" s="96" t="inlineStr">
        <is>
          <t>HIGHLAND FOODS CO., LTD.</t>
        </is>
      </c>
      <c r="CM11" s="97" t="n"/>
      <c r="CN11" s="96" t="inlineStr">
        <is>
          <t>202610232359</t>
        </is>
      </c>
      <c r="CO11" s="96" t="inlineStr">
        <is>
          <t>202610230700</t>
        </is>
      </c>
      <c r="CP11" s="97" t="inlineStr">
        <is>
          <t>45RE x1: RF(Temp:-20.0' / Cover:CLOSE)</t>
        </is>
      </c>
      <c r="CQ11" s="96" t="inlineStr">
        <is>
          <t>BKK14A0118-1</t>
        </is>
      </c>
      <c r="CR11" s="96" t="inlineStr">
        <is>
          <t>THTRMW</t>
        </is>
      </c>
      <c r="CS11" s="96" t="inlineStr">
        <is>
          <t>ISSIRA INTERGROUP CO., LTD.</t>
        </is>
      </c>
      <c r="CT11" s="96" t="inlineStr">
        <is>
          <t>N</t>
        </is>
      </c>
      <c r="CU11" s="97" t="n"/>
      <c r="CV11" s="97" t="n"/>
      <c r="CW11" s="161" t="inlineStr">
        <is>
          <t>2026-10-24</t>
        </is>
      </c>
      <c r="CX11" s="97" t="n"/>
      <c r="CY11" s="183" t="n"/>
    </row>
    <row r="12" ht="12" customHeight="1">
      <c r="A12" s="116" t="inlineStr">
        <is>
          <t>HASLS22261001499</t>
        </is>
      </c>
      <c r="B12" s="96" t="inlineStr">
        <is>
          <t>20'x4</t>
        </is>
      </c>
      <c r="C12" s="97" t="n">
        <v>4</v>
      </c>
      <c r="D12" s="97" t="n">
        <v>4</v>
      </c>
      <c r="E12" s="97" t="n"/>
      <c r="F12" s="97" t="n">
        <v>0</v>
      </c>
      <c r="G12" s="97" t="n">
        <v>4</v>
      </c>
      <c r="H12" s="97" t="n">
        <v>0</v>
      </c>
      <c r="I12" s="97" t="n">
        <v>0</v>
      </c>
      <c r="J12" s="97" t="n">
        <v>4</v>
      </c>
      <c r="K12" s="96" t="inlineStr">
        <is>
          <t>N</t>
        </is>
      </c>
      <c r="L12" s="96" t="inlineStr">
        <is>
          <t>KTS1</t>
        </is>
      </c>
      <c r="M12" s="96" t="inlineStr">
        <is>
          <t>CMA</t>
        </is>
      </c>
      <c r="N12" s="96" t="inlineStr">
        <is>
          <t>2615N</t>
        </is>
      </c>
      <c r="O12" s="96" t="inlineStr">
        <is>
          <t>THLCH</t>
        </is>
      </c>
      <c r="P12" s="96" t="inlineStr">
        <is>
          <t>LCH04</t>
        </is>
      </c>
      <c r="Q12" s="96" t="inlineStr">
        <is>
          <t>IA</t>
        </is>
      </c>
      <c r="R12" s="161" t="inlineStr">
        <is>
          <t>2026-10-25</t>
        </is>
      </c>
      <c r="S12" s="96" t="inlineStr">
        <is>
          <t>CNSHK</t>
        </is>
      </c>
      <c r="T12" s="96" t="inlineStr">
        <is>
          <t>SHE04</t>
        </is>
      </c>
      <c r="U12" s="96" t="inlineStr">
        <is>
          <t>CNSHK</t>
        </is>
      </c>
      <c r="V12" s="161" t="inlineStr">
        <is>
          <t>2026-10-30</t>
        </is>
      </c>
      <c r="W12" s="96" t="inlineStr">
        <is>
          <t>IA</t>
        </is>
      </c>
      <c r="X12" s="97" t="n"/>
      <c r="Y12" s="97" t="n"/>
      <c r="Z12" s="97" t="n"/>
      <c r="AA12" s="96" t="inlineStr">
        <is>
          <t>UBE CHEMICALS (ASIA) PUBLIC COMPANY LIMITED</t>
        </is>
      </c>
      <c r="AB12" s="96" t="inlineStr">
        <is>
          <t>UBE CHEMICALS (ASIA) PUBLIC COMPANY LIMITED</t>
        </is>
      </c>
      <c r="AC12" s="163" t="n">
        <v>76760</v>
      </c>
      <c r="AD12" s="163" t="n">
        <v>85560</v>
      </c>
      <c r="AE12" s="96" t="inlineStr">
        <is>
          <t>OK</t>
        </is>
      </c>
      <c r="AF12" s="96" t="n"/>
      <c r="AG12" s="97" t="n"/>
      <c r="AH12" s="96" t="inlineStr">
        <is>
          <t>CHK</t>
        </is>
      </c>
      <c r="AI12" s="97" t="inlineStr">
        <is>
          <t>OK</t>
        </is>
      </c>
      <c r="AJ12" s="97" t="n"/>
      <c r="AK12" s="97" t="n"/>
      <c r="AL12" s="97" t="n"/>
      <c r="AM12" s="96" t="inlineStr">
        <is>
          <t>TBKK47</t>
        </is>
      </c>
      <c r="AN12" s="96" t="inlineStr">
        <is>
          <t>Tarn(Supaporn)</t>
        </is>
      </c>
      <c r="AO12" s="96" t="inlineStr">
        <is>
          <t>UBE NYLON RESIN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CY-RTN : 20-22/10/2026 
SAP SO : 2002054854
RQST CNTR GRADE A</t>
        </is>
      </c>
      <c r="BA12" s="97" t="inlineStr">
        <is>
          <t>SI DD.21/10/26</t>
        </is>
      </c>
      <c r="BB12" s="96" t="inlineStr">
        <is>
          <t>P</t>
        </is>
      </c>
      <c r="BC12" s="161" t="inlineStr">
        <is>
          <t>2026-10-19</t>
        </is>
      </c>
      <c r="BD12" s="161" t="inlineStr">
        <is>
          <t>2026-10-22</t>
        </is>
      </c>
      <c r="BE12" s="96" t="inlineStr">
        <is>
          <t>Y</t>
        </is>
      </c>
      <c r="BF12" s="96" t="inlineStr">
        <is>
          <t xml:space="preserve">POLYAMIDE RESIN 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LCHY5</t>
        </is>
      </c>
      <c r="BL12" s="161" t="inlineStr">
        <is>
          <t>2026-10-20</t>
        </is>
      </c>
      <c r="BM12" s="127" t="n"/>
      <c r="BN12" s="127" t="n">
        <v>4</v>
      </c>
      <c r="BO12" s="127" t="n"/>
      <c r="BP12" s="127" t="n"/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n"/>
      <c r="CB12" s="97" t="n"/>
      <c r="CC12" s="96" t="inlineStr">
        <is>
          <t>LCH04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7" t="n"/>
      <c r="CI12" s="96" t="inlineStr">
        <is>
          <t>hataipach@ube.co.th;ugttransportex@ube.co.th</t>
        </is>
      </c>
      <c r="CJ12" s="96" t="inlineStr">
        <is>
          <t>UBE CHEMICALS (ASIA) PUBLIC</t>
        </is>
      </c>
      <c r="CK12" s="96" t="inlineStr">
        <is>
          <t>DONGGUAN STARPLAS ENGINEERING</t>
        </is>
      </c>
      <c r="CL12" s="96" t="inlineStr">
        <is>
          <t>DONGGUAN STARPLAS ENGINEERING</t>
        </is>
      </c>
      <c r="CM12" s="97" t="inlineStr">
        <is>
          <t>CLOSED</t>
        </is>
      </c>
      <c r="CN12" s="96" t="inlineStr">
        <is>
          <t>202610232359</t>
        </is>
      </c>
      <c r="CO12" s="96" t="inlineStr">
        <is>
          <t>202610230700</t>
        </is>
      </c>
      <c r="CP12" s="97" t="n"/>
      <c r="CQ12" s="96" t="inlineStr">
        <is>
          <t>BKK17A0457-1</t>
        </is>
      </c>
      <c r="CR12" s="96" t="inlineStr">
        <is>
          <t>TH035E</t>
        </is>
      </c>
      <c r="CS12" s="96" t="inlineStr">
        <is>
          <t>UBE CHEMICALS (ASIA) PUBLIC COMPANY LIMITED</t>
        </is>
      </c>
      <c r="CT12" s="96" t="inlineStr">
        <is>
          <t>N</t>
        </is>
      </c>
      <c r="CU12" s="97" t="n"/>
      <c r="CV12" s="97" t="n"/>
      <c r="CW12" s="161" t="inlineStr">
        <is>
          <t>2026-10-24</t>
        </is>
      </c>
      <c r="CX12" s="97" t="n"/>
      <c r="CY12" s="183" t="n"/>
    </row>
    <row r="13" ht="12" customHeight="1">
      <c r="A13" s="116" t="n"/>
      <c r="B13" s="96" t="n"/>
      <c r="C13" s="97" t="n"/>
      <c r="D13" s="97" t="n"/>
      <c r="E13" s="97" t="n"/>
      <c r="F13" s="97" t="n"/>
      <c r="G13" s="97" t="n"/>
      <c r="H13" s="97" t="n"/>
      <c r="I13" s="97" t="n"/>
      <c r="J13" s="97" t="n"/>
      <c r="K13" s="96" t="n"/>
      <c r="L13" s="96" t="n"/>
      <c r="M13" s="96" t="n"/>
      <c r="N13" s="96" t="n"/>
      <c r="O13" s="96" t="n"/>
      <c r="P13" s="96" t="n"/>
      <c r="Q13" s="96" t="n"/>
      <c r="R13" s="161" t="n"/>
      <c r="S13" s="96" t="n"/>
      <c r="T13" s="96" t="n"/>
      <c r="U13" s="96" t="n"/>
      <c r="V13" s="161" t="n"/>
      <c r="W13" s="96" t="n"/>
      <c r="X13" s="97" t="n"/>
      <c r="Y13" s="96" t="n"/>
      <c r="Z13" s="96" t="n"/>
      <c r="AA13" s="96" t="n"/>
      <c r="AB13" s="96" t="n"/>
      <c r="AC13" s="163" t="n"/>
      <c r="AD13" s="163" t="n"/>
      <c r="AE13" s="96" t="n"/>
      <c r="AF13" s="97" t="n"/>
      <c r="AG13" s="97" t="n"/>
      <c r="AH13" s="96" t="n"/>
      <c r="AI13" s="97" t="n"/>
      <c r="AJ13" s="97" t="n"/>
      <c r="AK13" s="97" t="n"/>
      <c r="AL13" s="97" t="n"/>
      <c r="AM13" s="96" t="n"/>
      <c r="AN13" s="96" t="n"/>
      <c r="AO13" s="96" t="n"/>
      <c r="AP13" s="96" t="n"/>
      <c r="AQ13" s="97" t="n"/>
      <c r="AR13" s="97" t="n"/>
      <c r="AS13" s="97" t="n"/>
      <c r="AT13" s="97" t="n"/>
      <c r="AU13" s="97" t="n"/>
      <c r="AV13" s="97" t="n"/>
      <c r="AW13" s="97" t="n"/>
      <c r="AX13" s="96" t="n"/>
      <c r="AY13" s="97" t="n"/>
      <c r="AZ13" s="96" t="n"/>
      <c r="BA13" s="97" t="n"/>
      <c r="BB13" s="96" t="n"/>
      <c r="BC13" s="161" t="n"/>
      <c r="BD13" s="161" t="n"/>
      <c r="BE13" s="96" t="n"/>
      <c r="BF13" s="96" t="n"/>
      <c r="BG13" s="96" t="n"/>
      <c r="BH13" s="96" t="n"/>
      <c r="BI13" s="97" t="n"/>
      <c r="BJ13" s="97" t="n"/>
      <c r="BK13" s="96" t="n"/>
      <c r="BL13" s="161" t="n"/>
      <c r="BM13" s="127" t="n"/>
      <c r="BN13" s="127" t="n"/>
      <c r="BO13" s="127" t="n"/>
      <c r="BP13" s="127" t="n"/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n"/>
      <c r="BZ13" s="97" t="n"/>
      <c r="CA13" s="96" t="n"/>
      <c r="CB13" s="97" t="n"/>
      <c r="CC13" s="96" t="n"/>
      <c r="CD13" s="97" t="n"/>
      <c r="CE13" s="97" t="n"/>
      <c r="CF13" s="96" t="n"/>
      <c r="CG13" s="96" t="n"/>
      <c r="CH13" s="96" t="n"/>
      <c r="CI13" s="96" t="n"/>
      <c r="CJ13" s="96" t="n"/>
      <c r="CK13" s="96" t="n"/>
      <c r="CL13" s="96" t="n"/>
      <c r="CM13" s="97" t="n"/>
      <c r="CN13" s="96" t="n"/>
      <c r="CO13" s="96" t="n"/>
      <c r="CP13" s="97" t="n"/>
      <c r="CQ13" s="96" t="n"/>
      <c r="CR13" s="96" t="n"/>
      <c r="CS13" s="96" t="n"/>
      <c r="CT13" s="96" t="n"/>
      <c r="CU13" s="97" t="n"/>
      <c r="CV13" s="97" t="n"/>
      <c r="CW13" s="161" t="n"/>
      <c r="CX13" s="96" t="n"/>
      <c r="CY13" s="156" t="n"/>
    </row>
    <row r="14" ht="12" customHeight="1">
      <c r="A14" s="116" t="n"/>
      <c r="B14" s="96" t="n"/>
      <c r="C14" s="97" t="n"/>
      <c r="D14" s="97" t="n"/>
      <c r="E14" s="97" t="n"/>
      <c r="F14" s="97" t="n"/>
      <c r="G14" s="97" t="n"/>
      <c r="H14" s="97" t="n"/>
      <c r="I14" s="97" t="n"/>
      <c r="J14" s="97" t="n"/>
      <c r="K14" s="96" t="n"/>
      <c r="L14" s="96" t="n"/>
      <c r="M14" s="96" t="n"/>
      <c r="N14" s="96" t="n"/>
      <c r="O14" s="96" t="n"/>
      <c r="P14" s="96" t="n"/>
      <c r="Q14" s="96" t="n"/>
      <c r="R14" s="161" t="n"/>
      <c r="S14" s="96" t="n"/>
      <c r="T14" s="96" t="n"/>
      <c r="U14" s="96" t="n"/>
      <c r="V14" s="161" t="n"/>
      <c r="W14" s="96" t="n"/>
      <c r="X14" s="97" t="n"/>
      <c r="Y14" s="97" t="n"/>
      <c r="Z14" s="97" t="n"/>
      <c r="AA14" s="96" t="n"/>
      <c r="AB14" s="96" t="n"/>
      <c r="AC14" s="163" t="n"/>
      <c r="AD14" s="163" t="n"/>
      <c r="AE14" s="96" t="n"/>
      <c r="AF14" s="97" t="n"/>
      <c r="AG14" s="97" t="n"/>
      <c r="AH14" s="96" t="n"/>
      <c r="AI14" s="96" t="n"/>
      <c r="AJ14" s="97" t="n"/>
      <c r="AK14" s="97" t="n"/>
      <c r="AL14" s="97" t="n"/>
      <c r="AM14" s="96" t="n"/>
      <c r="AN14" s="96" t="n"/>
      <c r="AO14" s="96" t="n"/>
      <c r="AP14" s="96" t="n"/>
      <c r="AQ14" s="97" t="n"/>
      <c r="AR14" s="97" t="n"/>
      <c r="AS14" s="97" t="n"/>
      <c r="AT14" s="97" t="n"/>
      <c r="AU14" s="97" t="n"/>
      <c r="AV14" s="97" t="n"/>
      <c r="AW14" s="97" t="n"/>
      <c r="AX14" s="96" t="n"/>
      <c r="AY14" s="97" t="n"/>
      <c r="AZ14" s="96" t="n"/>
      <c r="BA14" s="96" t="n"/>
      <c r="BB14" s="96" t="n"/>
      <c r="BC14" s="161" t="n"/>
      <c r="BD14" s="161" t="n"/>
      <c r="BE14" s="96" t="n"/>
      <c r="BF14" s="96" t="n"/>
      <c r="BG14" s="96" t="n"/>
      <c r="BH14" s="96" t="n"/>
      <c r="BI14" s="97" t="n"/>
      <c r="BJ14" s="97" t="n"/>
      <c r="BK14" s="96" t="n"/>
      <c r="BL14" s="161" t="n"/>
      <c r="BM14" s="127" t="n"/>
      <c r="BN14" s="127" t="n"/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n"/>
      <c r="BZ14" s="97" t="n"/>
      <c r="CA14" s="97" t="n"/>
      <c r="CB14" s="97" t="n"/>
      <c r="CC14" s="96" t="n"/>
      <c r="CD14" s="97" t="n"/>
      <c r="CE14" s="97" t="n"/>
      <c r="CF14" s="96" t="n"/>
      <c r="CG14" s="96" t="n"/>
      <c r="CH14" s="97" t="n"/>
      <c r="CI14" s="96" t="n"/>
      <c r="CJ14" s="96" t="n"/>
      <c r="CK14" s="96" t="n"/>
      <c r="CL14" s="96" t="n"/>
      <c r="CM14" s="97" t="n"/>
      <c r="CN14" s="96" t="n"/>
      <c r="CO14" s="96" t="n"/>
      <c r="CP14" s="97" t="n"/>
      <c r="CQ14" s="96" t="n"/>
      <c r="CR14" s="96" t="n"/>
      <c r="CS14" s="96" t="n"/>
      <c r="CT14" s="96" t="n"/>
      <c r="CU14" s="97" t="n"/>
      <c r="CV14" s="97" t="n"/>
      <c r="CW14" s="161" t="n"/>
      <c r="CX14" s="96" t="n"/>
      <c r="CY14" s="156" t="n"/>
    </row>
    <row r="15" ht="12" customHeight="1">
      <c r="A15" s="116" t="n"/>
      <c r="B15" s="96" t="n"/>
      <c r="C15" s="97" t="n"/>
      <c r="D15" s="97" t="n"/>
      <c r="E15" s="97" t="n"/>
      <c r="F15" s="97" t="n"/>
      <c r="G15" s="97" t="n"/>
      <c r="H15" s="97" t="n"/>
      <c r="I15" s="97" t="n"/>
      <c r="J15" s="97" t="n"/>
      <c r="K15" s="96" t="n"/>
      <c r="L15" s="96" t="n"/>
      <c r="M15" s="96" t="n"/>
      <c r="N15" s="96" t="n"/>
      <c r="O15" s="96" t="n"/>
      <c r="P15" s="96" t="n"/>
      <c r="Q15" s="96" t="n"/>
      <c r="R15" s="161" t="n"/>
      <c r="S15" s="96" t="n"/>
      <c r="T15" s="96" t="n"/>
      <c r="U15" s="96" t="n"/>
      <c r="V15" s="161" t="n"/>
      <c r="W15" s="96" t="n"/>
      <c r="X15" s="97" t="n"/>
      <c r="Y15" s="96" t="n"/>
      <c r="Z15" s="96" t="n"/>
      <c r="AA15" s="96" t="n"/>
      <c r="AB15" s="96" t="n"/>
      <c r="AC15" s="163" t="n"/>
      <c r="AD15" s="163" t="n"/>
      <c r="AE15" s="96" t="n"/>
      <c r="AF15" s="97" t="n"/>
      <c r="AG15" s="97" t="n"/>
      <c r="AH15" s="96" t="n"/>
      <c r="AI15" s="96" t="n"/>
      <c r="AJ15" s="97" t="n"/>
      <c r="AK15" s="97" t="n"/>
      <c r="AL15" s="97" t="n"/>
      <c r="AM15" s="96" t="n"/>
      <c r="AN15" s="96" t="n"/>
      <c r="AO15" s="96" t="n"/>
      <c r="AP15" s="96" t="n"/>
      <c r="AQ15" s="97" t="n"/>
      <c r="AR15" s="97" t="n"/>
      <c r="AS15" s="97" t="n"/>
      <c r="AT15" s="97" t="n"/>
      <c r="AU15" s="97" t="n"/>
      <c r="AV15" s="97" t="n"/>
      <c r="AW15" s="97" t="n"/>
      <c r="AX15" s="96" t="n"/>
      <c r="AY15" s="97" t="n"/>
      <c r="AZ15" s="96" t="n"/>
      <c r="BA15" s="96" t="n"/>
      <c r="BB15" s="96" t="n"/>
      <c r="BC15" s="161" t="n"/>
      <c r="BD15" s="161" t="n"/>
      <c r="BE15" s="96" t="n"/>
      <c r="BF15" s="96" t="n"/>
      <c r="BG15" s="96" t="n"/>
      <c r="BH15" s="96" t="n"/>
      <c r="BI15" s="97" t="n"/>
      <c r="BJ15" s="97" t="n"/>
      <c r="BK15" s="96" t="n"/>
      <c r="BL15" s="161" t="n"/>
      <c r="BM15" s="127" t="n"/>
      <c r="BN15" s="127" t="n"/>
      <c r="BO15" s="127" t="n"/>
      <c r="BP15" s="127" t="n"/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n"/>
      <c r="BZ15" s="97" t="n"/>
      <c r="CA15" s="96" t="n"/>
      <c r="CB15" s="97" t="n"/>
      <c r="CC15" s="96" t="n"/>
      <c r="CD15" s="97" t="n"/>
      <c r="CE15" s="97" t="n"/>
      <c r="CF15" s="96" t="n"/>
      <c r="CG15" s="96" t="n"/>
      <c r="CH15" s="96" t="n"/>
      <c r="CI15" s="96" t="n"/>
      <c r="CJ15" s="96" t="n"/>
      <c r="CK15" s="96" t="n"/>
      <c r="CL15" s="96" t="n"/>
      <c r="CM15" s="97" t="n"/>
      <c r="CN15" s="96" t="n"/>
      <c r="CO15" s="96" t="n"/>
      <c r="CP15" s="97" t="n"/>
      <c r="CQ15" s="96" t="n"/>
      <c r="CR15" s="96" t="n"/>
      <c r="CS15" s="96" t="n"/>
      <c r="CT15" s="96" t="n"/>
      <c r="CU15" s="97" t="n"/>
      <c r="CV15" s="97" t="n"/>
      <c r="CW15" s="161" t="n"/>
      <c r="CX15" s="96" t="n"/>
      <c r="CY15" s="156" t="n"/>
    </row>
    <row r="16" ht="12" customHeight="1">
      <c r="A16" s="116" t="n"/>
      <c r="B16" s="96" t="n"/>
      <c r="C16" s="97" t="n"/>
      <c r="D16" s="97" t="n"/>
      <c r="E16" s="97" t="n"/>
      <c r="F16" s="97" t="n"/>
      <c r="G16" s="97" t="n"/>
      <c r="H16" s="97" t="n"/>
      <c r="I16" s="97" t="n"/>
      <c r="J16" s="97" t="n"/>
      <c r="K16" s="96" t="n"/>
      <c r="L16" s="96" t="n"/>
      <c r="M16" s="96" t="n"/>
      <c r="N16" s="96" t="n"/>
      <c r="O16" s="96" t="n"/>
      <c r="P16" s="96" t="n"/>
      <c r="Q16" s="96" t="n"/>
      <c r="R16" s="161" t="n"/>
      <c r="S16" s="96" t="n"/>
      <c r="T16" s="96" t="n"/>
      <c r="U16" s="96" t="n"/>
      <c r="V16" s="161" t="n"/>
      <c r="W16" s="96" t="n"/>
      <c r="X16" s="97" t="n"/>
      <c r="Y16" s="97" t="n"/>
      <c r="Z16" s="97" t="n"/>
      <c r="AA16" s="96" t="n"/>
      <c r="AB16" s="96" t="n"/>
      <c r="AC16" s="163" t="n"/>
      <c r="AD16" s="163" t="n"/>
      <c r="AE16" s="96" t="n"/>
      <c r="AF16" s="97" t="n"/>
      <c r="AG16" s="97" t="n"/>
      <c r="AH16" s="96" t="n"/>
      <c r="AI16" s="97" t="n"/>
      <c r="AJ16" s="97" t="n"/>
      <c r="AK16" s="97" t="n"/>
      <c r="AL16" s="97" t="n"/>
      <c r="AM16" s="96" t="n"/>
      <c r="AN16" s="96" t="n"/>
      <c r="AO16" s="96" t="n"/>
      <c r="AP16" s="96" t="n"/>
      <c r="AQ16" s="97" t="n"/>
      <c r="AR16" s="97" t="n"/>
      <c r="AS16" s="96" t="n"/>
      <c r="AT16" s="96" t="n"/>
      <c r="AU16" s="97" t="n"/>
      <c r="AV16" s="97" t="n"/>
      <c r="AW16" s="97" t="n"/>
      <c r="AX16" s="96" t="n"/>
      <c r="AY16" s="97" t="n"/>
      <c r="AZ16" s="96" t="n"/>
      <c r="BA16" s="96" t="n"/>
      <c r="BB16" s="96" t="n"/>
      <c r="BC16" s="161" t="n"/>
      <c r="BD16" s="161" t="n"/>
      <c r="BE16" s="96" t="n"/>
      <c r="BF16" s="96" t="n"/>
      <c r="BG16" s="96" t="n"/>
      <c r="BH16" s="96" t="n"/>
      <c r="BI16" s="97" t="n"/>
      <c r="BJ16" s="97" t="n"/>
      <c r="BK16" s="96" t="n"/>
      <c r="BL16" s="161" t="n"/>
      <c r="BM16" s="127" t="n"/>
      <c r="BN16" s="127" t="n"/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n"/>
      <c r="BZ16" s="97" t="n"/>
      <c r="CA16" s="96" t="n"/>
      <c r="CB16" s="97" t="n"/>
      <c r="CC16" s="96" t="n"/>
      <c r="CD16" s="97" t="n"/>
      <c r="CE16" s="96" t="n"/>
      <c r="CF16" s="96" t="n"/>
      <c r="CG16" s="96" t="n"/>
      <c r="CH16" s="97" t="n"/>
      <c r="CI16" s="96" t="n"/>
      <c r="CJ16" s="96" t="n"/>
      <c r="CK16" s="96" t="n"/>
      <c r="CL16" s="96" t="n"/>
      <c r="CM16" s="97" t="n"/>
      <c r="CN16" s="96" t="n"/>
      <c r="CO16" s="96" t="n"/>
      <c r="CP16" s="96" t="n"/>
      <c r="CQ16" s="96" t="n"/>
      <c r="CR16" s="96" t="n"/>
      <c r="CS16" s="96" t="n"/>
      <c r="CT16" s="96" t="n"/>
      <c r="CU16" s="97" t="n"/>
      <c r="CV16" s="97" t="n"/>
      <c r="CW16" s="161" t="n"/>
      <c r="CX16" s="97" t="n"/>
      <c r="CY16" s="156" t="n"/>
    </row>
    <row r="17" ht="12" customHeight="1">
      <c r="A17" s="164" t="n"/>
      <c r="B17" s="165" t="n"/>
      <c r="C17" s="136" t="n"/>
      <c r="D17" s="136" t="n"/>
      <c r="E17" s="136" t="n"/>
      <c r="F17" s="137" t="n"/>
      <c r="G17" s="137" t="n"/>
      <c r="H17" s="137" t="n"/>
      <c r="I17" s="137" t="n"/>
      <c r="J17" s="137" t="n"/>
      <c r="K17" s="138" t="n"/>
      <c r="L17" s="138" t="n"/>
      <c r="M17" s="138" t="n"/>
      <c r="N17" s="138" t="n"/>
      <c r="O17" s="138" t="n"/>
      <c r="P17" s="138" t="n"/>
      <c r="Q17" s="138" t="n"/>
      <c r="R17" s="138" t="n"/>
      <c r="S17" s="138" t="n"/>
      <c r="T17" s="138" t="n"/>
      <c r="U17" s="138" t="n"/>
      <c r="V17" s="138" t="n"/>
      <c r="W17" s="138" t="n"/>
      <c r="X17" s="138" t="n"/>
      <c r="Y17" s="138" t="n"/>
      <c r="Z17" s="138" t="n"/>
      <c r="AA17" s="138" t="n"/>
      <c r="AB17" s="138" t="n"/>
      <c r="AC17" s="162" t="n"/>
      <c r="AD17" s="162" t="n"/>
      <c r="AE17" s="138" t="n"/>
      <c r="AF17" s="138" t="n"/>
      <c r="AG17" s="138" t="n"/>
      <c r="AH17" s="138" t="n"/>
      <c r="AI17" s="138" t="n"/>
      <c r="AJ17" s="138" t="n"/>
      <c r="AK17" s="138" t="n"/>
      <c r="AL17" s="138" t="n"/>
      <c r="AM17" s="138" t="n"/>
      <c r="AN17" s="138" t="n"/>
      <c r="AO17" s="138" t="n"/>
      <c r="AP17" s="138" t="n"/>
      <c r="AQ17" s="138" t="n"/>
      <c r="AR17" s="138" t="n"/>
      <c r="AS17" s="138" t="n"/>
      <c r="AT17" s="138" t="n"/>
      <c r="AU17" s="138" t="n"/>
      <c r="AV17" s="138" t="n"/>
      <c r="AW17" s="138" t="n"/>
      <c r="AX17" s="138" t="n"/>
      <c r="AY17" s="138" t="n"/>
      <c r="AZ17" s="138" t="n"/>
      <c r="BA17" s="138" t="n"/>
      <c r="BB17" s="138" t="n"/>
      <c r="BC17" s="138" t="n"/>
      <c r="BD17" s="138" t="n"/>
      <c r="BE17" s="138" t="n"/>
      <c r="BF17" s="138" t="n"/>
      <c r="BG17" s="138" t="n"/>
      <c r="BH17" s="138" t="n"/>
      <c r="BI17" s="138" t="n"/>
      <c r="BJ17" s="138" t="n"/>
      <c r="BK17" s="138" t="n"/>
      <c r="BL17" s="138" t="n"/>
      <c r="BM17" s="137" t="n"/>
      <c r="BN17" s="137" t="n"/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n"/>
      <c r="BZ17" s="139" t="n"/>
      <c r="CA17" s="139" t="n"/>
      <c r="CB17" s="139" t="n"/>
      <c r="CC17" s="139" t="n"/>
      <c r="CD17" s="139" t="n"/>
      <c r="CE17" s="139" t="n"/>
      <c r="CF17" s="139" t="n"/>
      <c r="CG17" s="139" t="n"/>
      <c r="CH17" s="139" t="n"/>
      <c r="CI17" s="139" t="n"/>
      <c r="CJ17" s="139" t="n"/>
      <c r="CK17" s="139" t="n"/>
      <c r="CL17" s="139" t="n"/>
      <c r="CM17" s="139" t="n"/>
      <c r="CN17" s="139" t="n"/>
      <c r="CO17" s="139" t="n"/>
      <c r="CP17" s="139" t="n"/>
      <c r="CQ17" s="139" t="n"/>
      <c r="CR17" s="139" t="n"/>
      <c r="CS17" s="139" t="n"/>
      <c r="CT17" s="139" t="n"/>
      <c r="CU17" s="139" t="n"/>
      <c r="CV17" s="139" t="n"/>
      <c r="CW17" s="139" t="n"/>
      <c r="CX17" s="139" t="n"/>
      <c r="CY17" s="157" t="n"/>
    </row>
    <row r="18" ht="12" customHeight="1">
      <c r="A18" s="166" t="n"/>
      <c r="B18" s="167" t="n"/>
      <c r="C18" s="142" t="n"/>
      <c r="D18" s="142" t="n"/>
      <c r="E18" s="142" t="n"/>
      <c r="F18" s="137" t="n"/>
      <c r="G18" s="137" t="n"/>
      <c r="H18" s="137" t="n"/>
      <c r="I18" s="137" t="n"/>
      <c r="J18" s="137" t="n"/>
      <c r="K18" s="143" t="n"/>
      <c r="L18" s="143" t="n"/>
      <c r="M18" s="143" t="n"/>
      <c r="N18" s="143" t="n"/>
      <c r="O18" s="143" t="n"/>
      <c r="P18" s="143" t="n"/>
      <c r="Q18" s="143" t="n"/>
      <c r="R18" s="143" t="n"/>
      <c r="S18" s="143" t="n"/>
      <c r="T18" s="143" t="n"/>
      <c r="U18" s="143" t="n"/>
      <c r="V18" s="143" t="n"/>
      <c r="W18" s="143" t="n"/>
      <c r="X18" s="143" t="n"/>
      <c r="Y18" s="143" t="n"/>
      <c r="Z18" s="143" t="n"/>
      <c r="AA18" s="143" t="n"/>
      <c r="AB18" s="143" t="n"/>
      <c r="AC18" s="144" t="n"/>
      <c r="AD18" s="144" t="n"/>
      <c r="AE18" s="143" t="n"/>
      <c r="AF18" s="143" t="n"/>
      <c r="AG18" s="143" t="n"/>
      <c r="AH18" s="143" t="n"/>
      <c r="AI18" s="143" t="n"/>
      <c r="AJ18" s="143" t="n"/>
      <c r="AK18" s="143" t="n"/>
      <c r="AL18" s="143" t="n"/>
      <c r="AM18" s="143" t="n"/>
      <c r="AN18" s="143" t="n"/>
      <c r="AO18" s="143" t="n"/>
      <c r="AP18" s="143" t="n"/>
      <c r="AQ18" s="143" t="n"/>
      <c r="AR18" s="143" t="n"/>
      <c r="AS18" s="143" t="n"/>
      <c r="AT18" s="143" t="n"/>
      <c r="AU18" s="143" t="n"/>
      <c r="AV18" s="143" t="n"/>
      <c r="AW18" s="143" t="n"/>
      <c r="AX18" s="143" t="n"/>
      <c r="AY18" s="143" t="n"/>
      <c r="AZ18" s="143" t="n"/>
      <c r="BA18" s="143" t="n"/>
      <c r="BB18" s="143" t="n"/>
      <c r="BC18" s="143" t="n"/>
      <c r="BD18" s="143" t="n"/>
      <c r="BE18" s="143" t="n"/>
      <c r="BF18" s="143" t="n"/>
      <c r="BG18" s="143" t="n"/>
      <c r="BH18" s="143" t="n"/>
      <c r="BI18" s="143" t="n"/>
      <c r="BJ18" s="143" t="n"/>
      <c r="BK18" s="143" t="n"/>
      <c r="BL18" s="143" t="n"/>
      <c r="BM18" s="144" t="n"/>
      <c r="BN18" s="144" t="n"/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5" t="n"/>
      <c r="BZ18" s="145" t="n"/>
      <c r="CA18" s="145" t="n"/>
      <c r="CB18" s="145" t="n"/>
      <c r="CC18" s="145" t="n"/>
      <c r="CD18" s="145" t="n"/>
      <c r="CE18" s="145" t="n"/>
      <c r="CF18" s="145" t="n"/>
      <c r="CG18" s="145" t="n"/>
      <c r="CH18" s="145" t="n"/>
      <c r="CI18" s="145" t="n"/>
      <c r="CJ18" s="145" t="n"/>
      <c r="CK18" s="145" t="n"/>
      <c r="CL18" s="145" t="n"/>
      <c r="CM18" s="145" t="n"/>
      <c r="CN18" s="145" t="n"/>
      <c r="CO18" s="145" t="n"/>
      <c r="CP18" s="145" t="n"/>
      <c r="CQ18" s="145" t="n"/>
      <c r="CR18" s="145" t="n"/>
      <c r="CS18" s="145" t="n"/>
      <c r="CT18" s="145" t="n"/>
      <c r="CU18" s="145" t="n"/>
      <c r="CV18" s="145" t="n"/>
      <c r="CW18" s="145" t="n"/>
      <c r="CX18" s="145" t="n"/>
      <c r="CY18" s="158" t="n"/>
    </row>
    <row r="19" ht="12" customHeight="1">
      <c r="A19" s="168" t="n"/>
      <c r="B19" s="169" t="n"/>
      <c r="C19" s="142" t="n"/>
      <c r="D19" s="142" t="n"/>
      <c r="E19" s="142" t="n"/>
      <c r="F19" s="137" t="n"/>
      <c r="G19" s="137" t="n"/>
      <c r="H19" s="137" t="n"/>
      <c r="I19" s="137" t="n"/>
      <c r="J19" s="137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3" t="n"/>
      <c r="Z19" s="143" t="n"/>
      <c r="AA19" s="143" t="n"/>
      <c r="AB19" s="143" t="n"/>
      <c r="AC19" s="144" t="n"/>
      <c r="AD19" s="144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3" t="n"/>
      <c r="AQ19" s="143" t="n"/>
      <c r="AR19" s="143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3" t="n"/>
      <c r="BK19" s="143" t="n"/>
      <c r="BL19" s="143" t="n"/>
      <c r="BM19" s="144" t="n"/>
      <c r="BN19" s="144" t="n"/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n"/>
      <c r="BZ19" s="145" t="n"/>
      <c r="CA19" s="145" t="n"/>
      <c r="CB19" s="145" t="n"/>
      <c r="CC19" s="145" t="n"/>
      <c r="CD19" s="145" t="n"/>
      <c r="CE19" s="145" t="n"/>
      <c r="CF19" s="145" t="n"/>
      <c r="CG19" s="145" t="n"/>
      <c r="CH19" s="145" t="n"/>
      <c r="CI19" s="145" t="n"/>
      <c r="CJ19" s="145" t="n"/>
      <c r="CK19" s="145" t="n"/>
      <c r="CL19" s="145" t="n"/>
      <c r="CM19" s="145" t="n"/>
      <c r="CN19" s="145" t="n"/>
      <c r="CO19" s="145" t="n"/>
      <c r="CP19" s="145" t="n"/>
      <c r="CQ19" s="145" t="n"/>
      <c r="CR19" s="145" t="n"/>
      <c r="CS19" s="145" t="n"/>
      <c r="CT19" s="145" t="n"/>
      <c r="CU19" s="145" t="n"/>
      <c r="CV19" s="145" t="n"/>
      <c r="CW19" s="145" t="n"/>
      <c r="CX19" s="145" t="n"/>
      <c r="CY19" s="158" t="n"/>
    </row>
    <row r="20" ht="12" customHeight="1">
      <c r="A20" s="170" t="n"/>
      <c r="B20" s="171" t="n"/>
      <c r="C20" s="150" t="n"/>
      <c r="D20" s="150" t="n"/>
      <c r="E20" s="150" t="n"/>
      <c r="F20" s="144" t="n"/>
      <c r="G20" s="144" t="n"/>
      <c r="H20" s="144" t="n"/>
      <c r="I20" s="144" t="n"/>
      <c r="J20" s="144" t="n"/>
      <c r="K20" s="151" t="n"/>
      <c r="L20" s="151" t="n"/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  <c r="AA20" s="151" t="n"/>
      <c r="AB20" s="151" t="n"/>
      <c r="AC20" s="144" t="n"/>
      <c r="AD20" s="144" t="n"/>
      <c r="AE20" s="151" t="n"/>
      <c r="AF20" s="151" t="n"/>
      <c r="AG20" s="151" t="n"/>
      <c r="AH20" s="151" t="n"/>
      <c r="AI20" s="151" t="n"/>
      <c r="AJ20" s="151" t="n"/>
      <c r="AK20" s="151" t="n"/>
      <c r="AL20" s="151" t="n"/>
      <c r="AM20" s="151" t="n"/>
      <c r="AN20" s="151" t="n"/>
      <c r="AO20" s="151" t="n"/>
      <c r="AP20" s="151" t="n"/>
      <c r="AQ20" s="151" t="n"/>
      <c r="AR20" s="151" t="n"/>
      <c r="AS20" s="151" t="n"/>
      <c r="AT20" s="151" t="n"/>
      <c r="AU20" s="151" t="n"/>
      <c r="AV20" s="151" t="n"/>
      <c r="AW20" s="151" t="n"/>
      <c r="AX20" s="151" t="n"/>
      <c r="AY20" s="151" t="n"/>
      <c r="AZ20" s="151" t="n"/>
      <c r="BA20" s="151" t="n"/>
      <c r="BB20" s="151" t="n"/>
      <c r="BC20" s="151" t="n"/>
      <c r="BD20" s="151" t="n"/>
      <c r="BE20" s="151" t="n"/>
      <c r="BF20" s="151" t="n"/>
      <c r="BG20" s="151" t="n"/>
      <c r="BH20" s="151" t="n"/>
      <c r="BI20" s="151" t="n"/>
      <c r="BJ20" s="151" t="n"/>
      <c r="BK20" s="151" t="n"/>
      <c r="BL20" s="151" t="n"/>
      <c r="BM20" s="144" t="n"/>
      <c r="BN20" s="144" t="n"/>
      <c r="BO20" s="144" t="n"/>
      <c r="BP20" s="144" t="n"/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n"/>
      <c r="BZ20" s="152" t="n"/>
      <c r="CA20" s="152" t="n"/>
      <c r="CB20" s="152" t="n"/>
      <c r="CC20" s="152" t="n"/>
      <c r="CD20" s="152" t="n"/>
      <c r="CE20" s="152" t="n"/>
      <c r="CF20" s="152" t="n"/>
      <c r="CG20" s="152" t="n"/>
      <c r="CH20" s="152" t="n"/>
      <c r="CI20" s="152" t="n"/>
      <c r="CJ20" s="152" t="n"/>
      <c r="CK20" s="152" t="n"/>
      <c r="CL20" s="152" t="n"/>
      <c r="CM20" s="152" t="n"/>
      <c r="CN20" s="152" t="n"/>
      <c r="CO20" s="152" t="n"/>
      <c r="CP20" s="152" t="n"/>
      <c r="CQ20" s="152" t="n"/>
      <c r="CR20" s="152" t="n"/>
      <c r="CS20" s="152" t="n"/>
      <c r="CT20" s="152" t="n"/>
      <c r="CU20" s="152" t="n"/>
      <c r="CV20" s="152" t="n"/>
      <c r="CW20" s="152" t="n"/>
      <c r="CX20" s="152" t="n"/>
      <c r="CY20" s="159" t="n"/>
    </row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BEAU2358290</t>
        </is>
      </c>
      <c r="B2" s="108" t="inlineStr">
        <is>
          <t>LCH04</t>
        </is>
      </c>
      <c r="C2" s="108" t="inlineStr">
        <is>
          <t>IFV</t>
        </is>
      </c>
      <c r="D2" s="172" t="inlineStr">
        <is>
          <t>2026-10-21</t>
        </is>
      </c>
      <c r="E2" s="173" t="inlineStr">
        <is>
          <t>0000</t>
        </is>
      </c>
      <c r="F2" s="96" t="inlineStr">
        <is>
          <t>HASLS22261000852</t>
        </is>
      </c>
      <c r="G2" s="96" t="inlineStr">
        <is>
          <t>TRANSCONTAINER LOGISTICS (THAILAND) CO., LTD.</t>
        </is>
      </c>
      <c r="H2" s="111" t="inlineStr">
        <is>
          <t>22GP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HASLS22261000852</t>
        </is>
      </c>
      <c r="N2" s="96" t="inlineStr">
        <is>
          <t xml:space="preserve">20'x1 </t>
        </is>
      </c>
      <c r="O2" s="111" t="inlineStr">
        <is>
          <t>2014</t>
        </is>
      </c>
      <c r="P2" s="111" t="n"/>
      <c r="Q2" s="111" t="n"/>
      <c r="R2" s="96" t="inlineStr">
        <is>
          <t>CMA</t>
        </is>
      </c>
      <c r="S2" s="96" t="inlineStr">
        <is>
          <t>2615N</t>
        </is>
      </c>
      <c r="T2" s="96" t="inlineStr">
        <is>
          <t>LCH04</t>
        </is>
      </c>
      <c r="U2" s="96" t="inlineStr">
        <is>
          <t>THLCH</t>
        </is>
      </c>
      <c r="V2" s="161" t="inlineStr">
        <is>
          <t>2026-10-25</t>
        </is>
      </c>
      <c r="W2" s="96" t="inlineStr">
        <is>
          <t>HKHKG</t>
        </is>
      </c>
      <c r="X2" s="161" t="inlineStr">
        <is>
          <t>2026-10-30</t>
        </is>
      </c>
      <c r="Y2" s="97" t="n"/>
      <c r="Z2" s="97" t="n"/>
      <c r="AA2" s="97" t="n"/>
      <c r="AB2" s="97" t="n"/>
      <c r="AC2" s="97" t="n"/>
      <c r="AD2" s="161" t="inlineStr">
        <is>
          <t>2026-10-21</t>
        </is>
      </c>
      <c r="AE2" s="174" t="inlineStr">
        <is>
          <t>0401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YUSEN LOGISTICS (HONG KONG) LIMITED</t>
        </is>
      </c>
      <c r="AK2" s="130" t="n"/>
    </row>
    <row r="3" ht="12" customHeight="1">
      <c r="A3" s="108" t="inlineStr">
        <is>
          <t>BMOU4936392</t>
        </is>
      </c>
      <c r="B3" s="108" t="inlineStr">
        <is>
          <t>LCH04</t>
        </is>
      </c>
      <c r="C3" s="108" t="inlineStr">
        <is>
          <t>IFV</t>
        </is>
      </c>
      <c r="D3" s="172" t="inlineStr">
        <is>
          <t>2026-10-20</t>
        </is>
      </c>
      <c r="E3" s="173" t="inlineStr">
        <is>
          <t>0644</t>
        </is>
      </c>
      <c r="F3" s="96" t="inlineStr">
        <is>
          <t>HASLS22261001183</t>
        </is>
      </c>
      <c r="G3" s="96" t="inlineStr">
        <is>
          <t>YUSEN LOGISTICS (THAILAND) CO., LTD.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HASLS22261001183</t>
        </is>
      </c>
      <c r="N3" s="96" t="inlineStr">
        <is>
          <t xml:space="preserve">40Hx10 </t>
        </is>
      </c>
      <c r="O3" s="111" t="inlineStr">
        <is>
          <t>2012</t>
        </is>
      </c>
      <c r="P3" s="111" t="n"/>
      <c r="Q3" s="111" t="n"/>
      <c r="R3" s="96" t="inlineStr">
        <is>
          <t>CMA</t>
        </is>
      </c>
      <c r="S3" s="96" t="inlineStr">
        <is>
          <t>2615N</t>
        </is>
      </c>
      <c r="T3" s="96" t="inlineStr">
        <is>
          <t>LCH04</t>
        </is>
      </c>
      <c r="U3" s="96" t="inlineStr">
        <is>
          <t>THLCH</t>
        </is>
      </c>
      <c r="V3" s="161" t="inlineStr">
        <is>
          <t>2026-10-25</t>
        </is>
      </c>
      <c r="W3" s="96" t="inlineStr">
        <is>
          <t>HKHKG</t>
        </is>
      </c>
      <c r="X3" s="161" t="inlineStr">
        <is>
          <t>2026-10-30</t>
        </is>
      </c>
      <c r="Y3" s="97" t="n"/>
      <c r="Z3" s="97" t="n"/>
      <c r="AA3" s="97" t="n"/>
      <c r="AB3" s="97" t="n"/>
      <c r="AC3" s="97" t="n"/>
      <c r="AD3" s="161" t="inlineStr">
        <is>
          <t>2026-10-20</t>
        </is>
      </c>
      <c r="AE3" s="174" t="inlineStr">
        <is>
          <t>1000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YUSEN LOGISTICS (HONG KONG) LTD.</t>
        </is>
      </c>
      <c r="AK3" s="130" t="n"/>
    </row>
    <row r="4" ht="12" customHeight="1">
      <c r="A4" s="108" t="inlineStr">
        <is>
          <t>FBIU5094886</t>
        </is>
      </c>
      <c r="B4" s="108" t="inlineStr">
        <is>
          <t>LCH04</t>
        </is>
      </c>
      <c r="C4" s="108" t="inlineStr">
        <is>
          <t>IFV</t>
        </is>
      </c>
      <c r="D4" s="172" t="inlineStr">
        <is>
          <t>2026-10-21</t>
        </is>
      </c>
      <c r="E4" s="173" t="inlineStr">
        <is>
          <t>2010</t>
        </is>
      </c>
      <c r="F4" s="96" t="inlineStr">
        <is>
          <t>HASLS22261001478</t>
        </is>
      </c>
      <c r="G4" s="96" t="inlineStr">
        <is>
          <t>ISSIRA INTERGROUP CO., LTD.</t>
        </is>
      </c>
      <c r="H4" s="111" t="inlineStr">
        <is>
          <t>45RE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HASLS22261001478</t>
        </is>
      </c>
      <c r="N4" s="96" t="inlineStr">
        <is>
          <t xml:space="preserve">R40Hx1 </t>
        </is>
      </c>
      <c r="O4" s="111" t="inlineStr">
        <is>
          <t>2021</t>
        </is>
      </c>
      <c r="P4" s="111" t="inlineStr">
        <is>
          <t>CARRIER</t>
        </is>
      </c>
      <c r="Q4" s="111" t="inlineStr">
        <is>
          <t>Primeline</t>
        </is>
      </c>
      <c r="R4" s="96" t="inlineStr">
        <is>
          <t>CMA</t>
        </is>
      </c>
      <c r="S4" s="96" t="inlineStr">
        <is>
          <t>2615N</t>
        </is>
      </c>
      <c r="T4" s="96" t="inlineStr">
        <is>
          <t>LCH04</t>
        </is>
      </c>
      <c r="U4" s="96" t="inlineStr">
        <is>
          <t>THLCH</t>
        </is>
      </c>
      <c r="V4" s="161" t="inlineStr">
        <is>
          <t>2026-10-25</t>
        </is>
      </c>
      <c r="W4" s="96" t="inlineStr">
        <is>
          <t>KRPUS</t>
        </is>
      </c>
      <c r="X4" s="161" t="inlineStr">
        <is>
          <t>2026-11-03</t>
        </is>
      </c>
      <c r="Y4" s="97" t="n"/>
      <c r="Z4" s="97" t="n"/>
      <c r="AA4" s="97" t="n"/>
      <c r="AB4" s="97" t="n"/>
      <c r="AC4" s="97" t="n"/>
      <c r="AD4" s="161" t="inlineStr">
        <is>
          <t>2026-10-22</t>
        </is>
      </c>
      <c r="AE4" s="174" t="inlineStr">
        <is>
          <t>0000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TO THE ORDER OF WOORI BANK</t>
        </is>
      </c>
      <c r="AK4" s="130" t="n"/>
    </row>
    <row r="5" ht="12" customHeight="1">
      <c r="A5" s="108" t="inlineStr">
        <is>
          <t>HALU2033771</t>
        </is>
      </c>
      <c r="B5" s="108" t="inlineStr">
        <is>
          <t>LCH04</t>
        </is>
      </c>
      <c r="C5" s="108" t="inlineStr">
        <is>
          <t>IFV</t>
        </is>
      </c>
      <c r="D5" s="172" t="inlineStr">
        <is>
          <t>2026-10-19</t>
        </is>
      </c>
      <c r="E5" s="173" t="inlineStr">
        <is>
          <t>1309</t>
        </is>
      </c>
      <c r="F5" s="96" t="inlineStr">
        <is>
          <t>HASLS22260901853</t>
        </is>
      </c>
      <c r="G5" s="96" t="inlineStr">
        <is>
          <t>DIMERCO EXPRESS (THAILAND) CO., LTD.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HASLS22260901853</t>
        </is>
      </c>
      <c r="N5" s="96" t="inlineStr">
        <is>
          <t xml:space="preserve">20'x1 </t>
        </is>
      </c>
      <c r="O5" s="111" t="inlineStr">
        <is>
          <t>2014</t>
        </is>
      </c>
      <c r="P5" s="111" t="n"/>
      <c r="Q5" s="111" t="n"/>
      <c r="R5" s="96" t="inlineStr">
        <is>
          <t>CMA</t>
        </is>
      </c>
      <c r="S5" s="96" t="inlineStr">
        <is>
          <t>2615N</t>
        </is>
      </c>
      <c r="T5" s="96" t="inlineStr">
        <is>
          <t>LCH04</t>
        </is>
      </c>
      <c r="U5" s="96" t="inlineStr">
        <is>
          <t>THLCH</t>
        </is>
      </c>
      <c r="V5" s="161" t="inlineStr">
        <is>
          <t>2026-10-25</t>
        </is>
      </c>
      <c r="W5" s="96" t="inlineStr">
        <is>
          <t>CNSHK</t>
        </is>
      </c>
      <c r="X5" s="161" t="inlineStr">
        <is>
          <t>2026-10-30</t>
        </is>
      </c>
      <c r="Y5" s="97" t="n"/>
      <c r="Z5" s="97" t="n"/>
      <c r="AA5" s="97" t="n"/>
      <c r="AB5" s="97" t="n"/>
      <c r="AC5" s="97" t="n"/>
      <c r="AD5" s="161" t="inlineStr">
        <is>
          <t>2026-10-19</t>
        </is>
      </c>
      <c r="AE5" s="174" t="inlineStr">
        <is>
          <t>1600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DIVERSIFIED INTERNATIONAL</t>
        </is>
      </c>
      <c r="AK5" s="130" t="n"/>
    </row>
    <row r="6" ht="12" customHeight="1">
      <c r="A6" s="108" t="inlineStr">
        <is>
          <t>HALU2455545</t>
        </is>
      </c>
      <c r="B6" s="108" t="inlineStr">
        <is>
          <t>LCH04</t>
        </is>
      </c>
      <c r="C6" s="108" t="inlineStr">
        <is>
          <t>IFV</t>
        </is>
      </c>
      <c r="D6" s="172" t="inlineStr">
        <is>
          <t>2026-10-20</t>
        </is>
      </c>
      <c r="E6" s="173" t="inlineStr">
        <is>
          <t>2226</t>
        </is>
      </c>
      <c r="F6" s="96" t="inlineStr">
        <is>
          <t>HASLS22261001392</t>
        </is>
      </c>
      <c r="G6" s="96" t="inlineStr">
        <is>
          <t>DOLPHIN LOGISTICS (THAILAND) CO., LTD.</t>
        </is>
      </c>
      <c r="H6" s="111" t="inlineStr">
        <is>
          <t>22GP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HASLS22261001392</t>
        </is>
      </c>
      <c r="N6" s="96" t="inlineStr">
        <is>
          <t xml:space="preserve">20'x1 </t>
        </is>
      </c>
      <c r="O6" s="111" t="inlineStr">
        <is>
          <t>2024</t>
        </is>
      </c>
      <c r="P6" s="111" t="n"/>
      <c r="Q6" s="111" t="n"/>
      <c r="R6" s="96" t="inlineStr">
        <is>
          <t>CMA</t>
        </is>
      </c>
      <c r="S6" s="96" t="inlineStr">
        <is>
          <t>2615N</t>
        </is>
      </c>
      <c r="T6" s="96" t="inlineStr">
        <is>
          <t>LCH04</t>
        </is>
      </c>
      <c r="U6" s="96" t="inlineStr">
        <is>
          <t>THLCH</t>
        </is>
      </c>
      <c r="V6" s="161" t="inlineStr">
        <is>
          <t>2026-10-25</t>
        </is>
      </c>
      <c r="W6" s="96" t="inlineStr">
        <is>
          <t>HKHKG</t>
        </is>
      </c>
      <c r="X6" s="161" t="inlineStr">
        <is>
          <t>2026-10-30</t>
        </is>
      </c>
      <c r="Y6" s="97" t="n"/>
      <c r="Z6" s="97" t="n"/>
      <c r="AA6" s="97" t="n"/>
      <c r="AB6" s="97" t="n"/>
      <c r="AC6" s="97" t="n"/>
      <c r="AD6" s="161" t="inlineStr">
        <is>
          <t>2026-10-21</t>
        </is>
      </c>
      <c r="AE6" s="174" t="inlineStr">
        <is>
          <t>0201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SIG FAI TRANSPORTATION COMPANY</t>
        </is>
      </c>
      <c r="AK6" s="130" t="n"/>
    </row>
    <row r="7" ht="12" customHeight="1">
      <c r="A7" s="108" t="inlineStr">
        <is>
          <t>HALU2502056</t>
        </is>
      </c>
      <c r="B7" s="108" t="inlineStr">
        <is>
          <t>LCH04</t>
        </is>
      </c>
      <c r="C7" s="108" t="inlineStr">
        <is>
          <t>IFV</t>
        </is>
      </c>
      <c r="D7" s="172" t="inlineStr">
        <is>
          <t>2026-10-23</t>
        </is>
      </c>
      <c r="E7" s="173" t="inlineStr">
        <is>
          <t>1003</t>
        </is>
      </c>
      <c r="F7" s="96" t="inlineStr">
        <is>
          <t>HASLS22261001499</t>
        </is>
      </c>
      <c r="G7" s="96" t="inlineStr">
        <is>
          <t>UBE CHEMICALS (ASIA) PUBLIC COMPANY LIMITED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HASLS22261001499</t>
        </is>
      </c>
      <c r="N7" s="96" t="inlineStr">
        <is>
          <t xml:space="preserve">20'x4 </t>
        </is>
      </c>
      <c r="O7" s="111" t="inlineStr">
        <is>
          <t>2025</t>
        </is>
      </c>
      <c r="P7" s="111" t="n"/>
      <c r="Q7" s="111" t="n"/>
      <c r="R7" s="96" t="inlineStr">
        <is>
          <t>CMA</t>
        </is>
      </c>
      <c r="S7" s="96" t="inlineStr">
        <is>
          <t>2615N</t>
        </is>
      </c>
      <c r="T7" s="96" t="inlineStr">
        <is>
          <t>LCH04</t>
        </is>
      </c>
      <c r="U7" s="96" t="inlineStr">
        <is>
          <t>THLCH</t>
        </is>
      </c>
      <c r="V7" s="161" t="inlineStr">
        <is>
          <t>2026-10-25</t>
        </is>
      </c>
      <c r="W7" s="96" t="inlineStr">
        <is>
          <t>CNSHK</t>
        </is>
      </c>
      <c r="X7" s="161" t="inlineStr">
        <is>
          <t>2026-10-30</t>
        </is>
      </c>
      <c r="Y7" s="97" t="n"/>
      <c r="Z7" s="97" t="n"/>
      <c r="AA7" s="97" t="n"/>
      <c r="AB7" s="97" t="n"/>
      <c r="AC7" s="97" t="n"/>
      <c r="AD7" s="161" t="inlineStr">
        <is>
          <t>2026-10-23</t>
        </is>
      </c>
      <c r="AE7" s="174" t="inlineStr">
        <is>
          <t>1400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DONGGUAN STARPLAS ENGINEERING</t>
        </is>
      </c>
      <c r="AK7" s="130" t="n"/>
    </row>
    <row r="8" ht="12" customHeight="1">
      <c r="A8" s="108" t="inlineStr">
        <is>
          <t>HALU2585338</t>
        </is>
      </c>
      <c r="B8" s="108" t="inlineStr">
        <is>
          <t>LCH04</t>
        </is>
      </c>
      <c r="C8" s="108" t="inlineStr">
        <is>
          <t>IFV</t>
        </is>
      </c>
      <c r="D8" s="172" t="inlineStr">
        <is>
          <t>2026-10-22</t>
        </is>
      </c>
      <c r="E8" s="173" t="inlineStr">
        <is>
          <t>0047</t>
        </is>
      </c>
      <c r="F8" s="96" t="inlineStr">
        <is>
          <t>HASLS22261001499</t>
        </is>
      </c>
      <c r="G8" s="96" t="inlineStr">
        <is>
          <t>UBE CHEMICALS (ASIA) PUBLIC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HASLS22261001499</t>
        </is>
      </c>
      <c r="N8" s="96" t="inlineStr">
        <is>
          <t xml:space="preserve">20'x4 </t>
        </is>
      </c>
      <c r="O8" s="111" t="inlineStr">
        <is>
          <t>2025</t>
        </is>
      </c>
      <c r="P8" s="111" t="n"/>
      <c r="Q8" s="111" t="n"/>
      <c r="R8" s="96" t="inlineStr">
        <is>
          <t>CMA</t>
        </is>
      </c>
      <c r="S8" s="96" t="inlineStr">
        <is>
          <t>2615N</t>
        </is>
      </c>
      <c r="T8" s="96" t="inlineStr">
        <is>
          <t>LCH04</t>
        </is>
      </c>
      <c r="U8" s="96" t="inlineStr">
        <is>
          <t>THLCH</t>
        </is>
      </c>
      <c r="V8" s="161" t="inlineStr">
        <is>
          <t>2026-10-25</t>
        </is>
      </c>
      <c r="W8" s="96" t="inlineStr">
        <is>
          <t>CNSHK</t>
        </is>
      </c>
      <c r="X8" s="161" t="inlineStr">
        <is>
          <t>2026-10-30</t>
        </is>
      </c>
      <c r="Y8" s="97" t="n"/>
      <c r="Z8" s="97" t="n"/>
      <c r="AA8" s="97" t="n"/>
      <c r="AB8" s="97" t="n"/>
      <c r="AC8" s="97" t="n"/>
      <c r="AD8" s="161" t="inlineStr">
        <is>
          <t>2026-10-22</t>
        </is>
      </c>
      <c r="AE8" s="174" t="inlineStr">
        <is>
          <t>0400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DONGGUAN STARPLAS ENGINEERING</t>
        </is>
      </c>
      <c r="AK8" s="130" t="n"/>
    </row>
    <row r="9" ht="12" customHeight="1">
      <c r="A9" s="108" t="inlineStr">
        <is>
          <t>HALU5632876</t>
        </is>
      </c>
      <c r="B9" s="108" t="inlineStr">
        <is>
          <t>LCH04</t>
        </is>
      </c>
      <c r="C9" s="108" t="inlineStr">
        <is>
          <t>IFV</t>
        </is>
      </c>
      <c r="D9" s="172" t="inlineStr">
        <is>
          <t>2026-10-20</t>
        </is>
      </c>
      <c r="E9" s="173" t="inlineStr">
        <is>
          <t>1226</t>
        </is>
      </c>
      <c r="F9" s="96" t="inlineStr">
        <is>
          <t>HASLS22261001183</t>
        </is>
      </c>
      <c r="G9" s="96" t="inlineStr">
        <is>
          <t>YUSEN LOGISTICS (THAILAND) CO., LTD.</t>
        </is>
      </c>
      <c r="H9" s="111" t="inlineStr">
        <is>
          <t>45GP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HASLS22261001183</t>
        </is>
      </c>
      <c r="N9" s="96" t="inlineStr">
        <is>
          <t xml:space="preserve">40Hx10 </t>
        </is>
      </c>
      <c r="O9" s="111" t="inlineStr">
        <is>
          <t>2013</t>
        </is>
      </c>
      <c r="P9" s="111" t="n"/>
      <c r="Q9" s="111" t="n"/>
      <c r="R9" s="96" t="inlineStr">
        <is>
          <t>CMA</t>
        </is>
      </c>
      <c r="S9" s="96" t="inlineStr">
        <is>
          <t>2615N</t>
        </is>
      </c>
      <c r="T9" s="96" t="inlineStr">
        <is>
          <t>LCH04</t>
        </is>
      </c>
      <c r="U9" s="96" t="inlineStr">
        <is>
          <t>THLCH</t>
        </is>
      </c>
      <c r="V9" s="161" t="inlineStr">
        <is>
          <t>2026-10-25</t>
        </is>
      </c>
      <c r="W9" s="96" t="inlineStr">
        <is>
          <t>HKHKG</t>
        </is>
      </c>
      <c r="X9" s="161" t="inlineStr">
        <is>
          <t>2026-10-30</t>
        </is>
      </c>
      <c r="Y9" s="97" t="n"/>
      <c r="Z9" s="97" t="n"/>
      <c r="AA9" s="97" t="n"/>
      <c r="AB9" s="97" t="n"/>
      <c r="AC9" s="97" t="n"/>
      <c r="AD9" s="161" t="inlineStr">
        <is>
          <t>2026-10-20</t>
        </is>
      </c>
      <c r="AE9" s="174" t="inlineStr">
        <is>
          <t>1600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YUSEN LOGISTICS (HONG KONG) LTD.</t>
        </is>
      </c>
      <c r="AK9" s="130" t="n"/>
    </row>
    <row r="10" ht="12" customHeight="1">
      <c r="A10" s="108" t="inlineStr">
        <is>
          <t>SKHU8925490</t>
        </is>
      </c>
      <c r="B10" s="108" t="inlineStr">
        <is>
          <t>LCH04</t>
        </is>
      </c>
      <c r="C10" s="108" t="inlineStr">
        <is>
          <t>IFV</t>
        </is>
      </c>
      <c r="D10" s="172" t="inlineStr">
        <is>
          <t>2026-10-19</t>
        </is>
      </c>
      <c r="E10" s="173" t="inlineStr">
        <is>
          <t>1559</t>
        </is>
      </c>
      <c r="F10" s="96" t="inlineStr">
        <is>
          <t>HASLS22261001183</t>
        </is>
      </c>
      <c r="G10" s="96" t="inlineStr">
        <is>
          <t>YUSEN LOGISTICS (THAILAND) CO., LTD.</t>
        </is>
      </c>
      <c r="H10" s="111" t="inlineStr">
        <is>
          <t>45GP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HASLS22261001183</t>
        </is>
      </c>
      <c r="N10" s="96" t="inlineStr">
        <is>
          <t xml:space="preserve">40Hx10 </t>
        </is>
      </c>
      <c r="O10" s="111" t="inlineStr">
        <is>
          <t>2019</t>
        </is>
      </c>
      <c r="P10" s="111" t="n"/>
      <c r="Q10" s="111" t="n"/>
      <c r="R10" s="96" t="inlineStr">
        <is>
          <t>CMA</t>
        </is>
      </c>
      <c r="S10" s="96" t="inlineStr">
        <is>
          <t>2615N</t>
        </is>
      </c>
      <c r="T10" s="96" t="inlineStr">
        <is>
          <t>LCH04</t>
        </is>
      </c>
      <c r="U10" s="96" t="inlineStr">
        <is>
          <t>THLCH</t>
        </is>
      </c>
      <c r="V10" s="161" t="inlineStr">
        <is>
          <t>2026-10-25</t>
        </is>
      </c>
      <c r="W10" s="96" t="inlineStr">
        <is>
          <t>HKHKG</t>
        </is>
      </c>
      <c r="X10" s="161" t="inlineStr">
        <is>
          <t>2026-10-30</t>
        </is>
      </c>
      <c r="Y10" s="97" t="n"/>
      <c r="Z10" s="97" t="n"/>
      <c r="AA10" s="97" t="n"/>
      <c r="AB10" s="97" t="n"/>
      <c r="AC10" s="97" t="n"/>
      <c r="AD10" s="161" t="inlineStr">
        <is>
          <t>2026-10-19</t>
        </is>
      </c>
      <c r="AE10" s="174" t="inlineStr">
        <is>
          <t>2001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YUSEN LOGISTICS (HONG KONG) LTD.</t>
        </is>
      </c>
      <c r="AK10" s="130" t="n"/>
    </row>
    <row r="11" ht="12" customHeight="1">
      <c r="A11" s="108" t="inlineStr">
        <is>
          <t>SKHU9203506</t>
        </is>
      </c>
      <c r="B11" s="108" t="inlineStr">
        <is>
          <t>LCH04</t>
        </is>
      </c>
      <c r="C11" s="108" t="inlineStr">
        <is>
          <t>IFV</t>
        </is>
      </c>
      <c r="D11" s="172" t="inlineStr">
        <is>
          <t>2026-10-19</t>
        </is>
      </c>
      <c r="E11" s="173" t="inlineStr">
        <is>
          <t>2302</t>
        </is>
      </c>
      <c r="F11" s="96" t="inlineStr">
        <is>
          <t>HASLS22261001183</t>
        </is>
      </c>
      <c r="G11" s="96" t="inlineStr">
        <is>
          <t>YUSEN LOGISTICS (THAILAND) CO., LTD.</t>
        </is>
      </c>
      <c r="H11" s="111" t="inlineStr">
        <is>
          <t>45GP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HASLS22261001183</t>
        </is>
      </c>
      <c r="N11" s="96" t="inlineStr">
        <is>
          <t xml:space="preserve">40Hx10 </t>
        </is>
      </c>
      <c r="O11" s="111" t="inlineStr">
        <is>
          <t>2012</t>
        </is>
      </c>
      <c r="P11" s="111" t="n"/>
      <c r="Q11" s="111" t="n"/>
      <c r="R11" s="96" t="inlineStr">
        <is>
          <t>CMA</t>
        </is>
      </c>
      <c r="S11" s="96" t="inlineStr">
        <is>
          <t>2615N</t>
        </is>
      </c>
      <c r="T11" s="96" t="inlineStr">
        <is>
          <t>LCH04</t>
        </is>
      </c>
      <c r="U11" s="96" t="inlineStr">
        <is>
          <t>THLCH</t>
        </is>
      </c>
      <c r="V11" s="161" t="inlineStr">
        <is>
          <t>2026-10-25</t>
        </is>
      </c>
      <c r="W11" s="96" t="inlineStr">
        <is>
          <t>HKHKG</t>
        </is>
      </c>
      <c r="X11" s="161" t="inlineStr">
        <is>
          <t>2026-10-30</t>
        </is>
      </c>
      <c r="Y11" s="97" t="n"/>
      <c r="Z11" s="97" t="n"/>
      <c r="AA11" s="97" t="n"/>
      <c r="AB11" s="97" t="n"/>
      <c r="AC11" s="97" t="n"/>
      <c r="AD11" s="161" t="inlineStr">
        <is>
          <t>2026-10-20</t>
        </is>
      </c>
      <c r="AE11" s="174" t="inlineStr">
        <is>
          <t>0201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YUSEN LOGISTICS (HONG KONG) LTD.</t>
        </is>
      </c>
      <c r="AK11" s="130" t="n"/>
    </row>
    <row r="12" ht="12" customHeight="1">
      <c r="A12" s="108" t="inlineStr">
        <is>
          <t>SKHU9406910</t>
        </is>
      </c>
      <c r="B12" s="108" t="inlineStr">
        <is>
          <t>LCH04</t>
        </is>
      </c>
      <c r="C12" s="108" t="inlineStr">
        <is>
          <t>IFV</t>
        </is>
      </c>
      <c r="D12" s="172" t="inlineStr">
        <is>
          <t>2026-10-19</t>
        </is>
      </c>
      <c r="E12" s="173" t="inlineStr">
        <is>
          <t>2101</t>
        </is>
      </c>
      <c r="F12" s="96" t="inlineStr">
        <is>
          <t>HASLS22261001183</t>
        </is>
      </c>
      <c r="G12" s="96" t="inlineStr">
        <is>
          <t>YUSEN LOGISTICS (THAILAND) CO., LTD.</t>
        </is>
      </c>
      <c r="H12" s="111" t="inlineStr">
        <is>
          <t>45GP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HASLS22261001183</t>
        </is>
      </c>
      <c r="N12" s="96" t="inlineStr">
        <is>
          <t xml:space="preserve">40Hx10 </t>
        </is>
      </c>
      <c r="O12" s="111" t="inlineStr">
        <is>
          <t>2014</t>
        </is>
      </c>
      <c r="P12" s="111" t="n"/>
      <c r="Q12" s="111" t="n"/>
      <c r="R12" s="96" t="inlineStr">
        <is>
          <t>CMA</t>
        </is>
      </c>
      <c r="S12" s="96" t="inlineStr">
        <is>
          <t>2615N</t>
        </is>
      </c>
      <c r="T12" s="96" t="inlineStr">
        <is>
          <t>LCH04</t>
        </is>
      </c>
      <c r="U12" s="96" t="inlineStr">
        <is>
          <t>THLCH</t>
        </is>
      </c>
      <c r="V12" s="161" t="inlineStr">
        <is>
          <t>2026-10-25</t>
        </is>
      </c>
      <c r="W12" s="96" t="inlineStr">
        <is>
          <t>HKHKG</t>
        </is>
      </c>
      <c r="X12" s="161" t="inlineStr">
        <is>
          <t>2026-10-30</t>
        </is>
      </c>
      <c r="Y12" s="97" t="n"/>
      <c r="Z12" s="97" t="n"/>
      <c r="AA12" s="97" t="n"/>
      <c r="AB12" s="97" t="n"/>
      <c r="AC12" s="97" t="n"/>
      <c r="AD12" s="161" t="inlineStr">
        <is>
          <t>2026-10-20</t>
        </is>
      </c>
      <c r="AE12" s="174" t="inlineStr">
        <is>
          <t>0001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YUSEN LOGISTICS (HONG KONG) LTD.</t>
        </is>
      </c>
      <c r="AK12" s="130" t="n"/>
    </row>
    <row r="13" ht="12" customHeight="1">
      <c r="A13" s="108" t="inlineStr">
        <is>
          <t>SKHU9800327</t>
        </is>
      </c>
      <c r="B13" s="108" t="inlineStr">
        <is>
          <t>LCH04</t>
        </is>
      </c>
      <c r="C13" s="108" t="inlineStr">
        <is>
          <t>IFV</t>
        </is>
      </c>
      <c r="D13" s="172" t="inlineStr">
        <is>
          <t>2026-10-19</t>
        </is>
      </c>
      <c r="E13" s="173" t="inlineStr">
        <is>
          <t>1733</t>
        </is>
      </c>
      <c r="F13" s="96" t="inlineStr">
        <is>
          <t>HASLS22261001183</t>
        </is>
      </c>
      <c r="G13" s="96" t="inlineStr">
        <is>
          <t>YUSEN LOGISTICS (THAILAND) CO., LTD.</t>
        </is>
      </c>
      <c r="H13" s="111" t="inlineStr">
        <is>
          <t>45GP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HASLS22261001183</t>
        </is>
      </c>
      <c r="N13" s="96" t="inlineStr">
        <is>
          <t xml:space="preserve">40Hx10 </t>
        </is>
      </c>
      <c r="O13" s="111" t="inlineStr">
        <is>
          <t>2018</t>
        </is>
      </c>
      <c r="P13" s="111" t="n"/>
      <c r="Q13" s="111" t="n"/>
      <c r="R13" s="96" t="inlineStr">
        <is>
          <t>CMA</t>
        </is>
      </c>
      <c r="S13" s="96" t="inlineStr">
        <is>
          <t>2615N</t>
        </is>
      </c>
      <c r="T13" s="96" t="inlineStr">
        <is>
          <t>LCH04</t>
        </is>
      </c>
      <c r="U13" s="96" t="inlineStr">
        <is>
          <t>THLCH</t>
        </is>
      </c>
      <c r="V13" s="161" t="inlineStr">
        <is>
          <t>2026-10-25</t>
        </is>
      </c>
      <c r="W13" s="96" t="inlineStr">
        <is>
          <t>HKHKG</t>
        </is>
      </c>
      <c r="X13" s="161" t="inlineStr">
        <is>
          <t>2026-10-30</t>
        </is>
      </c>
      <c r="Y13" s="97" t="n"/>
      <c r="Z13" s="97" t="n"/>
      <c r="AA13" s="97" t="n"/>
      <c r="AB13" s="97" t="n"/>
      <c r="AC13" s="97" t="n"/>
      <c r="AD13" s="161" t="inlineStr">
        <is>
          <t>2026-10-19</t>
        </is>
      </c>
      <c r="AE13" s="174" t="inlineStr">
        <is>
          <t>2001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YUSEN LOGISTICS (HONG KONG) LTD.</t>
        </is>
      </c>
      <c r="AK13" s="130" t="n"/>
    </row>
    <row r="14" ht="12" customHeight="1">
      <c r="A14" s="108" t="inlineStr">
        <is>
          <t>SKHU9812502</t>
        </is>
      </c>
      <c r="B14" s="108" t="inlineStr">
        <is>
          <t>LCH04</t>
        </is>
      </c>
      <c r="C14" s="108" t="inlineStr">
        <is>
          <t>IFV</t>
        </is>
      </c>
      <c r="D14" s="172" t="inlineStr">
        <is>
          <t>2026-10-19</t>
        </is>
      </c>
      <c r="E14" s="173" t="inlineStr">
        <is>
          <t>1251</t>
        </is>
      </c>
      <c r="F14" s="96" t="inlineStr">
        <is>
          <t>HASLS22261001183</t>
        </is>
      </c>
      <c r="G14" s="96" t="inlineStr">
        <is>
          <t>YUSEN LOGISTICS (THAILAND) CO., LTD.</t>
        </is>
      </c>
      <c r="H14" s="111" t="inlineStr">
        <is>
          <t>45GP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HASLS22261001183</t>
        </is>
      </c>
      <c r="N14" s="96" t="inlineStr">
        <is>
          <t xml:space="preserve">40Hx10 </t>
        </is>
      </c>
      <c r="O14" s="111" t="inlineStr">
        <is>
          <t>2018</t>
        </is>
      </c>
      <c r="P14" s="111" t="n"/>
      <c r="Q14" s="111" t="n"/>
      <c r="R14" s="96" t="inlineStr">
        <is>
          <t>CMA</t>
        </is>
      </c>
      <c r="S14" s="96" t="inlineStr">
        <is>
          <t>2615N</t>
        </is>
      </c>
      <c r="T14" s="96" t="inlineStr">
        <is>
          <t>LCH04</t>
        </is>
      </c>
      <c r="U14" s="96" t="inlineStr">
        <is>
          <t>THLCH</t>
        </is>
      </c>
      <c r="V14" s="161" t="inlineStr">
        <is>
          <t>2026-10-25</t>
        </is>
      </c>
      <c r="W14" s="96" t="inlineStr">
        <is>
          <t>HKHKG</t>
        </is>
      </c>
      <c r="X14" s="161" t="inlineStr">
        <is>
          <t>2026-10-30</t>
        </is>
      </c>
      <c r="Y14" s="97" t="n"/>
      <c r="Z14" s="97" t="n"/>
      <c r="AA14" s="97" t="n"/>
      <c r="AB14" s="97" t="n"/>
      <c r="AC14" s="97" t="n"/>
      <c r="AD14" s="161" t="inlineStr">
        <is>
          <t>2026-10-19</t>
        </is>
      </c>
      <c r="AE14" s="174" t="inlineStr">
        <is>
          <t>1600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YUSEN LOGISTICS (HONG KONG) LTD.</t>
        </is>
      </c>
      <c r="AK14" s="130" t="n"/>
    </row>
    <row r="15" ht="12" customHeight="1">
      <c r="A15" s="108" t="inlineStr">
        <is>
          <t>SKHU9918623</t>
        </is>
      </c>
      <c r="B15" s="108" t="inlineStr">
        <is>
          <t>LCH04</t>
        </is>
      </c>
      <c r="C15" s="108" t="inlineStr">
        <is>
          <t>IFV</t>
        </is>
      </c>
      <c r="D15" s="172" t="inlineStr">
        <is>
          <t>2026-10-20</t>
        </is>
      </c>
      <c r="E15" s="173" t="inlineStr">
        <is>
          <t>1151</t>
        </is>
      </c>
      <c r="F15" s="96" t="inlineStr">
        <is>
          <t>HASLS22261001183</t>
        </is>
      </c>
      <c r="G15" s="96" t="inlineStr">
        <is>
          <t>YUSEN LOGISTICS (THAILAND) CO., LTD.</t>
        </is>
      </c>
      <c r="H15" s="111" t="inlineStr">
        <is>
          <t>45GP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HASLS22261001183</t>
        </is>
      </c>
      <c r="N15" s="96" t="inlineStr">
        <is>
          <t xml:space="preserve">40Hx10 </t>
        </is>
      </c>
      <c r="O15" s="111" t="inlineStr">
        <is>
          <t>2019</t>
        </is>
      </c>
      <c r="P15" s="111" t="n"/>
      <c r="Q15" s="111" t="n"/>
      <c r="R15" s="96" t="inlineStr">
        <is>
          <t>CMA</t>
        </is>
      </c>
      <c r="S15" s="96" t="inlineStr">
        <is>
          <t>2615N</t>
        </is>
      </c>
      <c r="T15" s="96" t="inlineStr">
        <is>
          <t>LCH04</t>
        </is>
      </c>
      <c r="U15" s="96" t="inlineStr">
        <is>
          <t>THLCH</t>
        </is>
      </c>
      <c r="V15" s="161" t="inlineStr">
        <is>
          <t>2026-10-25</t>
        </is>
      </c>
      <c r="W15" s="96" t="inlineStr">
        <is>
          <t>HKHKG</t>
        </is>
      </c>
      <c r="X15" s="161" t="inlineStr">
        <is>
          <t>2026-10-30</t>
        </is>
      </c>
      <c r="Y15" s="97" t="n"/>
      <c r="Z15" s="97" t="n"/>
      <c r="AA15" s="97" t="n"/>
      <c r="AB15" s="97" t="n"/>
      <c r="AC15" s="97" t="n"/>
      <c r="AD15" s="161" t="inlineStr">
        <is>
          <t>2026-10-20</t>
        </is>
      </c>
      <c r="AE15" s="174" t="inlineStr">
        <is>
          <t>1400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YUSEN LOGISTICS (HONG KONG) LTD.</t>
        </is>
      </c>
      <c r="AK15" s="130" t="n"/>
    </row>
    <row r="16" ht="12" customHeight="1">
      <c r="A16" s="108" t="inlineStr">
        <is>
          <t>SKHU9941860</t>
        </is>
      </c>
      <c r="B16" s="108" t="inlineStr">
        <is>
          <t>LCH04</t>
        </is>
      </c>
      <c r="C16" s="108" t="inlineStr">
        <is>
          <t>IFV</t>
        </is>
      </c>
      <c r="D16" s="172" t="inlineStr">
        <is>
          <t>2026-10-19</t>
        </is>
      </c>
      <c r="E16" s="173" t="inlineStr">
        <is>
          <t>1232</t>
        </is>
      </c>
      <c r="F16" s="96" t="inlineStr">
        <is>
          <t>HASLS22261001183</t>
        </is>
      </c>
      <c r="G16" s="96" t="inlineStr">
        <is>
          <t>YUSEN LOGISTICS (THAILAND) CO., LTD.</t>
        </is>
      </c>
      <c r="H16" s="111" t="inlineStr">
        <is>
          <t>45GP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HASLS22261001183</t>
        </is>
      </c>
      <c r="N16" s="96" t="inlineStr">
        <is>
          <t xml:space="preserve">40Hx10 </t>
        </is>
      </c>
      <c r="O16" s="111" t="inlineStr">
        <is>
          <t>2019</t>
        </is>
      </c>
      <c r="P16" s="111" t="n"/>
      <c r="Q16" s="111" t="n"/>
      <c r="R16" s="96" t="inlineStr">
        <is>
          <t>CMA</t>
        </is>
      </c>
      <c r="S16" s="96" t="inlineStr">
        <is>
          <t>2615N</t>
        </is>
      </c>
      <c r="T16" s="96" t="inlineStr">
        <is>
          <t>LCH04</t>
        </is>
      </c>
      <c r="U16" s="96" t="inlineStr">
        <is>
          <t>THLCH</t>
        </is>
      </c>
      <c r="V16" s="161" t="inlineStr">
        <is>
          <t>2026-10-25</t>
        </is>
      </c>
      <c r="W16" s="96" t="inlineStr">
        <is>
          <t>HKHKG</t>
        </is>
      </c>
      <c r="X16" s="161" t="inlineStr">
        <is>
          <t>2026-10-30</t>
        </is>
      </c>
      <c r="Y16" s="97" t="n"/>
      <c r="Z16" s="97" t="n"/>
      <c r="AA16" s="97" t="n"/>
      <c r="AB16" s="97" t="n"/>
      <c r="AC16" s="97" t="n"/>
      <c r="AD16" s="161" t="inlineStr">
        <is>
          <t>2026-10-19</t>
        </is>
      </c>
      <c r="AE16" s="174" t="inlineStr">
        <is>
          <t>1600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YUSEN LOGISTICS (HONG KONG) LTD.</t>
        </is>
      </c>
      <c r="AK16" s="130" t="n"/>
    </row>
    <row r="17" ht="12" customHeight="1">
      <c r="A17" s="108" t="inlineStr">
        <is>
          <t>SKHU9952989</t>
        </is>
      </c>
      <c r="B17" s="108" t="inlineStr">
        <is>
          <t>LCH04</t>
        </is>
      </c>
      <c r="C17" s="108" t="inlineStr">
        <is>
          <t>IFV</t>
        </is>
      </c>
      <c r="D17" s="172" t="inlineStr">
        <is>
          <t>2026-10-19</t>
        </is>
      </c>
      <c r="E17" s="173" t="inlineStr">
        <is>
          <t>1947</t>
        </is>
      </c>
      <c r="F17" s="96" t="inlineStr">
        <is>
          <t>HASLS22261001183</t>
        </is>
      </c>
      <c r="G17" s="96" t="inlineStr">
        <is>
          <t>YUSEN LOGISTICS (THAILAND) CO., LTD.</t>
        </is>
      </c>
      <c r="H17" s="111" t="inlineStr">
        <is>
          <t>45GP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HASLS22261001183</t>
        </is>
      </c>
      <c r="N17" s="96" t="inlineStr">
        <is>
          <t xml:space="preserve">40Hx10 </t>
        </is>
      </c>
      <c r="O17" s="111" t="inlineStr">
        <is>
          <t>2019</t>
        </is>
      </c>
      <c r="P17" s="111" t="n"/>
      <c r="Q17" s="111" t="n"/>
      <c r="R17" s="96" t="inlineStr">
        <is>
          <t>CMA</t>
        </is>
      </c>
      <c r="S17" s="96" t="inlineStr">
        <is>
          <t>2615N</t>
        </is>
      </c>
      <c r="T17" s="96" t="inlineStr">
        <is>
          <t>LCH04</t>
        </is>
      </c>
      <c r="U17" s="96" t="inlineStr">
        <is>
          <t>THLCH</t>
        </is>
      </c>
      <c r="V17" s="161" t="inlineStr">
        <is>
          <t>2026-10-25</t>
        </is>
      </c>
      <c r="W17" s="96" t="inlineStr">
        <is>
          <t>HKHKG</t>
        </is>
      </c>
      <c r="X17" s="161" t="inlineStr">
        <is>
          <t>2026-10-30</t>
        </is>
      </c>
      <c r="Y17" s="97" t="n"/>
      <c r="Z17" s="97" t="n"/>
      <c r="AA17" s="97" t="n"/>
      <c r="AB17" s="97" t="n"/>
      <c r="AC17" s="97" t="n"/>
      <c r="AD17" s="161" t="inlineStr">
        <is>
          <t>2026-10-19</t>
        </is>
      </c>
      <c r="AE17" s="174" t="inlineStr">
        <is>
          <t>2200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YUSEN LOGISTICS (HONG KONG) LTD.</t>
        </is>
      </c>
      <c r="AK17" s="130" t="n"/>
    </row>
    <row r="18" ht="12" customHeight="1">
      <c r="A18" s="108" t="inlineStr">
        <is>
          <t>SKLU0574227</t>
        </is>
      </c>
      <c r="B18" s="108" t="inlineStr">
        <is>
          <t>LCH04</t>
        </is>
      </c>
      <c r="C18" s="108" t="inlineStr">
        <is>
          <t>IFV</t>
        </is>
      </c>
      <c r="D18" s="172" t="inlineStr">
        <is>
          <t>2026-10-22</t>
        </is>
      </c>
      <c r="E18" s="173" t="inlineStr">
        <is>
          <t>0839</t>
        </is>
      </c>
      <c r="F18" s="96" t="inlineStr">
        <is>
          <t>HASLS22261001499</t>
        </is>
      </c>
      <c r="G18" s="96" t="inlineStr">
        <is>
          <t>UBE CHEMICALS (ASIA) PUBLIC COMPANY LIMITED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HASLS22261001499</t>
        </is>
      </c>
      <c r="N18" s="96" t="inlineStr">
        <is>
          <t xml:space="preserve">20'x4 </t>
        </is>
      </c>
      <c r="O18" s="111" t="inlineStr">
        <is>
          <t>2025</t>
        </is>
      </c>
      <c r="P18" s="111" t="n"/>
      <c r="Q18" s="111" t="n"/>
      <c r="R18" s="96" t="inlineStr">
        <is>
          <t>CMA</t>
        </is>
      </c>
      <c r="S18" s="96" t="inlineStr">
        <is>
          <t>2615N</t>
        </is>
      </c>
      <c r="T18" s="96" t="inlineStr">
        <is>
          <t>LCH04</t>
        </is>
      </c>
      <c r="U18" s="96" t="inlineStr">
        <is>
          <t>THLCH</t>
        </is>
      </c>
      <c r="V18" s="161" t="inlineStr">
        <is>
          <t>2026-10-25</t>
        </is>
      </c>
      <c r="W18" s="96" t="inlineStr">
        <is>
          <t>CNSHK</t>
        </is>
      </c>
      <c r="X18" s="161" t="inlineStr">
        <is>
          <t>2026-10-30</t>
        </is>
      </c>
      <c r="Y18" s="97" t="n"/>
      <c r="Z18" s="97" t="n"/>
      <c r="AA18" s="97" t="n"/>
      <c r="AB18" s="97" t="n"/>
      <c r="AC18" s="97" t="n"/>
      <c r="AD18" s="161" t="inlineStr">
        <is>
          <t>2026-10-22</t>
        </is>
      </c>
      <c r="AE18" s="174" t="inlineStr">
        <is>
          <t>1200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DONGGUAN STARPLAS ENGINEERING</t>
        </is>
      </c>
      <c r="AK18" s="130" t="n"/>
    </row>
    <row r="19" ht="12" customHeight="1">
      <c r="A19" s="108" t="inlineStr">
        <is>
          <t>SKLU2324340</t>
        </is>
      </c>
      <c r="B19" s="108" t="inlineStr">
        <is>
          <t>LCH04</t>
        </is>
      </c>
      <c r="C19" s="108" t="inlineStr">
        <is>
          <t>IFV</t>
        </is>
      </c>
      <c r="D19" s="172" t="inlineStr">
        <is>
          <t>2026-10-21</t>
        </is>
      </c>
      <c r="E19" s="173" t="inlineStr">
        <is>
          <t>2150</t>
        </is>
      </c>
      <c r="F19" s="96" t="inlineStr">
        <is>
          <t>HASLS22261001499</t>
        </is>
      </c>
      <c r="G19" s="96" t="inlineStr">
        <is>
          <t>UBE CHEMICALS (ASIA) PUBLIC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HASLS22261001499</t>
        </is>
      </c>
      <c r="N19" s="96" t="inlineStr">
        <is>
          <t xml:space="preserve">20'x4 </t>
        </is>
      </c>
      <c r="O19" s="111" t="inlineStr">
        <is>
          <t>2023</t>
        </is>
      </c>
      <c r="P19" s="111" t="n"/>
      <c r="Q19" s="111" t="n"/>
      <c r="R19" s="96" t="inlineStr">
        <is>
          <t>CMA</t>
        </is>
      </c>
      <c r="S19" s="96" t="inlineStr">
        <is>
          <t>2615N</t>
        </is>
      </c>
      <c r="T19" s="96" t="inlineStr">
        <is>
          <t>LCH04</t>
        </is>
      </c>
      <c r="U19" s="96" t="inlineStr">
        <is>
          <t>THLCH</t>
        </is>
      </c>
      <c r="V19" s="161" t="inlineStr">
        <is>
          <t>2026-10-25</t>
        </is>
      </c>
      <c r="W19" s="96" t="inlineStr">
        <is>
          <t>CNSHK</t>
        </is>
      </c>
      <c r="X19" s="161" t="inlineStr">
        <is>
          <t>2026-10-30</t>
        </is>
      </c>
      <c r="Y19" s="97" t="n"/>
      <c r="Z19" s="97" t="n"/>
      <c r="AA19" s="97" t="n"/>
      <c r="AB19" s="97" t="n"/>
      <c r="AC19" s="97" t="n"/>
      <c r="AD19" s="161" t="inlineStr">
        <is>
          <t>2026-10-22</t>
        </is>
      </c>
      <c r="AE19" s="174" t="inlineStr">
        <is>
          <t>0000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DONGGUAN STARPLAS ENGINEERING</t>
        </is>
      </c>
      <c r="AK19" s="130" t="n"/>
    </row>
    <row r="20" ht="12" customHeight="1">
      <c r="A20" s="108" t="inlineStr">
        <is>
          <t>SKLU2480430</t>
        </is>
      </c>
      <c r="B20" s="108" t="inlineStr">
        <is>
          <t>LCH04</t>
        </is>
      </c>
      <c r="C20" s="108" t="inlineStr">
        <is>
          <t>IFV</t>
        </is>
      </c>
      <c r="D20" s="172" t="inlineStr">
        <is>
          <t>2026-10-21</t>
        </is>
      </c>
      <c r="E20" s="173" t="inlineStr">
        <is>
          <t>0146</t>
        </is>
      </c>
      <c r="F20" s="96" t="inlineStr">
        <is>
          <t>HASLS22261000843</t>
        </is>
      </c>
      <c r="G20" s="96" t="inlineStr">
        <is>
          <t>YUSEN LOGISTICS (THAILAND) CO., LTD.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HASLS22261000843</t>
        </is>
      </c>
      <c r="N20" s="96" t="inlineStr">
        <is>
          <t xml:space="preserve">20'x1 </t>
        </is>
      </c>
      <c r="O20" s="111" t="inlineStr">
        <is>
          <t>2024</t>
        </is>
      </c>
      <c r="P20" s="111" t="n"/>
      <c r="Q20" s="111" t="n"/>
      <c r="R20" s="96" t="inlineStr">
        <is>
          <t>CMA</t>
        </is>
      </c>
      <c r="S20" s="96" t="inlineStr">
        <is>
          <t>2615N</t>
        </is>
      </c>
      <c r="T20" s="96" t="inlineStr">
        <is>
          <t>LCH04</t>
        </is>
      </c>
      <c r="U20" s="96" t="inlineStr">
        <is>
          <t>THLCH</t>
        </is>
      </c>
      <c r="V20" s="161" t="inlineStr">
        <is>
          <t>2026-10-25</t>
        </is>
      </c>
      <c r="W20" s="96" t="inlineStr">
        <is>
          <t>HKHKG</t>
        </is>
      </c>
      <c r="X20" s="161" t="inlineStr">
        <is>
          <t>2026-10-30</t>
        </is>
      </c>
      <c r="Y20" s="97" t="n"/>
      <c r="Z20" s="97" t="n"/>
      <c r="AA20" s="97" t="n"/>
      <c r="AB20" s="97" t="n"/>
      <c r="AC20" s="97" t="n"/>
      <c r="AD20" s="161" t="inlineStr">
        <is>
          <t>2026-10-21</t>
        </is>
      </c>
      <c r="AE20" s="174" t="inlineStr">
        <is>
          <t>0401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YUSEN LOGISTICS (HONG KONG) LTD.</t>
        </is>
      </c>
      <c r="AK20" s="130" t="n"/>
    </row>
    <row r="21" ht="12" customHeight="1">
      <c r="A21" s="108" t="inlineStr">
        <is>
          <t>TEMU3392636</t>
        </is>
      </c>
      <c r="B21" s="108" t="inlineStr">
        <is>
          <t>LCH04</t>
        </is>
      </c>
      <c r="C21" s="108" t="inlineStr">
        <is>
          <t>IFV</t>
        </is>
      </c>
      <c r="D21" s="172" t="inlineStr">
        <is>
          <t>2026-10-20</t>
        </is>
      </c>
      <c r="E21" s="173" t="inlineStr">
        <is>
          <t>1254</t>
        </is>
      </c>
      <c r="F21" s="96" t="inlineStr">
        <is>
          <t>HASLS22260901642</t>
        </is>
      </c>
      <c r="G21" s="96" t="inlineStr">
        <is>
          <t>LOUIS ADHESIVE TAPES CO., LTD.</t>
        </is>
      </c>
      <c r="H21" s="111" t="inlineStr">
        <is>
          <t>22GP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HASLS22260901642</t>
        </is>
      </c>
      <c r="N21" s="96" t="inlineStr">
        <is>
          <t xml:space="preserve">20'x1 </t>
        </is>
      </c>
      <c r="O21" s="111" t="inlineStr">
        <is>
          <t>2012</t>
        </is>
      </c>
      <c r="P21" s="111" t="n"/>
      <c r="Q21" s="111" t="n"/>
      <c r="R21" s="96" t="inlineStr">
        <is>
          <t>CMA</t>
        </is>
      </c>
      <c r="S21" s="96" t="inlineStr">
        <is>
          <t>2615N</t>
        </is>
      </c>
      <c r="T21" s="96" t="inlineStr">
        <is>
          <t>LCH04</t>
        </is>
      </c>
      <c r="U21" s="96" t="inlineStr">
        <is>
          <t>THLCH</t>
        </is>
      </c>
      <c r="V21" s="161" t="inlineStr">
        <is>
          <t>2026-10-25</t>
        </is>
      </c>
      <c r="W21" s="96" t="inlineStr">
        <is>
          <t>CNSHK</t>
        </is>
      </c>
      <c r="X21" s="161" t="inlineStr">
        <is>
          <t>2026-10-30</t>
        </is>
      </c>
      <c r="Y21" s="97" t="n"/>
      <c r="Z21" s="97" t="n"/>
      <c r="AA21" s="97" t="n"/>
      <c r="AB21" s="97" t="n"/>
      <c r="AC21" s="97" t="n"/>
      <c r="AD21" s="161" t="inlineStr">
        <is>
          <t>2026-10-20</t>
        </is>
      </c>
      <c r="AE21" s="174" t="inlineStr">
        <is>
          <t>1600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SHENZHEN HUAHUI PACKAGE PRODUCT</t>
        </is>
      </c>
      <c r="AK21" s="130" t="n"/>
    </row>
    <row r="22" ht="12" customHeight="1">
      <c r="A22" s="108" t="n"/>
      <c r="B22" s="108" t="n"/>
      <c r="C22" s="108" t="n"/>
      <c r="D22" s="172" t="n"/>
      <c r="E22" s="173" t="n"/>
      <c r="F22" s="96" t="n"/>
      <c r="G22" s="96" t="n"/>
      <c r="H22" s="111" t="n"/>
      <c r="I22" s="96" t="n"/>
      <c r="J22" s="96" t="n"/>
      <c r="K22" s="96" t="n"/>
      <c r="L22" s="111" t="n"/>
      <c r="M22" s="96" t="n"/>
      <c r="N22" s="96" t="n"/>
      <c r="O22" s="111" t="n"/>
      <c r="P22" s="112" t="n"/>
      <c r="Q22" s="112" t="n"/>
      <c r="R22" s="96" t="n"/>
      <c r="S22" s="96" t="n"/>
      <c r="T22" s="96" t="n"/>
      <c r="U22" s="96" t="n"/>
      <c r="V22" s="161" t="n"/>
      <c r="W22" s="96" t="n"/>
      <c r="X22" s="161" t="n"/>
      <c r="Y22" s="97" t="n"/>
      <c r="Z22" s="97" t="n"/>
      <c r="AA22" s="97" t="n"/>
      <c r="AB22" s="97" t="n"/>
      <c r="AC22" s="97" t="n"/>
      <c r="AD22" s="161" t="n"/>
      <c r="AE22" s="174" t="n"/>
      <c r="AF22" s="96" t="n"/>
      <c r="AG22" s="97" t="n"/>
      <c r="AH22" s="97" t="n"/>
      <c r="AI22" s="97" t="n"/>
      <c r="AJ22" s="96" t="n"/>
      <c r="AK22" s="130" t="n"/>
    </row>
    <row r="23" ht="12" customHeight="1">
      <c r="A23" s="108" t="n"/>
      <c r="B23" s="108" t="n"/>
      <c r="C23" s="108" t="n"/>
      <c r="D23" s="172" t="n"/>
      <c r="E23" s="173" t="n"/>
      <c r="F23" s="96" t="n"/>
      <c r="G23" s="96" t="n"/>
      <c r="H23" s="111" t="n"/>
      <c r="I23" s="96" t="n"/>
      <c r="J23" s="96" t="n"/>
      <c r="K23" s="96" t="n"/>
      <c r="L23" s="111" t="n"/>
      <c r="M23" s="96" t="n"/>
      <c r="N23" s="96" t="n"/>
      <c r="O23" s="111" t="n"/>
      <c r="P23" s="112" t="n"/>
      <c r="Q23" s="112" t="n"/>
      <c r="R23" s="96" t="n"/>
      <c r="S23" s="96" t="n"/>
      <c r="T23" s="96" t="n"/>
      <c r="U23" s="96" t="n"/>
      <c r="V23" s="161" t="n"/>
      <c r="W23" s="96" t="n"/>
      <c r="X23" s="161" t="n"/>
      <c r="Y23" s="97" t="n"/>
      <c r="Z23" s="97" t="n"/>
      <c r="AA23" s="97" t="n"/>
      <c r="AB23" s="97" t="n"/>
      <c r="AC23" s="97" t="n"/>
      <c r="AD23" s="161" t="n"/>
      <c r="AE23" s="174" t="n"/>
      <c r="AF23" s="96" t="n"/>
      <c r="AG23" s="97" t="n"/>
      <c r="AH23" s="97" t="n"/>
      <c r="AI23" s="97" t="n"/>
      <c r="AJ23" s="96" t="n"/>
      <c r="AK23" s="130" t="n"/>
    </row>
    <row r="24" ht="12" customHeight="1">
      <c r="A24" s="108" t="n"/>
      <c r="B24" s="108" t="n"/>
      <c r="C24" s="108" t="n"/>
      <c r="D24" s="172" t="n"/>
      <c r="E24" s="173" t="n"/>
      <c r="F24" s="96" t="n"/>
      <c r="G24" s="96" t="n"/>
      <c r="H24" s="111" t="n"/>
      <c r="I24" s="96" t="n"/>
      <c r="J24" s="96" t="n"/>
      <c r="K24" s="96" t="n"/>
      <c r="L24" s="111" t="n"/>
      <c r="M24" s="96" t="n"/>
      <c r="N24" s="96" t="n"/>
      <c r="O24" s="111" t="n"/>
      <c r="P24" s="112" t="n"/>
      <c r="Q24" s="112" t="n"/>
      <c r="R24" s="96" t="n"/>
      <c r="S24" s="96" t="n"/>
      <c r="T24" s="96" t="n"/>
      <c r="U24" s="96" t="n"/>
      <c r="V24" s="161" t="n"/>
      <c r="W24" s="96" t="n"/>
      <c r="X24" s="161" t="n"/>
      <c r="Y24" s="97" t="n"/>
      <c r="Z24" s="97" t="n"/>
      <c r="AA24" s="97" t="n"/>
      <c r="AB24" s="97" t="n"/>
      <c r="AC24" s="97" t="n"/>
      <c r="AD24" s="161" t="n"/>
      <c r="AE24" s="174" t="n"/>
      <c r="AF24" s="96" t="n"/>
      <c r="AG24" s="97" t="n"/>
      <c r="AH24" s="97" t="n"/>
      <c r="AI24" s="97" t="n"/>
      <c r="AJ24" s="96" t="n"/>
      <c r="AK24" s="130" t="n"/>
    </row>
    <row r="25" ht="12" customHeight="1">
      <c r="A25" s="108" t="n"/>
      <c r="B25" s="108" t="n"/>
      <c r="C25" s="108" t="n"/>
      <c r="D25" s="172" t="n"/>
      <c r="E25" s="173" t="n"/>
      <c r="F25" s="96" t="n"/>
      <c r="G25" s="96" t="n"/>
      <c r="H25" s="111" t="n"/>
      <c r="I25" s="96" t="n"/>
      <c r="J25" s="96" t="n"/>
      <c r="K25" s="96" t="n"/>
      <c r="L25" s="111" t="n"/>
      <c r="M25" s="96" t="n"/>
      <c r="N25" s="96" t="n"/>
      <c r="O25" s="111" t="n"/>
      <c r="P25" s="112" t="n"/>
      <c r="Q25" s="112" t="n"/>
      <c r="R25" s="96" t="n"/>
      <c r="S25" s="96" t="n"/>
      <c r="T25" s="96" t="n"/>
      <c r="U25" s="96" t="n"/>
      <c r="V25" s="161" t="n"/>
      <c r="W25" s="96" t="n"/>
      <c r="X25" s="161" t="n"/>
      <c r="Y25" s="97" t="n"/>
      <c r="Z25" s="97" t="n"/>
      <c r="AA25" s="97" t="n"/>
      <c r="AB25" s="97" t="n"/>
      <c r="AC25" s="97" t="n"/>
      <c r="AD25" s="161" t="n"/>
      <c r="AE25" s="174" t="n"/>
      <c r="AF25" s="96" t="n"/>
      <c r="AG25" s="97" t="n"/>
      <c r="AH25" s="97" t="n"/>
      <c r="AI25" s="97" t="n"/>
      <c r="AJ25" s="96" t="n"/>
      <c r="AK25" s="130" t="n"/>
    </row>
    <row r="26" ht="12" customHeight="1">
      <c r="A26" s="108" t="n"/>
      <c r="B26" s="108" t="n"/>
      <c r="C26" s="108" t="n"/>
      <c r="D26" s="172" t="n"/>
      <c r="E26" s="173" t="n"/>
      <c r="F26" s="96" t="n"/>
      <c r="G26" s="96" t="n"/>
      <c r="H26" s="111" t="n"/>
      <c r="I26" s="96" t="n"/>
      <c r="J26" s="96" t="n"/>
      <c r="K26" s="96" t="n"/>
      <c r="L26" s="111" t="n"/>
      <c r="M26" s="96" t="n"/>
      <c r="N26" s="96" t="n"/>
      <c r="O26" s="111" t="n"/>
      <c r="P26" s="112" t="n"/>
      <c r="Q26" s="112" t="n"/>
      <c r="R26" s="96" t="n"/>
      <c r="S26" s="96" t="n"/>
      <c r="T26" s="96" t="n"/>
      <c r="U26" s="96" t="n"/>
      <c r="V26" s="161" t="n"/>
      <c r="W26" s="96" t="n"/>
      <c r="X26" s="161" t="n"/>
      <c r="Y26" s="97" t="n"/>
      <c r="Z26" s="97" t="n"/>
      <c r="AA26" s="97" t="n"/>
      <c r="AB26" s="97" t="n"/>
      <c r="AC26" s="97" t="n"/>
      <c r="AD26" s="161" t="n"/>
      <c r="AE26" s="174" t="n"/>
      <c r="AF26" s="96" t="n"/>
      <c r="AG26" s="97" t="n"/>
      <c r="AH26" s="97" t="n"/>
      <c r="AI26" s="97" t="n"/>
      <c r="AJ26" s="96" t="n"/>
      <c r="AK26" s="130" t="n"/>
    </row>
    <row r="27" ht="12" customHeight="1">
      <c r="A27" s="108" t="n"/>
      <c r="B27" s="108" t="n"/>
      <c r="C27" s="108" t="n"/>
      <c r="D27" s="172" t="n"/>
      <c r="E27" s="173" t="n"/>
      <c r="F27" s="96" t="n"/>
      <c r="G27" s="96" t="n"/>
      <c r="H27" s="111" t="n"/>
      <c r="I27" s="96" t="n"/>
      <c r="J27" s="96" t="n"/>
      <c r="K27" s="96" t="n"/>
      <c r="L27" s="111" t="n"/>
      <c r="M27" s="96" t="n"/>
      <c r="N27" s="96" t="n"/>
      <c r="O27" s="111" t="n"/>
      <c r="P27" s="112" t="n"/>
      <c r="Q27" s="112" t="n"/>
      <c r="R27" s="96" t="n"/>
      <c r="S27" s="96" t="n"/>
      <c r="T27" s="96" t="n"/>
      <c r="U27" s="96" t="n"/>
      <c r="V27" s="161" t="n"/>
      <c r="W27" s="96" t="n"/>
      <c r="X27" s="161" t="n"/>
      <c r="Y27" s="97" t="n"/>
      <c r="Z27" s="97" t="n"/>
      <c r="AA27" s="97" t="n"/>
      <c r="AB27" s="97" t="n"/>
      <c r="AC27" s="97" t="n"/>
      <c r="AD27" s="161" t="n"/>
      <c r="AE27" s="174" t="n"/>
      <c r="AF27" s="96" t="n"/>
      <c r="AG27" s="97" t="n"/>
      <c r="AH27" s="97" t="n"/>
      <c r="AI27" s="97" t="n"/>
      <c r="AJ27" s="96" t="n"/>
      <c r="AK27" s="130" t="n"/>
    </row>
    <row r="28" ht="12" customHeight="1">
      <c r="A28" s="108" t="n"/>
      <c r="B28" s="108" t="n"/>
      <c r="C28" s="108" t="n"/>
      <c r="D28" s="172" t="n"/>
      <c r="E28" s="173" t="n"/>
      <c r="F28" s="96" t="n"/>
      <c r="G28" s="96" t="n"/>
      <c r="H28" s="111" t="n"/>
      <c r="I28" s="96" t="n"/>
      <c r="J28" s="96" t="n"/>
      <c r="K28" s="96" t="n"/>
      <c r="L28" s="111" t="n"/>
      <c r="M28" s="96" t="n"/>
      <c r="N28" s="96" t="n"/>
      <c r="O28" s="111" t="n"/>
      <c r="P28" s="112" t="n"/>
      <c r="Q28" s="112" t="n"/>
      <c r="R28" s="96" t="n"/>
      <c r="S28" s="96" t="n"/>
      <c r="T28" s="96" t="n"/>
      <c r="U28" s="96" t="n"/>
      <c r="V28" s="161" t="n"/>
      <c r="W28" s="96" t="n"/>
      <c r="X28" s="161" t="n"/>
      <c r="Y28" s="97" t="n"/>
      <c r="Z28" s="97" t="n"/>
      <c r="AA28" s="97" t="n"/>
      <c r="AB28" s="97" t="n"/>
      <c r="AC28" s="97" t="n"/>
      <c r="AD28" s="161" t="n"/>
      <c r="AE28" s="174" t="n"/>
      <c r="AF28" s="96" t="n"/>
      <c r="AG28" s="97" t="n"/>
      <c r="AH28" s="97" t="n"/>
      <c r="AI28" s="97" t="n"/>
      <c r="AJ28" s="96" t="n"/>
      <c r="AK28" s="130" t="n"/>
    </row>
    <row r="29" ht="12" customHeight="1">
      <c r="A29" s="108" t="n"/>
      <c r="B29" s="108" t="n"/>
      <c r="C29" s="108" t="n"/>
      <c r="D29" s="172" t="n"/>
      <c r="E29" s="173" t="n"/>
      <c r="F29" s="96" t="n"/>
      <c r="G29" s="96" t="n"/>
      <c r="H29" s="111" t="n"/>
      <c r="I29" s="96" t="n"/>
      <c r="J29" s="96" t="n"/>
      <c r="K29" s="96" t="n"/>
      <c r="L29" s="111" t="n"/>
      <c r="M29" s="96" t="n"/>
      <c r="N29" s="96" t="n"/>
      <c r="O29" s="111" t="n"/>
      <c r="P29" s="112" t="n"/>
      <c r="Q29" s="112" t="n"/>
      <c r="R29" s="96" t="n"/>
      <c r="S29" s="96" t="n"/>
      <c r="T29" s="96" t="n"/>
      <c r="U29" s="96" t="n"/>
      <c r="V29" s="161" t="n"/>
      <c r="W29" s="96" t="n"/>
      <c r="X29" s="161" t="n"/>
      <c r="Y29" s="97" t="n"/>
      <c r="Z29" s="97" t="n"/>
      <c r="AA29" s="97" t="n"/>
      <c r="AB29" s="97" t="n"/>
      <c r="AC29" s="97" t="n"/>
      <c r="AD29" s="161" t="n"/>
      <c r="AE29" s="174" t="n"/>
      <c r="AF29" s="96" t="n"/>
      <c r="AG29" s="97" t="n"/>
      <c r="AH29" s="97" t="n"/>
      <c r="AI29" s="97" t="n"/>
      <c r="AJ29" s="96" t="n"/>
      <c r="AK29" s="130" t="n"/>
    </row>
    <row r="30" ht="12" customHeight="1">
      <c r="A30" s="108" t="n"/>
      <c r="B30" s="108" t="n"/>
      <c r="C30" s="108" t="n"/>
      <c r="D30" s="172" t="n"/>
      <c r="E30" s="173" t="n"/>
      <c r="F30" s="96" t="n"/>
      <c r="G30" s="96" t="n"/>
      <c r="H30" s="111" t="n"/>
      <c r="I30" s="96" t="n"/>
      <c r="J30" s="96" t="n"/>
      <c r="K30" s="96" t="n"/>
      <c r="L30" s="111" t="n"/>
      <c r="M30" s="96" t="n"/>
      <c r="N30" s="96" t="n"/>
      <c r="O30" s="111" t="n"/>
      <c r="P30" s="112" t="n"/>
      <c r="Q30" s="112" t="n"/>
      <c r="R30" s="96" t="n"/>
      <c r="S30" s="96" t="n"/>
      <c r="T30" s="96" t="n"/>
      <c r="U30" s="96" t="n"/>
      <c r="V30" s="161" t="n"/>
      <c r="W30" s="96" t="n"/>
      <c r="X30" s="161" t="n"/>
      <c r="Y30" s="97" t="n"/>
      <c r="Z30" s="97" t="n"/>
      <c r="AA30" s="97" t="n"/>
      <c r="AB30" s="97" t="n"/>
      <c r="AC30" s="97" t="n"/>
      <c r="AD30" s="161" t="n"/>
      <c r="AE30" s="174" t="n"/>
      <c r="AF30" s="96" t="n"/>
      <c r="AG30" s="97" t="n"/>
      <c r="AH30" s="97" t="n"/>
      <c r="AI30" s="97" t="n"/>
      <c r="AJ30" s="96" t="n"/>
      <c r="AK30" s="130" t="n"/>
    </row>
    <row r="31" ht="12" customHeight="1">
      <c r="A31" s="108" t="n"/>
      <c r="B31" s="108" t="n"/>
      <c r="C31" s="108" t="n"/>
      <c r="D31" s="172" t="n"/>
      <c r="E31" s="173" t="n"/>
      <c r="F31" s="96" t="n"/>
      <c r="G31" s="96" t="n"/>
      <c r="H31" s="111" t="n"/>
      <c r="I31" s="96" t="n"/>
      <c r="J31" s="96" t="n"/>
      <c r="K31" s="96" t="n"/>
      <c r="L31" s="111" t="n"/>
      <c r="M31" s="96" t="n"/>
      <c r="N31" s="96" t="n"/>
      <c r="O31" s="111" t="n"/>
      <c r="P31" s="112" t="n"/>
      <c r="Q31" s="112" t="n"/>
      <c r="R31" s="96" t="n"/>
      <c r="S31" s="96" t="n"/>
      <c r="T31" s="96" t="n"/>
      <c r="U31" s="96" t="n"/>
      <c r="V31" s="161" t="n"/>
      <c r="W31" s="96" t="n"/>
      <c r="X31" s="161" t="n"/>
      <c r="Y31" s="97" t="n"/>
      <c r="Z31" s="97" t="n"/>
      <c r="AA31" s="97" t="n"/>
      <c r="AB31" s="97" t="n"/>
      <c r="AC31" s="97" t="n"/>
      <c r="AD31" s="161" t="n"/>
      <c r="AE31" s="174" t="n"/>
      <c r="AF31" s="96" t="n"/>
      <c r="AG31" s="97" t="n"/>
      <c r="AH31" s="97" t="n"/>
      <c r="AI31" s="97" t="n"/>
      <c r="AJ31" s="96" t="n"/>
      <c r="AK31" s="130" t="n"/>
    </row>
    <row r="32" ht="12" customHeight="1">
      <c r="A32" s="108" t="n"/>
      <c r="B32" s="108" t="n"/>
      <c r="C32" s="108" t="n"/>
      <c r="D32" s="172" t="n"/>
      <c r="E32" s="173" t="n"/>
      <c r="F32" s="96" t="n"/>
      <c r="G32" s="96" t="n"/>
      <c r="H32" s="111" t="n"/>
      <c r="I32" s="96" t="n"/>
      <c r="J32" s="96" t="n"/>
      <c r="K32" s="96" t="n"/>
      <c r="L32" s="111" t="n"/>
      <c r="M32" s="96" t="n"/>
      <c r="N32" s="96" t="n"/>
      <c r="O32" s="111" t="n"/>
      <c r="P32" s="112" t="n"/>
      <c r="Q32" s="112" t="n"/>
      <c r="R32" s="96" t="n"/>
      <c r="S32" s="96" t="n"/>
      <c r="T32" s="96" t="n"/>
      <c r="U32" s="96" t="n"/>
      <c r="V32" s="161" t="n"/>
      <c r="W32" s="96" t="n"/>
      <c r="X32" s="161" t="n"/>
      <c r="Y32" s="97" t="n"/>
      <c r="Z32" s="97" t="n"/>
      <c r="AA32" s="97" t="n"/>
      <c r="AB32" s="97" t="n"/>
      <c r="AC32" s="97" t="n"/>
      <c r="AD32" s="161" t="n"/>
      <c r="AE32" s="174" t="n"/>
      <c r="AF32" s="96" t="n"/>
      <c r="AG32" s="97" t="n"/>
      <c r="AH32" s="97" t="n"/>
      <c r="AI32" s="97" t="n"/>
      <c r="AJ32" s="96" t="n"/>
      <c r="AK32" s="130" t="n"/>
    </row>
    <row r="33" ht="12" customHeight="1">
      <c r="A33" s="108" t="n"/>
      <c r="B33" s="108" t="n"/>
      <c r="C33" s="108" t="n"/>
      <c r="D33" s="172" t="n"/>
      <c r="E33" s="173" t="n"/>
      <c r="F33" s="96" t="n"/>
      <c r="G33" s="96" t="n"/>
      <c r="H33" s="111" t="n"/>
      <c r="I33" s="96" t="n"/>
      <c r="J33" s="96" t="n"/>
      <c r="K33" s="96" t="n"/>
      <c r="L33" s="111" t="n"/>
      <c r="M33" s="96" t="n"/>
      <c r="N33" s="96" t="n"/>
      <c r="O33" s="111" t="n"/>
      <c r="P33" s="112" t="n"/>
      <c r="Q33" s="112" t="n"/>
      <c r="R33" s="96" t="n"/>
      <c r="S33" s="96" t="n"/>
      <c r="T33" s="96" t="n"/>
      <c r="U33" s="96" t="n"/>
      <c r="V33" s="161" t="n"/>
      <c r="W33" s="96" t="n"/>
      <c r="X33" s="161" t="n"/>
      <c r="Y33" s="97" t="n"/>
      <c r="Z33" s="97" t="n"/>
      <c r="AA33" s="97" t="n"/>
      <c r="AB33" s="97" t="n"/>
      <c r="AC33" s="97" t="n"/>
      <c r="AD33" s="161" t="n"/>
      <c r="AE33" s="174" t="n"/>
      <c r="AF33" s="96" t="n"/>
      <c r="AG33" s="97" t="n"/>
      <c r="AH33" s="97" t="n"/>
      <c r="AI33" s="97" t="n"/>
      <c r="AJ33" s="96" t="n"/>
      <c r="AK33" s="130" t="n"/>
    </row>
    <row r="34" ht="12" customHeight="1">
      <c r="A34" s="108" t="n"/>
      <c r="B34" s="108" t="n"/>
      <c r="C34" s="108" t="n"/>
      <c r="D34" s="172" t="n"/>
      <c r="E34" s="173" t="n"/>
      <c r="F34" s="96" t="n"/>
      <c r="G34" s="96" t="n"/>
      <c r="H34" s="111" t="n"/>
      <c r="I34" s="96" t="n"/>
      <c r="J34" s="96" t="n"/>
      <c r="K34" s="96" t="n"/>
      <c r="L34" s="111" t="n"/>
      <c r="M34" s="96" t="n"/>
      <c r="N34" s="96" t="n"/>
      <c r="O34" s="111" t="n"/>
      <c r="P34" s="112" t="n"/>
      <c r="Q34" s="112" t="n"/>
      <c r="R34" s="96" t="n"/>
      <c r="S34" s="96" t="n"/>
      <c r="T34" s="96" t="n"/>
      <c r="U34" s="96" t="n"/>
      <c r="V34" s="161" t="n"/>
      <c r="W34" s="96" t="n"/>
      <c r="X34" s="161" t="n"/>
      <c r="Y34" s="97" t="n"/>
      <c r="Z34" s="97" t="n"/>
      <c r="AA34" s="97" t="n"/>
      <c r="AB34" s="97" t="n"/>
      <c r="AC34" s="97" t="n"/>
      <c r="AD34" s="161" t="n"/>
      <c r="AE34" s="174" t="n"/>
      <c r="AF34" s="96" t="n"/>
      <c r="AG34" s="97" t="n"/>
      <c r="AH34" s="97" t="n"/>
      <c r="AI34" s="97" t="n"/>
      <c r="AJ34" s="96" t="n"/>
      <c r="AK34" s="130" t="n"/>
    </row>
    <row r="35" ht="12" customHeight="1">
      <c r="A35" s="108" t="n"/>
      <c r="B35" s="108" t="n"/>
      <c r="C35" s="108" t="n"/>
      <c r="D35" s="172" t="n"/>
      <c r="E35" s="173" t="n"/>
      <c r="F35" s="96" t="n"/>
      <c r="G35" s="96" t="n"/>
      <c r="H35" s="111" t="n"/>
      <c r="I35" s="96" t="n"/>
      <c r="J35" s="96" t="n"/>
      <c r="K35" s="96" t="n"/>
      <c r="L35" s="111" t="n"/>
      <c r="M35" s="96" t="n"/>
      <c r="N35" s="96" t="n"/>
      <c r="O35" s="111" t="n"/>
      <c r="P35" s="112" t="n"/>
      <c r="Q35" s="112" t="n"/>
      <c r="R35" s="96" t="n"/>
      <c r="S35" s="96" t="n"/>
      <c r="T35" s="96" t="n"/>
      <c r="U35" s="96" t="n"/>
      <c r="V35" s="161" t="n"/>
      <c r="W35" s="96" t="n"/>
      <c r="X35" s="161" t="n"/>
      <c r="Y35" s="97" t="n"/>
      <c r="Z35" s="97" t="n"/>
      <c r="AA35" s="97" t="n"/>
      <c r="AB35" s="97" t="n"/>
      <c r="AC35" s="97" t="n"/>
      <c r="AD35" s="161" t="n"/>
      <c r="AE35" s="174" t="n"/>
      <c r="AF35" s="96" t="n"/>
      <c r="AG35" s="97" t="n"/>
      <c r="AH35" s="97" t="n"/>
      <c r="AI35" s="97" t="n"/>
      <c r="AJ35" s="96" t="n"/>
      <c r="AK35" s="130" t="n"/>
    </row>
    <row r="36" ht="12" customHeight="1">
      <c r="A36" s="108" t="n"/>
      <c r="B36" s="108" t="n"/>
      <c r="C36" s="108" t="n"/>
      <c r="D36" s="172" t="n"/>
      <c r="E36" s="173" t="n"/>
      <c r="F36" s="96" t="n"/>
      <c r="G36" s="96" t="n"/>
      <c r="H36" s="111" t="n"/>
      <c r="I36" s="96" t="n"/>
      <c r="J36" s="96" t="n"/>
      <c r="K36" s="96" t="n"/>
      <c r="L36" s="111" t="n"/>
      <c r="M36" s="96" t="n"/>
      <c r="N36" s="96" t="n"/>
      <c r="O36" s="111" t="n"/>
      <c r="P36" s="112" t="n"/>
      <c r="Q36" s="112" t="n"/>
      <c r="R36" s="96" t="n"/>
      <c r="S36" s="96" t="n"/>
      <c r="T36" s="96" t="n"/>
      <c r="U36" s="96" t="n"/>
      <c r="V36" s="161" t="n"/>
      <c r="W36" s="96" t="n"/>
      <c r="X36" s="161" t="n"/>
      <c r="Y36" s="97" t="n"/>
      <c r="Z36" s="97" t="n"/>
      <c r="AA36" s="97" t="n"/>
      <c r="AB36" s="97" t="n"/>
      <c r="AC36" s="97" t="n"/>
      <c r="AD36" s="161" t="n"/>
      <c r="AE36" s="174" t="n"/>
      <c r="AF36" s="96" t="n"/>
      <c r="AG36" s="97" t="n"/>
      <c r="AH36" s="97" t="n"/>
      <c r="AI36" s="97" t="n"/>
      <c r="AJ36" s="96" t="n"/>
      <c r="AK36" s="130" t="n"/>
    </row>
    <row r="37" ht="12" customHeight="1">
      <c r="A37" s="108" t="n"/>
      <c r="B37" s="108" t="n"/>
      <c r="C37" s="108" t="n"/>
      <c r="D37" s="172" t="n"/>
      <c r="E37" s="173" t="n"/>
      <c r="F37" s="96" t="n"/>
      <c r="G37" s="96" t="n"/>
      <c r="H37" s="111" t="n"/>
      <c r="I37" s="96" t="n"/>
      <c r="J37" s="96" t="n"/>
      <c r="K37" s="96" t="n"/>
      <c r="L37" s="111" t="n"/>
      <c r="M37" s="96" t="n"/>
      <c r="N37" s="96" t="n"/>
      <c r="O37" s="111" t="n"/>
      <c r="P37" s="112" t="n"/>
      <c r="Q37" s="112" t="n"/>
      <c r="R37" s="96" t="n"/>
      <c r="S37" s="96" t="n"/>
      <c r="T37" s="96" t="n"/>
      <c r="U37" s="96" t="n"/>
      <c r="V37" s="161" t="n"/>
      <c r="W37" s="96" t="n"/>
      <c r="X37" s="161" t="n"/>
      <c r="Y37" s="97" t="n"/>
      <c r="Z37" s="97" t="n"/>
      <c r="AA37" s="97" t="n"/>
      <c r="AB37" s="97" t="n"/>
      <c r="AC37" s="97" t="n"/>
      <c r="AD37" s="161" t="n"/>
      <c r="AE37" s="174" t="n"/>
      <c r="AF37" s="96" t="n"/>
      <c r="AG37" s="97" t="n"/>
      <c r="AH37" s="97" t="n"/>
      <c r="AI37" s="97" t="n"/>
      <c r="AJ37" s="96" t="n"/>
      <c r="AK37" s="130" t="n"/>
    </row>
    <row r="38" ht="12" customHeight="1">
      <c r="A38" s="108" t="n"/>
      <c r="B38" s="108" t="n"/>
      <c r="C38" s="108" t="n"/>
      <c r="D38" s="172" t="n"/>
      <c r="E38" s="173" t="n"/>
      <c r="F38" s="96" t="n"/>
      <c r="G38" s="96" t="n"/>
      <c r="H38" s="111" t="n"/>
      <c r="I38" s="96" t="n"/>
      <c r="J38" s="96" t="n"/>
      <c r="K38" s="96" t="n"/>
      <c r="L38" s="111" t="n"/>
      <c r="M38" s="96" t="n"/>
      <c r="N38" s="96" t="n"/>
      <c r="O38" s="111" t="n"/>
      <c r="P38" s="112" t="n"/>
      <c r="Q38" s="112" t="n"/>
      <c r="R38" s="96" t="n"/>
      <c r="S38" s="96" t="n"/>
      <c r="T38" s="96" t="n"/>
      <c r="U38" s="96" t="n"/>
      <c r="V38" s="161" t="n"/>
      <c r="W38" s="96" t="n"/>
      <c r="X38" s="161" t="n"/>
      <c r="Y38" s="97" t="n"/>
      <c r="Z38" s="97" t="n"/>
      <c r="AA38" s="97" t="n"/>
      <c r="AB38" s="97" t="n"/>
      <c r="AC38" s="97" t="n"/>
      <c r="AD38" s="161" t="n"/>
      <c r="AE38" s="174" t="n"/>
      <c r="AF38" s="96" t="n"/>
      <c r="AG38" s="97" t="n"/>
      <c r="AH38" s="97" t="n"/>
      <c r="AI38" s="97" t="n"/>
      <c r="AJ38" s="96" t="n"/>
      <c r="AK38" s="130" t="n"/>
    </row>
    <row r="39" ht="12" customHeight="1">
      <c r="A39" s="108" t="n"/>
      <c r="B39" s="108" t="n"/>
      <c r="C39" s="108" t="n"/>
      <c r="D39" s="172" t="n"/>
      <c r="E39" s="173" t="n"/>
      <c r="F39" s="96" t="n"/>
      <c r="G39" s="96" t="n"/>
      <c r="H39" s="111" t="n"/>
      <c r="I39" s="96" t="n"/>
      <c r="J39" s="96" t="n"/>
      <c r="K39" s="96" t="n"/>
      <c r="L39" s="111" t="n"/>
      <c r="M39" s="96" t="n"/>
      <c r="N39" s="96" t="n"/>
      <c r="O39" s="111" t="n"/>
      <c r="P39" s="112" t="n"/>
      <c r="Q39" s="112" t="n"/>
      <c r="R39" s="96" t="n"/>
      <c r="S39" s="96" t="n"/>
      <c r="T39" s="96" t="n"/>
      <c r="U39" s="96" t="n"/>
      <c r="V39" s="161" t="n"/>
      <c r="W39" s="96" t="n"/>
      <c r="X39" s="161" t="n"/>
      <c r="Y39" s="97" t="n"/>
      <c r="Z39" s="97" t="n"/>
      <c r="AA39" s="97" t="n"/>
      <c r="AB39" s="97" t="n"/>
      <c r="AC39" s="97" t="n"/>
      <c r="AD39" s="161" t="n"/>
      <c r="AE39" s="174" t="n"/>
      <c r="AF39" s="96" t="n"/>
      <c r="AG39" s="97" t="n"/>
      <c r="AH39" s="97" t="n"/>
      <c r="AI39" s="97" t="n"/>
      <c r="AJ39" s="96" t="n"/>
      <c r="AK39" s="130" t="n"/>
    </row>
    <row r="40" ht="12" customHeight="1">
      <c r="A40" s="108" t="n"/>
      <c r="B40" s="108" t="n"/>
      <c r="C40" s="108" t="n"/>
      <c r="D40" s="172" t="n"/>
      <c r="E40" s="173" t="n"/>
      <c r="F40" s="96" t="n"/>
      <c r="G40" s="96" t="n"/>
      <c r="H40" s="111" t="n"/>
      <c r="I40" s="96" t="n"/>
      <c r="J40" s="96" t="n"/>
      <c r="K40" s="96" t="n"/>
      <c r="L40" s="111" t="n"/>
      <c r="M40" s="96" t="n"/>
      <c r="N40" s="96" t="n"/>
      <c r="O40" s="111" t="n"/>
      <c r="P40" s="112" t="n"/>
      <c r="Q40" s="112" t="n"/>
      <c r="R40" s="96" t="n"/>
      <c r="S40" s="96" t="n"/>
      <c r="T40" s="96" t="n"/>
      <c r="U40" s="96" t="n"/>
      <c r="V40" s="161" t="n"/>
      <c r="W40" s="96" t="n"/>
      <c r="X40" s="161" t="n"/>
      <c r="Y40" s="97" t="n"/>
      <c r="Z40" s="97" t="n"/>
      <c r="AA40" s="97" t="n"/>
      <c r="AB40" s="97" t="n"/>
      <c r="AC40" s="97" t="n"/>
      <c r="AD40" s="161" t="n"/>
      <c r="AE40" s="174" t="n"/>
      <c r="AF40" s="96" t="n"/>
      <c r="AG40" s="97" t="n"/>
      <c r="AH40" s="97" t="n"/>
      <c r="AI40" s="97" t="n"/>
      <c r="AJ40" s="96" t="n"/>
      <c r="AK40" s="130" t="n"/>
    </row>
    <row r="41" ht="12" customHeight="1">
      <c r="A41" s="108" t="n"/>
      <c r="B41" s="108" t="n"/>
      <c r="C41" s="108" t="n"/>
      <c r="D41" s="172" t="n"/>
      <c r="E41" s="173" t="n"/>
      <c r="F41" s="96" t="n"/>
      <c r="G41" s="96" t="n"/>
      <c r="H41" s="111" t="n"/>
      <c r="I41" s="96" t="n"/>
      <c r="J41" s="96" t="n"/>
      <c r="K41" s="96" t="n"/>
      <c r="L41" s="111" t="n"/>
      <c r="M41" s="96" t="n"/>
      <c r="N41" s="96" t="n"/>
      <c r="O41" s="111" t="n"/>
      <c r="P41" s="112" t="n"/>
      <c r="Q41" s="112" t="n"/>
      <c r="R41" s="96" t="n"/>
      <c r="S41" s="96" t="n"/>
      <c r="T41" s="96" t="n"/>
      <c r="U41" s="96" t="n"/>
      <c r="V41" s="161" t="n"/>
      <c r="W41" s="96" t="n"/>
      <c r="X41" s="161" t="n"/>
      <c r="Y41" s="97" t="n"/>
      <c r="Z41" s="97" t="n"/>
      <c r="AA41" s="97" t="n"/>
      <c r="AB41" s="97" t="n"/>
      <c r="AC41" s="97" t="n"/>
      <c r="AD41" s="161" t="n"/>
      <c r="AE41" s="174" t="n"/>
      <c r="AF41" s="96" t="n"/>
      <c r="AG41" s="97" t="n"/>
      <c r="AH41" s="97" t="n"/>
      <c r="AI41" s="97" t="n"/>
      <c r="AJ41" s="96" t="n"/>
      <c r="AK41" s="130" t="n"/>
    </row>
    <row r="42" ht="12" customHeight="1">
      <c r="A42" s="108" t="n"/>
      <c r="B42" s="108" t="n"/>
      <c r="C42" s="108" t="n"/>
      <c r="D42" s="172" t="n"/>
      <c r="E42" s="173" t="n"/>
      <c r="F42" s="96" t="n"/>
      <c r="G42" s="96" t="n"/>
      <c r="H42" s="111" t="n"/>
      <c r="I42" s="96" t="n"/>
      <c r="J42" s="96" t="n"/>
      <c r="K42" s="96" t="n"/>
      <c r="L42" s="111" t="n"/>
      <c r="M42" s="96" t="n"/>
      <c r="N42" s="96" t="n"/>
      <c r="O42" s="111" t="n"/>
      <c r="P42" s="112" t="n"/>
      <c r="Q42" s="112" t="n"/>
      <c r="R42" s="96" t="n"/>
      <c r="S42" s="96" t="n"/>
      <c r="T42" s="96" t="n"/>
      <c r="U42" s="96" t="n"/>
      <c r="V42" s="161" t="n"/>
      <c r="W42" s="96" t="n"/>
      <c r="X42" s="161" t="n"/>
      <c r="Y42" s="97" t="n"/>
      <c r="Z42" s="97" t="n"/>
      <c r="AA42" s="97" t="n"/>
      <c r="AB42" s="97" t="n"/>
      <c r="AC42" s="97" t="n"/>
      <c r="AD42" s="161" t="n"/>
      <c r="AE42" s="174" t="n"/>
      <c r="AF42" s="96" t="n"/>
      <c r="AG42" s="97" t="n"/>
      <c r="AH42" s="97" t="n"/>
      <c r="AI42" s="97" t="n"/>
      <c r="AJ42" s="96" t="n"/>
      <c r="AK42" s="130" t="n"/>
    </row>
    <row r="43" ht="12" customHeight="1">
      <c r="A43" s="108" t="n"/>
      <c r="B43" s="108" t="n"/>
      <c r="C43" s="108" t="n"/>
      <c r="D43" s="172" t="n"/>
      <c r="E43" s="173" t="n"/>
      <c r="F43" s="96" t="n"/>
      <c r="G43" s="96" t="n"/>
      <c r="H43" s="111" t="n"/>
      <c r="I43" s="96" t="n"/>
      <c r="J43" s="96" t="n"/>
      <c r="K43" s="96" t="n"/>
      <c r="L43" s="111" t="n"/>
      <c r="M43" s="96" t="n"/>
      <c r="N43" s="96" t="n"/>
      <c r="O43" s="111" t="n"/>
      <c r="P43" s="112" t="n"/>
      <c r="Q43" s="112" t="n"/>
      <c r="R43" s="96" t="n"/>
      <c r="S43" s="96" t="n"/>
      <c r="T43" s="96" t="n"/>
      <c r="U43" s="96" t="n"/>
      <c r="V43" s="161" t="n"/>
      <c r="W43" s="96" t="n"/>
      <c r="X43" s="161" t="n"/>
      <c r="Y43" s="97" t="n"/>
      <c r="Z43" s="97" t="n"/>
      <c r="AA43" s="97" t="n"/>
      <c r="AB43" s="97" t="n"/>
      <c r="AC43" s="97" t="n"/>
      <c r="AD43" s="161" t="n"/>
      <c r="AE43" s="174" t="n"/>
      <c r="AF43" s="96" t="n"/>
      <c r="AG43" s="97" t="n"/>
      <c r="AH43" s="97" t="n"/>
      <c r="AI43" s="97" t="n"/>
      <c r="AJ43" s="96" t="n"/>
      <c r="AK43" s="130" t="n"/>
    </row>
    <row r="44" ht="12" customHeight="1">
      <c r="A44" s="108" t="n"/>
      <c r="B44" s="108" t="n"/>
      <c r="C44" s="108" t="n"/>
      <c r="D44" s="172" t="n"/>
      <c r="E44" s="173" t="n"/>
      <c r="F44" s="96" t="n"/>
      <c r="G44" s="96" t="n"/>
      <c r="H44" s="111" t="n"/>
      <c r="I44" s="96" t="n"/>
      <c r="J44" s="96" t="n"/>
      <c r="K44" s="96" t="n"/>
      <c r="L44" s="111" t="n"/>
      <c r="M44" s="96" t="n"/>
      <c r="N44" s="96" t="n"/>
      <c r="O44" s="111" t="n"/>
      <c r="P44" s="112" t="n"/>
      <c r="Q44" s="112" t="n"/>
      <c r="R44" s="96" t="n"/>
      <c r="S44" s="96" t="n"/>
      <c r="T44" s="96" t="n"/>
      <c r="U44" s="96" t="n"/>
      <c r="V44" s="161" t="n"/>
      <c r="W44" s="96" t="n"/>
      <c r="X44" s="161" t="n"/>
      <c r="Y44" s="97" t="n"/>
      <c r="Z44" s="97" t="n"/>
      <c r="AA44" s="97" t="n"/>
      <c r="AB44" s="97" t="n"/>
      <c r="AC44" s="97" t="n"/>
      <c r="AD44" s="161" t="n"/>
      <c r="AE44" s="174" t="n"/>
      <c r="AF44" s="96" t="n"/>
      <c r="AG44" s="97" t="n"/>
      <c r="AH44" s="97" t="n"/>
      <c r="AI44" s="97" t="n"/>
      <c r="AJ44" s="96" t="n"/>
      <c r="AK44" s="130" t="n"/>
    </row>
    <row r="45" ht="12" customHeight="1">
      <c r="A45" s="108" t="n"/>
      <c r="B45" s="108" t="n"/>
      <c r="C45" s="108" t="n"/>
      <c r="D45" s="172" t="n"/>
      <c r="E45" s="173" t="n"/>
      <c r="F45" s="96" t="n"/>
      <c r="G45" s="96" t="n"/>
      <c r="H45" s="111" t="n"/>
      <c r="I45" s="96" t="n"/>
      <c r="J45" s="96" t="n"/>
      <c r="K45" s="96" t="n"/>
      <c r="L45" s="111" t="n"/>
      <c r="M45" s="96" t="n"/>
      <c r="N45" s="96" t="n"/>
      <c r="O45" s="111" t="n"/>
      <c r="P45" s="112" t="n"/>
      <c r="Q45" s="112" t="n"/>
      <c r="R45" s="96" t="n"/>
      <c r="S45" s="96" t="n"/>
      <c r="T45" s="96" t="n"/>
      <c r="U45" s="96" t="n"/>
      <c r="V45" s="161" t="n"/>
      <c r="W45" s="96" t="n"/>
      <c r="X45" s="161" t="n"/>
      <c r="Y45" s="97" t="n"/>
      <c r="Z45" s="97" t="n"/>
      <c r="AA45" s="97" t="n"/>
      <c r="AB45" s="97" t="n"/>
      <c r="AC45" s="97" t="n"/>
      <c r="AD45" s="161" t="n"/>
      <c r="AE45" s="174" t="n"/>
      <c r="AF45" s="96" t="n"/>
      <c r="AG45" s="97" t="n"/>
      <c r="AH45" s="97" t="n"/>
      <c r="AI45" s="97" t="n"/>
      <c r="AJ45" s="96" t="n"/>
      <c r="AK45" s="130" t="n"/>
    </row>
    <row r="46" ht="12" customHeight="1">
      <c r="A46" s="108" t="n"/>
      <c r="B46" s="108" t="n"/>
      <c r="C46" s="108" t="n"/>
      <c r="D46" s="172" t="n"/>
      <c r="E46" s="173" t="n"/>
      <c r="F46" s="96" t="n"/>
      <c r="G46" s="96" t="n"/>
      <c r="H46" s="111" t="n"/>
      <c r="I46" s="96" t="n"/>
      <c r="J46" s="96" t="n"/>
      <c r="K46" s="96" t="n"/>
      <c r="L46" s="111" t="n"/>
      <c r="M46" s="96" t="n"/>
      <c r="N46" s="96" t="n"/>
      <c r="O46" s="111" t="n"/>
      <c r="P46" s="112" t="n"/>
      <c r="Q46" s="112" t="n"/>
      <c r="R46" s="96" t="n"/>
      <c r="S46" s="96" t="n"/>
      <c r="T46" s="96" t="n"/>
      <c r="U46" s="96" t="n"/>
      <c r="V46" s="161" t="n"/>
      <c r="W46" s="96" t="n"/>
      <c r="X46" s="161" t="n"/>
      <c r="Y46" s="97" t="n"/>
      <c r="Z46" s="97" t="n"/>
      <c r="AA46" s="97" t="n"/>
      <c r="AB46" s="97" t="n"/>
      <c r="AC46" s="97" t="n"/>
      <c r="AD46" s="161" t="n"/>
      <c r="AE46" s="174" t="n"/>
      <c r="AF46" s="96" t="n"/>
      <c r="AG46" s="97" t="n"/>
      <c r="AH46" s="97" t="n"/>
      <c r="AI46" s="97" t="n"/>
      <c r="AJ46" s="96" t="n"/>
      <c r="AK46" s="130" t="n"/>
    </row>
    <row r="47" ht="12" customHeight="1">
      <c r="A47" s="108" t="n"/>
      <c r="B47" s="108" t="n"/>
      <c r="C47" s="108" t="n"/>
      <c r="D47" s="172" t="n"/>
      <c r="E47" s="173" t="n"/>
      <c r="F47" s="96" t="n"/>
      <c r="G47" s="96" t="n"/>
      <c r="H47" s="111" t="n"/>
      <c r="I47" s="96" t="n"/>
      <c r="J47" s="96" t="n"/>
      <c r="K47" s="96" t="n"/>
      <c r="L47" s="111" t="n"/>
      <c r="M47" s="96" t="n"/>
      <c r="N47" s="96" t="n"/>
      <c r="O47" s="111" t="n"/>
      <c r="P47" s="112" t="n"/>
      <c r="Q47" s="112" t="n"/>
      <c r="R47" s="96" t="n"/>
      <c r="S47" s="96" t="n"/>
      <c r="T47" s="96" t="n"/>
      <c r="U47" s="96" t="n"/>
      <c r="V47" s="161" t="n"/>
      <c r="W47" s="96" t="n"/>
      <c r="X47" s="161" t="n"/>
      <c r="Y47" s="97" t="n"/>
      <c r="Z47" s="97" t="n"/>
      <c r="AA47" s="97" t="n"/>
      <c r="AB47" s="97" t="n"/>
      <c r="AC47" s="97" t="n"/>
      <c r="AD47" s="161" t="n"/>
      <c r="AE47" s="174" t="n"/>
      <c r="AF47" s="96" t="n"/>
      <c r="AG47" s="97" t="n"/>
      <c r="AH47" s="97" t="n"/>
      <c r="AI47" s="97" t="n"/>
      <c r="AJ47" s="96" t="n"/>
      <c r="AK47" s="130" t="n"/>
    </row>
    <row r="48" ht="12" customHeight="1">
      <c r="A48" s="108" t="n"/>
      <c r="B48" s="108" t="n"/>
      <c r="C48" s="108" t="n"/>
      <c r="D48" s="172" t="n"/>
      <c r="E48" s="173" t="n"/>
      <c r="F48" s="96" t="n"/>
      <c r="G48" s="96" t="n"/>
      <c r="H48" s="111" t="n"/>
      <c r="I48" s="96" t="n"/>
      <c r="J48" s="96" t="n"/>
      <c r="K48" s="96" t="n"/>
      <c r="L48" s="111" t="n"/>
      <c r="M48" s="96" t="n"/>
      <c r="N48" s="96" t="n"/>
      <c r="O48" s="111" t="n"/>
      <c r="P48" s="112" t="n"/>
      <c r="Q48" s="112" t="n"/>
      <c r="R48" s="96" t="n"/>
      <c r="S48" s="96" t="n"/>
      <c r="T48" s="96" t="n"/>
      <c r="U48" s="96" t="n"/>
      <c r="V48" s="161" t="n"/>
      <c r="W48" s="96" t="n"/>
      <c r="X48" s="161" t="n"/>
      <c r="Y48" s="97" t="n"/>
      <c r="Z48" s="97" t="n"/>
      <c r="AA48" s="97" t="n"/>
      <c r="AB48" s="97" t="n"/>
      <c r="AC48" s="97" t="n"/>
      <c r="AD48" s="161" t="n"/>
      <c r="AE48" s="174" t="n"/>
      <c r="AF48" s="96" t="n"/>
      <c r="AG48" s="97" t="n"/>
      <c r="AH48" s="97" t="n"/>
      <c r="AI48" s="97" t="n"/>
      <c r="AJ48" s="96" t="n"/>
      <c r="AK48" s="130" t="n"/>
    </row>
    <row r="49" ht="12" customHeight="1">
      <c r="A49" s="108" t="n"/>
      <c r="B49" s="108" t="n"/>
      <c r="C49" s="108" t="n"/>
      <c r="D49" s="172" t="n"/>
      <c r="E49" s="173" t="n"/>
      <c r="F49" s="96" t="n"/>
      <c r="G49" s="96" t="n"/>
      <c r="H49" s="111" t="n"/>
      <c r="I49" s="96" t="n"/>
      <c r="J49" s="96" t="n"/>
      <c r="K49" s="96" t="n"/>
      <c r="L49" s="111" t="n"/>
      <c r="M49" s="96" t="n"/>
      <c r="N49" s="96" t="n"/>
      <c r="O49" s="111" t="n"/>
      <c r="P49" s="112" t="n"/>
      <c r="Q49" s="112" t="n"/>
      <c r="R49" s="96" t="n"/>
      <c r="S49" s="96" t="n"/>
      <c r="T49" s="96" t="n"/>
      <c r="U49" s="96" t="n"/>
      <c r="V49" s="161" t="n"/>
      <c r="W49" s="96" t="n"/>
      <c r="X49" s="161" t="n"/>
      <c r="Y49" s="97" t="n"/>
      <c r="Z49" s="97" t="n"/>
      <c r="AA49" s="97" t="n"/>
      <c r="AB49" s="97" t="n"/>
      <c r="AC49" s="97" t="n"/>
      <c r="AD49" s="161" t="n"/>
      <c r="AE49" s="174" t="n"/>
      <c r="AF49" s="96" t="n"/>
      <c r="AG49" s="97" t="n"/>
      <c r="AH49" s="97" t="n"/>
      <c r="AI49" s="97" t="n"/>
      <c r="AJ49" s="96" t="n"/>
      <c r="AK49" s="130" t="n"/>
    </row>
    <row r="50" ht="12" customHeight="1">
      <c r="A50" s="108" t="n"/>
      <c r="B50" s="108" t="n"/>
      <c r="C50" s="108" t="n"/>
      <c r="D50" s="172" t="n"/>
      <c r="E50" s="173" t="n"/>
      <c r="F50" s="96" t="n"/>
      <c r="G50" s="96" t="n"/>
      <c r="H50" s="111" t="n"/>
      <c r="I50" s="96" t="n"/>
      <c r="J50" s="96" t="n"/>
      <c r="K50" s="96" t="n"/>
      <c r="L50" s="111" t="n"/>
      <c r="M50" s="96" t="n"/>
      <c r="N50" s="96" t="n"/>
      <c r="O50" s="111" t="n"/>
      <c r="P50" s="112" t="n"/>
      <c r="Q50" s="112" t="n"/>
      <c r="R50" s="96" t="n"/>
      <c r="S50" s="96" t="n"/>
      <c r="T50" s="96" t="n"/>
      <c r="U50" s="96" t="n"/>
      <c r="V50" s="161" t="n"/>
      <c r="W50" s="96" t="n"/>
      <c r="X50" s="161" t="n"/>
      <c r="Y50" s="97" t="n"/>
      <c r="Z50" s="97" t="n"/>
      <c r="AA50" s="97" t="n"/>
      <c r="AB50" s="97" t="n"/>
      <c r="AC50" s="97" t="n"/>
      <c r="AD50" s="161" t="n"/>
      <c r="AE50" s="174" t="n"/>
      <c r="AF50" s="96" t="n"/>
      <c r="AG50" s="97" t="n"/>
      <c r="AH50" s="97" t="n"/>
      <c r="AI50" s="97" t="n"/>
      <c r="AJ50" s="96" t="n"/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>0</v>
      </c>
      <c r="AB1" s="48" t="n"/>
      <c r="AC1" s="48" t="n"/>
      <c r="AF1" s="176" t="n"/>
      <c r="AG1" s="177">
        <f>SUM(AG3:AG1353)</f>
        <v>0</v>
      </c>
      <c r="AH1" s="177">
        <f>SUM(AH3:AH1353)</f>
        <v>0</v>
      </c>
      <c r="AI1" s="177">
        <f>SUM(AI3:AI1353)</f>
        <v>0</v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inlineStr">
        <is>
          <t>BEAU2358290</t>
        </is>
      </c>
      <c r="B3" s="4" t="str">
        <f>IF(C3=Charge!$M$1,Charge!$J$1,IF(C3=Charge!$M$23,Charge!$J$23,IF(C3=Charge!$M$17,Charge!$J$17,IF(C3=Charge!$N$17,Charge!$J$17,Charge!$J$7))))</f>
        <v>G1</v>
      </c>
      <c r="C3" s="61" t="str">
        <f>VLOOKUP(A3,'1.Loading'!A:R,14,FALSE)</f>
        <v>LCH04</v>
      </c>
      <c r="D3" s="61" t="str">
        <f>VLOOKUP(A3,'1.Loading'!A:R,17,FALSE)</f>
        <v>HASLS22261000852</v>
      </c>
      <c r="E3" s="62" t="str">
        <f>VLOOKUP(D3,'2.Bookinglist'!A:CT,27,FALSE)</f>
        <v>TRANSCONTAINER LOGISTICS (THAILAND) CO., LTD.</v>
      </c>
      <c r="F3" s="62" t="str">
        <f>VLOOKUP(D3,'2.Bookinglist'!A:CT,28,FALSE)</f>
        <v>SHIN-ETSU SILICONES (THAILAND) LTD.</v>
      </c>
      <c r="G3" s="60">
        <f>VLOOKUP(D3,'2.Bookinglist'!A:E,5,FALSE)</f>
        <v>0</v>
      </c>
      <c r="H3" s="61" t="str">
        <f>VLOOKUP(D3,'2.Bookinglist'!A:CT,15,FALSE)</f>
        <v>THLCH</v>
      </c>
      <c r="I3" s="61" t="str">
        <f>VLOOKUP(D3,'2.Bookinglist'!A:CT,19,FALSE)</f>
        <v>HKHKG</v>
      </c>
      <c r="J3" s="61">
        <f>VLOOKUP(D3,'2.Bookinglist'!A:CT,26,FALSE)</f>
        <v>0</v>
      </c>
      <c r="K3" s="61" t="str">
        <f>VLOOKUP(A3,'1.Loading'!A:R,5,FALSE)</f>
        <v>22GP</v>
      </c>
      <c r="L3" s="60" t="str">
        <f>VLOOKUP(D3,'2.Bookinglist'!A:CT,85,FALSE)</f>
        <v>CY/CY</v>
      </c>
      <c r="M3" s="60" t="str">
        <f>IF(VLOOKUP(D3,'2.Bookinglist'!A:CT,43,FALSE)=0,"","DG")</f>
        <v/>
      </c>
      <c r="N3" s="60" t="str">
        <f>IF(RIGHT(K3,2)="RE","RF","")</f>
        <v/>
      </c>
      <c r="O3" s="61" t="str">
        <f>VLOOKUP(A3,'1.Loading'!A:R,3,FALSE)</f>
        <v>CMA</v>
      </c>
      <c r="P3" s="61" t="str">
        <f>VLOOKUP(A3,'1.Loading'!A:R,4,FALSE)</f>
        <v>2615N</v>
      </c>
      <c r="Q3" s="61" t="str">
        <f>VLOOKUP(D3,'2.Bookinglist'!A:CT,12,FALSE)</f>
        <v>KTS1</v>
      </c>
      <c r="R3" s="60" t="str">
        <f>IF(LEFT(K3,2)="22","20'","40'")</f>
        <v>20'</v>
      </c>
      <c r="S3" s="101" t="n"/>
      <c r="T3" s="61" t="str">
        <f>VLOOKUP(A3,'1.Loading'!A:R,2,FALSE)</f>
        <v>2026-10-25</v>
      </c>
      <c r="U3" s="63">
        <f>T3-S3</f>
        <v>46320</v>
      </c>
      <c r="V3" s="178" t="n"/>
      <c r="W3" s="61" t="str">
        <f>VLOOKUP(A3,'3.GateMove'!A:D,4,FALSE)</f>
        <v>2026-10-21</v>
      </c>
      <c r="X3" s="63">
        <f>((T3-W3)+1)</f>
        <v>5</v>
      </c>
      <c r="Y3" s="64">
        <f>IF(AND(OR(C3="BKK01",C3="BKK04"),L3="CFS/CY"),0,IF(M3="DG",1,IF(LEFT(C3,3)="LCH",7,IF(C3="BKK02",5,3))))</f>
        <v>7</v>
      </c>
      <c r="Z3" s="63">
        <f>IF(IF(AND(AC3="TML",AB3&gt;0),((T3-W3)+1)-AB3,((T3-W3)+1)-Y3)&gt;0,IF(AND(AC3="TML",AB3&gt;0),((T3-W3)+1)-AB3,((T3-W3)+1)-Y3),0)</f>
        <v>0</v>
      </c>
      <c r="AA3" s="120">
        <f>IF(AND(B3="G1",M3=""),IF(R3="20'",
VLOOKUP(Z3,Charge!$K$2:$M$5,2,TRUE)+(Z3-VLOOKUP(Z3,Charge!$K$2:$M$5,1,TRUE))*VLOOKUP(Z3,Charge!$K$2:$M$5,3,TRUE),
VLOOKUP(Z3,Charge!$N$2:$P$5,2,TRUE)+(Z3-VLOOKUP(Z3,Charge!$N$2:$P$5,1,TRUE))*VLOOKUP(Z3,Charge!$N$2:$P$5,3,TRUE)),
IF(AND(B3="G1",M3="DG"),IF(R3="20'",
VLOOKUP(Z3,Charge!$R$2:$T$5,2,TRUE)+(Z3-VLOOKUP(Z3,Charge!$R$2:$T$5,1,TRUE))*VLOOKUP(Z3,Charge!$R$2:$T$5,3,TRUE),
VLOOKUP(Z3,Charge!$U$2:$W$5,2,TRUE)+(Z3-VLOOKUP(Z3,Charge!$U$2:$W$5,1,TRUE))*VLOOKUP(Z3,Charge!$U$2:$W$5,3,TRUE)),
IF(AND(B3="G3",M3=""),IF(R3="20'",
VLOOKUP(Z3,Charge!$K$18:$M$21,2,TRUE)+(Z3-VLOOKUP(Z3,Charge!$K$18:$M$21,1,TRUE))*VLOOKUP(Z3,Charge!$K$18:$M$21,3,TRUE),
VLOOKUP(Z3,Charge!$N$18:$P$21,2,TRUE)+(Z3-VLOOKUP(Z3,Charge!$N$18:$P$21,1,TRUE))*VLOOKUP(Z3,Charge!$N$18:$P$21,3,TRUE)),
IF(AND(B3="G3",M3="DG"),IF(R3="20'",
VLOOKUP(Z3,Charge!$R$18:$T$21,2,TRUE)+(Z3-VLOOKUP(Z3,Charge!$R$18:$T$21,1,TRUE))*VLOOKUP(Z3,Charge!$R$18:$T$21,3,TRUE),
VLOOKUP(Z3,Charge!$U$18:$W$21,2,TRUE)+(Z3-VLOOKUP(Z3,Charge!$U$18:$W$21,1,TRUE))*VLOOKUP(Z3,Charge!$U$18:$W$21,3,TRUE)),
IF(AND(B3="G2",M3=""),IF(R3="20'",
VLOOKUP(Z3,Charge!$K$9:$M$12,2,TRUE)+(Z3-VLOOKUP(Z3,Charge!$K$9:$M$12,1,TRUE))*VLOOKUP(Z3,Charge!$K$9:$M$12,3,TRUE),
VLOOKUP(Z3,Charge!$N$9:$P$12,2,TRUE)+(Z3-VLOOKUP(Z3,Charge!$N$9:$P$12,1,TRUE))*VLOOKUP(Z3,Charge!$N$9:$P$12,3,TRUE)),
IF(AND(B3="G2",M3="DG"),IF(R3="20'",
VLOOKUP(Z3,Charge!$R$9:$T$12,2,TRUE)+(Z3-VLOOKUP(Z3,Charge!$R$9:$T$12,1,TRUE))*VLOOKUP(Z3,Charge!$R$9:$T$12,3,TRUE),
VLOOKUP(Z3,Charge!$U$9:$W$12,2,TRUE)+(Z3-VLOOKUP(Z3,Charge!$U$9:$W$12,1,TRUE))*VLOOKUP(Z3,Charge!$U$9:$W$12,3,TRUE)),IF(AND(B3="G4",M3=""),IF(R3="20'",Z3*Charge!$M$25,Z3*Charge!$P$25),IF(AND(B3="G4",M3="DG"),IF(R3="20'",Z3*Charge!$T$25,Z3*Charge!$W$25),0))))))))</f>
        <v>0</v>
      </c>
      <c r="AB3" s="4" t="n"/>
      <c r="AC3" s="4" t="n"/>
      <c r="AD3" s="60">
        <f>IF(M3="DG",3,IF(N3="RF",3,5))+IF(AND(LEFT(C3,3)="BKK",N3="RF",Q3="KTS"),1,0)+IF(Q3="KHS",1,0)</f>
        <v>5</v>
      </c>
      <c r="AE3" s="63">
        <f>(T3-V3)+1</f>
        <v>46321</v>
      </c>
      <c r="AF3" s="63">
        <f>IF(AB3&gt;IF((V3-W3)&gt;0,V3-W3,0),0,IF(AB3&lt;IF((V3-W3)&gt;0,V3-W3,0),IF((V3-W3)&gt;0,V3-W3,0)-AB3,IF((V3-W3)&gt;0,V3-W3,0)))</f>
        <v>0</v>
      </c>
      <c r="AG3" s="120">
        <f>IF(AND(M3=""),IF(R3="20'",
VLOOKUP(AF3,Charge!$K$31:$M$34,2,TRUE)+(AF3-VLOOKUP(AF3,Charge!$K$31:$M$34,1,TRUE))*VLOOKUP(AF3,Charge!$K$31:$M$34,3,TRUE),
VLOOKUP(AF3,Charge!$N$31:$P$34,2,TRUE)+(AF3-VLOOKUP(AF3,Charge!$N$31:$P$34,1,TRUE))*VLOOKUP(AF3,Charge!$N$31:$P$34,3,TRUE)),
IF(AND(M3="DG"),IF(R3="20'",
VLOOKUP(AF3,Charge!$R$31:$T$34,2,TRUE)+(AF3-VLOOKUP(AF3,Charge!$R$31:$T$34,1,TRUE))*VLOOKUP(AF3,Charge!$R$31:$T$34,3,TRUE),
VLOOKUP(AF3,Charge!$U$31:$W$34,2,TRUE)+(AF3-VLOOKUP(AF3,Charge!$U$31:$W$34,1,TRUE))*VLOOKUP(AF3,Charge!$U$31:$W$34,3,TRUE)),0))</f>
        <v>0</v>
      </c>
      <c r="AH3" s="65" t="n"/>
      <c r="AI3" s="93">
        <f>AA3-AH3</f>
        <v>0</v>
      </c>
      <c r="AJ3" s="70" t="n"/>
      <c r="AK3" s="62" t="str">
        <f>VLOOKUP(D3,'2.Bookinglist'!A:CT,40,FALSE)</f>
        <v>Nustsireerach</v>
      </c>
      <c r="AL3" s="60" t="str">
        <f>VLOOKUP(D3,'2.Bookinglist'!A:CW,101,FALSE)</f>
        <v>2026-10-24</v>
      </c>
      <c r="AM3" s="60" t="str">
        <f>VLOOKUP(D3,'2.Bookinglist'!A:BK,63,FALSE)</f>
        <v>LCHY5</v>
      </c>
      <c r="AN3" s="62" t="str">
        <f>VLOOKUP(D3,'2.Bookinglist'!A:AZ,52,FALSE)</f>
        <v>Pickup : 2026-10-19, Return : 2026-10-20
** PLEASE CHECK OPEN GATE BEFORE RETURN CONTAINER **  </v>
      </c>
      <c r="AO3" s="62">
        <f>VLOOKUP(D3,'2.Bookinglist'!A:CY,103,FALSE)</f>
        <v>0</v>
      </c>
    </row>
    <row r="4" ht="12.95" customHeight="1">
      <c r="A4" s="96" t="inlineStr">
        <is>
          <t>BMOU4936392</t>
        </is>
      </c>
      <c r="B4" s="184" t="str">
        <f>IF(C4=Charge!$M$1,Charge!$J$1,IF(C4=Charge!$M$23,Charge!$J$23,IF(C4=Charge!$M$17,Charge!$J$17,IF(C4=Charge!$N$17,Charge!$J$17,Charge!$J$7))))</f>
        <v>G1</v>
      </c>
      <c r="C4" s="61" t="str">
        <f>VLOOKUP(A4,'1.Loading'!A:R,14,FALSE)</f>
        <v>LCH04</v>
      </c>
      <c r="D4" s="61" t="str">
        <f>VLOOKUP(A4,'1.Loading'!A:R,17,FALSE)</f>
        <v>HASLS22261001183</v>
      </c>
      <c r="E4" s="62" t="str">
        <f>VLOOKUP(D4,'2.Bookinglist'!A:CT,27,FALSE)</f>
        <v>YUSEN LOGISTICS (THAILAND) CO., LTD.</v>
      </c>
      <c r="F4" s="62" t="str">
        <f>VLOOKUP(D4,'2.Bookinglist'!A:CT,28,FALSE)</f>
        <v>KURARAY GC ADVANCED MATERIALS CO.,LTD.</v>
      </c>
      <c r="G4" s="60">
        <f>VLOOKUP(D4,'2.Bookinglist'!A:E,5,FALSE)</f>
        <v>0</v>
      </c>
      <c r="H4" s="61" t="str">
        <f>VLOOKUP(D4,'2.Bookinglist'!A:CT,15,FALSE)</f>
        <v>THLCH</v>
      </c>
      <c r="I4" s="61" t="str">
        <f>VLOOKUP(D4,'2.Bookinglist'!A:CT,19,FALSE)</f>
        <v>HKHKG</v>
      </c>
      <c r="J4" s="61">
        <f>VLOOKUP(D4,'2.Bookinglist'!A:CT,26,FALSE)</f>
        <v>0</v>
      </c>
      <c r="K4" s="61" t="str">
        <f>VLOOKUP(A4,'1.Loading'!A:R,5,FALSE)</f>
        <v>45GP</v>
      </c>
      <c r="L4" s="60" t="str">
        <f>VLOOKUP(D4,'2.Bookinglist'!A:CT,85,FALSE)</f>
        <v>CY/CY</v>
      </c>
      <c r="M4" s="60" t="str">
        <f>IF(VLOOKUP(D4,'2.Bookinglist'!A:CT,43,FALSE)=0,"","DG")</f>
        <v/>
      </c>
      <c r="N4" s="60" t="str">
        <f>IF(RIGHT(K4,2)="RE","RF","")</f>
        <v/>
      </c>
      <c r="O4" s="61" t="str">
        <f>VLOOKUP(A4,'1.Loading'!A:R,3,FALSE)</f>
        <v>CMA</v>
      </c>
      <c r="P4" s="61" t="str">
        <f>VLOOKUP(A4,'1.Loading'!A:R,4,FALSE)</f>
        <v>2615N</v>
      </c>
      <c r="Q4" s="61" t="str">
        <f>VLOOKUP(D4,'2.Bookinglist'!A:CT,12,FALSE)</f>
        <v>KTS1</v>
      </c>
      <c r="R4" s="60" t="str">
        <f>IF(LEFT(K4,2)="22","20'","40'")</f>
        <v>40'</v>
      </c>
      <c r="S4" s="185" t="n"/>
      <c r="T4" s="61" t="str">
        <f>VLOOKUP(A4,'1.Loading'!A:R,2,FALSE)</f>
        <v>2026-10-25</v>
      </c>
      <c r="U4" s="63">
        <f>T4-S4</f>
        <v>46320</v>
      </c>
      <c r="V4" s="186" t="n"/>
      <c r="W4" s="61" t="str">
        <f>VLOOKUP(A4,'3.GateMove'!A:D,4,FALSE)</f>
        <v>2026-10-20</v>
      </c>
      <c r="X4" s="63">
        <f>((T4-W4)+1)</f>
        <v>6</v>
      </c>
      <c r="Y4" s="64">
        <f>IF(AND(OR(C4="BKK01",C4="BKK04"),L4="CFS/CY"),0,IF(M4="DG",1,IF(LEFT(C4,3)="LCH",7,IF(C4="BKK02",5,3))))</f>
        <v>7</v>
      </c>
      <c r="Z4" s="63">
        <f>IF(IF(AND(AC4="TML",AB4&gt;0),((T4-W4)+1)-AB4,((T4-W4)+1)-Y4)&gt;0,IF(AND(AC4="TML",AB4&gt;0),((T4-W4)+1)-AB4,((T4-W4)+1)-Y4),0)</f>
        <v>0</v>
      </c>
      <c r="AA4" s="187">
        <f>IF(AND(B4="G1",M4=""),IF(R4="20'",
VLOOKUP(Z4,Charge!$K$2:$M$5,2,TRUE)+(Z4-VLOOKUP(Z4,Charge!$K$2:$M$5,1,TRUE))*VLOOKUP(Z4,Charge!$K$2:$M$5,3,TRUE),
VLOOKUP(Z4,Charge!$N$2:$P$5,2,TRUE)+(Z4-VLOOKUP(Z4,Charge!$N$2:$P$5,1,TRUE))*VLOOKUP(Z4,Charge!$N$2:$P$5,3,TRUE)),
IF(AND(B4="G1",M4="DG"),IF(R4="20'",
VLOOKUP(Z4,Charge!$R$2:$T$5,2,TRUE)+(Z4-VLOOKUP(Z4,Charge!$R$2:$T$5,1,TRUE))*VLOOKUP(Z4,Charge!$R$2:$T$5,3,TRUE),
VLOOKUP(Z4,Charge!$U$2:$W$5,2,TRUE)+(Z4-VLOOKUP(Z4,Charge!$U$2:$W$5,1,TRUE))*VLOOKUP(Z4,Charge!$U$2:$W$5,3,TRUE)),
IF(AND(B4="G3",M4=""),IF(R4="20'",
VLOOKUP(Z4,Charge!$K$18:$M$21,2,TRUE)+(Z4-VLOOKUP(Z4,Charge!$K$18:$M$21,1,TRUE))*VLOOKUP(Z4,Charge!$K$18:$M$21,3,TRUE),
VLOOKUP(Z4,Charge!$N$18:$P$21,2,TRUE)+(Z4-VLOOKUP(Z4,Charge!$N$18:$P$21,1,TRUE))*VLOOKUP(Z4,Charge!$N$18:$P$21,3,TRUE)),
IF(AND(B4="G3",M4="DG"),IF(R4="20'",
VLOOKUP(Z4,Charge!$R$18:$T$21,2,TRUE)+(Z4-VLOOKUP(Z4,Charge!$R$18:$T$21,1,TRUE))*VLOOKUP(Z4,Charge!$R$18:$T$21,3,TRUE),
VLOOKUP(Z4,Charge!$U$18:$W$21,2,TRUE)+(Z4-VLOOKUP(Z4,Charge!$U$18:$W$21,1,TRUE))*VLOOKUP(Z4,Charge!$U$18:$W$21,3,TRUE)),
IF(AND(B4="G2",M4=""),IF(R4="20'",
VLOOKUP(Z4,Charge!$K$9:$M$12,2,TRUE)+(Z4-VLOOKUP(Z4,Charge!$K$9:$M$12,1,TRUE))*VLOOKUP(Z4,Charge!$K$9:$M$12,3,TRUE),
VLOOKUP(Z4,Charge!$N$9:$P$12,2,TRUE)+(Z4-VLOOKUP(Z4,Charge!$N$9:$P$12,1,TRUE))*VLOOKUP(Z4,Charge!$N$9:$P$12,3,TRUE)),
IF(AND(B4="G2",M4="DG"),IF(R4="20'",
VLOOKUP(Z4,Charge!$R$9:$T$12,2,TRUE)+(Z4-VLOOKUP(Z4,Charge!$R$9:$T$12,1,TRUE))*VLOOKUP(Z4,Charge!$R$9:$T$12,3,TRUE),
VLOOKUP(Z4,Charge!$U$9:$W$12,2,TRUE)+(Z4-VLOOKUP(Z4,Charge!$U$9:$W$12,1,TRUE))*VLOOKUP(Z4,Charge!$U$9:$W$12,3,TRUE)),IF(AND(B4="G4",M4=""),IF(R4="20'",Z4*Charge!$M$25,Z4*Charge!$P$25),IF(AND(B4="G4",M4="DG"),IF(R4="20'",Z4*Charge!$T$25,Z4*Charge!$W$25),0))))))))</f>
        <v>0</v>
      </c>
      <c r="AB4" s="184" t="n"/>
      <c r="AC4" s="184" t="n"/>
      <c r="AD4" s="60">
        <f>IF(M4="DG",3,IF(N4="RF",3,5))+IF(AND(LEFT(C4,3)="BKK",N4="RF",Q4="KTS"),1,0)+IF(Q4="KHS",1,0)</f>
        <v>5</v>
      </c>
      <c r="AE4" s="63">
        <f>(T4-V4)+1</f>
        <v>46321</v>
      </c>
      <c r="AF4" s="63">
        <f>IF(AB4&gt;IF((V4-W4)&gt;0,V4-W4,0),0,IF(AB4&lt;IF((V4-W4)&gt;0,V4-W4,0),IF((V4-W4)&gt;0,V4-W4,0)-AB4,IF((V4-W4)&gt;0,V4-W4,0)))</f>
        <v>0</v>
      </c>
      <c r="AG4" s="187">
        <f>IF(AND(M4=""),IF(R4="20'",
VLOOKUP(AF4,Charge!$K$31:$M$34,2,TRUE)+(AF4-VLOOKUP(AF4,Charge!$K$31:$M$34,1,TRUE))*VLOOKUP(AF4,Charge!$K$31:$M$34,3,TRUE),
VLOOKUP(AF4,Charge!$N$31:$P$34,2,TRUE)+(AF4-VLOOKUP(AF4,Charge!$N$31:$P$34,1,TRUE))*VLOOKUP(AF4,Charge!$N$31:$P$34,3,TRUE)),
IF(AND(M4="DG"),IF(R4="20'",
VLOOKUP(AF4,Charge!$R$31:$T$34,2,TRUE)+(AF4-VLOOKUP(AF4,Charge!$R$31:$T$34,1,TRUE))*VLOOKUP(AF4,Charge!$R$31:$T$34,3,TRUE),
VLOOKUP(AF4,Charge!$U$31:$W$34,2,TRUE)+(AF4-VLOOKUP(AF4,Charge!$U$31:$W$34,1,TRUE))*VLOOKUP(AF4,Charge!$U$31:$W$34,3,TRUE)),0))</f>
        <v>0</v>
      </c>
      <c r="AH4" s="65" t="n"/>
      <c r="AI4" s="65">
        <f>AA4-AH4</f>
        <v>0</v>
      </c>
      <c r="AJ4" s="188" t="n"/>
      <c r="AK4" s="62" t="str">
        <f>VLOOKUP(D4,'2.Bookinglist'!A:CT,40,FALSE)</f>
        <v>Vilaiporn</v>
      </c>
      <c r="AL4" s="60" t="str">
        <f>VLOOKUP(D4,'2.Bookinglist'!A:CW,101,FALSE)</f>
        <v>2026-10-24</v>
      </c>
      <c r="AM4" s="60" t="str">
        <f>VLOOKUP(D4,'2.Bookinglist'!A:BK,63,FALSE)</f>
        <v>LCH27</v>
      </c>
      <c r="AN4" s="62" t="str">
        <f>VLOOKUP(D4,'2.Bookinglist'!A:AZ,52,FALSE)</f>
        <v>Pickup : 2026-10-17, Return : 2026-10-19 
 ** PLEASE CHECK OPEN GATE BEFORE RETURN CNTR **
</v>
      </c>
      <c r="AO4" s="62">
        <f>VLOOKUP(D4,'2.Bookinglist'!A:CY,103,FALSE)</f>
        <v>0</v>
      </c>
    </row>
    <row r="5" ht="12.95" customHeight="1">
      <c r="A5" s="96" t="inlineStr">
        <is>
          <t>FBIU5094886</t>
        </is>
      </c>
      <c r="B5" s="184" t="str">
        <f>IF(C5=Charge!$M$1,Charge!$J$1,IF(C5=Charge!$M$23,Charge!$J$23,IF(C5=Charge!$M$17,Charge!$J$17,IF(C5=Charge!$N$17,Charge!$J$17,Charge!$J$7))))</f>
        <v>G1</v>
      </c>
      <c r="C5" s="61" t="str">
        <f>VLOOKUP(A5,'1.Loading'!A:R,14,FALSE)</f>
        <v>LCH04</v>
      </c>
      <c r="D5" s="61" t="str">
        <f>VLOOKUP(A5,'1.Loading'!A:R,17,FALSE)</f>
        <v>HASLS22261001478</v>
      </c>
      <c r="E5" s="62" t="str">
        <f>VLOOKUP(D5,'2.Bookinglist'!A:CT,27,FALSE)</f>
        <v>ISSIRA INTERGROUP CO., LTD.</v>
      </c>
      <c r="F5" s="62" t="str">
        <f>VLOOKUP(D5,'2.Bookinglist'!A:CT,28,FALSE)</f>
        <v>PJW CORPORATION CO., LTD.</v>
      </c>
      <c r="G5" s="60">
        <f>VLOOKUP(D5,'2.Bookinglist'!A:E,5,FALSE)</f>
        <v>0</v>
      </c>
      <c r="H5" s="61" t="str">
        <f>VLOOKUP(D5,'2.Bookinglist'!A:CT,15,FALSE)</f>
        <v>THLCH</v>
      </c>
      <c r="I5" s="61" t="str">
        <f>VLOOKUP(D5,'2.Bookinglist'!A:CT,19,FALSE)</f>
        <v>KRPUS</v>
      </c>
      <c r="J5" s="61">
        <f>VLOOKUP(D5,'2.Bookinglist'!A:CT,26,FALSE)</f>
        <v>0</v>
      </c>
      <c r="K5" s="61" t="str">
        <f>VLOOKUP(A5,'1.Loading'!A:R,5,FALSE)</f>
        <v>45RE</v>
      </c>
      <c r="L5" s="60" t="str">
        <f>VLOOKUP(D5,'2.Bookinglist'!A:CT,85,FALSE)</f>
        <v>CY/CY</v>
      </c>
      <c r="M5" s="60" t="str">
        <f>IF(VLOOKUP(D5,'2.Bookinglist'!A:CT,43,FALSE)=0,"","DG")</f>
        <v/>
      </c>
      <c r="N5" s="60" t="str">
        <f>IF(RIGHT(K5,2)="RE","RF","")</f>
        <v>RF</v>
      </c>
      <c r="O5" s="61" t="str">
        <f>VLOOKUP(A5,'1.Loading'!A:R,3,FALSE)</f>
        <v>CMA</v>
      </c>
      <c r="P5" s="61" t="str">
        <f>VLOOKUP(A5,'1.Loading'!A:R,4,FALSE)</f>
        <v>2615N</v>
      </c>
      <c r="Q5" s="61" t="str">
        <f>VLOOKUP(D5,'2.Bookinglist'!A:CT,12,FALSE)</f>
        <v>KTS1</v>
      </c>
      <c r="R5" s="60" t="str">
        <f>IF(LEFT(K5,2)="22","20'","40'")</f>
        <v>40'</v>
      </c>
      <c r="S5" s="185" t="n"/>
      <c r="T5" s="61" t="str">
        <f>VLOOKUP(A5,'1.Loading'!A:R,2,FALSE)</f>
        <v>2026-10-25</v>
      </c>
      <c r="U5" s="63">
        <f>T5-S5</f>
        <v>46320</v>
      </c>
      <c r="V5" s="186" t="n"/>
      <c r="W5" s="61" t="str">
        <f>VLOOKUP(A5,'3.GateMove'!A:D,4,FALSE)</f>
        <v>2026-10-21</v>
      </c>
      <c r="X5" s="63">
        <f>((T5-W5)+1)</f>
        <v>5</v>
      </c>
      <c r="Y5" s="64">
        <f>IF(AND(OR(C5="BKK01",C5="BKK04"),L5="CFS/CY"),0,IF(M5="DG",1,IF(LEFT(C5,3)="LCH",7,IF(C5="BKK02",5,3))))</f>
        <v>7</v>
      </c>
      <c r="Z5" s="63">
        <f>IF(IF(AND(AC5="TML",AB5&gt;0),((T5-W5)+1)-AB5,((T5-W5)+1)-Y5)&gt;0,IF(AND(AC5="TML",AB5&gt;0),((T5-W5)+1)-AB5,((T5-W5)+1)-Y5),0)</f>
        <v>0</v>
      </c>
      <c r="AA5" s="187">
        <f>IF(AND(B5="G1",M5=""),IF(R5="20'",
VLOOKUP(Z5,Charge!$K$2:$M$5,2,TRUE)+(Z5-VLOOKUP(Z5,Charge!$K$2:$M$5,1,TRUE))*VLOOKUP(Z5,Charge!$K$2:$M$5,3,TRUE),
VLOOKUP(Z5,Charge!$N$2:$P$5,2,TRUE)+(Z5-VLOOKUP(Z5,Charge!$N$2:$P$5,1,TRUE))*VLOOKUP(Z5,Charge!$N$2:$P$5,3,TRUE)),
IF(AND(B5="G1",M5="DG"),IF(R5="20'",
VLOOKUP(Z5,Charge!$R$2:$T$5,2,TRUE)+(Z5-VLOOKUP(Z5,Charge!$R$2:$T$5,1,TRUE))*VLOOKUP(Z5,Charge!$R$2:$T$5,3,TRUE),
VLOOKUP(Z5,Charge!$U$2:$W$5,2,TRUE)+(Z5-VLOOKUP(Z5,Charge!$U$2:$W$5,1,TRUE))*VLOOKUP(Z5,Charge!$U$2:$W$5,3,TRUE)),
IF(AND(B5="G3",M5=""),IF(R5="20'",
VLOOKUP(Z5,Charge!$K$18:$M$21,2,TRUE)+(Z5-VLOOKUP(Z5,Charge!$K$18:$M$21,1,TRUE))*VLOOKUP(Z5,Charge!$K$18:$M$21,3,TRUE),
VLOOKUP(Z5,Charge!$N$18:$P$21,2,TRUE)+(Z5-VLOOKUP(Z5,Charge!$N$18:$P$21,1,TRUE))*VLOOKUP(Z5,Charge!$N$18:$P$21,3,TRUE)),
IF(AND(B5="G3",M5="DG"),IF(R5="20'",
VLOOKUP(Z5,Charge!$R$18:$T$21,2,TRUE)+(Z5-VLOOKUP(Z5,Charge!$R$18:$T$21,1,TRUE))*VLOOKUP(Z5,Charge!$R$18:$T$21,3,TRUE),
VLOOKUP(Z5,Charge!$U$18:$W$21,2,TRUE)+(Z5-VLOOKUP(Z5,Charge!$U$18:$W$21,1,TRUE))*VLOOKUP(Z5,Charge!$U$18:$W$21,3,TRUE)),
IF(AND(B5="G2",M5=""),IF(R5="20'",
VLOOKUP(Z5,Charge!$K$9:$M$12,2,TRUE)+(Z5-VLOOKUP(Z5,Charge!$K$9:$M$12,1,TRUE))*VLOOKUP(Z5,Charge!$K$9:$M$12,3,TRUE),
VLOOKUP(Z5,Charge!$N$9:$P$12,2,TRUE)+(Z5-VLOOKUP(Z5,Charge!$N$9:$P$12,1,TRUE))*VLOOKUP(Z5,Charge!$N$9:$P$12,3,TRUE)),
IF(AND(B5="G2",M5="DG"),IF(R5="20'",
VLOOKUP(Z5,Charge!$R$9:$T$12,2,TRUE)+(Z5-VLOOKUP(Z5,Charge!$R$9:$T$12,1,TRUE))*VLOOKUP(Z5,Charge!$R$9:$T$12,3,TRUE),
VLOOKUP(Z5,Charge!$U$9:$W$12,2,TRUE)+(Z5-VLOOKUP(Z5,Charge!$U$9:$W$12,1,TRUE))*VLOOKUP(Z5,Charge!$U$9:$W$12,3,TRUE)),IF(AND(B5="G4",M5=""),IF(R5="20'",Z5*Charge!$M$25,Z5*Charge!$P$25),IF(AND(B5="G4",M5="DG"),IF(R5="20'",Z5*Charge!$T$25,Z5*Charge!$W$25),0))))))))</f>
        <v>0</v>
      </c>
      <c r="AB5" s="184" t="n"/>
      <c r="AC5" s="184" t="n"/>
      <c r="AD5" s="60">
        <f>IF(M5="DG",3,IF(N5="RF",3,5))+IF(AND(LEFT(C5,3)="BKK",N5="RF",Q5="KTS"),1,0)+IF(Q5="KHS",1,0)</f>
        <v>3</v>
      </c>
      <c r="AE5" s="63">
        <f>(T5-V5)+1</f>
        <v>46321</v>
      </c>
      <c r="AF5" s="63">
        <f>IF(AB5&gt;IF((V5-W5)&gt;0,V5-W5,0),0,IF(AB5&lt;IF((V5-W5)&gt;0,V5-W5,0),IF((V5-W5)&gt;0,V5-W5,0)-AB5,IF((V5-W5)&gt;0,V5-W5,0)))</f>
        <v>0</v>
      </c>
      <c r="AG5" s="187">
        <f>IF(AND(M5=""),IF(R5="20'",
VLOOKUP(AF5,Charge!$K$31:$M$34,2,TRUE)+(AF5-VLOOKUP(AF5,Charge!$K$31:$M$34,1,TRUE))*VLOOKUP(AF5,Charge!$K$31:$M$34,3,TRUE),
VLOOKUP(AF5,Charge!$N$31:$P$34,2,TRUE)+(AF5-VLOOKUP(AF5,Charge!$N$31:$P$34,1,TRUE))*VLOOKUP(AF5,Charge!$N$31:$P$34,3,TRUE)),
IF(AND(M5="DG"),IF(R5="20'",
VLOOKUP(AF5,Charge!$R$31:$T$34,2,TRUE)+(AF5-VLOOKUP(AF5,Charge!$R$31:$T$34,1,TRUE))*VLOOKUP(AF5,Charge!$R$31:$T$34,3,TRUE),
VLOOKUP(AF5,Charge!$U$31:$W$34,2,TRUE)+(AF5-VLOOKUP(AF5,Charge!$U$31:$W$34,1,TRUE))*VLOOKUP(AF5,Charge!$U$31:$W$34,3,TRUE)),0))</f>
        <v>0</v>
      </c>
      <c r="AH5" s="65" t="n"/>
      <c r="AI5" s="65">
        <f>AA5-AH5</f>
        <v>0</v>
      </c>
      <c r="AJ5" s="188" t="n"/>
      <c r="AK5" s="62" t="str">
        <f>VLOOKUP(D5,'2.Bookinglist'!A:CT,40,FALSE)</f>
        <v>Tarn(Supaporn)</v>
      </c>
      <c r="AL5" s="60" t="str">
        <f>VLOOKUP(D5,'2.Bookinglist'!A:CW,101,FALSE)</f>
        <v>2026-10-24</v>
      </c>
      <c r="AM5" s="60" t="str">
        <f>VLOOKUP(D5,'2.Bookinglist'!A:BK,63,FALSE)</f>
        <v>LCH27</v>
      </c>
      <c r="AN5" s="62" t="str">
        <f>VLOOKUP(D5,'2.Bookinglist'!A:AZ,52,FALSE)</f>
        <v>Pickup : 2026-10-20, Return : 2026-10-21(Temp -20.0 / Vent Close) 
CLS TIME DD.23/10/2026 @ 23.59HRS.</v>
      </c>
      <c r="AO5" s="62">
        <f>VLOOKUP(D5,'2.Bookinglist'!A:CY,103,FALSE)</f>
        <v>0</v>
      </c>
    </row>
    <row r="6" ht="12.95" customHeight="1">
      <c r="A6" s="96" t="inlineStr">
        <is>
          <t>HALU2033771</t>
        </is>
      </c>
      <c r="B6" s="184" t="str">
        <f>IF(C6=Charge!$M$1,Charge!$J$1,IF(C6=Charge!$M$23,Charge!$J$23,IF(C6=Charge!$M$17,Charge!$J$17,IF(C6=Charge!$N$17,Charge!$J$17,Charge!$J$7))))</f>
        <v>G1</v>
      </c>
      <c r="C6" s="61" t="str">
        <f>VLOOKUP(A6,'1.Loading'!A:R,14,FALSE)</f>
        <v>LCH04</v>
      </c>
      <c r="D6" s="61" t="str">
        <f>VLOOKUP(A6,'1.Loading'!A:R,17,FALSE)</f>
        <v>HASLS22260901853</v>
      </c>
      <c r="E6" s="62" t="str">
        <f>VLOOKUP(D6,'2.Bookinglist'!A:CT,27,FALSE)</f>
        <v>DIMERCO EXPRESS (THAILAND) CO., LTD.</v>
      </c>
      <c r="F6" s="62" t="str">
        <f>VLOOKUP(D6,'2.Bookinglist'!A:CT,28,FALSE)</f>
        <v>THAILON TECHNO FIBER LIMITED</v>
      </c>
      <c r="G6" s="60">
        <f>VLOOKUP(D6,'2.Bookinglist'!A:E,5,FALSE)</f>
        <v>0</v>
      </c>
      <c r="H6" s="61" t="str">
        <f>VLOOKUP(D6,'2.Bookinglist'!A:CT,15,FALSE)</f>
        <v>THLCH</v>
      </c>
      <c r="I6" s="61" t="str">
        <f>VLOOKUP(D6,'2.Bookinglist'!A:CT,19,FALSE)</f>
        <v>CNSHK</v>
      </c>
      <c r="J6" s="61">
        <f>VLOOKUP(D6,'2.Bookinglist'!A:CT,26,FALSE)</f>
        <v>0</v>
      </c>
      <c r="K6" s="61" t="str">
        <f>VLOOKUP(A6,'1.Loading'!A:R,5,FALSE)</f>
        <v>22GP</v>
      </c>
      <c r="L6" s="60" t="str">
        <f>VLOOKUP(D6,'2.Bookinglist'!A:CT,85,FALSE)</f>
        <v>CY/CY</v>
      </c>
      <c r="M6" s="60" t="str">
        <f>IF(VLOOKUP(D6,'2.Bookinglist'!A:CT,43,FALSE)=0,"","DG")</f>
        <v/>
      </c>
      <c r="N6" s="60" t="str">
        <f>IF(RIGHT(K6,2)="RE","RF","")</f>
        <v/>
      </c>
      <c r="O6" s="61" t="str">
        <f>VLOOKUP(A6,'1.Loading'!A:R,3,FALSE)</f>
        <v>CMA</v>
      </c>
      <c r="P6" s="61" t="str">
        <f>VLOOKUP(A6,'1.Loading'!A:R,4,FALSE)</f>
        <v>2615N</v>
      </c>
      <c r="Q6" s="61" t="str">
        <f>VLOOKUP(D6,'2.Bookinglist'!A:CT,12,FALSE)</f>
        <v>KTS1</v>
      </c>
      <c r="R6" s="60" t="str">
        <f>IF(LEFT(K6,2)="22","20'","40'")</f>
        <v>20'</v>
      </c>
      <c r="S6" s="185" t="n"/>
      <c r="T6" s="61" t="str">
        <f>VLOOKUP(A6,'1.Loading'!A:R,2,FALSE)</f>
        <v>2026-10-25</v>
      </c>
      <c r="U6" s="63">
        <f>T6-S6</f>
        <v>46320</v>
      </c>
      <c r="V6" s="186" t="n"/>
      <c r="W6" s="61" t="str">
        <f>VLOOKUP(A6,'3.GateMove'!A:D,4,FALSE)</f>
        <v>2026-10-19</v>
      </c>
      <c r="X6" s="63">
        <f>((T6-W6)+1)</f>
        <v>7</v>
      </c>
      <c r="Y6" s="64">
        <f>IF(AND(OR(C6="BKK01",C6="BKK04"),L6="CFS/CY"),0,IF(M6="DG",1,IF(LEFT(C6,3)="LCH",7,IF(C6="BKK02",5,3))))</f>
        <v>7</v>
      </c>
      <c r="Z6" s="63">
        <f>IF(IF(AND(AC6="TML",AB6&gt;0),((T6-W6)+1)-AB6,((T6-W6)+1)-Y6)&gt;0,IF(AND(AC6="TML",AB6&gt;0),((T6-W6)+1)-AB6,((T6-W6)+1)-Y6),0)</f>
        <v>0</v>
      </c>
      <c r="AA6" s="187">
        <f>IF(AND(B6="G1",M6=""),IF(R6="20'",
VLOOKUP(Z6,Charge!$K$2:$M$5,2,TRUE)+(Z6-VLOOKUP(Z6,Charge!$K$2:$M$5,1,TRUE))*VLOOKUP(Z6,Charge!$K$2:$M$5,3,TRUE),
VLOOKUP(Z6,Charge!$N$2:$P$5,2,TRUE)+(Z6-VLOOKUP(Z6,Charge!$N$2:$P$5,1,TRUE))*VLOOKUP(Z6,Charge!$N$2:$P$5,3,TRUE)),
IF(AND(B6="G1",M6="DG"),IF(R6="20'",
VLOOKUP(Z6,Charge!$R$2:$T$5,2,TRUE)+(Z6-VLOOKUP(Z6,Charge!$R$2:$T$5,1,TRUE))*VLOOKUP(Z6,Charge!$R$2:$T$5,3,TRUE),
VLOOKUP(Z6,Charge!$U$2:$W$5,2,TRUE)+(Z6-VLOOKUP(Z6,Charge!$U$2:$W$5,1,TRUE))*VLOOKUP(Z6,Charge!$U$2:$W$5,3,TRUE)),
IF(AND(B6="G3",M6=""),IF(R6="20'",
VLOOKUP(Z6,Charge!$K$18:$M$21,2,TRUE)+(Z6-VLOOKUP(Z6,Charge!$K$18:$M$21,1,TRUE))*VLOOKUP(Z6,Charge!$K$18:$M$21,3,TRUE),
VLOOKUP(Z6,Charge!$N$18:$P$21,2,TRUE)+(Z6-VLOOKUP(Z6,Charge!$N$18:$P$21,1,TRUE))*VLOOKUP(Z6,Charge!$N$18:$P$21,3,TRUE)),
IF(AND(B6="G3",M6="DG"),IF(R6="20'",
VLOOKUP(Z6,Charge!$R$18:$T$21,2,TRUE)+(Z6-VLOOKUP(Z6,Charge!$R$18:$T$21,1,TRUE))*VLOOKUP(Z6,Charge!$R$18:$T$21,3,TRUE),
VLOOKUP(Z6,Charge!$U$18:$W$21,2,TRUE)+(Z6-VLOOKUP(Z6,Charge!$U$18:$W$21,1,TRUE))*VLOOKUP(Z6,Charge!$U$18:$W$21,3,TRUE)),
IF(AND(B6="G2",M6=""),IF(R6="20'",
VLOOKUP(Z6,Charge!$K$9:$M$12,2,TRUE)+(Z6-VLOOKUP(Z6,Charge!$K$9:$M$12,1,TRUE))*VLOOKUP(Z6,Charge!$K$9:$M$12,3,TRUE),
VLOOKUP(Z6,Charge!$N$9:$P$12,2,TRUE)+(Z6-VLOOKUP(Z6,Charge!$N$9:$P$12,1,TRUE))*VLOOKUP(Z6,Charge!$N$9:$P$12,3,TRUE)),
IF(AND(B6="G2",M6="DG"),IF(R6="20'",
VLOOKUP(Z6,Charge!$R$9:$T$12,2,TRUE)+(Z6-VLOOKUP(Z6,Charge!$R$9:$T$12,1,TRUE))*VLOOKUP(Z6,Charge!$R$9:$T$12,3,TRUE),
VLOOKUP(Z6,Charge!$U$9:$W$12,2,TRUE)+(Z6-VLOOKUP(Z6,Charge!$U$9:$W$12,1,TRUE))*VLOOKUP(Z6,Charge!$U$9:$W$12,3,TRUE)),IF(AND(B6="G4",M6=""),IF(R6="20'",Z6*Charge!$M$25,Z6*Charge!$P$25),IF(AND(B6="G4",M6="DG"),IF(R6="20'",Z6*Charge!$T$25,Z6*Charge!$W$25),0))))))))</f>
        <v>0</v>
      </c>
      <c r="AB6" s="184" t="n"/>
      <c r="AC6" s="184" t="n"/>
      <c r="AD6" s="60">
        <f>IF(M6="DG",3,IF(N6="RF",3,5))+IF(AND(LEFT(C6,3)="BKK",N6="RF",Q6="KTS"),1,0)+IF(Q6="KHS",1,0)</f>
        <v>5</v>
      </c>
      <c r="AE6" s="63">
        <f>(T6-V6)+1</f>
        <v>46321</v>
      </c>
      <c r="AF6" s="63">
        <f>IF(AB6&gt;IF((V6-W6)&gt;0,V6-W6,0),0,IF(AB6&lt;IF((V6-W6)&gt;0,V6-W6,0),IF((V6-W6)&gt;0,V6-W6,0)-AB6,IF((V6-W6)&gt;0,V6-W6,0)))</f>
        <v>0</v>
      </c>
      <c r="AG6" s="187">
        <f>IF(AND(M6=""),IF(R6="20'",
VLOOKUP(AF6,Charge!$K$31:$M$34,2,TRUE)+(AF6-VLOOKUP(AF6,Charge!$K$31:$M$34,1,TRUE))*VLOOKUP(AF6,Charge!$K$31:$M$34,3,TRUE),
VLOOKUP(AF6,Charge!$N$31:$P$34,2,TRUE)+(AF6-VLOOKUP(AF6,Charge!$N$31:$P$34,1,TRUE))*VLOOKUP(AF6,Charge!$N$31:$P$34,3,TRUE)),
IF(AND(M6="DG"),IF(R6="20'",
VLOOKUP(AF6,Charge!$R$31:$T$34,2,TRUE)+(AF6-VLOOKUP(AF6,Charge!$R$31:$T$34,1,TRUE))*VLOOKUP(AF6,Charge!$R$31:$T$34,3,TRUE),
VLOOKUP(AF6,Charge!$U$31:$W$34,2,TRUE)+(AF6-VLOOKUP(AF6,Charge!$U$31:$W$34,1,TRUE))*VLOOKUP(AF6,Charge!$U$31:$W$34,3,TRUE)),0))</f>
        <v>0</v>
      </c>
      <c r="AH6" s="65" t="n"/>
      <c r="AI6" s="65">
        <f>AA6-AH6</f>
        <v>0</v>
      </c>
      <c r="AJ6" s="188" t="n"/>
      <c r="AK6" s="62" t="str">
        <f>VLOOKUP(D6,'2.Bookinglist'!A:CT,40,FALSE)</f>
        <v>Nustsireerach</v>
      </c>
      <c r="AL6" s="60" t="str">
        <f>VLOOKUP(D6,'2.Bookinglist'!A:CW,101,FALSE)</f>
        <v>2026-10-22</v>
      </c>
      <c r="AM6" s="60" t="str">
        <f>VLOOKUP(D6,'2.Bookinglist'!A:BK,63,FALSE)</f>
        <v>LCHY5</v>
      </c>
      <c r="AN6" s="62" t="str">
        <f>VLOOKUP(D6,'2.Bookinglist'!A:AZ,52,FALSE)</f>
        <v>Pickup : 2026-10-19, Return : 2026-10-20
** PLEASE CHECK OPEN GATE BEFORE RETURN CONTAINER ** </v>
      </c>
      <c r="AO6" s="62">
        <f>VLOOKUP(D6,'2.Bookinglist'!A:CY,103,FALSE)</f>
        <v>0</v>
      </c>
    </row>
    <row r="7" ht="12.95" customHeight="1">
      <c r="A7" s="96" t="inlineStr">
        <is>
          <t>HALU2455545</t>
        </is>
      </c>
      <c r="B7" s="184" t="str">
        <f>IF(C7=Charge!$M$1,Charge!$J$1,IF(C7=Charge!$M$23,Charge!$J$23,IF(C7=Charge!$M$17,Charge!$J$17,IF(C7=Charge!$N$17,Charge!$J$17,Charge!$J$7))))</f>
        <v>G1</v>
      </c>
      <c r="C7" s="61" t="str">
        <f>VLOOKUP(A7,'1.Loading'!A:R,14,FALSE)</f>
        <v>LCH04</v>
      </c>
      <c r="D7" s="61" t="str">
        <f>VLOOKUP(A7,'1.Loading'!A:R,17,FALSE)</f>
        <v>HASLS22261001392</v>
      </c>
      <c r="E7" s="62" t="str">
        <f>VLOOKUP(D7,'2.Bookinglist'!A:CT,27,FALSE)</f>
        <v>DOLPHIN LOGISTICS (THAILAND) CO., LTD.</v>
      </c>
      <c r="F7" s="62" t="str">
        <f>VLOOKUP(D7,'2.Bookinglist'!A:CT,28,FALSE)</f>
        <v>I ONE TECHNOLOGY (THAILAND) CO.,LTD.</v>
      </c>
      <c r="G7" s="60">
        <f>VLOOKUP(D7,'2.Bookinglist'!A:E,5,FALSE)</f>
        <v>0</v>
      </c>
      <c r="H7" s="61" t="str">
        <f>VLOOKUP(D7,'2.Bookinglist'!A:CT,15,FALSE)</f>
        <v>THLCH</v>
      </c>
      <c r="I7" s="61" t="str">
        <f>VLOOKUP(D7,'2.Bookinglist'!A:CT,19,FALSE)</f>
        <v>HKHKG</v>
      </c>
      <c r="J7" s="61">
        <f>VLOOKUP(D7,'2.Bookinglist'!A:CT,26,FALSE)</f>
        <v>0</v>
      </c>
      <c r="K7" s="61" t="str">
        <f>VLOOKUP(A7,'1.Loading'!A:R,5,FALSE)</f>
        <v>22GP</v>
      </c>
      <c r="L7" s="60" t="str">
        <f>VLOOKUP(D7,'2.Bookinglist'!A:CT,85,FALSE)</f>
        <v>CY/CY</v>
      </c>
      <c r="M7" s="60" t="str">
        <f>IF(VLOOKUP(D7,'2.Bookinglist'!A:CT,43,FALSE)=0,"","DG")</f>
        <v/>
      </c>
      <c r="N7" s="60" t="str">
        <f>IF(RIGHT(K7,2)="RE","RF","")</f>
        <v/>
      </c>
      <c r="O7" s="61" t="str">
        <f>VLOOKUP(A7,'1.Loading'!A:R,3,FALSE)</f>
        <v>CMA</v>
      </c>
      <c r="P7" s="61" t="str">
        <f>VLOOKUP(A7,'1.Loading'!A:R,4,FALSE)</f>
        <v>2615N</v>
      </c>
      <c r="Q7" s="61" t="str">
        <f>VLOOKUP(D7,'2.Bookinglist'!A:CT,12,FALSE)</f>
        <v>KTS1</v>
      </c>
      <c r="R7" s="60" t="str">
        <f>IF(LEFT(K7,2)="22","20'","40'")</f>
        <v>20'</v>
      </c>
      <c r="S7" s="185" t="n"/>
      <c r="T7" s="61" t="str">
        <f>VLOOKUP(A7,'1.Loading'!A:R,2,FALSE)</f>
        <v>2026-10-25</v>
      </c>
      <c r="U7" s="63">
        <f>T7-S7</f>
        <v>46320</v>
      </c>
      <c r="V7" s="186" t="n"/>
      <c r="W7" s="61" t="str">
        <f>VLOOKUP(A7,'3.GateMove'!A:D,4,FALSE)</f>
        <v>2026-10-20</v>
      </c>
      <c r="X7" s="63">
        <f>((T7-W7)+1)</f>
        <v>6</v>
      </c>
      <c r="Y7" s="64">
        <f>IF(AND(OR(C7="BKK01",C7="BKK04"),L7="CFS/CY"),0,IF(M7="DG",1,IF(LEFT(C7,3)="LCH",7,IF(C7="BKK02",5,3))))</f>
        <v>7</v>
      </c>
      <c r="Z7" s="63">
        <f>IF(IF(AND(AC7="TML",AB7&gt;0),((T7-W7)+1)-AB7,((T7-W7)+1)-Y7)&gt;0,IF(AND(AC7="TML",AB7&gt;0),((T7-W7)+1)-AB7,((T7-W7)+1)-Y7),0)</f>
        <v>0</v>
      </c>
      <c r="AA7" s="187">
        <f>IF(AND(B7="G1",M7=""),IF(R7="20'",
VLOOKUP(Z7,Charge!$K$2:$M$5,2,TRUE)+(Z7-VLOOKUP(Z7,Charge!$K$2:$M$5,1,TRUE))*VLOOKUP(Z7,Charge!$K$2:$M$5,3,TRUE),
VLOOKUP(Z7,Charge!$N$2:$P$5,2,TRUE)+(Z7-VLOOKUP(Z7,Charge!$N$2:$P$5,1,TRUE))*VLOOKUP(Z7,Charge!$N$2:$P$5,3,TRUE)),
IF(AND(B7="G1",M7="DG"),IF(R7="20'",
VLOOKUP(Z7,Charge!$R$2:$T$5,2,TRUE)+(Z7-VLOOKUP(Z7,Charge!$R$2:$T$5,1,TRUE))*VLOOKUP(Z7,Charge!$R$2:$T$5,3,TRUE),
VLOOKUP(Z7,Charge!$U$2:$W$5,2,TRUE)+(Z7-VLOOKUP(Z7,Charge!$U$2:$W$5,1,TRUE))*VLOOKUP(Z7,Charge!$U$2:$W$5,3,TRUE)),
IF(AND(B7="G3",M7=""),IF(R7="20'",
VLOOKUP(Z7,Charge!$K$18:$M$21,2,TRUE)+(Z7-VLOOKUP(Z7,Charge!$K$18:$M$21,1,TRUE))*VLOOKUP(Z7,Charge!$K$18:$M$21,3,TRUE),
VLOOKUP(Z7,Charge!$N$18:$P$21,2,TRUE)+(Z7-VLOOKUP(Z7,Charge!$N$18:$P$21,1,TRUE))*VLOOKUP(Z7,Charge!$N$18:$P$21,3,TRUE)),
IF(AND(B7="G3",M7="DG"),IF(R7="20'",
VLOOKUP(Z7,Charge!$R$18:$T$21,2,TRUE)+(Z7-VLOOKUP(Z7,Charge!$R$18:$T$21,1,TRUE))*VLOOKUP(Z7,Charge!$R$18:$T$21,3,TRUE),
VLOOKUP(Z7,Charge!$U$18:$W$21,2,TRUE)+(Z7-VLOOKUP(Z7,Charge!$U$18:$W$21,1,TRUE))*VLOOKUP(Z7,Charge!$U$18:$W$21,3,TRUE)),
IF(AND(B7="G2",M7=""),IF(R7="20'",
VLOOKUP(Z7,Charge!$K$9:$M$12,2,TRUE)+(Z7-VLOOKUP(Z7,Charge!$K$9:$M$12,1,TRUE))*VLOOKUP(Z7,Charge!$K$9:$M$12,3,TRUE),
VLOOKUP(Z7,Charge!$N$9:$P$12,2,TRUE)+(Z7-VLOOKUP(Z7,Charge!$N$9:$P$12,1,TRUE))*VLOOKUP(Z7,Charge!$N$9:$P$12,3,TRUE)),
IF(AND(B7="G2",M7="DG"),IF(R7="20'",
VLOOKUP(Z7,Charge!$R$9:$T$12,2,TRUE)+(Z7-VLOOKUP(Z7,Charge!$R$9:$T$12,1,TRUE))*VLOOKUP(Z7,Charge!$R$9:$T$12,3,TRUE),
VLOOKUP(Z7,Charge!$U$9:$W$12,2,TRUE)+(Z7-VLOOKUP(Z7,Charge!$U$9:$W$12,1,TRUE))*VLOOKUP(Z7,Charge!$U$9:$W$12,3,TRUE)),IF(AND(B7="G4",M7=""),IF(R7="20'",Z7*Charge!$M$25,Z7*Charge!$P$25),IF(AND(B7="G4",M7="DG"),IF(R7="20'",Z7*Charge!$T$25,Z7*Charge!$W$25),0))))))))</f>
        <v>0</v>
      </c>
      <c r="AB7" s="184" t="n"/>
      <c r="AC7" s="184" t="n"/>
      <c r="AD7" s="60">
        <f>IF(M7="DG",3,IF(N7="RF",3,5))+IF(AND(LEFT(C7,3)="BKK",N7="RF",Q7="KTS"),1,0)+IF(Q7="KHS",1,0)</f>
        <v>5</v>
      </c>
      <c r="AE7" s="63">
        <f>(T7-V7)+1</f>
        <v>46321</v>
      </c>
      <c r="AF7" s="63">
        <f>IF(AB7&gt;IF((V7-W7)&gt;0,V7-W7,0),0,IF(AB7&lt;IF((V7-W7)&gt;0,V7-W7,0),IF((V7-W7)&gt;0,V7-W7,0)-AB7,IF((V7-W7)&gt;0,V7-W7,0)))</f>
        <v>0</v>
      </c>
      <c r="AG7" s="187">
        <f>IF(AND(M7=""),IF(R7="20'",
VLOOKUP(AF7,Charge!$K$31:$M$34,2,TRUE)+(AF7-VLOOKUP(AF7,Charge!$K$31:$M$34,1,TRUE))*VLOOKUP(AF7,Charge!$K$31:$M$34,3,TRUE),
VLOOKUP(AF7,Charge!$N$31:$P$34,2,TRUE)+(AF7-VLOOKUP(AF7,Charge!$N$31:$P$34,1,TRUE))*VLOOKUP(AF7,Charge!$N$31:$P$34,3,TRUE)),
IF(AND(M7="DG"),IF(R7="20'",
VLOOKUP(AF7,Charge!$R$31:$T$34,2,TRUE)+(AF7-VLOOKUP(AF7,Charge!$R$31:$T$34,1,TRUE))*VLOOKUP(AF7,Charge!$R$31:$T$34,3,TRUE),
VLOOKUP(AF7,Charge!$U$31:$W$34,2,TRUE)+(AF7-VLOOKUP(AF7,Charge!$U$31:$W$34,1,TRUE))*VLOOKUP(AF7,Charge!$U$31:$W$34,3,TRUE)),0))</f>
        <v>0</v>
      </c>
      <c r="AH7" s="65" t="n"/>
      <c r="AI7" s="65">
        <f>AA7-AH7</f>
        <v>0</v>
      </c>
      <c r="AJ7" s="188" t="n"/>
      <c r="AK7" s="62" t="str">
        <f>VLOOKUP(D7,'2.Bookinglist'!A:CT,40,FALSE)</f>
        <v>Sukunpoj Damrongying</v>
      </c>
      <c r="AL7" s="60" t="str">
        <f>VLOOKUP(D7,'2.Bookinglist'!A:CW,101,FALSE)</f>
        <v>2026-10-24</v>
      </c>
      <c r="AM7" s="60" t="str">
        <f>VLOOKUP(D7,'2.Bookinglist'!A:BK,63,FALSE)</f>
        <v>LCH27</v>
      </c>
      <c r="AN7" s="62" t="str">
        <f>VLOOKUP(D7,'2.Bookinglist'!A:AZ,52,FALSE)</f>
        <v>Pickup : 2026-10-20, Return : 2026-10-20 // EXTEND CLS TIME 21/10 @23.59 
 ** PLEASE CHECK OPEN GATE BEFORE RETURN CNTR **
</v>
      </c>
      <c r="AO7" s="62">
        <f>VLOOKUP(D7,'2.Bookinglist'!A:CY,103,FALSE)</f>
        <v>0</v>
      </c>
    </row>
    <row r="8" ht="12.95" customHeight="1">
      <c r="A8" s="96" t="inlineStr">
        <is>
          <t>HALU2502056</t>
        </is>
      </c>
      <c r="B8" s="184" t="str">
        <f>IF(C8=Charge!$M$1,Charge!$J$1,IF(C8=Charge!$M$23,Charge!$J$23,IF(C8=Charge!$M$17,Charge!$J$17,IF(C8=Charge!$N$17,Charge!$J$17,Charge!$J$7))))</f>
        <v>G1</v>
      </c>
      <c r="C8" s="61" t="str">
        <f>VLOOKUP(A8,'1.Loading'!A:R,14,FALSE)</f>
        <v>LCH04</v>
      </c>
      <c r="D8" s="61" t="str">
        <f>VLOOKUP(A8,'1.Loading'!A:R,17,FALSE)</f>
        <v>HASLS22261001499</v>
      </c>
      <c r="E8" s="62" t="str">
        <f>VLOOKUP(D8,'2.Bookinglist'!A:CT,27,FALSE)</f>
        <v>UBE CHEMICALS (ASIA) PUBLIC COMPANY LIMITED</v>
      </c>
      <c r="F8" s="62" t="str">
        <f>VLOOKUP(D8,'2.Bookinglist'!A:CT,28,FALSE)</f>
        <v>UBE CHEMICALS (ASIA) PUBLIC COMPANY LIMITED</v>
      </c>
      <c r="G8" s="60">
        <f>VLOOKUP(D8,'2.Bookinglist'!A:E,5,FALSE)</f>
        <v>0</v>
      </c>
      <c r="H8" s="61" t="str">
        <f>VLOOKUP(D8,'2.Bookinglist'!A:CT,15,FALSE)</f>
        <v>THLCH</v>
      </c>
      <c r="I8" s="61" t="str">
        <f>VLOOKUP(D8,'2.Bookinglist'!A:CT,19,FALSE)</f>
        <v>CNSHK</v>
      </c>
      <c r="J8" s="61">
        <f>VLOOKUP(D8,'2.Bookinglist'!A:CT,26,FALSE)</f>
        <v>0</v>
      </c>
      <c r="K8" s="61" t="str">
        <f>VLOOKUP(A8,'1.Loading'!A:R,5,FALSE)</f>
        <v>22GP</v>
      </c>
      <c r="L8" s="60" t="str">
        <f>VLOOKUP(D8,'2.Bookinglist'!A:CT,85,FALSE)</f>
        <v>CY/CY</v>
      </c>
      <c r="M8" s="60" t="str">
        <f>IF(VLOOKUP(D8,'2.Bookinglist'!A:CT,43,FALSE)=0,"","DG")</f>
        <v/>
      </c>
      <c r="N8" s="60" t="str">
        <f>IF(RIGHT(K8,2)="RE","RF","")</f>
        <v/>
      </c>
      <c r="O8" s="61" t="str">
        <f>VLOOKUP(A8,'1.Loading'!A:R,3,FALSE)</f>
        <v>CMA</v>
      </c>
      <c r="P8" s="61" t="str">
        <f>VLOOKUP(A8,'1.Loading'!A:R,4,FALSE)</f>
        <v>2615N</v>
      </c>
      <c r="Q8" s="61" t="str">
        <f>VLOOKUP(D8,'2.Bookinglist'!A:CT,12,FALSE)</f>
        <v>KTS1</v>
      </c>
      <c r="R8" s="60" t="str">
        <f>IF(LEFT(K8,2)="22","20'","40'")</f>
        <v>20'</v>
      </c>
      <c r="S8" s="185" t="n"/>
      <c r="T8" s="61" t="str">
        <f>VLOOKUP(A8,'1.Loading'!A:R,2,FALSE)</f>
        <v>2026-10-25</v>
      </c>
      <c r="U8" s="63">
        <f>T8-S8</f>
        <v>46320</v>
      </c>
      <c r="V8" s="186" t="n"/>
      <c r="W8" s="61" t="str">
        <f>VLOOKUP(A8,'3.GateMove'!A:D,4,FALSE)</f>
        <v>2026-10-23</v>
      </c>
      <c r="X8" s="63">
        <f>((T8-W8)+1)</f>
        <v>3</v>
      </c>
      <c r="Y8" s="64">
        <f>IF(AND(OR(C8="BKK01",C8="BKK04"),L8="CFS/CY"),0,IF(M8="DG",1,IF(LEFT(C8,3)="LCH",7,IF(C8="BKK02",5,3))))</f>
        <v>7</v>
      </c>
      <c r="Z8" s="63">
        <f>IF(IF(AND(AC8="TML",AB8&gt;0),((T8-W8)+1)-AB8,((T8-W8)+1)-Y8)&gt;0,IF(AND(AC8="TML",AB8&gt;0),((T8-W8)+1)-AB8,((T8-W8)+1)-Y8),0)</f>
        <v>0</v>
      </c>
      <c r="AA8" s="187">
        <f>IF(AND(B8="G1",M8=""),IF(R8="20'",
VLOOKUP(Z8,Charge!$K$2:$M$5,2,TRUE)+(Z8-VLOOKUP(Z8,Charge!$K$2:$M$5,1,TRUE))*VLOOKUP(Z8,Charge!$K$2:$M$5,3,TRUE),
VLOOKUP(Z8,Charge!$N$2:$P$5,2,TRUE)+(Z8-VLOOKUP(Z8,Charge!$N$2:$P$5,1,TRUE))*VLOOKUP(Z8,Charge!$N$2:$P$5,3,TRUE)),
IF(AND(B8="G1",M8="DG"),IF(R8="20'",
VLOOKUP(Z8,Charge!$R$2:$T$5,2,TRUE)+(Z8-VLOOKUP(Z8,Charge!$R$2:$T$5,1,TRUE))*VLOOKUP(Z8,Charge!$R$2:$T$5,3,TRUE),
VLOOKUP(Z8,Charge!$U$2:$W$5,2,TRUE)+(Z8-VLOOKUP(Z8,Charge!$U$2:$W$5,1,TRUE))*VLOOKUP(Z8,Charge!$U$2:$W$5,3,TRUE)),
IF(AND(B8="G3",M8=""),IF(R8="20'",
VLOOKUP(Z8,Charge!$K$18:$M$21,2,TRUE)+(Z8-VLOOKUP(Z8,Charge!$K$18:$M$21,1,TRUE))*VLOOKUP(Z8,Charge!$K$18:$M$21,3,TRUE),
VLOOKUP(Z8,Charge!$N$18:$P$21,2,TRUE)+(Z8-VLOOKUP(Z8,Charge!$N$18:$P$21,1,TRUE))*VLOOKUP(Z8,Charge!$N$18:$P$21,3,TRUE)),
IF(AND(B8="G3",M8="DG"),IF(R8="20'",
VLOOKUP(Z8,Charge!$R$18:$T$21,2,TRUE)+(Z8-VLOOKUP(Z8,Charge!$R$18:$T$21,1,TRUE))*VLOOKUP(Z8,Charge!$R$18:$T$21,3,TRUE),
VLOOKUP(Z8,Charge!$U$18:$W$21,2,TRUE)+(Z8-VLOOKUP(Z8,Charge!$U$18:$W$21,1,TRUE))*VLOOKUP(Z8,Charge!$U$18:$W$21,3,TRUE)),
IF(AND(B8="G2",M8=""),IF(R8="20'",
VLOOKUP(Z8,Charge!$K$9:$M$12,2,TRUE)+(Z8-VLOOKUP(Z8,Charge!$K$9:$M$12,1,TRUE))*VLOOKUP(Z8,Charge!$K$9:$M$12,3,TRUE),
VLOOKUP(Z8,Charge!$N$9:$P$12,2,TRUE)+(Z8-VLOOKUP(Z8,Charge!$N$9:$P$12,1,TRUE))*VLOOKUP(Z8,Charge!$N$9:$P$12,3,TRUE)),
IF(AND(B8="G2",M8="DG"),IF(R8="20'",
VLOOKUP(Z8,Charge!$R$9:$T$12,2,TRUE)+(Z8-VLOOKUP(Z8,Charge!$R$9:$T$12,1,TRUE))*VLOOKUP(Z8,Charge!$R$9:$T$12,3,TRUE),
VLOOKUP(Z8,Charge!$U$9:$W$12,2,TRUE)+(Z8-VLOOKUP(Z8,Charge!$U$9:$W$12,1,TRUE))*VLOOKUP(Z8,Charge!$U$9:$W$12,3,TRUE)),IF(AND(B8="G4",M8=""),IF(R8="20'",Z8*Charge!$M$25,Z8*Charge!$P$25),IF(AND(B8="G4",M8="DG"),IF(R8="20'",Z8*Charge!$T$25,Z8*Charge!$W$25),0))))))))</f>
        <v>0</v>
      </c>
      <c r="AB8" s="184" t="n"/>
      <c r="AC8" s="184" t="n"/>
      <c r="AD8" s="60">
        <f>IF(M8="DG",3,IF(N8="RF",3,5))+IF(AND(LEFT(C8,3)="BKK",N8="RF",Q8="KTS"),1,0)+IF(Q8="KHS",1,0)</f>
        <v>5</v>
      </c>
      <c r="AE8" s="63">
        <f>(T8-V8)+1</f>
        <v>46321</v>
      </c>
      <c r="AF8" s="63">
        <f>IF(AB8&gt;IF((V8-W8)&gt;0,V8-W8,0),0,IF(AB8&lt;IF((V8-W8)&gt;0,V8-W8,0),IF((V8-W8)&gt;0,V8-W8,0)-AB8,IF((V8-W8)&gt;0,V8-W8,0)))</f>
        <v>0</v>
      </c>
      <c r="AG8" s="187">
        <f>IF(AND(M8=""),IF(R8="20'",
VLOOKUP(AF8,Charge!$K$31:$M$34,2,TRUE)+(AF8-VLOOKUP(AF8,Charge!$K$31:$M$34,1,TRUE))*VLOOKUP(AF8,Charge!$K$31:$M$34,3,TRUE),
VLOOKUP(AF8,Charge!$N$31:$P$34,2,TRUE)+(AF8-VLOOKUP(AF8,Charge!$N$31:$P$34,1,TRUE))*VLOOKUP(AF8,Charge!$N$31:$P$34,3,TRUE)),
IF(AND(M8="DG"),IF(R8="20'",
VLOOKUP(AF8,Charge!$R$31:$T$34,2,TRUE)+(AF8-VLOOKUP(AF8,Charge!$R$31:$T$34,1,TRUE))*VLOOKUP(AF8,Charge!$R$31:$T$34,3,TRUE),
VLOOKUP(AF8,Charge!$U$31:$W$34,2,TRUE)+(AF8-VLOOKUP(AF8,Charge!$U$31:$W$34,1,TRUE))*VLOOKUP(AF8,Charge!$U$31:$W$34,3,TRUE)),0))</f>
        <v>0</v>
      </c>
      <c r="AH8" s="65" t="n"/>
      <c r="AI8" s="65">
        <f>AA8-AH8</f>
        <v>0</v>
      </c>
      <c r="AJ8" s="188" t="n"/>
      <c r="AK8" s="62" t="str">
        <f>VLOOKUP(D8,'2.Bookinglist'!A:CT,40,FALSE)</f>
        <v>Tarn(Supaporn)</v>
      </c>
      <c r="AL8" s="60" t="str">
        <f>VLOOKUP(D8,'2.Bookinglist'!A:CW,101,FALSE)</f>
        <v>2026-10-24</v>
      </c>
      <c r="AM8" s="60" t="str">
        <f>VLOOKUP(D8,'2.Bookinglist'!A:BK,63,FALSE)</f>
        <v>LCHY5</v>
      </c>
      <c r="AN8" s="62" t="str">
        <f>VLOOKUP(D8,'2.Bookinglist'!A:AZ,52,FALSE)</f>
        <v>CY-RTN : 20-22/10/2026 
SAP SO : 2002054854
RQST CNTR GRADE A</v>
      </c>
      <c r="AO8" s="62">
        <f>VLOOKUP(D8,'2.Bookinglist'!A:CY,103,FALSE)</f>
        <v>0</v>
      </c>
    </row>
    <row r="9" ht="12.95" customHeight="1">
      <c r="A9" s="96" t="inlineStr">
        <is>
          <t>HALU2585338</t>
        </is>
      </c>
      <c r="B9" s="184" t="str">
        <f>IF(C9=Charge!$M$1,Charge!$J$1,IF(C9=Charge!$M$23,Charge!$J$23,IF(C9=Charge!$M$17,Charge!$J$17,IF(C9=Charge!$N$17,Charge!$J$17,Charge!$J$7))))</f>
        <v>G1</v>
      </c>
      <c r="C9" s="61" t="str">
        <f>VLOOKUP(A9,'1.Loading'!A:R,14,FALSE)</f>
        <v>LCH04</v>
      </c>
      <c r="D9" s="61" t="str">
        <f>VLOOKUP(A9,'1.Loading'!A:R,17,FALSE)</f>
        <v>HASLS22261001499</v>
      </c>
      <c r="E9" s="62" t="str">
        <f>VLOOKUP(D9,'2.Bookinglist'!A:CT,27,FALSE)</f>
        <v>UBE CHEMICALS (ASIA) PUBLIC COMPANY LIMITED</v>
      </c>
      <c r="F9" s="62" t="str">
        <f>VLOOKUP(D9,'2.Bookinglist'!A:CT,28,FALSE)</f>
        <v>UBE CHEMICALS (ASIA) PUBLIC COMPANY LIMITED</v>
      </c>
      <c r="G9" s="60">
        <f>VLOOKUP(D9,'2.Bookinglist'!A:E,5,FALSE)</f>
        <v>0</v>
      </c>
      <c r="H9" s="61" t="str">
        <f>VLOOKUP(D9,'2.Bookinglist'!A:CT,15,FALSE)</f>
        <v>THLCH</v>
      </c>
      <c r="I9" s="61" t="str">
        <f>VLOOKUP(D9,'2.Bookinglist'!A:CT,19,FALSE)</f>
        <v>CNSHK</v>
      </c>
      <c r="J9" s="61">
        <f>VLOOKUP(D9,'2.Bookinglist'!A:CT,26,FALSE)</f>
        <v>0</v>
      </c>
      <c r="K9" s="61" t="str">
        <f>VLOOKUP(A9,'1.Loading'!A:R,5,FALSE)</f>
        <v>22GP</v>
      </c>
      <c r="L9" s="60" t="str">
        <f>VLOOKUP(D9,'2.Bookinglist'!A:CT,85,FALSE)</f>
        <v>CY/CY</v>
      </c>
      <c r="M9" s="60" t="str">
        <f>IF(VLOOKUP(D9,'2.Bookinglist'!A:CT,43,FALSE)=0,"","DG")</f>
        <v/>
      </c>
      <c r="N9" s="60" t="str">
        <f>IF(RIGHT(K9,2)="RE","RF","")</f>
        <v/>
      </c>
      <c r="O9" s="61" t="str">
        <f>VLOOKUP(A9,'1.Loading'!A:R,3,FALSE)</f>
        <v>CMA</v>
      </c>
      <c r="P9" s="61" t="str">
        <f>VLOOKUP(A9,'1.Loading'!A:R,4,FALSE)</f>
        <v>2615N</v>
      </c>
      <c r="Q9" s="61" t="str">
        <f>VLOOKUP(D9,'2.Bookinglist'!A:CT,12,FALSE)</f>
        <v>KTS1</v>
      </c>
      <c r="R9" s="60" t="str">
        <f>IF(LEFT(K9,2)="22","20'","40'")</f>
        <v>20'</v>
      </c>
      <c r="S9" s="185" t="n"/>
      <c r="T9" s="61" t="str">
        <f>VLOOKUP(A9,'1.Loading'!A:R,2,FALSE)</f>
        <v>2026-10-25</v>
      </c>
      <c r="U9" s="63">
        <f>T9-S9</f>
        <v>46320</v>
      </c>
      <c r="V9" s="186" t="n"/>
      <c r="W9" s="61" t="str">
        <f>VLOOKUP(A9,'3.GateMove'!A:D,4,FALSE)</f>
        <v>2026-10-22</v>
      </c>
      <c r="X9" s="63">
        <f>((T9-W9)+1)</f>
        <v>4</v>
      </c>
      <c r="Y9" s="64">
        <f>IF(AND(OR(C9="BKK01",C9="BKK04"),L9="CFS/CY"),0,IF(M9="DG",1,IF(LEFT(C9,3)="LCH",7,IF(C9="BKK02",5,3))))</f>
        <v>7</v>
      </c>
      <c r="Z9" s="63">
        <f>IF(IF(AND(AC9="TML",AB9&gt;0),((T9-W9)+1)-AB9,((T9-W9)+1)-Y9)&gt;0,IF(AND(AC9="TML",AB9&gt;0),((T9-W9)+1)-AB9,((T9-W9)+1)-Y9),0)</f>
        <v>0</v>
      </c>
      <c r="AA9" s="187">
        <f>IF(AND(B9="G1",M9=""),IF(R9="20'",
VLOOKUP(Z9,Charge!$K$2:$M$5,2,TRUE)+(Z9-VLOOKUP(Z9,Charge!$K$2:$M$5,1,TRUE))*VLOOKUP(Z9,Charge!$K$2:$M$5,3,TRUE),
VLOOKUP(Z9,Charge!$N$2:$P$5,2,TRUE)+(Z9-VLOOKUP(Z9,Charge!$N$2:$P$5,1,TRUE))*VLOOKUP(Z9,Charge!$N$2:$P$5,3,TRUE)),
IF(AND(B9="G1",M9="DG"),IF(R9="20'",
VLOOKUP(Z9,Charge!$R$2:$T$5,2,TRUE)+(Z9-VLOOKUP(Z9,Charge!$R$2:$T$5,1,TRUE))*VLOOKUP(Z9,Charge!$R$2:$T$5,3,TRUE),
VLOOKUP(Z9,Charge!$U$2:$W$5,2,TRUE)+(Z9-VLOOKUP(Z9,Charge!$U$2:$W$5,1,TRUE))*VLOOKUP(Z9,Charge!$U$2:$W$5,3,TRUE)),
IF(AND(B9="G3",M9=""),IF(R9="20'",
VLOOKUP(Z9,Charge!$K$18:$M$21,2,TRUE)+(Z9-VLOOKUP(Z9,Charge!$K$18:$M$21,1,TRUE))*VLOOKUP(Z9,Charge!$K$18:$M$21,3,TRUE),
VLOOKUP(Z9,Charge!$N$18:$P$21,2,TRUE)+(Z9-VLOOKUP(Z9,Charge!$N$18:$P$21,1,TRUE))*VLOOKUP(Z9,Charge!$N$18:$P$21,3,TRUE)),
IF(AND(B9="G3",M9="DG"),IF(R9="20'",
VLOOKUP(Z9,Charge!$R$18:$T$21,2,TRUE)+(Z9-VLOOKUP(Z9,Charge!$R$18:$T$21,1,TRUE))*VLOOKUP(Z9,Charge!$R$18:$T$21,3,TRUE),
VLOOKUP(Z9,Charge!$U$18:$W$21,2,TRUE)+(Z9-VLOOKUP(Z9,Charge!$U$18:$W$21,1,TRUE))*VLOOKUP(Z9,Charge!$U$18:$W$21,3,TRUE)),
IF(AND(B9="G2",M9=""),IF(R9="20'",
VLOOKUP(Z9,Charge!$K$9:$M$12,2,TRUE)+(Z9-VLOOKUP(Z9,Charge!$K$9:$M$12,1,TRUE))*VLOOKUP(Z9,Charge!$K$9:$M$12,3,TRUE),
VLOOKUP(Z9,Charge!$N$9:$P$12,2,TRUE)+(Z9-VLOOKUP(Z9,Charge!$N$9:$P$12,1,TRUE))*VLOOKUP(Z9,Charge!$N$9:$P$12,3,TRUE)),
IF(AND(B9="G2",M9="DG"),IF(R9="20'",
VLOOKUP(Z9,Charge!$R$9:$T$12,2,TRUE)+(Z9-VLOOKUP(Z9,Charge!$R$9:$T$12,1,TRUE))*VLOOKUP(Z9,Charge!$R$9:$T$12,3,TRUE),
VLOOKUP(Z9,Charge!$U$9:$W$12,2,TRUE)+(Z9-VLOOKUP(Z9,Charge!$U$9:$W$12,1,TRUE))*VLOOKUP(Z9,Charge!$U$9:$W$12,3,TRUE)),IF(AND(B9="G4",M9=""),IF(R9="20'",Z9*Charge!$M$25,Z9*Charge!$P$25),IF(AND(B9="G4",M9="DG"),IF(R9="20'",Z9*Charge!$T$25,Z9*Charge!$W$25),0))))))))</f>
        <v>0</v>
      </c>
      <c r="AB9" s="184" t="n"/>
      <c r="AC9" s="184" t="n"/>
      <c r="AD9" s="60">
        <f>IF(M9="DG",3,IF(N9="RF",3,5))+IF(AND(LEFT(C9,3)="BKK",N9="RF",Q9="KTS"),1,0)+IF(Q9="KHS",1,0)</f>
        <v>5</v>
      </c>
      <c r="AE9" s="63">
        <f>(T9-V9)+1</f>
        <v>46321</v>
      </c>
      <c r="AF9" s="63">
        <f>IF(AB9&gt;IF((V9-W9)&gt;0,V9-W9,0),0,IF(AB9&lt;IF((V9-W9)&gt;0,V9-W9,0),IF((V9-W9)&gt;0,V9-W9,0)-AB9,IF((V9-W9)&gt;0,V9-W9,0)))</f>
        <v>0</v>
      </c>
      <c r="AG9" s="187">
        <f>IF(AND(M9=""),IF(R9="20'",
VLOOKUP(AF9,Charge!$K$31:$M$34,2,TRUE)+(AF9-VLOOKUP(AF9,Charge!$K$31:$M$34,1,TRUE))*VLOOKUP(AF9,Charge!$K$31:$M$34,3,TRUE),
VLOOKUP(AF9,Charge!$N$31:$P$34,2,TRUE)+(AF9-VLOOKUP(AF9,Charge!$N$31:$P$34,1,TRUE))*VLOOKUP(AF9,Charge!$N$31:$P$34,3,TRUE)),
IF(AND(M9="DG"),IF(R9="20'",
VLOOKUP(AF9,Charge!$R$31:$T$34,2,TRUE)+(AF9-VLOOKUP(AF9,Charge!$R$31:$T$34,1,TRUE))*VLOOKUP(AF9,Charge!$R$31:$T$34,3,TRUE),
VLOOKUP(AF9,Charge!$U$31:$W$34,2,TRUE)+(AF9-VLOOKUP(AF9,Charge!$U$31:$W$34,1,TRUE))*VLOOKUP(AF9,Charge!$U$31:$W$34,3,TRUE)),0))</f>
        <v>0</v>
      </c>
      <c r="AH9" s="65" t="n"/>
      <c r="AI9" s="65">
        <f>AA9-AH9</f>
        <v>0</v>
      </c>
      <c r="AJ9" s="188" t="n"/>
      <c r="AK9" s="62" t="str">
        <f>VLOOKUP(D9,'2.Bookinglist'!A:CT,40,FALSE)</f>
        <v>Tarn(Supaporn)</v>
      </c>
      <c r="AL9" s="60" t="str">
        <f>VLOOKUP(D9,'2.Bookinglist'!A:CW,101,FALSE)</f>
        <v>2026-10-24</v>
      </c>
      <c r="AM9" s="60" t="str">
        <f>VLOOKUP(D9,'2.Bookinglist'!A:BK,63,FALSE)</f>
        <v>LCHY5</v>
      </c>
      <c r="AN9" s="62" t="str">
        <f>VLOOKUP(D9,'2.Bookinglist'!A:AZ,52,FALSE)</f>
        <v>CY-RTN : 20-22/10/2026 
SAP SO : 2002054854
RQST CNTR GRADE A</v>
      </c>
      <c r="AO9" s="62">
        <f>VLOOKUP(D9,'2.Bookinglist'!A:CY,103,FALSE)</f>
        <v>0</v>
      </c>
    </row>
    <row r="10" ht="12.95" customHeight="1">
      <c r="A10" s="96" t="inlineStr">
        <is>
          <t>HALU5632876</t>
        </is>
      </c>
      <c r="B10" s="184" t="str">
        <f>IF(C10=Charge!$M$1,Charge!$J$1,IF(C10=Charge!$M$23,Charge!$J$23,IF(C10=Charge!$M$17,Charge!$J$17,IF(C10=Charge!$N$17,Charge!$J$17,Charge!$J$7))))</f>
        <v>G1</v>
      </c>
      <c r="C10" s="61" t="str">
        <f>VLOOKUP(A10,'1.Loading'!A:R,14,FALSE)</f>
        <v>LCH04</v>
      </c>
      <c r="D10" s="61" t="str">
        <f>VLOOKUP(A10,'1.Loading'!A:R,17,FALSE)</f>
        <v>HASLS22261001183</v>
      </c>
      <c r="E10" s="62" t="str">
        <f>VLOOKUP(D10,'2.Bookinglist'!A:CT,27,FALSE)</f>
        <v>YUSEN LOGISTICS (THAILAND) CO., LTD.</v>
      </c>
      <c r="F10" s="62" t="str">
        <f>VLOOKUP(D10,'2.Bookinglist'!A:CT,28,FALSE)</f>
        <v>KURARAY GC ADVANCED MATERIALS CO.,LTD.</v>
      </c>
      <c r="G10" s="60">
        <f>VLOOKUP(D10,'2.Bookinglist'!A:E,5,FALSE)</f>
        <v>0</v>
      </c>
      <c r="H10" s="61" t="str">
        <f>VLOOKUP(D10,'2.Bookinglist'!A:CT,15,FALSE)</f>
        <v>THLCH</v>
      </c>
      <c r="I10" s="61" t="str">
        <f>VLOOKUP(D10,'2.Bookinglist'!A:CT,19,FALSE)</f>
        <v>HKHKG</v>
      </c>
      <c r="J10" s="61">
        <f>VLOOKUP(D10,'2.Bookinglist'!A:CT,26,FALSE)</f>
        <v>0</v>
      </c>
      <c r="K10" s="61" t="str">
        <f>VLOOKUP(A10,'1.Loading'!A:R,5,FALSE)</f>
        <v>45GP</v>
      </c>
      <c r="L10" s="60" t="str">
        <f>VLOOKUP(D10,'2.Bookinglist'!A:CT,85,FALSE)</f>
        <v>CY/CY</v>
      </c>
      <c r="M10" s="60" t="str">
        <f>IF(VLOOKUP(D10,'2.Bookinglist'!A:CT,43,FALSE)=0,"","DG")</f>
        <v/>
      </c>
      <c r="N10" s="60" t="str">
        <f>IF(RIGHT(K10,2)="RE","RF","")</f>
        <v/>
      </c>
      <c r="O10" s="61" t="str">
        <f>VLOOKUP(A10,'1.Loading'!A:R,3,FALSE)</f>
        <v>CMA</v>
      </c>
      <c r="P10" s="61" t="str">
        <f>VLOOKUP(A10,'1.Loading'!A:R,4,FALSE)</f>
        <v>2615N</v>
      </c>
      <c r="Q10" s="61" t="str">
        <f>VLOOKUP(D10,'2.Bookinglist'!A:CT,12,FALSE)</f>
        <v>KTS1</v>
      </c>
      <c r="R10" s="60" t="str">
        <f>IF(LEFT(K10,2)="22","20'","40'")</f>
        <v>40'</v>
      </c>
      <c r="S10" s="185" t="n"/>
      <c r="T10" s="61" t="str">
        <f>VLOOKUP(A10,'1.Loading'!A:R,2,FALSE)</f>
        <v>2026-10-25</v>
      </c>
      <c r="U10" s="63">
        <f>T10-S10</f>
        <v>46320</v>
      </c>
      <c r="V10" s="186" t="n"/>
      <c r="W10" s="61" t="str">
        <f>VLOOKUP(A10,'3.GateMove'!A:D,4,FALSE)</f>
        <v>2026-10-20</v>
      </c>
      <c r="X10" s="63">
        <f>((T10-W10)+1)</f>
        <v>6</v>
      </c>
      <c r="Y10" s="64">
        <f>IF(AND(OR(C10="BKK01",C10="BKK04"),L10="CFS/CY"),0,IF(M10="DG",1,IF(LEFT(C10,3)="LCH",7,IF(C10="BKK02",5,3))))</f>
        <v>7</v>
      </c>
      <c r="Z10" s="63">
        <f>IF(IF(AND(AC10="TML",AB10&gt;0),((T10-W10)+1)-AB10,((T10-W10)+1)-Y10)&gt;0,IF(AND(AC10="TML",AB10&gt;0),((T10-W10)+1)-AB10,((T10-W10)+1)-Y10),0)</f>
        <v>0</v>
      </c>
      <c r="AA10" s="187">
        <f>IF(AND(B10="G1",M10=""),IF(R10="20'",
VLOOKUP(Z10,Charge!$K$2:$M$5,2,TRUE)+(Z10-VLOOKUP(Z10,Charge!$K$2:$M$5,1,TRUE))*VLOOKUP(Z10,Charge!$K$2:$M$5,3,TRUE),
VLOOKUP(Z10,Charge!$N$2:$P$5,2,TRUE)+(Z10-VLOOKUP(Z10,Charge!$N$2:$P$5,1,TRUE))*VLOOKUP(Z10,Charge!$N$2:$P$5,3,TRUE)),
IF(AND(B10="G1",M10="DG"),IF(R10="20'",
VLOOKUP(Z10,Charge!$R$2:$T$5,2,TRUE)+(Z10-VLOOKUP(Z10,Charge!$R$2:$T$5,1,TRUE))*VLOOKUP(Z10,Charge!$R$2:$T$5,3,TRUE),
VLOOKUP(Z10,Charge!$U$2:$W$5,2,TRUE)+(Z10-VLOOKUP(Z10,Charge!$U$2:$W$5,1,TRUE))*VLOOKUP(Z10,Charge!$U$2:$W$5,3,TRUE)),
IF(AND(B10="G3",M10=""),IF(R10="20'",
VLOOKUP(Z10,Charge!$K$18:$M$21,2,TRUE)+(Z10-VLOOKUP(Z10,Charge!$K$18:$M$21,1,TRUE))*VLOOKUP(Z10,Charge!$K$18:$M$21,3,TRUE),
VLOOKUP(Z10,Charge!$N$18:$P$21,2,TRUE)+(Z10-VLOOKUP(Z10,Charge!$N$18:$P$21,1,TRUE))*VLOOKUP(Z10,Charge!$N$18:$P$21,3,TRUE)),
IF(AND(B10="G3",M10="DG"),IF(R10="20'",
VLOOKUP(Z10,Charge!$R$18:$T$21,2,TRUE)+(Z10-VLOOKUP(Z10,Charge!$R$18:$T$21,1,TRUE))*VLOOKUP(Z10,Charge!$R$18:$T$21,3,TRUE),
VLOOKUP(Z10,Charge!$U$18:$W$21,2,TRUE)+(Z10-VLOOKUP(Z10,Charge!$U$18:$W$21,1,TRUE))*VLOOKUP(Z10,Charge!$U$18:$W$21,3,TRUE)),
IF(AND(B10="G2",M10=""),IF(R10="20'",
VLOOKUP(Z10,Charge!$K$9:$M$12,2,TRUE)+(Z10-VLOOKUP(Z10,Charge!$K$9:$M$12,1,TRUE))*VLOOKUP(Z10,Charge!$K$9:$M$12,3,TRUE),
VLOOKUP(Z10,Charge!$N$9:$P$12,2,TRUE)+(Z10-VLOOKUP(Z10,Charge!$N$9:$P$12,1,TRUE))*VLOOKUP(Z10,Charge!$N$9:$P$12,3,TRUE)),
IF(AND(B10="G2",M10="DG"),IF(R10="20'",
VLOOKUP(Z10,Charge!$R$9:$T$12,2,TRUE)+(Z10-VLOOKUP(Z10,Charge!$R$9:$T$12,1,TRUE))*VLOOKUP(Z10,Charge!$R$9:$T$12,3,TRUE),
VLOOKUP(Z10,Charge!$U$9:$W$12,2,TRUE)+(Z10-VLOOKUP(Z10,Charge!$U$9:$W$12,1,TRUE))*VLOOKUP(Z10,Charge!$U$9:$W$12,3,TRUE)),IF(AND(B10="G4",M10=""),IF(R10="20'",Z10*Charge!$M$25,Z10*Charge!$P$25),IF(AND(B10="G4",M10="DG"),IF(R10="20'",Z10*Charge!$T$25,Z10*Charge!$W$25),0))))))))</f>
        <v>0</v>
      </c>
      <c r="AB10" s="184" t="n"/>
      <c r="AC10" s="184" t="n"/>
      <c r="AD10" s="60">
        <f>IF(M10="DG",3,IF(N10="RF",3,5))+IF(AND(LEFT(C10,3)="BKK",N10="RF",Q10="KTS"),1,0)+IF(Q10="KHS",1,0)</f>
        <v>5</v>
      </c>
      <c r="AE10" s="63">
        <f>(T10-V10)+1</f>
        <v>46321</v>
      </c>
      <c r="AF10" s="63">
        <f>IF(AB10&gt;IF((V10-W10)&gt;0,V10-W10,0),0,IF(AB10&lt;IF((V10-W10)&gt;0,V10-W10,0),IF((V10-W10)&gt;0,V10-W10,0)-AB10,IF((V10-W10)&gt;0,V10-W10,0)))</f>
        <v>0</v>
      </c>
      <c r="AG10" s="187">
        <f>IF(AND(M10=""),IF(R10="20'",
VLOOKUP(AF10,Charge!$K$31:$M$34,2,TRUE)+(AF10-VLOOKUP(AF10,Charge!$K$31:$M$34,1,TRUE))*VLOOKUP(AF10,Charge!$K$31:$M$34,3,TRUE),
VLOOKUP(AF10,Charge!$N$31:$P$34,2,TRUE)+(AF10-VLOOKUP(AF10,Charge!$N$31:$P$34,1,TRUE))*VLOOKUP(AF10,Charge!$N$31:$P$34,3,TRUE)),
IF(AND(M10="DG"),IF(R10="20'",
VLOOKUP(AF10,Charge!$R$31:$T$34,2,TRUE)+(AF10-VLOOKUP(AF10,Charge!$R$31:$T$34,1,TRUE))*VLOOKUP(AF10,Charge!$R$31:$T$34,3,TRUE),
VLOOKUP(AF10,Charge!$U$31:$W$34,2,TRUE)+(AF10-VLOOKUP(AF10,Charge!$U$31:$W$34,1,TRUE))*VLOOKUP(AF10,Charge!$U$31:$W$34,3,TRUE)),0))</f>
        <v>0</v>
      </c>
      <c r="AH10" s="65" t="n"/>
      <c r="AI10" s="65">
        <f>AA10-AH10</f>
        <v>0</v>
      </c>
      <c r="AJ10" s="188" t="n"/>
      <c r="AK10" s="62" t="str">
        <f>VLOOKUP(D10,'2.Bookinglist'!A:CT,40,FALSE)</f>
        <v>Vilaiporn</v>
      </c>
      <c r="AL10" s="60" t="str">
        <f>VLOOKUP(D10,'2.Bookinglist'!A:CW,101,FALSE)</f>
        <v>2026-10-24</v>
      </c>
      <c r="AM10" s="60" t="str">
        <f>VLOOKUP(D10,'2.Bookinglist'!A:BK,63,FALSE)</f>
        <v>LCH27</v>
      </c>
      <c r="AN10" s="62" t="str">
        <f>VLOOKUP(D10,'2.Bookinglist'!A:AZ,52,FALSE)</f>
        <v>Pickup : 2026-10-17, Return : 2026-10-19 
 ** PLEASE CHECK OPEN GATE BEFORE RETURN CNTR **
</v>
      </c>
      <c r="AO10" s="62">
        <f>VLOOKUP(D10,'2.Bookinglist'!A:CY,103,FALSE)</f>
        <v>0</v>
      </c>
    </row>
    <row r="11" ht="12.95" customHeight="1">
      <c r="A11" s="96" t="inlineStr">
        <is>
          <t>SKHU8925490</t>
        </is>
      </c>
      <c r="B11" s="184" t="str">
        <f>IF(C11=Charge!$M$1,Charge!$J$1,IF(C11=Charge!$M$23,Charge!$J$23,IF(C11=Charge!$M$17,Charge!$J$17,IF(C11=Charge!$N$17,Charge!$J$17,Charge!$J$7))))</f>
        <v>G1</v>
      </c>
      <c r="C11" s="61" t="str">
        <f>VLOOKUP(A11,'1.Loading'!A:R,14,FALSE)</f>
        <v>LCH04</v>
      </c>
      <c r="D11" s="61" t="str">
        <f>VLOOKUP(A11,'1.Loading'!A:R,17,FALSE)</f>
        <v>HASLS22261001183</v>
      </c>
      <c r="E11" s="62" t="str">
        <f>VLOOKUP(D11,'2.Bookinglist'!A:CT,27,FALSE)</f>
        <v>YUSEN LOGISTICS (THAILAND) CO., LTD.</v>
      </c>
      <c r="F11" s="62" t="str">
        <f>VLOOKUP(D11,'2.Bookinglist'!A:CT,28,FALSE)</f>
        <v>KURARAY GC ADVANCED MATERIALS CO.,LTD.</v>
      </c>
      <c r="G11" s="60">
        <f>VLOOKUP(D11,'2.Bookinglist'!A:E,5,FALSE)</f>
        <v>0</v>
      </c>
      <c r="H11" s="61" t="str">
        <f>VLOOKUP(D11,'2.Bookinglist'!A:CT,15,FALSE)</f>
        <v>THLCH</v>
      </c>
      <c r="I11" s="61" t="str">
        <f>VLOOKUP(D11,'2.Bookinglist'!A:CT,19,FALSE)</f>
        <v>HKHKG</v>
      </c>
      <c r="J11" s="61">
        <f>VLOOKUP(D11,'2.Bookinglist'!A:CT,26,FALSE)</f>
        <v>0</v>
      </c>
      <c r="K11" s="61" t="str">
        <f>VLOOKUP(A11,'1.Loading'!A:R,5,FALSE)</f>
        <v>45GP</v>
      </c>
      <c r="L11" s="60" t="str">
        <f>VLOOKUP(D11,'2.Bookinglist'!A:CT,85,FALSE)</f>
        <v>CY/CY</v>
      </c>
      <c r="M11" s="60" t="str">
        <f>IF(VLOOKUP(D11,'2.Bookinglist'!A:CT,43,FALSE)=0,"","DG")</f>
        <v/>
      </c>
      <c r="N11" s="60" t="str">
        <f>IF(RIGHT(K11,2)="RE","RF","")</f>
        <v/>
      </c>
      <c r="O11" s="61" t="str">
        <f>VLOOKUP(A11,'1.Loading'!A:R,3,FALSE)</f>
        <v>CMA</v>
      </c>
      <c r="P11" s="61" t="str">
        <f>VLOOKUP(A11,'1.Loading'!A:R,4,FALSE)</f>
        <v>2615N</v>
      </c>
      <c r="Q11" s="61" t="str">
        <f>VLOOKUP(D11,'2.Bookinglist'!A:CT,12,FALSE)</f>
        <v>KTS1</v>
      </c>
      <c r="R11" s="60" t="str">
        <f>IF(LEFT(K11,2)="22","20'","40'")</f>
        <v>40'</v>
      </c>
      <c r="S11" s="185" t="n"/>
      <c r="T11" s="61" t="str">
        <f>VLOOKUP(A11,'1.Loading'!A:R,2,FALSE)</f>
        <v>2026-10-25</v>
      </c>
      <c r="U11" s="63">
        <f>T11-S11</f>
        <v>46320</v>
      </c>
      <c r="V11" s="186" t="n"/>
      <c r="W11" s="61" t="str">
        <f>VLOOKUP(A11,'3.GateMove'!A:D,4,FALSE)</f>
        <v>2026-10-19</v>
      </c>
      <c r="X11" s="63">
        <f>((T11-W11)+1)</f>
        <v>7</v>
      </c>
      <c r="Y11" s="64">
        <f>IF(AND(OR(C11="BKK01",C11="BKK04"),L11="CFS/CY"),0,IF(M11="DG",1,IF(LEFT(C11,3)="LCH",7,IF(C11="BKK02",5,3))))</f>
        <v>7</v>
      </c>
      <c r="Z11" s="63">
        <f>IF(IF(AND(AC11="TML",AB11&gt;0),((T11-W11)+1)-AB11,((T11-W11)+1)-Y11)&gt;0,IF(AND(AC11="TML",AB11&gt;0),((T11-W11)+1)-AB11,((T11-W11)+1)-Y11),0)</f>
        <v>0</v>
      </c>
      <c r="AA11" s="187">
        <f>IF(AND(B11="G1",M11=""),IF(R11="20'",
VLOOKUP(Z11,Charge!$K$2:$M$5,2,TRUE)+(Z11-VLOOKUP(Z11,Charge!$K$2:$M$5,1,TRUE))*VLOOKUP(Z11,Charge!$K$2:$M$5,3,TRUE),
VLOOKUP(Z11,Charge!$N$2:$P$5,2,TRUE)+(Z11-VLOOKUP(Z11,Charge!$N$2:$P$5,1,TRUE))*VLOOKUP(Z11,Charge!$N$2:$P$5,3,TRUE)),
IF(AND(B11="G1",M11="DG"),IF(R11="20'",
VLOOKUP(Z11,Charge!$R$2:$T$5,2,TRUE)+(Z11-VLOOKUP(Z11,Charge!$R$2:$T$5,1,TRUE))*VLOOKUP(Z11,Charge!$R$2:$T$5,3,TRUE),
VLOOKUP(Z11,Charge!$U$2:$W$5,2,TRUE)+(Z11-VLOOKUP(Z11,Charge!$U$2:$W$5,1,TRUE))*VLOOKUP(Z11,Charge!$U$2:$W$5,3,TRUE)),
IF(AND(B11="G3",M11=""),IF(R11="20'",
VLOOKUP(Z11,Charge!$K$18:$M$21,2,TRUE)+(Z11-VLOOKUP(Z11,Charge!$K$18:$M$21,1,TRUE))*VLOOKUP(Z11,Charge!$K$18:$M$21,3,TRUE),
VLOOKUP(Z11,Charge!$N$18:$P$21,2,TRUE)+(Z11-VLOOKUP(Z11,Charge!$N$18:$P$21,1,TRUE))*VLOOKUP(Z11,Charge!$N$18:$P$21,3,TRUE)),
IF(AND(B11="G3",M11="DG"),IF(R11="20'",
VLOOKUP(Z11,Charge!$R$18:$T$21,2,TRUE)+(Z11-VLOOKUP(Z11,Charge!$R$18:$T$21,1,TRUE))*VLOOKUP(Z11,Charge!$R$18:$T$21,3,TRUE),
VLOOKUP(Z11,Charge!$U$18:$W$21,2,TRUE)+(Z11-VLOOKUP(Z11,Charge!$U$18:$W$21,1,TRUE))*VLOOKUP(Z11,Charge!$U$18:$W$21,3,TRUE)),
IF(AND(B11="G2",M11=""),IF(R11="20'",
VLOOKUP(Z11,Charge!$K$9:$M$12,2,TRUE)+(Z11-VLOOKUP(Z11,Charge!$K$9:$M$12,1,TRUE))*VLOOKUP(Z11,Charge!$K$9:$M$12,3,TRUE),
VLOOKUP(Z11,Charge!$N$9:$P$12,2,TRUE)+(Z11-VLOOKUP(Z11,Charge!$N$9:$P$12,1,TRUE))*VLOOKUP(Z11,Charge!$N$9:$P$12,3,TRUE)),
IF(AND(B11="G2",M11="DG"),IF(R11="20'",
VLOOKUP(Z11,Charge!$R$9:$T$12,2,TRUE)+(Z11-VLOOKUP(Z11,Charge!$R$9:$T$12,1,TRUE))*VLOOKUP(Z11,Charge!$R$9:$T$12,3,TRUE),
VLOOKUP(Z11,Charge!$U$9:$W$12,2,TRUE)+(Z11-VLOOKUP(Z11,Charge!$U$9:$W$12,1,TRUE))*VLOOKUP(Z11,Charge!$U$9:$W$12,3,TRUE)),IF(AND(B11="G4",M11=""),IF(R11="20'",Z11*Charge!$M$25,Z11*Charge!$P$25),IF(AND(B11="G4",M11="DG"),IF(R11="20'",Z11*Charge!$T$25,Z11*Charge!$W$25),0))))))))</f>
        <v>0</v>
      </c>
      <c r="AB11" s="184" t="n"/>
      <c r="AC11" s="184" t="n"/>
      <c r="AD11" s="60">
        <f>IF(M11="DG",3,IF(N11="RF",3,5))+IF(AND(LEFT(C11,3)="BKK",N11="RF",Q11="KTS"),1,0)+IF(Q11="KHS",1,0)</f>
        <v>5</v>
      </c>
      <c r="AE11" s="63">
        <f>(T11-V11)+1</f>
        <v>46321</v>
      </c>
      <c r="AF11" s="63">
        <f>IF(AB11&gt;IF((V11-W11)&gt;0,V11-W11,0),0,IF(AB11&lt;IF((V11-W11)&gt;0,V11-W11,0),IF((V11-W11)&gt;0,V11-W11,0)-AB11,IF((V11-W11)&gt;0,V11-W11,0)))</f>
        <v>0</v>
      </c>
      <c r="AG11" s="187">
        <f>IF(AND(M11=""),IF(R11="20'",
VLOOKUP(AF11,Charge!$K$31:$M$34,2,TRUE)+(AF11-VLOOKUP(AF11,Charge!$K$31:$M$34,1,TRUE))*VLOOKUP(AF11,Charge!$K$31:$M$34,3,TRUE),
VLOOKUP(AF11,Charge!$N$31:$P$34,2,TRUE)+(AF11-VLOOKUP(AF11,Charge!$N$31:$P$34,1,TRUE))*VLOOKUP(AF11,Charge!$N$31:$P$34,3,TRUE)),
IF(AND(M11="DG"),IF(R11="20'",
VLOOKUP(AF11,Charge!$R$31:$T$34,2,TRUE)+(AF11-VLOOKUP(AF11,Charge!$R$31:$T$34,1,TRUE))*VLOOKUP(AF11,Charge!$R$31:$T$34,3,TRUE),
VLOOKUP(AF11,Charge!$U$31:$W$34,2,TRUE)+(AF11-VLOOKUP(AF11,Charge!$U$31:$W$34,1,TRUE))*VLOOKUP(AF11,Charge!$U$31:$W$34,3,TRUE)),0))</f>
        <v>0</v>
      </c>
      <c r="AH11" s="65" t="n"/>
      <c r="AI11" s="65">
        <f>AA11-AH11</f>
        <v>0</v>
      </c>
      <c r="AJ11" s="188" t="n"/>
      <c r="AK11" s="62" t="str">
        <f>VLOOKUP(D11,'2.Bookinglist'!A:CT,40,FALSE)</f>
        <v>Vilaiporn</v>
      </c>
      <c r="AL11" s="60" t="str">
        <f>VLOOKUP(D11,'2.Bookinglist'!A:CW,101,FALSE)</f>
        <v>2026-10-24</v>
      </c>
      <c r="AM11" s="60" t="str">
        <f>VLOOKUP(D11,'2.Bookinglist'!A:BK,63,FALSE)</f>
        <v>LCH27</v>
      </c>
      <c r="AN11" s="62" t="str">
        <f>VLOOKUP(D11,'2.Bookinglist'!A:AZ,52,FALSE)</f>
        <v>Pickup : 2026-10-17, Return : 2026-10-19 
 ** PLEASE CHECK OPEN GATE BEFORE RETURN CNTR **
</v>
      </c>
      <c r="AO11" s="62">
        <f>VLOOKUP(D11,'2.Bookinglist'!A:CY,103,FALSE)</f>
        <v>0</v>
      </c>
    </row>
    <row r="12" ht="12.95" customHeight="1">
      <c r="A12" s="96" t="inlineStr">
        <is>
          <t>SKHU9203506</t>
        </is>
      </c>
      <c r="B12" s="184" t="str">
        <f>IF(C12=Charge!$M$1,Charge!$J$1,IF(C12=Charge!$M$23,Charge!$J$23,IF(C12=Charge!$M$17,Charge!$J$17,IF(C12=Charge!$N$17,Charge!$J$17,Charge!$J$7))))</f>
        <v>G1</v>
      </c>
      <c r="C12" s="61" t="str">
        <f>VLOOKUP(A12,'1.Loading'!A:R,14,FALSE)</f>
        <v>LCH04</v>
      </c>
      <c r="D12" s="61" t="str">
        <f>VLOOKUP(A12,'1.Loading'!A:R,17,FALSE)</f>
        <v>HASLS22261001183</v>
      </c>
      <c r="E12" s="62" t="str">
        <f>VLOOKUP(D12,'2.Bookinglist'!A:CT,27,FALSE)</f>
        <v>YUSEN LOGISTICS (THAILAND) CO., LTD.</v>
      </c>
      <c r="F12" s="62" t="str">
        <f>VLOOKUP(D12,'2.Bookinglist'!A:CT,28,FALSE)</f>
        <v>KURARAY GC ADVANCED MATERIALS CO.,LTD.</v>
      </c>
      <c r="G12" s="60">
        <f>VLOOKUP(D12,'2.Bookinglist'!A:E,5,FALSE)</f>
        <v>0</v>
      </c>
      <c r="H12" s="61" t="str">
        <f>VLOOKUP(D12,'2.Bookinglist'!A:CT,15,FALSE)</f>
        <v>THLCH</v>
      </c>
      <c r="I12" s="61" t="str">
        <f>VLOOKUP(D12,'2.Bookinglist'!A:CT,19,FALSE)</f>
        <v>HKHKG</v>
      </c>
      <c r="J12" s="61">
        <f>VLOOKUP(D12,'2.Bookinglist'!A:CT,26,FALSE)</f>
        <v>0</v>
      </c>
      <c r="K12" s="61" t="str">
        <f>VLOOKUP(A12,'1.Loading'!A:R,5,FALSE)</f>
        <v>45GP</v>
      </c>
      <c r="L12" s="60" t="str">
        <f>VLOOKUP(D12,'2.Bookinglist'!A:CT,85,FALSE)</f>
        <v>CY/CY</v>
      </c>
      <c r="M12" s="60" t="str">
        <f>IF(VLOOKUP(D12,'2.Bookinglist'!A:CT,43,FALSE)=0,"","DG")</f>
        <v/>
      </c>
      <c r="N12" s="60" t="str">
        <f>IF(RIGHT(K12,2)="RE","RF","")</f>
        <v/>
      </c>
      <c r="O12" s="61" t="str">
        <f>VLOOKUP(A12,'1.Loading'!A:R,3,FALSE)</f>
        <v>CMA</v>
      </c>
      <c r="P12" s="61" t="str">
        <f>VLOOKUP(A12,'1.Loading'!A:R,4,FALSE)</f>
        <v>2615N</v>
      </c>
      <c r="Q12" s="61" t="str">
        <f>VLOOKUP(D12,'2.Bookinglist'!A:CT,12,FALSE)</f>
        <v>KTS1</v>
      </c>
      <c r="R12" s="60" t="str">
        <f>IF(LEFT(K12,2)="22","20'","40'")</f>
        <v>40'</v>
      </c>
      <c r="S12" s="185" t="n"/>
      <c r="T12" s="61" t="str">
        <f>VLOOKUP(A12,'1.Loading'!A:R,2,FALSE)</f>
        <v>2026-10-25</v>
      </c>
      <c r="U12" s="63">
        <f>T12-S12</f>
        <v>46320</v>
      </c>
      <c r="V12" s="186" t="n"/>
      <c r="W12" s="61" t="str">
        <f>VLOOKUP(A12,'3.GateMove'!A:D,4,FALSE)</f>
        <v>2026-10-19</v>
      </c>
      <c r="X12" s="63">
        <f>((T12-W12)+1)</f>
        <v>7</v>
      </c>
      <c r="Y12" s="64">
        <f>IF(AND(OR(C12="BKK01",C12="BKK04"),L12="CFS/CY"),0,IF(M12="DG",1,IF(LEFT(C12,3)="LCH",7,IF(C12="BKK02",5,3))))</f>
        <v>7</v>
      </c>
      <c r="Z12" s="63">
        <f>IF(IF(AND(AC12="TML",AB12&gt;0),((T12-W12)+1)-AB12,((T12-W12)+1)-Y12)&gt;0,IF(AND(AC12="TML",AB12&gt;0),((T12-W12)+1)-AB12,((T12-W12)+1)-Y12),0)</f>
        <v>0</v>
      </c>
      <c r="AA12" s="187">
        <f>IF(AND(B12="G1",M12=""),IF(R12="20'",
VLOOKUP(Z12,Charge!$K$2:$M$5,2,TRUE)+(Z12-VLOOKUP(Z12,Charge!$K$2:$M$5,1,TRUE))*VLOOKUP(Z12,Charge!$K$2:$M$5,3,TRUE),
VLOOKUP(Z12,Charge!$N$2:$P$5,2,TRUE)+(Z12-VLOOKUP(Z12,Charge!$N$2:$P$5,1,TRUE))*VLOOKUP(Z12,Charge!$N$2:$P$5,3,TRUE)),
IF(AND(B12="G1",M12="DG"),IF(R12="20'",
VLOOKUP(Z12,Charge!$R$2:$T$5,2,TRUE)+(Z12-VLOOKUP(Z12,Charge!$R$2:$T$5,1,TRUE))*VLOOKUP(Z12,Charge!$R$2:$T$5,3,TRUE),
VLOOKUP(Z12,Charge!$U$2:$W$5,2,TRUE)+(Z12-VLOOKUP(Z12,Charge!$U$2:$W$5,1,TRUE))*VLOOKUP(Z12,Charge!$U$2:$W$5,3,TRUE)),
IF(AND(B12="G3",M12=""),IF(R12="20'",
VLOOKUP(Z12,Charge!$K$18:$M$21,2,TRUE)+(Z12-VLOOKUP(Z12,Charge!$K$18:$M$21,1,TRUE))*VLOOKUP(Z12,Charge!$K$18:$M$21,3,TRUE),
VLOOKUP(Z12,Charge!$N$18:$P$21,2,TRUE)+(Z12-VLOOKUP(Z12,Charge!$N$18:$P$21,1,TRUE))*VLOOKUP(Z12,Charge!$N$18:$P$21,3,TRUE)),
IF(AND(B12="G3",M12="DG"),IF(R12="20'",
VLOOKUP(Z12,Charge!$R$18:$T$21,2,TRUE)+(Z12-VLOOKUP(Z12,Charge!$R$18:$T$21,1,TRUE))*VLOOKUP(Z12,Charge!$R$18:$T$21,3,TRUE),
VLOOKUP(Z12,Charge!$U$18:$W$21,2,TRUE)+(Z12-VLOOKUP(Z12,Charge!$U$18:$W$21,1,TRUE))*VLOOKUP(Z12,Charge!$U$18:$W$21,3,TRUE)),
IF(AND(B12="G2",M12=""),IF(R12="20'",
VLOOKUP(Z12,Charge!$K$9:$M$12,2,TRUE)+(Z12-VLOOKUP(Z12,Charge!$K$9:$M$12,1,TRUE))*VLOOKUP(Z12,Charge!$K$9:$M$12,3,TRUE),
VLOOKUP(Z12,Charge!$N$9:$P$12,2,TRUE)+(Z12-VLOOKUP(Z12,Charge!$N$9:$P$12,1,TRUE))*VLOOKUP(Z12,Charge!$N$9:$P$12,3,TRUE)),
IF(AND(B12="G2",M12="DG"),IF(R12="20'",
VLOOKUP(Z12,Charge!$R$9:$T$12,2,TRUE)+(Z12-VLOOKUP(Z12,Charge!$R$9:$T$12,1,TRUE))*VLOOKUP(Z12,Charge!$R$9:$T$12,3,TRUE),
VLOOKUP(Z12,Charge!$U$9:$W$12,2,TRUE)+(Z12-VLOOKUP(Z12,Charge!$U$9:$W$12,1,TRUE))*VLOOKUP(Z12,Charge!$U$9:$W$12,3,TRUE)),IF(AND(B12="G4",M12=""),IF(R12="20'",Z12*Charge!$M$25,Z12*Charge!$P$25),IF(AND(B12="G4",M12="DG"),IF(R12="20'",Z12*Charge!$T$25,Z12*Charge!$W$25),0))))))))</f>
        <v>0</v>
      </c>
      <c r="AB12" s="184" t="n"/>
      <c r="AC12" s="184" t="n"/>
      <c r="AD12" s="60">
        <f>IF(M12="DG",3,IF(N12="RF",3,5))+IF(AND(LEFT(C12,3)="BKK",N12="RF",Q12="KTS"),1,0)+IF(Q12="KHS",1,0)</f>
        <v>5</v>
      </c>
      <c r="AE12" s="63">
        <f>(T12-V12)+1</f>
        <v>46321</v>
      </c>
      <c r="AF12" s="63">
        <f>IF(AB12&gt;IF((V12-W12)&gt;0,V12-W12,0),0,IF(AB12&lt;IF((V12-W12)&gt;0,V12-W12,0),IF((V12-W12)&gt;0,V12-W12,0)-AB12,IF((V12-W12)&gt;0,V12-W12,0)))</f>
        <v>0</v>
      </c>
      <c r="AG12" s="187">
        <f>IF(AND(M12=""),IF(R12="20'",
VLOOKUP(AF12,Charge!$K$31:$M$34,2,TRUE)+(AF12-VLOOKUP(AF12,Charge!$K$31:$M$34,1,TRUE))*VLOOKUP(AF12,Charge!$K$31:$M$34,3,TRUE),
VLOOKUP(AF12,Charge!$N$31:$P$34,2,TRUE)+(AF12-VLOOKUP(AF12,Charge!$N$31:$P$34,1,TRUE))*VLOOKUP(AF12,Charge!$N$31:$P$34,3,TRUE)),
IF(AND(M12="DG"),IF(R12="20'",
VLOOKUP(AF12,Charge!$R$31:$T$34,2,TRUE)+(AF12-VLOOKUP(AF12,Charge!$R$31:$T$34,1,TRUE))*VLOOKUP(AF12,Charge!$R$31:$T$34,3,TRUE),
VLOOKUP(AF12,Charge!$U$31:$W$34,2,TRUE)+(AF12-VLOOKUP(AF12,Charge!$U$31:$W$34,1,TRUE))*VLOOKUP(AF12,Charge!$U$31:$W$34,3,TRUE)),0))</f>
        <v>0</v>
      </c>
      <c r="AH12" s="65" t="n"/>
      <c r="AI12" s="65">
        <f>AA12-AH12</f>
        <v>0</v>
      </c>
      <c r="AJ12" s="188" t="n"/>
      <c r="AK12" s="62" t="str">
        <f>VLOOKUP(D12,'2.Bookinglist'!A:CT,40,FALSE)</f>
        <v>Vilaiporn</v>
      </c>
      <c r="AL12" s="60" t="str">
        <f>VLOOKUP(D12,'2.Bookinglist'!A:CW,101,FALSE)</f>
        <v>2026-10-24</v>
      </c>
      <c r="AM12" s="60" t="str">
        <f>VLOOKUP(D12,'2.Bookinglist'!A:BK,63,FALSE)</f>
        <v>LCH27</v>
      </c>
      <c r="AN12" s="62" t="str">
        <f>VLOOKUP(D12,'2.Bookinglist'!A:AZ,52,FALSE)</f>
        <v>Pickup : 2026-10-17, Return : 2026-10-19 
 ** PLEASE CHECK OPEN GATE BEFORE RETURN CNTR **
</v>
      </c>
      <c r="AO12" s="62">
        <f>VLOOKUP(D12,'2.Bookinglist'!A:CY,103,FALSE)</f>
        <v>0</v>
      </c>
    </row>
    <row r="13" ht="12.95" customHeight="1">
      <c r="A13" s="96" t="inlineStr">
        <is>
          <t>SKHU9406910</t>
        </is>
      </c>
      <c r="B13" s="184" t="str">
        <f>IF(C13=Charge!$M$1,Charge!$J$1,IF(C13=Charge!$M$23,Charge!$J$23,IF(C13=Charge!$M$17,Charge!$J$17,IF(C13=Charge!$N$17,Charge!$J$17,Charge!$J$7))))</f>
        <v>G1</v>
      </c>
      <c r="C13" s="61" t="str">
        <f>VLOOKUP(A13,'1.Loading'!A:R,14,FALSE)</f>
        <v>LCH04</v>
      </c>
      <c r="D13" s="61" t="str">
        <f>VLOOKUP(A13,'1.Loading'!A:R,17,FALSE)</f>
        <v>HASLS22261001183</v>
      </c>
      <c r="E13" s="62" t="str">
        <f>VLOOKUP(D13,'2.Bookinglist'!A:CT,27,FALSE)</f>
        <v>YUSEN LOGISTICS (THAILAND) CO., LTD.</v>
      </c>
      <c r="F13" s="62" t="str">
        <f>VLOOKUP(D13,'2.Bookinglist'!A:CT,28,FALSE)</f>
        <v>KURARAY GC ADVANCED MATERIALS CO.,LTD.</v>
      </c>
      <c r="G13" s="60">
        <f>VLOOKUP(D13,'2.Bookinglist'!A:E,5,FALSE)</f>
        <v>0</v>
      </c>
      <c r="H13" s="61" t="str">
        <f>VLOOKUP(D13,'2.Bookinglist'!A:CT,15,FALSE)</f>
        <v>THLCH</v>
      </c>
      <c r="I13" s="61" t="str">
        <f>VLOOKUP(D13,'2.Bookinglist'!A:CT,19,FALSE)</f>
        <v>HKHKG</v>
      </c>
      <c r="J13" s="61">
        <f>VLOOKUP(D13,'2.Bookinglist'!A:CT,26,FALSE)</f>
        <v>0</v>
      </c>
      <c r="K13" s="61" t="str">
        <f>VLOOKUP(A13,'1.Loading'!A:R,5,FALSE)</f>
        <v>45GP</v>
      </c>
      <c r="L13" s="60" t="str">
        <f>VLOOKUP(D13,'2.Bookinglist'!A:CT,85,FALSE)</f>
        <v>CY/CY</v>
      </c>
      <c r="M13" s="60" t="str">
        <f>IF(VLOOKUP(D13,'2.Bookinglist'!A:CT,43,FALSE)=0,"","DG")</f>
        <v/>
      </c>
      <c r="N13" s="60" t="str">
        <f>IF(RIGHT(K13,2)="RE","RF","")</f>
        <v/>
      </c>
      <c r="O13" s="61" t="str">
        <f>VLOOKUP(A13,'1.Loading'!A:R,3,FALSE)</f>
        <v>CMA</v>
      </c>
      <c r="P13" s="61" t="str">
        <f>VLOOKUP(A13,'1.Loading'!A:R,4,FALSE)</f>
        <v>2615N</v>
      </c>
      <c r="Q13" s="61" t="str">
        <f>VLOOKUP(D13,'2.Bookinglist'!A:CT,12,FALSE)</f>
        <v>KTS1</v>
      </c>
      <c r="R13" s="60" t="str">
        <f>IF(LEFT(K13,2)="22","20'","40'")</f>
        <v>40'</v>
      </c>
      <c r="S13" s="185" t="n"/>
      <c r="T13" s="61" t="str">
        <f>VLOOKUP(A13,'1.Loading'!A:R,2,FALSE)</f>
        <v>2026-10-25</v>
      </c>
      <c r="U13" s="63">
        <f>T13-S13</f>
        <v>46320</v>
      </c>
      <c r="V13" s="186" t="n"/>
      <c r="W13" s="61" t="str">
        <f>VLOOKUP(A13,'3.GateMove'!A:D,4,FALSE)</f>
        <v>2026-10-19</v>
      </c>
      <c r="X13" s="63">
        <f>((T13-W13)+1)</f>
        <v>7</v>
      </c>
      <c r="Y13" s="64">
        <f>IF(AND(OR(C13="BKK01",C13="BKK04"),L13="CFS/CY"),0,IF(M13="DG",1,IF(LEFT(C13,3)="LCH",7,IF(C13="BKK02",5,3))))</f>
        <v>7</v>
      </c>
      <c r="Z13" s="63">
        <f>IF(IF(AND(AC13="TML",AB13&gt;0),((T13-W13)+1)-AB13,((T13-W13)+1)-Y13)&gt;0,IF(AND(AC13="TML",AB13&gt;0),((T13-W13)+1)-AB13,((T13-W13)+1)-Y13),0)</f>
        <v>0</v>
      </c>
      <c r="AA13" s="187">
        <f>IF(AND(B13="G1",M13=""),IF(R13="20'",
VLOOKUP(Z13,Charge!$K$2:$M$5,2,TRUE)+(Z13-VLOOKUP(Z13,Charge!$K$2:$M$5,1,TRUE))*VLOOKUP(Z13,Charge!$K$2:$M$5,3,TRUE),
VLOOKUP(Z13,Charge!$N$2:$P$5,2,TRUE)+(Z13-VLOOKUP(Z13,Charge!$N$2:$P$5,1,TRUE))*VLOOKUP(Z13,Charge!$N$2:$P$5,3,TRUE)),
IF(AND(B13="G1",M13="DG"),IF(R13="20'",
VLOOKUP(Z13,Charge!$R$2:$T$5,2,TRUE)+(Z13-VLOOKUP(Z13,Charge!$R$2:$T$5,1,TRUE))*VLOOKUP(Z13,Charge!$R$2:$T$5,3,TRUE),
VLOOKUP(Z13,Charge!$U$2:$W$5,2,TRUE)+(Z13-VLOOKUP(Z13,Charge!$U$2:$W$5,1,TRUE))*VLOOKUP(Z13,Charge!$U$2:$W$5,3,TRUE)),
IF(AND(B13="G3",M13=""),IF(R13="20'",
VLOOKUP(Z13,Charge!$K$18:$M$21,2,TRUE)+(Z13-VLOOKUP(Z13,Charge!$K$18:$M$21,1,TRUE))*VLOOKUP(Z13,Charge!$K$18:$M$21,3,TRUE),
VLOOKUP(Z13,Charge!$N$18:$P$21,2,TRUE)+(Z13-VLOOKUP(Z13,Charge!$N$18:$P$21,1,TRUE))*VLOOKUP(Z13,Charge!$N$18:$P$21,3,TRUE)),
IF(AND(B13="G3",M13="DG"),IF(R13="20'",
VLOOKUP(Z13,Charge!$R$18:$T$21,2,TRUE)+(Z13-VLOOKUP(Z13,Charge!$R$18:$T$21,1,TRUE))*VLOOKUP(Z13,Charge!$R$18:$T$21,3,TRUE),
VLOOKUP(Z13,Charge!$U$18:$W$21,2,TRUE)+(Z13-VLOOKUP(Z13,Charge!$U$18:$W$21,1,TRUE))*VLOOKUP(Z13,Charge!$U$18:$W$21,3,TRUE)),
IF(AND(B13="G2",M13=""),IF(R13="20'",
VLOOKUP(Z13,Charge!$K$9:$M$12,2,TRUE)+(Z13-VLOOKUP(Z13,Charge!$K$9:$M$12,1,TRUE))*VLOOKUP(Z13,Charge!$K$9:$M$12,3,TRUE),
VLOOKUP(Z13,Charge!$N$9:$P$12,2,TRUE)+(Z13-VLOOKUP(Z13,Charge!$N$9:$P$12,1,TRUE))*VLOOKUP(Z13,Charge!$N$9:$P$12,3,TRUE)),
IF(AND(B13="G2",M13="DG"),IF(R13="20'",
VLOOKUP(Z13,Charge!$R$9:$T$12,2,TRUE)+(Z13-VLOOKUP(Z13,Charge!$R$9:$T$12,1,TRUE))*VLOOKUP(Z13,Charge!$R$9:$T$12,3,TRUE),
VLOOKUP(Z13,Charge!$U$9:$W$12,2,TRUE)+(Z13-VLOOKUP(Z13,Charge!$U$9:$W$12,1,TRUE))*VLOOKUP(Z13,Charge!$U$9:$W$12,3,TRUE)),IF(AND(B13="G4",M13=""),IF(R13="20'",Z13*Charge!$M$25,Z13*Charge!$P$25),IF(AND(B13="G4",M13="DG"),IF(R13="20'",Z13*Charge!$T$25,Z13*Charge!$W$25),0))))))))</f>
        <v>0</v>
      </c>
      <c r="AB13" s="184" t="n"/>
      <c r="AC13" s="184" t="n"/>
      <c r="AD13" s="60">
        <f>IF(M13="DG",3,IF(N13="RF",3,5))+IF(AND(LEFT(C13,3)="BKK",N13="RF",Q13="KTS"),1,0)+IF(Q13="KHS",1,0)</f>
        <v>5</v>
      </c>
      <c r="AE13" s="63">
        <f>(T13-V13)+1</f>
        <v>46321</v>
      </c>
      <c r="AF13" s="63">
        <f>IF(AB13&gt;IF((V13-W13)&gt;0,V13-W13,0),0,IF(AB13&lt;IF((V13-W13)&gt;0,V13-W13,0),IF((V13-W13)&gt;0,V13-W13,0)-AB13,IF((V13-W13)&gt;0,V13-W13,0)))</f>
        <v>0</v>
      </c>
      <c r="AG13" s="187">
        <f>IF(AND(M13=""),IF(R13="20'",
VLOOKUP(AF13,Charge!$K$31:$M$34,2,TRUE)+(AF13-VLOOKUP(AF13,Charge!$K$31:$M$34,1,TRUE))*VLOOKUP(AF13,Charge!$K$31:$M$34,3,TRUE),
VLOOKUP(AF13,Charge!$N$31:$P$34,2,TRUE)+(AF13-VLOOKUP(AF13,Charge!$N$31:$P$34,1,TRUE))*VLOOKUP(AF13,Charge!$N$31:$P$34,3,TRUE)),
IF(AND(M13="DG"),IF(R13="20'",
VLOOKUP(AF13,Charge!$R$31:$T$34,2,TRUE)+(AF13-VLOOKUP(AF13,Charge!$R$31:$T$34,1,TRUE))*VLOOKUP(AF13,Charge!$R$31:$T$34,3,TRUE),
VLOOKUP(AF13,Charge!$U$31:$W$34,2,TRUE)+(AF13-VLOOKUP(AF13,Charge!$U$31:$W$34,1,TRUE))*VLOOKUP(AF13,Charge!$U$31:$W$34,3,TRUE)),0))</f>
        <v>0</v>
      </c>
      <c r="AH13" s="65" t="n"/>
      <c r="AI13" s="65">
        <f>AA13-AH13</f>
        <v>0</v>
      </c>
      <c r="AJ13" s="188" t="n"/>
      <c r="AK13" s="62" t="str">
        <f>VLOOKUP(D13,'2.Bookinglist'!A:CT,40,FALSE)</f>
        <v>Vilaiporn</v>
      </c>
      <c r="AL13" s="60" t="str">
        <f>VLOOKUP(D13,'2.Bookinglist'!A:CW,101,FALSE)</f>
        <v>2026-10-24</v>
      </c>
      <c r="AM13" s="60" t="str">
        <f>VLOOKUP(D13,'2.Bookinglist'!A:BK,63,FALSE)</f>
        <v>LCH27</v>
      </c>
      <c r="AN13" s="62" t="str">
        <f>VLOOKUP(D13,'2.Bookinglist'!A:AZ,52,FALSE)</f>
        <v>Pickup : 2026-10-17, Return : 2026-10-19 
 ** PLEASE CHECK OPEN GATE BEFORE RETURN CNTR **
</v>
      </c>
      <c r="AO13" s="62">
        <f>VLOOKUP(D13,'2.Bookinglist'!A:CY,103,FALSE)</f>
        <v>0</v>
      </c>
    </row>
    <row r="14" ht="12.95" customHeight="1">
      <c r="A14" s="96" t="inlineStr">
        <is>
          <t>SKHU9800327</t>
        </is>
      </c>
      <c r="B14" s="184" t="str">
        <f>IF(C14=Charge!$M$1,Charge!$J$1,IF(C14=Charge!$M$23,Charge!$J$23,IF(C14=Charge!$M$17,Charge!$J$17,IF(C14=Charge!$N$17,Charge!$J$17,Charge!$J$7))))</f>
        <v>G1</v>
      </c>
      <c r="C14" s="61" t="str">
        <f>VLOOKUP(A14,'1.Loading'!A:R,14,FALSE)</f>
        <v>LCH04</v>
      </c>
      <c r="D14" s="61" t="str">
        <f>VLOOKUP(A14,'1.Loading'!A:R,17,FALSE)</f>
        <v>HASLS22261001183</v>
      </c>
      <c r="E14" s="62" t="str">
        <f>VLOOKUP(D14,'2.Bookinglist'!A:CT,27,FALSE)</f>
        <v>YUSEN LOGISTICS (THAILAND) CO., LTD.</v>
      </c>
      <c r="F14" s="62" t="str">
        <f>VLOOKUP(D14,'2.Bookinglist'!A:CT,28,FALSE)</f>
        <v>KURARAY GC ADVANCED MATERIALS CO.,LTD.</v>
      </c>
      <c r="G14" s="60">
        <f>VLOOKUP(D14,'2.Bookinglist'!A:E,5,FALSE)</f>
        <v>0</v>
      </c>
      <c r="H14" s="61" t="str">
        <f>VLOOKUP(D14,'2.Bookinglist'!A:CT,15,FALSE)</f>
        <v>THLCH</v>
      </c>
      <c r="I14" s="61" t="str">
        <f>VLOOKUP(D14,'2.Bookinglist'!A:CT,19,FALSE)</f>
        <v>HKHKG</v>
      </c>
      <c r="J14" s="61">
        <f>VLOOKUP(D14,'2.Bookinglist'!A:CT,26,FALSE)</f>
        <v>0</v>
      </c>
      <c r="K14" s="61" t="str">
        <f>VLOOKUP(A14,'1.Loading'!A:R,5,FALSE)</f>
        <v>45GP</v>
      </c>
      <c r="L14" s="60" t="str">
        <f>VLOOKUP(D14,'2.Bookinglist'!A:CT,85,FALSE)</f>
        <v>CY/CY</v>
      </c>
      <c r="M14" s="60" t="str">
        <f>IF(VLOOKUP(D14,'2.Bookinglist'!A:CT,43,FALSE)=0,"","DG")</f>
        <v/>
      </c>
      <c r="N14" s="60" t="str">
        <f>IF(RIGHT(K14,2)="RE","RF","")</f>
        <v/>
      </c>
      <c r="O14" s="61" t="str">
        <f>VLOOKUP(A14,'1.Loading'!A:R,3,FALSE)</f>
        <v>CMA</v>
      </c>
      <c r="P14" s="61" t="str">
        <f>VLOOKUP(A14,'1.Loading'!A:R,4,FALSE)</f>
        <v>2615N</v>
      </c>
      <c r="Q14" s="61" t="str">
        <f>VLOOKUP(D14,'2.Bookinglist'!A:CT,12,FALSE)</f>
        <v>KTS1</v>
      </c>
      <c r="R14" s="60" t="str">
        <f>IF(LEFT(K14,2)="22","20'","40'")</f>
        <v>40'</v>
      </c>
      <c r="S14" s="185" t="n"/>
      <c r="T14" s="61" t="str">
        <f>VLOOKUP(A14,'1.Loading'!A:R,2,FALSE)</f>
        <v>2026-10-25</v>
      </c>
      <c r="U14" s="63">
        <f>T14-S14</f>
        <v>46320</v>
      </c>
      <c r="V14" s="186" t="n"/>
      <c r="W14" s="61" t="str">
        <f>VLOOKUP(A14,'3.GateMove'!A:D,4,FALSE)</f>
        <v>2026-10-19</v>
      </c>
      <c r="X14" s="63">
        <f>((T14-W14)+1)</f>
        <v>7</v>
      </c>
      <c r="Y14" s="64">
        <f>IF(AND(OR(C14="BKK01",C14="BKK04"),L14="CFS/CY"),0,IF(M14="DG",1,IF(LEFT(C14,3)="LCH",7,IF(C14="BKK02",5,3))))</f>
        <v>7</v>
      </c>
      <c r="Z14" s="63">
        <f>IF(IF(AND(AC14="TML",AB14&gt;0),((T14-W14)+1)-AB14,((T14-W14)+1)-Y14)&gt;0,IF(AND(AC14="TML",AB14&gt;0),((T14-W14)+1)-AB14,((T14-W14)+1)-Y14),0)</f>
        <v>0</v>
      </c>
      <c r="AA14" s="187">
        <f>IF(AND(B14="G1",M14=""),IF(R14="20'",
VLOOKUP(Z14,Charge!$K$2:$M$5,2,TRUE)+(Z14-VLOOKUP(Z14,Charge!$K$2:$M$5,1,TRUE))*VLOOKUP(Z14,Charge!$K$2:$M$5,3,TRUE),
VLOOKUP(Z14,Charge!$N$2:$P$5,2,TRUE)+(Z14-VLOOKUP(Z14,Charge!$N$2:$P$5,1,TRUE))*VLOOKUP(Z14,Charge!$N$2:$P$5,3,TRUE)),
IF(AND(B14="G1",M14="DG"),IF(R14="20'",
VLOOKUP(Z14,Charge!$R$2:$T$5,2,TRUE)+(Z14-VLOOKUP(Z14,Charge!$R$2:$T$5,1,TRUE))*VLOOKUP(Z14,Charge!$R$2:$T$5,3,TRUE),
VLOOKUP(Z14,Charge!$U$2:$W$5,2,TRUE)+(Z14-VLOOKUP(Z14,Charge!$U$2:$W$5,1,TRUE))*VLOOKUP(Z14,Charge!$U$2:$W$5,3,TRUE)),
IF(AND(B14="G3",M14=""),IF(R14="20'",
VLOOKUP(Z14,Charge!$K$18:$M$21,2,TRUE)+(Z14-VLOOKUP(Z14,Charge!$K$18:$M$21,1,TRUE))*VLOOKUP(Z14,Charge!$K$18:$M$21,3,TRUE),
VLOOKUP(Z14,Charge!$N$18:$P$21,2,TRUE)+(Z14-VLOOKUP(Z14,Charge!$N$18:$P$21,1,TRUE))*VLOOKUP(Z14,Charge!$N$18:$P$21,3,TRUE)),
IF(AND(B14="G3",M14="DG"),IF(R14="20'",
VLOOKUP(Z14,Charge!$R$18:$T$21,2,TRUE)+(Z14-VLOOKUP(Z14,Charge!$R$18:$T$21,1,TRUE))*VLOOKUP(Z14,Charge!$R$18:$T$21,3,TRUE),
VLOOKUP(Z14,Charge!$U$18:$W$21,2,TRUE)+(Z14-VLOOKUP(Z14,Charge!$U$18:$W$21,1,TRUE))*VLOOKUP(Z14,Charge!$U$18:$W$21,3,TRUE)),
IF(AND(B14="G2",M14=""),IF(R14="20'",
VLOOKUP(Z14,Charge!$K$9:$M$12,2,TRUE)+(Z14-VLOOKUP(Z14,Charge!$K$9:$M$12,1,TRUE))*VLOOKUP(Z14,Charge!$K$9:$M$12,3,TRUE),
VLOOKUP(Z14,Charge!$N$9:$P$12,2,TRUE)+(Z14-VLOOKUP(Z14,Charge!$N$9:$P$12,1,TRUE))*VLOOKUP(Z14,Charge!$N$9:$P$12,3,TRUE)),
IF(AND(B14="G2",M14="DG"),IF(R14="20'",
VLOOKUP(Z14,Charge!$R$9:$T$12,2,TRUE)+(Z14-VLOOKUP(Z14,Charge!$R$9:$T$12,1,TRUE))*VLOOKUP(Z14,Charge!$R$9:$T$12,3,TRUE),
VLOOKUP(Z14,Charge!$U$9:$W$12,2,TRUE)+(Z14-VLOOKUP(Z14,Charge!$U$9:$W$12,1,TRUE))*VLOOKUP(Z14,Charge!$U$9:$W$12,3,TRUE)),IF(AND(B14="G4",M14=""),IF(R14="20'",Z14*Charge!$M$25,Z14*Charge!$P$25),IF(AND(B14="G4",M14="DG"),IF(R14="20'",Z14*Charge!$T$25,Z14*Charge!$W$25),0))))))))</f>
        <v>0</v>
      </c>
      <c r="AB14" s="184" t="n"/>
      <c r="AC14" s="184" t="n"/>
      <c r="AD14" s="60">
        <f>IF(M14="DG",3,IF(N14="RF",3,5))+IF(AND(LEFT(C14,3)="BKK",N14="RF",Q14="KTS"),1,0)+IF(Q14="KHS",1,0)</f>
        <v>5</v>
      </c>
      <c r="AE14" s="63">
        <f>(T14-V14)+1</f>
        <v>46321</v>
      </c>
      <c r="AF14" s="63">
        <f>IF(AB14&gt;IF((V14-W14)&gt;0,V14-W14,0),0,IF(AB14&lt;IF((V14-W14)&gt;0,V14-W14,0),IF((V14-W14)&gt;0,V14-W14,0)-AB14,IF((V14-W14)&gt;0,V14-W14,0)))</f>
        <v>0</v>
      </c>
      <c r="AG14" s="187">
        <f>IF(AND(M14=""),IF(R14="20'",
VLOOKUP(AF14,Charge!$K$31:$M$34,2,TRUE)+(AF14-VLOOKUP(AF14,Charge!$K$31:$M$34,1,TRUE))*VLOOKUP(AF14,Charge!$K$31:$M$34,3,TRUE),
VLOOKUP(AF14,Charge!$N$31:$P$34,2,TRUE)+(AF14-VLOOKUP(AF14,Charge!$N$31:$P$34,1,TRUE))*VLOOKUP(AF14,Charge!$N$31:$P$34,3,TRUE)),
IF(AND(M14="DG"),IF(R14="20'",
VLOOKUP(AF14,Charge!$R$31:$T$34,2,TRUE)+(AF14-VLOOKUP(AF14,Charge!$R$31:$T$34,1,TRUE))*VLOOKUP(AF14,Charge!$R$31:$T$34,3,TRUE),
VLOOKUP(AF14,Charge!$U$31:$W$34,2,TRUE)+(AF14-VLOOKUP(AF14,Charge!$U$31:$W$34,1,TRUE))*VLOOKUP(AF14,Charge!$U$31:$W$34,3,TRUE)),0))</f>
        <v>0</v>
      </c>
      <c r="AH14" s="65" t="n"/>
      <c r="AI14" s="65">
        <f>AA14-AH14</f>
        <v>0</v>
      </c>
      <c r="AJ14" s="188" t="n"/>
      <c r="AK14" s="62" t="str">
        <f>VLOOKUP(D14,'2.Bookinglist'!A:CT,40,FALSE)</f>
        <v>Vilaiporn</v>
      </c>
      <c r="AL14" s="60" t="str">
        <f>VLOOKUP(D14,'2.Bookinglist'!A:CW,101,FALSE)</f>
        <v>2026-10-24</v>
      </c>
      <c r="AM14" s="60" t="str">
        <f>VLOOKUP(D14,'2.Bookinglist'!A:BK,63,FALSE)</f>
        <v>LCH27</v>
      </c>
      <c r="AN14" s="62" t="str">
        <f>VLOOKUP(D14,'2.Bookinglist'!A:AZ,52,FALSE)</f>
        <v>Pickup : 2026-10-17, Return : 2026-10-19 
 ** PLEASE CHECK OPEN GATE BEFORE RETURN CNTR **
</v>
      </c>
      <c r="AO14" s="62">
        <f>VLOOKUP(D14,'2.Bookinglist'!A:CY,103,FALSE)</f>
        <v>0</v>
      </c>
    </row>
    <row r="15" ht="12.95" customHeight="1">
      <c r="A15" s="96" t="inlineStr">
        <is>
          <t>SKHU9812502</t>
        </is>
      </c>
      <c r="B15" s="184" t="str">
        <f>IF(C15=Charge!$M$1,Charge!$J$1,IF(C15=Charge!$M$23,Charge!$J$23,IF(C15=Charge!$M$17,Charge!$J$17,IF(C15=Charge!$N$17,Charge!$J$17,Charge!$J$7))))</f>
        <v>G1</v>
      </c>
      <c r="C15" s="61" t="str">
        <f>VLOOKUP(A15,'1.Loading'!A:R,14,FALSE)</f>
        <v>LCH04</v>
      </c>
      <c r="D15" s="61" t="str">
        <f>VLOOKUP(A15,'1.Loading'!A:R,17,FALSE)</f>
        <v>HASLS22261001183</v>
      </c>
      <c r="E15" s="62" t="str">
        <f>VLOOKUP(D15,'2.Bookinglist'!A:CT,27,FALSE)</f>
        <v>YUSEN LOGISTICS (THAILAND) CO., LTD.</v>
      </c>
      <c r="F15" s="62" t="str">
        <f>VLOOKUP(D15,'2.Bookinglist'!A:CT,28,FALSE)</f>
        <v>KURARAY GC ADVANCED MATERIALS CO.,LTD.</v>
      </c>
      <c r="G15" s="60">
        <f>VLOOKUP(D15,'2.Bookinglist'!A:E,5,FALSE)</f>
        <v>0</v>
      </c>
      <c r="H15" s="61" t="str">
        <f>VLOOKUP(D15,'2.Bookinglist'!A:CT,15,FALSE)</f>
        <v>THLCH</v>
      </c>
      <c r="I15" s="61" t="str">
        <f>VLOOKUP(D15,'2.Bookinglist'!A:CT,19,FALSE)</f>
        <v>HKHKG</v>
      </c>
      <c r="J15" s="61">
        <f>VLOOKUP(D15,'2.Bookinglist'!A:CT,26,FALSE)</f>
        <v>0</v>
      </c>
      <c r="K15" s="61" t="str">
        <f>VLOOKUP(A15,'1.Loading'!A:R,5,FALSE)</f>
        <v>45GP</v>
      </c>
      <c r="L15" s="60" t="str">
        <f>VLOOKUP(D15,'2.Bookinglist'!A:CT,85,FALSE)</f>
        <v>CY/CY</v>
      </c>
      <c r="M15" s="60" t="str">
        <f>IF(VLOOKUP(D15,'2.Bookinglist'!A:CT,43,FALSE)=0,"","DG")</f>
        <v/>
      </c>
      <c r="N15" s="60" t="str">
        <f>IF(RIGHT(K15,2)="RE","RF","")</f>
        <v/>
      </c>
      <c r="O15" s="61" t="str">
        <f>VLOOKUP(A15,'1.Loading'!A:R,3,FALSE)</f>
        <v>CMA</v>
      </c>
      <c r="P15" s="61" t="str">
        <f>VLOOKUP(A15,'1.Loading'!A:R,4,FALSE)</f>
        <v>2615N</v>
      </c>
      <c r="Q15" s="61" t="str">
        <f>VLOOKUP(D15,'2.Bookinglist'!A:CT,12,FALSE)</f>
        <v>KTS1</v>
      </c>
      <c r="R15" s="60" t="str">
        <f>IF(LEFT(K15,2)="22","20'","40'")</f>
        <v>40'</v>
      </c>
      <c r="S15" s="185" t="n"/>
      <c r="T15" s="61" t="str">
        <f>VLOOKUP(A15,'1.Loading'!A:R,2,FALSE)</f>
        <v>2026-10-25</v>
      </c>
      <c r="U15" s="63">
        <f>T15-S15</f>
        <v>46320</v>
      </c>
      <c r="V15" s="186" t="n"/>
      <c r="W15" s="61" t="str">
        <f>VLOOKUP(A15,'3.GateMove'!A:D,4,FALSE)</f>
        <v>2026-10-19</v>
      </c>
      <c r="X15" s="63">
        <f>((T15-W15)+1)</f>
        <v>7</v>
      </c>
      <c r="Y15" s="64">
        <f>IF(AND(OR(C15="BKK01",C15="BKK04"),L15="CFS/CY"),0,IF(M15="DG",1,IF(LEFT(C15,3)="LCH",7,IF(C15="BKK02",5,3))))</f>
        <v>7</v>
      </c>
      <c r="Z15" s="63">
        <f>IF(IF(AND(AC15="TML",AB15&gt;0),((T15-W15)+1)-AB15,((T15-W15)+1)-Y15)&gt;0,IF(AND(AC15="TML",AB15&gt;0),((T15-W15)+1)-AB15,((T15-W15)+1)-Y15),0)</f>
        <v>0</v>
      </c>
      <c r="AA15" s="187">
        <f>IF(AND(B15="G1",M15=""),IF(R15="20'",
VLOOKUP(Z15,Charge!$K$2:$M$5,2,TRUE)+(Z15-VLOOKUP(Z15,Charge!$K$2:$M$5,1,TRUE))*VLOOKUP(Z15,Charge!$K$2:$M$5,3,TRUE),
VLOOKUP(Z15,Charge!$N$2:$P$5,2,TRUE)+(Z15-VLOOKUP(Z15,Charge!$N$2:$P$5,1,TRUE))*VLOOKUP(Z15,Charge!$N$2:$P$5,3,TRUE)),
IF(AND(B15="G1",M15="DG"),IF(R15="20'",
VLOOKUP(Z15,Charge!$R$2:$T$5,2,TRUE)+(Z15-VLOOKUP(Z15,Charge!$R$2:$T$5,1,TRUE))*VLOOKUP(Z15,Charge!$R$2:$T$5,3,TRUE),
VLOOKUP(Z15,Charge!$U$2:$W$5,2,TRUE)+(Z15-VLOOKUP(Z15,Charge!$U$2:$W$5,1,TRUE))*VLOOKUP(Z15,Charge!$U$2:$W$5,3,TRUE)),
IF(AND(B15="G3",M15=""),IF(R15="20'",
VLOOKUP(Z15,Charge!$K$18:$M$21,2,TRUE)+(Z15-VLOOKUP(Z15,Charge!$K$18:$M$21,1,TRUE))*VLOOKUP(Z15,Charge!$K$18:$M$21,3,TRUE),
VLOOKUP(Z15,Charge!$N$18:$P$21,2,TRUE)+(Z15-VLOOKUP(Z15,Charge!$N$18:$P$21,1,TRUE))*VLOOKUP(Z15,Charge!$N$18:$P$21,3,TRUE)),
IF(AND(B15="G3",M15="DG"),IF(R15="20'",
VLOOKUP(Z15,Charge!$R$18:$T$21,2,TRUE)+(Z15-VLOOKUP(Z15,Charge!$R$18:$T$21,1,TRUE))*VLOOKUP(Z15,Charge!$R$18:$T$21,3,TRUE),
VLOOKUP(Z15,Charge!$U$18:$W$21,2,TRUE)+(Z15-VLOOKUP(Z15,Charge!$U$18:$W$21,1,TRUE))*VLOOKUP(Z15,Charge!$U$18:$W$21,3,TRUE)),
IF(AND(B15="G2",M15=""),IF(R15="20'",
VLOOKUP(Z15,Charge!$K$9:$M$12,2,TRUE)+(Z15-VLOOKUP(Z15,Charge!$K$9:$M$12,1,TRUE))*VLOOKUP(Z15,Charge!$K$9:$M$12,3,TRUE),
VLOOKUP(Z15,Charge!$N$9:$P$12,2,TRUE)+(Z15-VLOOKUP(Z15,Charge!$N$9:$P$12,1,TRUE))*VLOOKUP(Z15,Charge!$N$9:$P$12,3,TRUE)),
IF(AND(B15="G2",M15="DG"),IF(R15="20'",
VLOOKUP(Z15,Charge!$R$9:$T$12,2,TRUE)+(Z15-VLOOKUP(Z15,Charge!$R$9:$T$12,1,TRUE))*VLOOKUP(Z15,Charge!$R$9:$T$12,3,TRUE),
VLOOKUP(Z15,Charge!$U$9:$W$12,2,TRUE)+(Z15-VLOOKUP(Z15,Charge!$U$9:$W$12,1,TRUE))*VLOOKUP(Z15,Charge!$U$9:$W$12,3,TRUE)),IF(AND(B15="G4",M15=""),IF(R15="20'",Z15*Charge!$M$25,Z15*Charge!$P$25),IF(AND(B15="G4",M15="DG"),IF(R15="20'",Z15*Charge!$T$25,Z15*Charge!$W$25),0))))))))</f>
        <v>0</v>
      </c>
      <c r="AB15" s="184" t="n"/>
      <c r="AC15" s="184" t="n"/>
      <c r="AD15" s="60">
        <f>IF(M15="DG",3,IF(N15="RF",3,5))+IF(AND(LEFT(C15,3)="BKK",N15="RF",Q15="KTS"),1,0)+IF(Q15="KHS",1,0)</f>
        <v>5</v>
      </c>
      <c r="AE15" s="63">
        <f>(T15-V15)+1</f>
        <v>46321</v>
      </c>
      <c r="AF15" s="63">
        <f>IF(AB15&gt;IF((V15-W15)&gt;0,V15-W15,0),0,IF(AB15&lt;IF((V15-W15)&gt;0,V15-W15,0),IF((V15-W15)&gt;0,V15-W15,0)-AB15,IF((V15-W15)&gt;0,V15-W15,0)))</f>
        <v>0</v>
      </c>
      <c r="AG15" s="187">
        <f>IF(AND(M15=""),IF(R15="20'",
VLOOKUP(AF15,Charge!$K$31:$M$34,2,TRUE)+(AF15-VLOOKUP(AF15,Charge!$K$31:$M$34,1,TRUE))*VLOOKUP(AF15,Charge!$K$31:$M$34,3,TRUE),
VLOOKUP(AF15,Charge!$N$31:$P$34,2,TRUE)+(AF15-VLOOKUP(AF15,Charge!$N$31:$P$34,1,TRUE))*VLOOKUP(AF15,Charge!$N$31:$P$34,3,TRUE)),
IF(AND(M15="DG"),IF(R15="20'",
VLOOKUP(AF15,Charge!$R$31:$T$34,2,TRUE)+(AF15-VLOOKUP(AF15,Charge!$R$31:$T$34,1,TRUE))*VLOOKUP(AF15,Charge!$R$31:$T$34,3,TRUE),
VLOOKUP(AF15,Charge!$U$31:$W$34,2,TRUE)+(AF15-VLOOKUP(AF15,Charge!$U$31:$W$34,1,TRUE))*VLOOKUP(AF15,Charge!$U$31:$W$34,3,TRUE)),0))</f>
        <v>0</v>
      </c>
      <c r="AH15" s="65" t="n"/>
      <c r="AI15" s="65">
        <f>AA15-AH15</f>
        <v>0</v>
      </c>
      <c r="AJ15" s="188" t="n"/>
      <c r="AK15" s="62" t="str">
        <f>VLOOKUP(D15,'2.Bookinglist'!A:CT,40,FALSE)</f>
        <v>Vilaiporn</v>
      </c>
      <c r="AL15" s="60" t="str">
        <f>VLOOKUP(D15,'2.Bookinglist'!A:CW,101,FALSE)</f>
        <v>2026-10-24</v>
      </c>
      <c r="AM15" s="60" t="str">
        <f>VLOOKUP(D15,'2.Bookinglist'!A:BK,63,FALSE)</f>
        <v>LCH27</v>
      </c>
      <c r="AN15" s="62" t="str">
        <f>VLOOKUP(D15,'2.Bookinglist'!A:AZ,52,FALSE)</f>
        <v>Pickup : 2026-10-17, Return : 2026-10-19 
 ** PLEASE CHECK OPEN GATE BEFORE RETURN CNTR **
</v>
      </c>
      <c r="AO15" s="62">
        <f>VLOOKUP(D15,'2.Bookinglist'!A:CY,103,FALSE)</f>
        <v>0</v>
      </c>
    </row>
    <row r="16" ht="12.95" customHeight="1">
      <c r="A16" s="96" t="inlineStr">
        <is>
          <t>SKHU9918623</t>
        </is>
      </c>
      <c r="B16" s="184" t="str">
        <f>IF(C16=Charge!$M$1,Charge!$J$1,IF(C16=Charge!$M$23,Charge!$J$23,IF(C16=Charge!$M$17,Charge!$J$17,IF(C16=Charge!$N$17,Charge!$J$17,Charge!$J$7))))</f>
        <v>G1</v>
      </c>
      <c r="C16" s="61" t="str">
        <f>VLOOKUP(A16,'1.Loading'!A:R,14,FALSE)</f>
        <v>LCH04</v>
      </c>
      <c r="D16" s="61" t="str">
        <f>VLOOKUP(A16,'1.Loading'!A:R,17,FALSE)</f>
        <v>HASLS22261001183</v>
      </c>
      <c r="E16" s="62" t="str">
        <f>VLOOKUP(D16,'2.Bookinglist'!A:CT,27,FALSE)</f>
        <v>YUSEN LOGISTICS (THAILAND) CO., LTD.</v>
      </c>
      <c r="F16" s="62" t="str">
        <f>VLOOKUP(D16,'2.Bookinglist'!A:CT,28,FALSE)</f>
        <v>KURARAY GC ADVANCED MATERIALS CO.,LTD.</v>
      </c>
      <c r="G16" s="60">
        <f>VLOOKUP(D16,'2.Bookinglist'!A:E,5,FALSE)</f>
        <v>0</v>
      </c>
      <c r="H16" s="61" t="str">
        <f>VLOOKUP(D16,'2.Bookinglist'!A:CT,15,FALSE)</f>
        <v>THLCH</v>
      </c>
      <c r="I16" s="61" t="str">
        <f>VLOOKUP(D16,'2.Bookinglist'!A:CT,19,FALSE)</f>
        <v>HKHKG</v>
      </c>
      <c r="J16" s="61">
        <f>VLOOKUP(D16,'2.Bookinglist'!A:CT,26,FALSE)</f>
        <v>0</v>
      </c>
      <c r="K16" s="61" t="str">
        <f>VLOOKUP(A16,'1.Loading'!A:R,5,FALSE)</f>
        <v>45GP</v>
      </c>
      <c r="L16" s="60" t="str">
        <f>VLOOKUP(D16,'2.Bookinglist'!A:CT,85,FALSE)</f>
        <v>CY/CY</v>
      </c>
      <c r="M16" s="60" t="str">
        <f>IF(VLOOKUP(D16,'2.Bookinglist'!A:CT,43,FALSE)=0,"","DG")</f>
        <v/>
      </c>
      <c r="N16" s="60" t="str">
        <f>IF(RIGHT(K16,2)="RE","RF","")</f>
        <v/>
      </c>
      <c r="O16" s="61" t="str">
        <f>VLOOKUP(A16,'1.Loading'!A:R,3,FALSE)</f>
        <v>CMA</v>
      </c>
      <c r="P16" s="61" t="str">
        <f>VLOOKUP(A16,'1.Loading'!A:R,4,FALSE)</f>
        <v>2615N</v>
      </c>
      <c r="Q16" s="61" t="str">
        <f>VLOOKUP(D16,'2.Bookinglist'!A:CT,12,FALSE)</f>
        <v>KTS1</v>
      </c>
      <c r="R16" s="60" t="str">
        <f>IF(LEFT(K16,2)="22","20'","40'")</f>
        <v>40'</v>
      </c>
      <c r="S16" s="185" t="n"/>
      <c r="T16" s="61" t="str">
        <f>VLOOKUP(A16,'1.Loading'!A:R,2,FALSE)</f>
        <v>2026-10-25</v>
      </c>
      <c r="U16" s="63">
        <f>T16-S16</f>
        <v>46320</v>
      </c>
      <c r="V16" s="186" t="n"/>
      <c r="W16" s="61" t="str">
        <f>VLOOKUP(A16,'3.GateMove'!A:D,4,FALSE)</f>
        <v>2026-10-20</v>
      </c>
      <c r="X16" s="63">
        <f>((T16-W16)+1)</f>
        <v>6</v>
      </c>
      <c r="Y16" s="64">
        <f>IF(AND(OR(C16="BKK01",C16="BKK04"),L16="CFS/CY"),0,IF(M16="DG",1,IF(LEFT(C16,3)="LCH",7,IF(C16="BKK02",5,3))))</f>
        <v>7</v>
      </c>
      <c r="Z16" s="63">
        <f>IF(IF(AND(AC16="TML",AB16&gt;0),((T16-W16)+1)-AB16,((T16-W16)+1)-Y16)&gt;0,IF(AND(AC16="TML",AB16&gt;0),((T16-W16)+1)-AB16,((T16-W16)+1)-Y16),0)</f>
        <v>0</v>
      </c>
      <c r="AA16" s="187">
        <f>IF(AND(B16="G1",M16=""),IF(R16="20'",
VLOOKUP(Z16,Charge!$K$2:$M$5,2,TRUE)+(Z16-VLOOKUP(Z16,Charge!$K$2:$M$5,1,TRUE))*VLOOKUP(Z16,Charge!$K$2:$M$5,3,TRUE),
VLOOKUP(Z16,Charge!$N$2:$P$5,2,TRUE)+(Z16-VLOOKUP(Z16,Charge!$N$2:$P$5,1,TRUE))*VLOOKUP(Z16,Charge!$N$2:$P$5,3,TRUE)),
IF(AND(B16="G1",M16="DG"),IF(R16="20'",
VLOOKUP(Z16,Charge!$R$2:$T$5,2,TRUE)+(Z16-VLOOKUP(Z16,Charge!$R$2:$T$5,1,TRUE))*VLOOKUP(Z16,Charge!$R$2:$T$5,3,TRUE),
VLOOKUP(Z16,Charge!$U$2:$W$5,2,TRUE)+(Z16-VLOOKUP(Z16,Charge!$U$2:$W$5,1,TRUE))*VLOOKUP(Z16,Charge!$U$2:$W$5,3,TRUE)),
IF(AND(B16="G3",M16=""),IF(R16="20'",
VLOOKUP(Z16,Charge!$K$18:$M$21,2,TRUE)+(Z16-VLOOKUP(Z16,Charge!$K$18:$M$21,1,TRUE))*VLOOKUP(Z16,Charge!$K$18:$M$21,3,TRUE),
VLOOKUP(Z16,Charge!$N$18:$P$21,2,TRUE)+(Z16-VLOOKUP(Z16,Charge!$N$18:$P$21,1,TRUE))*VLOOKUP(Z16,Charge!$N$18:$P$21,3,TRUE)),
IF(AND(B16="G3",M16="DG"),IF(R16="20'",
VLOOKUP(Z16,Charge!$R$18:$T$21,2,TRUE)+(Z16-VLOOKUP(Z16,Charge!$R$18:$T$21,1,TRUE))*VLOOKUP(Z16,Charge!$R$18:$T$21,3,TRUE),
VLOOKUP(Z16,Charge!$U$18:$W$21,2,TRUE)+(Z16-VLOOKUP(Z16,Charge!$U$18:$W$21,1,TRUE))*VLOOKUP(Z16,Charge!$U$18:$W$21,3,TRUE)),
IF(AND(B16="G2",M16=""),IF(R16="20'",
VLOOKUP(Z16,Charge!$K$9:$M$12,2,TRUE)+(Z16-VLOOKUP(Z16,Charge!$K$9:$M$12,1,TRUE))*VLOOKUP(Z16,Charge!$K$9:$M$12,3,TRUE),
VLOOKUP(Z16,Charge!$N$9:$P$12,2,TRUE)+(Z16-VLOOKUP(Z16,Charge!$N$9:$P$12,1,TRUE))*VLOOKUP(Z16,Charge!$N$9:$P$12,3,TRUE)),
IF(AND(B16="G2",M16="DG"),IF(R16="20'",
VLOOKUP(Z16,Charge!$R$9:$T$12,2,TRUE)+(Z16-VLOOKUP(Z16,Charge!$R$9:$T$12,1,TRUE))*VLOOKUP(Z16,Charge!$R$9:$T$12,3,TRUE),
VLOOKUP(Z16,Charge!$U$9:$W$12,2,TRUE)+(Z16-VLOOKUP(Z16,Charge!$U$9:$W$12,1,TRUE))*VLOOKUP(Z16,Charge!$U$9:$W$12,3,TRUE)),IF(AND(B16="G4",M16=""),IF(R16="20'",Z16*Charge!$M$25,Z16*Charge!$P$25),IF(AND(B16="G4",M16="DG"),IF(R16="20'",Z16*Charge!$T$25,Z16*Charge!$W$25),0))))))))</f>
        <v>0</v>
      </c>
      <c r="AB16" s="184" t="n"/>
      <c r="AC16" s="184" t="n"/>
      <c r="AD16" s="60">
        <f>IF(M16="DG",3,IF(N16="RF",3,5))+IF(AND(LEFT(C16,3)="BKK",N16="RF",Q16="KTS"),1,0)+IF(Q16="KHS",1,0)</f>
        <v>5</v>
      </c>
      <c r="AE16" s="63">
        <f>(T16-V16)+1</f>
        <v>46321</v>
      </c>
      <c r="AF16" s="63">
        <f>IF(AB16&gt;IF((V16-W16)&gt;0,V16-W16,0),0,IF(AB16&lt;IF((V16-W16)&gt;0,V16-W16,0),IF((V16-W16)&gt;0,V16-W16,0)-AB16,IF((V16-W16)&gt;0,V16-W16,0)))</f>
        <v>0</v>
      </c>
      <c r="AG16" s="187">
        <f>IF(AND(M16=""),IF(R16="20'",
VLOOKUP(AF16,Charge!$K$31:$M$34,2,TRUE)+(AF16-VLOOKUP(AF16,Charge!$K$31:$M$34,1,TRUE))*VLOOKUP(AF16,Charge!$K$31:$M$34,3,TRUE),
VLOOKUP(AF16,Charge!$N$31:$P$34,2,TRUE)+(AF16-VLOOKUP(AF16,Charge!$N$31:$P$34,1,TRUE))*VLOOKUP(AF16,Charge!$N$31:$P$34,3,TRUE)),
IF(AND(M16="DG"),IF(R16="20'",
VLOOKUP(AF16,Charge!$R$31:$T$34,2,TRUE)+(AF16-VLOOKUP(AF16,Charge!$R$31:$T$34,1,TRUE))*VLOOKUP(AF16,Charge!$R$31:$T$34,3,TRUE),
VLOOKUP(AF16,Charge!$U$31:$W$34,2,TRUE)+(AF16-VLOOKUP(AF16,Charge!$U$31:$W$34,1,TRUE))*VLOOKUP(AF16,Charge!$U$31:$W$34,3,TRUE)),0))</f>
        <v>0</v>
      </c>
      <c r="AH16" s="65" t="n"/>
      <c r="AI16" s="65">
        <f>AA16-AH16</f>
        <v>0</v>
      </c>
      <c r="AJ16" s="188" t="n"/>
      <c r="AK16" s="62" t="str">
        <f>VLOOKUP(D16,'2.Bookinglist'!A:CT,40,FALSE)</f>
        <v>Vilaiporn</v>
      </c>
      <c r="AL16" s="60" t="str">
        <f>VLOOKUP(D16,'2.Bookinglist'!A:CW,101,FALSE)</f>
        <v>2026-10-24</v>
      </c>
      <c r="AM16" s="60" t="str">
        <f>VLOOKUP(D16,'2.Bookinglist'!A:BK,63,FALSE)</f>
        <v>LCH27</v>
      </c>
      <c r="AN16" s="62" t="str">
        <f>VLOOKUP(D16,'2.Bookinglist'!A:AZ,52,FALSE)</f>
        <v>Pickup : 2026-10-17, Return : 2026-10-19 
 ** PLEASE CHECK OPEN GATE BEFORE RETURN CNTR **
</v>
      </c>
      <c r="AO16" s="62">
        <f>VLOOKUP(D16,'2.Bookinglist'!A:CY,103,FALSE)</f>
        <v>0</v>
      </c>
    </row>
    <row r="17" ht="12.95" customHeight="1">
      <c r="A17" s="96" t="inlineStr">
        <is>
          <t>SKHU9941860</t>
        </is>
      </c>
      <c r="B17" s="184" t="str">
        <f>IF(C17=Charge!$M$1,Charge!$J$1,IF(C17=Charge!$M$23,Charge!$J$23,IF(C17=Charge!$M$17,Charge!$J$17,IF(C17=Charge!$N$17,Charge!$J$17,Charge!$J$7))))</f>
        <v>G1</v>
      </c>
      <c r="C17" s="61" t="str">
        <f>VLOOKUP(A17,'1.Loading'!A:R,14,FALSE)</f>
        <v>LCH04</v>
      </c>
      <c r="D17" s="61" t="str">
        <f>VLOOKUP(A17,'1.Loading'!A:R,17,FALSE)</f>
        <v>HASLS22261001183</v>
      </c>
      <c r="E17" s="62" t="str">
        <f>VLOOKUP(D17,'2.Bookinglist'!A:CT,27,FALSE)</f>
        <v>YUSEN LOGISTICS (THAILAND) CO., LTD.</v>
      </c>
      <c r="F17" s="62" t="str">
        <f>VLOOKUP(D17,'2.Bookinglist'!A:CT,28,FALSE)</f>
        <v>KURARAY GC ADVANCED MATERIALS CO.,LTD.</v>
      </c>
      <c r="G17" s="60">
        <f>VLOOKUP(D17,'2.Bookinglist'!A:E,5,FALSE)</f>
        <v>0</v>
      </c>
      <c r="H17" s="61" t="str">
        <f>VLOOKUP(D17,'2.Bookinglist'!A:CT,15,FALSE)</f>
        <v>THLCH</v>
      </c>
      <c r="I17" s="61" t="str">
        <f>VLOOKUP(D17,'2.Bookinglist'!A:CT,19,FALSE)</f>
        <v>HKHKG</v>
      </c>
      <c r="J17" s="61">
        <f>VLOOKUP(D17,'2.Bookinglist'!A:CT,26,FALSE)</f>
        <v>0</v>
      </c>
      <c r="K17" s="61" t="str">
        <f>VLOOKUP(A17,'1.Loading'!A:R,5,FALSE)</f>
        <v>45GP</v>
      </c>
      <c r="L17" s="60" t="str">
        <f>VLOOKUP(D17,'2.Bookinglist'!A:CT,85,FALSE)</f>
        <v>CY/CY</v>
      </c>
      <c r="M17" s="60" t="str">
        <f>IF(VLOOKUP(D17,'2.Bookinglist'!A:CT,43,FALSE)=0,"","DG")</f>
        <v/>
      </c>
      <c r="N17" s="60" t="str">
        <f>IF(RIGHT(K17,2)="RE","RF","")</f>
        <v/>
      </c>
      <c r="O17" s="61" t="str">
        <f>VLOOKUP(A17,'1.Loading'!A:R,3,FALSE)</f>
        <v>CMA</v>
      </c>
      <c r="P17" s="61" t="str">
        <f>VLOOKUP(A17,'1.Loading'!A:R,4,FALSE)</f>
        <v>2615N</v>
      </c>
      <c r="Q17" s="61" t="str">
        <f>VLOOKUP(D17,'2.Bookinglist'!A:CT,12,FALSE)</f>
        <v>KTS1</v>
      </c>
      <c r="R17" s="60" t="str">
        <f>IF(LEFT(K17,2)="22","20'","40'")</f>
        <v>40'</v>
      </c>
      <c r="S17" s="185" t="n"/>
      <c r="T17" s="61" t="str">
        <f>VLOOKUP(A17,'1.Loading'!A:R,2,FALSE)</f>
        <v>2026-10-25</v>
      </c>
      <c r="U17" s="63">
        <f>T17-S17</f>
        <v>46320</v>
      </c>
      <c r="V17" s="186" t="n"/>
      <c r="W17" s="61" t="str">
        <f>VLOOKUP(A17,'3.GateMove'!A:D,4,FALSE)</f>
        <v>2026-10-19</v>
      </c>
      <c r="X17" s="63">
        <f>((T17-W17)+1)</f>
        <v>7</v>
      </c>
      <c r="Y17" s="64">
        <f>IF(AND(OR(C17="BKK01",C17="BKK04"),L17="CFS/CY"),0,IF(M17="DG",1,IF(LEFT(C17,3)="LCH",7,IF(C17="BKK02",5,3))))</f>
        <v>7</v>
      </c>
      <c r="Z17" s="63">
        <f>IF(IF(AND(AC17="TML",AB17&gt;0),((T17-W17)+1)-AB17,((T17-W17)+1)-Y17)&gt;0,IF(AND(AC17="TML",AB17&gt;0),((T17-W17)+1)-AB17,((T17-W17)+1)-Y17),0)</f>
        <v>0</v>
      </c>
      <c r="AA17" s="187">
        <f>IF(AND(B17="G1",M17=""),IF(R17="20'",
VLOOKUP(Z17,Charge!$K$2:$M$5,2,TRUE)+(Z17-VLOOKUP(Z17,Charge!$K$2:$M$5,1,TRUE))*VLOOKUP(Z17,Charge!$K$2:$M$5,3,TRUE),
VLOOKUP(Z17,Charge!$N$2:$P$5,2,TRUE)+(Z17-VLOOKUP(Z17,Charge!$N$2:$P$5,1,TRUE))*VLOOKUP(Z17,Charge!$N$2:$P$5,3,TRUE)),
IF(AND(B17="G1",M17="DG"),IF(R17="20'",
VLOOKUP(Z17,Charge!$R$2:$T$5,2,TRUE)+(Z17-VLOOKUP(Z17,Charge!$R$2:$T$5,1,TRUE))*VLOOKUP(Z17,Charge!$R$2:$T$5,3,TRUE),
VLOOKUP(Z17,Charge!$U$2:$W$5,2,TRUE)+(Z17-VLOOKUP(Z17,Charge!$U$2:$W$5,1,TRUE))*VLOOKUP(Z17,Charge!$U$2:$W$5,3,TRUE)),
IF(AND(B17="G3",M17=""),IF(R17="20'",
VLOOKUP(Z17,Charge!$K$18:$M$21,2,TRUE)+(Z17-VLOOKUP(Z17,Charge!$K$18:$M$21,1,TRUE))*VLOOKUP(Z17,Charge!$K$18:$M$21,3,TRUE),
VLOOKUP(Z17,Charge!$N$18:$P$21,2,TRUE)+(Z17-VLOOKUP(Z17,Charge!$N$18:$P$21,1,TRUE))*VLOOKUP(Z17,Charge!$N$18:$P$21,3,TRUE)),
IF(AND(B17="G3",M17="DG"),IF(R17="20'",
VLOOKUP(Z17,Charge!$R$18:$T$21,2,TRUE)+(Z17-VLOOKUP(Z17,Charge!$R$18:$T$21,1,TRUE))*VLOOKUP(Z17,Charge!$R$18:$T$21,3,TRUE),
VLOOKUP(Z17,Charge!$U$18:$W$21,2,TRUE)+(Z17-VLOOKUP(Z17,Charge!$U$18:$W$21,1,TRUE))*VLOOKUP(Z17,Charge!$U$18:$W$21,3,TRUE)),
IF(AND(B17="G2",M17=""),IF(R17="20'",
VLOOKUP(Z17,Charge!$K$9:$M$12,2,TRUE)+(Z17-VLOOKUP(Z17,Charge!$K$9:$M$12,1,TRUE))*VLOOKUP(Z17,Charge!$K$9:$M$12,3,TRUE),
VLOOKUP(Z17,Charge!$N$9:$P$12,2,TRUE)+(Z17-VLOOKUP(Z17,Charge!$N$9:$P$12,1,TRUE))*VLOOKUP(Z17,Charge!$N$9:$P$12,3,TRUE)),
IF(AND(B17="G2",M17="DG"),IF(R17="20'",
VLOOKUP(Z17,Charge!$R$9:$T$12,2,TRUE)+(Z17-VLOOKUP(Z17,Charge!$R$9:$T$12,1,TRUE))*VLOOKUP(Z17,Charge!$R$9:$T$12,3,TRUE),
VLOOKUP(Z17,Charge!$U$9:$W$12,2,TRUE)+(Z17-VLOOKUP(Z17,Charge!$U$9:$W$12,1,TRUE))*VLOOKUP(Z17,Charge!$U$9:$W$12,3,TRUE)),IF(AND(B17="G4",M17=""),IF(R17="20'",Z17*Charge!$M$25,Z17*Charge!$P$25),IF(AND(B17="G4",M17="DG"),IF(R17="20'",Z17*Charge!$T$25,Z17*Charge!$W$25),0))))))))</f>
        <v>0</v>
      </c>
      <c r="AB17" s="184" t="n"/>
      <c r="AC17" s="184" t="n"/>
      <c r="AD17" s="60">
        <f>IF(M17="DG",3,IF(N17="RF",3,5))+IF(AND(LEFT(C17,3)="BKK",N17="RF",Q17="KTS"),1,0)+IF(Q17="KHS",1,0)</f>
        <v>5</v>
      </c>
      <c r="AE17" s="63">
        <f>(T17-V17)+1</f>
        <v>46321</v>
      </c>
      <c r="AF17" s="63">
        <f>IF(AB17&gt;IF((V17-W17)&gt;0,V17-W17,0),0,IF(AB17&lt;IF((V17-W17)&gt;0,V17-W17,0),IF((V17-W17)&gt;0,V17-W17,0)-AB17,IF((V17-W17)&gt;0,V17-W17,0)))</f>
        <v>0</v>
      </c>
      <c r="AG17" s="187">
        <f>IF(AND(M17=""),IF(R17="20'",
VLOOKUP(AF17,Charge!$K$31:$M$34,2,TRUE)+(AF17-VLOOKUP(AF17,Charge!$K$31:$M$34,1,TRUE))*VLOOKUP(AF17,Charge!$K$31:$M$34,3,TRUE),
VLOOKUP(AF17,Charge!$N$31:$P$34,2,TRUE)+(AF17-VLOOKUP(AF17,Charge!$N$31:$P$34,1,TRUE))*VLOOKUP(AF17,Charge!$N$31:$P$34,3,TRUE)),
IF(AND(M17="DG"),IF(R17="20'",
VLOOKUP(AF17,Charge!$R$31:$T$34,2,TRUE)+(AF17-VLOOKUP(AF17,Charge!$R$31:$T$34,1,TRUE))*VLOOKUP(AF17,Charge!$R$31:$T$34,3,TRUE),
VLOOKUP(AF17,Charge!$U$31:$W$34,2,TRUE)+(AF17-VLOOKUP(AF17,Charge!$U$31:$W$34,1,TRUE))*VLOOKUP(AF17,Charge!$U$31:$W$34,3,TRUE)),0))</f>
        <v>0</v>
      </c>
      <c r="AH17" s="65" t="n"/>
      <c r="AI17" s="65">
        <f>AA17-AH17</f>
        <v>0</v>
      </c>
      <c r="AJ17" s="188" t="n"/>
      <c r="AK17" s="62" t="str">
        <f>VLOOKUP(D17,'2.Bookinglist'!A:CT,40,FALSE)</f>
        <v>Vilaiporn</v>
      </c>
      <c r="AL17" s="60" t="str">
        <f>VLOOKUP(D17,'2.Bookinglist'!A:CW,101,FALSE)</f>
        <v>2026-10-24</v>
      </c>
      <c r="AM17" s="60" t="str">
        <f>VLOOKUP(D17,'2.Bookinglist'!A:BK,63,FALSE)</f>
        <v>LCH27</v>
      </c>
      <c r="AN17" s="62" t="str">
        <f>VLOOKUP(D17,'2.Bookinglist'!A:AZ,52,FALSE)</f>
        <v>Pickup : 2026-10-17, Return : 2026-10-19 
 ** PLEASE CHECK OPEN GATE BEFORE RETURN CNTR **
</v>
      </c>
      <c r="AO17" s="62">
        <f>VLOOKUP(D17,'2.Bookinglist'!A:CY,103,FALSE)</f>
        <v>0</v>
      </c>
    </row>
    <row r="18" ht="12.95" customHeight="1">
      <c r="A18" s="96" t="inlineStr">
        <is>
          <t>SKHU9952989</t>
        </is>
      </c>
      <c r="B18" s="184" t="str">
        <f>IF(C18=Charge!$M$1,Charge!$J$1,IF(C18=Charge!$M$23,Charge!$J$23,IF(C18=Charge!$M$17,Charge!$J$17,IF(C18=Charge!$N$17,Charge!$J$17,Charge!$J$7))))</f>
        <v>G1</v>
      </c>
      <c r="C18" s="61" t="str">
        <f>VLOOKUP(A18,'1.Loading'!A:R,14,FALSE)</f>
        <v>LCH04</v>
      </c>
      <c r="D18" s="61" t="str">
        <f>VLOOKUP(A18,'1.Loading'!A:R,17,FALSE)</f>
        <v>HASLS22261001183</v>
      </c>
      <c r="E18" s="62" t="str">
        <f>VLOOKUP(D18,'2.Bookinglist'!A:CT,27,FALSE)</f>
        <v>YUSEN LOGISTICS (THAILAND) CO., LTD.</v>
      </c>
      <c r="F18" s="62" t="str">
        <f>VLOOKUP(D18,'2.Bookinglist'!A:CT,28,FALSE)</f>
        <v>KURARAY GC ADVANCED MATERIALS CO.,LTD.</v>
      </c>
      <c r="G18" s="60">
        <f>VLOOKUP(D18,'2.Bookinglist'!A:E,5,FALSE)</f>
        <v>0</v>
      </c>
      <c r="H18" s="61" t="str">
        <f>VLOOKUP(D18,'2.Bookinglist'!A:CT,15,FALSE)</f>
        <v>THLCH</v>
      </c>
      <c r="I18" s="61" t="str">
        <f>VLOOKUP(D18,'2.Bookinglist'!A:CT,19,FALSE)</f>
        <v>HKHKG</v>
      </c>
      <c r="J18" s="61">
        <f>VLOOKUP(D18,'2.Bookinglist'!A:CT,26,FALSE)</f>
        <v>0</v>
      </c>
      <c r="K18" s="61" t="str">
        <f>VLOOKUP(A18,'1.Loading'!A:R,5,FALSE)</f>
        <v>45GP</v>
      </c>
      <c r="L18" s="60" t="str">
        <f>VLOOKUP(D18,'2.Bookinglist'!A:CT,85,FALSE)</f>
        <v>CY/CY</v>
      </c>
      <c r="M18" s="60" t="str">
        <f>IF(VLOOKUP(D18,'2.Bookinglist'!A:CT,43,FALSE)=0,"","DG")</f>
        <v/>
      </c>
      <c r="N18" s="60" t="str">
        <f>IF(RIGHT(K18,2)="RE","RF","")</f>
        <v/>
      </c>
      <c r="O18" s="61" t="str">
        <f>VLOOKUP(A18,'1.Loading'!A:R,3,FALSE)</f>
        <v>CMA</v>
      </c>
      <c r="P18" s="61" t="str">
        <f>VLOOKUP(A18,'1.Loading'!A:R,4,FALSE)</f>
        <v>2615N</v>
      </c>
      <c r="Q18" s="61" t="str">
        <f>VLOOKUP(D18,'2.Bookinglist'!A:CT,12,FALSE)</f>
        <v>KTS1</v>
      </c>
      <c r="R18" s="60" t="str">
        <f>IF(LEFT(K18,2)="22","20'","40'")</f>
        <v>40'</v>
      </c>
      <c r="S18" s="185" t="n"/>
      <c r="T18" s="61" t="str">
        <f>VLOOKUP(A18,'1.Loading'!A:R,2,FALSE)</f>
        <v>2026-10-25</v>
      </c>
      <c r="U18" s="63">
        <f>T18-S18</f>
        <v>46320</v>
      </c>
      <c r="V18" s="186" t="n"/>
      <c r="W18" s="61" t="str">
        <f>VLOOKUP(A18,'3.GateMove'!A:D,4,FALSE)</f>
        <v>2026-10-19</v>
      </c>
      <c r="X18" s="63">
        <f>((T18-W18)+1)</f>
        <v>7</v>
      </c>
      <c r="Y18" s="64">
        <f>IF(AND(OR(C18="BKK01",C18="BKK04"),L18="CFS/CY"),0,IF(M18="DG",1,IF(LEFT(C18,3)="LCH",7,IF(C18="BKK02",5,3))))</f>
        <v>7</v>
      </c>
      <c r="Z18" s="63">
        <f>IF(IF(AND(AC18="TML",AB18&gt;0),((T18-W18)+1)-AB18,((T18-W18)+1)-Y18)&gt;0,IF(AND(AC18="TML",AB18&gt;0),((T18-W18)+1)-AB18,((T18-W18)+1)-Y18),0)</f>
        <v>0</v>
      </c>
      <c r="AA18" s="187">
        <f>IF(AND(B18="G1",M18=""),IF(R18="20'",
VLOOKUP(Z18,Charge!$K$2:$M$5,2,TRUE)+(Z18-VLOOKUP(Z18,Charge!$K$2:$M$5,1,TRUE))*VLOOKUP(Z18,Charge!$K$2:$M$5,3,TRUE),
VLOOKUP(Z18,Charge!$N$2:$P$5,2,TRUE)+(Z18-VLOOKUP(Z18,Charge!$N$2:$P$5,1,TRUE))*VLOOKUP(Z18,Charge!$N$2:$P$5,3,TRUE)),
IF(AND(B18="G1",M18="DG"),IF(R18="20'",
VLOOKUP(Z18,Charge!$R$2:$T$5,2,TRUE)+(Z18-VLOOKUP(Z18,Charge!$R$2:$T$5,1,TRUE))*VLOOKUP(Z18,Charge!$R$2:$T$5,3,TRUE),
VLOOKUP(Z18,Charge!$U$2:$W$5,2,TRUE)+(Z18-VLOOKUP(Z18,Charge!$U$2:$W$5,1,TRUE))*VLOOKUP(Z18,Charge!$U$2:$W$5,3,TRUE)),
IF(AND(B18="G3",M18=""),IF(R18="20'",
VLOOKUP(Z18,Charge!$K$18:$M$21,2,TRUE)+(Z18-VLOOKUP(Z18,Charge!$K$18:$M$21,1,TRUE))*VLOOKUP(Z18,Charge!$K$18:$M$21,3,TRUE),
VLOOKUP(Z18,Charge!$N$18:$P$21,2,TRUE)+(Z18-VLOOKUP(Z18,Charge!$N$18:$P$21,1,TRUE))*VLOOKUP(Z18,Charge!$N$18:$P$21,3,TRUE)),
IF(AND(B18="G3",M18="DG"),IF(R18="20'",
VLOOKUP(Z18,Charge!$R$18:$T$21,2,TRUE)+(Z18-VLOOKUP(Z18,Charge!$R$18:$T$21,1,TRUE))*VLOOKUP(Z18,Charge!$R$18:$T$21,3,TRUE),
VLOOKUP(Z18,Charge!$U$18:$W$21,2,TRUE)+(Z18-VLOOKUP(Z18,Charge!$U$18:$W$21,1,TRUE))*VLOOKUP(Z18,Charge!$U$18:$W$21,3,TRUE)),
IF(AND(B18="G2",M18=""),IF(R18="20'",
VLOOKUP(Z18,Charge!$K$9:$M$12,2,TRUE)+(Z18-VLOOKUP(Z18,Charge!$K$9:$M$12,1,TRUE))*VLOOKUP(Z18,Charge!$K$9:$M$12,3,TRUE),
VLOOKUP(Z18,Charge!$N$9:$P$12,2,TRUE)+(Z18-VLOOKUP(Z18,Charge!$N$9:$P$12,1,TRUE))*VLOOKUP(Z18,Charge!$N$9:$P$12,3,TRUE)),
IF(AND(B18="G2",M18="DG"),IF(R18="20'",
VLOOKUP(Z18,Charge!$R$9:$T$12,2,TRUE)+(Z18-VLOOKUP(Z18,Charge!$R$9:$T$12,1,TRUE))*VLOOKUP(Z18,Charge!$R$9:$T$12,3,TRUE),
VLOOKUP(Z18,Charge!$U$9:$W$12,2,TRUE)+(Z18-VLOOKUP(Z18,Charge!$U$9:$W$12,1,TRUE))*VLOOKUP(Z18,Charge!$U$9:$W$12,3,TRUE)),IF(AND(B18="G4",M18=""),IF(R18="20'",Z18*Charge!$M$25,Z18*Charge!$P$25),IF(AND(B18="G4",M18="DG"),IF(R18="20'",Z18*Charge!$T$25,Z18*Charge!$W$25),0))))))))</f>
        <v>0</v>
      </c>
      <c r="AB18" s="184" t="n"/>
      <c r="AC18" s="184" t="n"/>
      <c r="AD18" s="60">
        <f>IF(M18="DG",3,IF(N18="RF",3,5))+IF(AND(LEFT(C18,3)="BKK",N18="RF",Q18="KTS"),1,0)+IF(Q18="KHS",1,0)</f>
        <v>5</v>
      </c>
      <c r="AE18" s="63">
        <f>(T18-V18)+1</f>
        <v>46321</v>
      </c>
      <c r="AF18" s="63">
        <f>IF(AB18&gt;IF((V18-W18)&gt;0,V18-W18,0),0,IF(AB18&lt;IF((V18-W18)&gt;0,V18-W18,0),IF((V18-W18)&gt;0,V18-W18,0)-AB18,IF((V18-W18)&gt;0,V18-W18,0)))</f>
        <v>0</v>
      </c>
      <c r="AG18" s="187">
        <f>IF(AND(M18=""),IF(R18="20'",
VLOOKUP(AF18,Charge!$K$31:$M$34,2,TRUE)+(AF18-VLOOKUP(AF18,Charge!$K$31:$M$34,1,TRUE))*VLOOKUP(AF18,Charge!$K$31:$M$34,3,TRUE),
VLOOKUP(AF18,Charge!$N$31:$P$34,2,TRUE)+(AF18-VLOOKUP(AF18,Charge!$N$31:$P$34,1,TRUE))*VLOOKUP(AF18,Charge!$N$31:$P$34,3,TRUE)),
IF(AND(M18="DG"),IF(R18="20'",
VLOOKUP(AF18,Charge!$R$31:$T$34,2,TRUE)+(AF18-VLOOKUP(AF18,Charge!$R$31:$T$34,1,TRUE))*VLOOKUP(AF18,Charge!$R$31:$T$34,3,TRUE),
VLOOKUP(AF18,Charge!$U$31:$W$34,2,TRUE)+(AF18-VLOOKUP(AF18,Charge!$U$31:$W$34,1,TRUE))*VLOOKUP(AF18,Charge!$U$31:$W$34,3,TRUE)),0))</f>
        <v>0</v>
      </c>
      <c r="AH18" s="65" t="n"/>
      <c r="AI18" s="65">
        <f>AA18-AH18</f>
        <v>0</v>
      </c>
      <c r="AJ18" s="188" t="n"/>
      <c r="AK18" s="62" t="str">
        <f>VLOOKUP(D18,'2.Bookinglist'!A:CT,40,FALSE)</f>
        <v>Vilaiporn</v>
      </c>
      <c r="AL18" s="60" t="str">
        <f>VLOOKUP(D18,'2.Bookinglist'!A:CW,101,FALSE)</f>
        <v>2026-10-24</v>
      </c>
      <c r="AM18" s="60" t="str">
        <f>VLOOKUP(D18,'2.Bookinglist'!A:BK,63,FALSE)</f>
        <v>LCH27</v>
      </c>
      <c r="AN18" s="62" t="str">
        <f>VLOOKUP(D18,'2.Bookinglist'!A:AZ,52,FALSE)</f>
        <v>Pickup : 2026-10-17, Return : 2026-10-19 
 ** PLEASE CHECK OPEN GATE BEFORE RETURN CNTR **
</v>
      </c>
      <c r="AO18" s="62">
        <f>VLOOKUP(D18,'2.Bookinglist'!A:CY,103,FALSE)</f>
        <v>0</v>
      </c>
    </row>
    <row r="19" ht="12.95" customHeight="1">
      <c r="A19" s="96" t="inlineStr">
        <is>
          <t>SKLU0574227</t>
        </is>
      </c>
      <c r="B19" s="184" t="str">
        <f>IF(C19=Charge!$M$1,Charge!$J$1,IF(C19=Charge!$M$23,Charge!$J$23,IF(C19=Charge!$M$17,Charge!$J$17,IF(C19=Charge!$N$17,Charge!$J$17,Charge!$J$7))))</f>
        <v>G1</v>
      </c>
      <c r="C19" s="61" t="str">
        <f>VLOOKUP(A19,'1.Loading'!A:R,14,FALSE)</f>
        <v>LCH04</v>
      </c>
      <c r="D19" s="61" t="str">
        <f>VLOOKUP(A19,'1.Loading'!A:R,17,FALSE)</f>
        <v>HASLS22261001499</v>
      </c>
      <c r="E19" s="62" t="str">
        <f>VLOOKUP(D19,'2.Bookinglist'!A:CT,27,FALSE)</f>
        <v>UBE CHEMICALS (ASIA) PUBLIC COMPANY LIMITED</v>
      </c>
      <c r="F19" s="62" t="str">
        <f>VLOOKUP(D19,'2.Bookinglist'!A:CT,28,FALSE)</f>
        <v>UBE CHEMICALS (ASIA) PUBLIC COMPANY LIMITED</v>
      </c>
      <c r="G19" s="60">
        <f>VLOOKUP(D19,'2.Bookinglist'!A:E,5,FALSE)</f>
        <v>0</v>
      </c>
      <c r="H19" s="61" t="str">
        <f>VLOOKUP(D19,'2.Bookinglist'!A:CT,15,FALSE)</f>
        <v>THLCH</v>
      </c>
      <c r="I19" s="61" t="str">
        <f>VLOOKUP(D19,'2.Bookinglist'!A:CT,19,FALSE)</f>
        <v>CNSHK</v>
      </c>
      <c r="J19" s="61">
        <f>VLOOKUP(D19,'2.Bookinglist'!A:CT,26,FALSE)</f>
        <v>0</v>
      </c>
      <c r="K19" s="61" t="str">
        <f>VLOOKUP(A19,'1.Loading'!A:R,5,FALSE)</f>
        <v>22GP</v>
      </c>
      <c r="L19" s="60" t="str">
        <f>VLOOKUP(D19,'2.Bookinglist'!A:CT,85,FALSE)</f>
        <v>CY/CY</v>
      </c>
      <c r="M19" s="60" t="str">
        <f>IF(VLOOKUP(D19,'2.Bookinglist'!A:CT,43,FALSE)=0,"","DG")</f>
        <v/>
      </c>
      <c r="N19" s="60" t="str">
        <f>IF(RIGHT(K19,2)="RE","RF","")</f>
        <v/>
      </c>
      <c r="O19" s="61" t="str">
        <f>VLOOKUP(A19,'1.Loading'!A:R,3,FALSE)</f>
        <v>CMA</v>
      </c>
      <c r="P19" s="61" t="str">
        <f>VLOOKUP(A19,'1.Loading'!A:R,4,FALSE)</f>
        <v>2615N</v>
      </c>
      <c r="Q19" s="61" t="str">
        <f>VLOOKUP(D19,'2.Bookinglist'!A:CT,12,FALSE)</f>
        <v>KTS1</v>
      </c>
      <c r="R19" s="60" t="str">
        <f>IF(LEFT(K19,2)="22","20'","40'")</f>
        <v>20'</v>
      </c>
      <c r="S19" s="185" t="n"/>
      <c r="T19" s="61" t="str">
        <f>VLOOKUP(A19,'1.Loading'!A:R,2,FALSE)</f>
        <v>2026-10-25</v>
      </c>
      <c r="U19" s="63">
        <f>T19-S19</f>
        <v>46320</v>
      </c>
      <c r="V19" s="186" t="n"/>
      <c r="W19" s="61" t="str">
        <f>VLOOKUP(A19,'3.GateMove'!A:D,4,FALSE)</f>
        <v>2026-10-22</v>
      </c>
      <c r="X19" s="63">
        <f>((T19-W19)+1)</f>
        <v>4</v>
      </c>
      <c r="Y19" s="64">
        <f>IF(AND(OR(C19="BKK01",C19="BKK04"),L19="CFS/CY"),0,IF(M19="DG",1,IF(LEFT(C19,3)="LCH",7,IF(C19="BKK02",5,3))))</f>
        <v>7</v>
      </c>
      <c r="Z19" s="63">
        <f>IF(IF(AND(AC19="TML",AB19&gt;0),((T19-W19)+1)-AB19,((T19-W19)+1)-Y19)&gt;0,IF(AND(AC19="TML",AB19&gt;0),((T19-W19)+1)-AB19,((T19-W19)+1)-Y19),0)</f>
        <v>0</v>
      </c>
      <c r="AA19" s="187">
        <f>IF(AND(B19="G1",M19=""),IF(R19="20'",
VLOOKUP(Z19,Charge!$K$2:$M$5,2,TRUE)+(Z19-VLOOKUP(Z19,Charge!$K$2:$M$5,1,TRUE))*VLOOKUP(Z19,Charge!$K$2:$M$5,3,TRUE),
VLOOKUP(Z19,Charge!$N$2:$P$5,2,TRUE)+(Z19-VLOOKUP(Z19,Charge!$N$2:$P$5,1,TRUE))*VLOOKUP(Z19,Charge!$N$2:$P$5,3,TRUE)),
IF(AND(B19="G1",M19="DG"),IF(R19="20'",
VLOOKUP(Z19,Charge!$R$2:$T$5,2,TRUE)+(Z19-VLOOKUP(Z19,Charge!$R$2:$T$5,1,TRUE))*VLOOKUP(Z19,Charge!$R$2:$T$5,3,TRUE),
VLOOKUP(Z19,Charge!$U$2:$W$5,2,TRUE)+(Z19-VLOOKUP(Z19,Charge!$U$2:$W$5,1,TRUE))*VLOOKUP(Z19,Charge!$U$2:$W$5,3,TRUE)),
IF(AND(B19="G3",M19=""),IF(R19="20'",
VLOOKUP(Z19,Charge!$K$18:$M$21,2,TRUE)+(Z19-VLOOKUP(Z19,Charge!$K$18:$M$21,1,TRUE))*VLOOKUP(Z19,Charge!$K$18:$M$21,3,TRUE),
VLOOKUP(Z19,Charge!$N$18:$P$21,2,TRUE)+(Z19-VLOOKUP(Z19,Charge!$N$18:$P$21,1,TRUE))*VLOOKUP(Z19,Charge!$N$18:$P$21,3,TRUE)),
IF(AND(B19="G3",M19="DG"),IF(R19="20'",
VLOOKUP(Z19,Charge!$R$18:$T$21,2,TRUE)+(Z19-VLOOKUP(Z19,Charge!$R$18:$T$21,1,TRUE))*VLOOKUP(Z19,Charge!$R$18:$T$21,3,TRUE),
VLOOKUP(Z19,Charge!$U$18:$W$21,2,TRUE)+(Z19-VLOOKUP(Z19,Charge!$U$18:$W$21,1,TRUE))*VLOOKUP(Z19,Charge!$U$18:$W$21,3,TRUE)),
IF(AND(B19="G2",M19=""),IF(R19="20'",
VLOOKUP(Z19,Charge!$K$9:$M$12,2,TRUE)+(Z19-VLOOKUP(Z19,Charge!$K$9:$M$12,1,TRUE))*VLOOKUP(Z19,Charge!$K$9:$M$12,3,TRUE),
VLOOKUP(Z19,Charge!$N$9:$P$12,2,TRUE)+(Z19-VLOOKUP(Z19,Charge!$N$9:$P$12,1,TRUE))*VLOOKUP(Z19,Charge!$N$9:$P$12,3,TRUE)),
IF(AND(B19="G2",M19="DG"),IF(R19="20'",
VLOOKUP(Z19,Charge!$R$9:$T$12,2,TRUE)+(Z19-VLOOKUP(Z19,Charge!$R$9:$T$12,1,TRUE))*VLOOKUP(Z19,Charge!$R$9:$T$12,3,TRUE),
VLOOKUP(Z19,Charge!$U$9:$W$12,2,TRUE)+(Z19-VLOOKUP(Z19,Charge!$U$9:$W$12,1,TRUE))*VLOOKUP(Z19,Charge!$U$9:$W$12,3,TRUE)),IF(AND(B19="G4",M19=""),IF(R19="20'",Z19*Charge!$M$25,Z19*Charge!$P$25),IF(AND(B19="G4",M19="DG"),IF(R19="20'",Z19*Charge!$T$25,Z19*Charge!$W$25),0))))))))</f>
        <v>0</v>
      </c>
      <c r="AB19" s="184" t="n"/>
      <c r="AC19" s="184" t="n"/>
      <c r="AD19" s="60">
        <f>IF(M19="DG",3,IF(N19="RF",3,5))+IF(AND(LEFT(C19,3)="BKK",N19="RF",Q19="KTS"),1,0)+IF(Q19="KHS",1,0)</f>
        <v>5</v>
      </c>
      <c r="AE19" s="63">
        <f>(T19-V19)+1</f>
        <v>46321</v>
      </c>
      <c r="AF19" s="63">
        <f>IF(AB19&gt;IF((V19-W19)&gt;0,V19-W19,0),0,IF(AB19&lt;IF((V19-W19)&gt;0,V19-W19,0),IF((V19-W19)&gt;0,V19-W19,0)-AB19,IF((V19-W19)&gt;0,V19-W19,0)))</f>
        <v>0</v>
      </c>
      <c r="AG19" s="187">
        <f>IF(AND(M19=""),IF(R19="20'",
VLOOKUP(AF19,Charge!$K$31:$M$34,2,TRUE)+(AF19-VLOOKUP(AF19,Charge!$K$31:$M$34,1,TRUE))*VLOOKUP(AF19,Charge!$K$31:$M$34,3,TRUE),
VLOOKUP(AF19,Charge!$N$31:$P$34,2,TRUE)+(AF19-VLOOKUP(AF19,Charge!$N$31:$P$34,1,TRUE))*VLOOKUP(AF19,Charge!$N$31:$P$34,3,TRUE)),
IF(AND(M19="DG"),IF(R19="20'",
VLOOKUP(AF19,Charge!$R$31:$T$34,2,TRUE)+(AF19-VLOOKUP(AF19,Charge!$R$31:$T$34,1,TRUE))*VLOOKUP(AF19,Charge!$R$31:$T$34,3,TRUE),
VLOOKUP(AF19,Charge!$U$31:$W$34,2,TRUE)+(AF19-VLOOKUP(AF19,Charge!$U$31:$W$34,1,TRUE))*VLOOKUP(AF19,Charge!$U$31:$W$34,3,TRUE)),0))</f>
        <v>0</v>
      </c>
      <c r="AH19" s="65" t="n"/>
      <c r="AI19" s="65">
        <f>AA19-AH19</f>
        <v>0</v>
      </c>
      <c r="AJ19" s="188" t="n"/>
      <c r="AK19" s="62" t="str">
        <f>VLOOKUP(D19,'2.Bookinglist'!A:CT,40,FALSE)</f>
        <v>Tarn(Supaporn)</v>
      </c>
      <c r="AL19" s="60" t="str">
        <f>VLOOKUP(D19,'2.Bookinglist'!A:CW,101,FALSE)</f>
        <v>2026-10-24</v>
      </c>
      <c r="AM19" s="60" t="str">
        <f>VLOOKUP(D19,'2.Bookinglist'!A:BK,63,FALSE)</f>
        <v>LCHY5</v>
      </c>
      <c r="AN19" s="62" t="str">
        <f>VLOOKUP(D19,'2.Bookinglist'!A:AZ,52,FALSE)</f>
        <v>CY-RTN : 20-22/10/2026 
SAP SO : 2002054854
RQST CNTR GRADE A</v>
      </c>
      <c r="AO19" s="62">
        <f>VLOOKUP(D19,'2.Bookinglist'!A:CY,103,FALSE)</f>
        <v>0</v>
      </c>
    </row>
    <row r="20" ht="12.95" customHeight="1">
      <c r="A20" s="96" t="inlineStr">
        <is>
          <t>SKLU2324340</t>
        </is>
      </c>
      <c r="B20" s="184" t="str">
        <f>IF(C20=Charge!$M$1,Charge!$J$1,IF(C20=Charge!$M$23,Charge!$J$23,IF(C20=Charge!$M$17,Charge!$J$17,IF(C20=Charge!$N$17,Charge!$J$17,Charge!$J$7))))</f>
        <v>G1</v>
      </c>
      <c r="C20" s="61" t="str">
        <f>VLOOKUP(A20,'1.Loading'!A:R,14,FALSE)</f>
        <v>LCH04</v>
      </c>
      <c r="D20" s="61" t="str">
        <f>VLOOKUP(A20,'1.Loading'!A:R,17,FALSE)</f>
        <v>HASLS22261001499</v>
      </c>
      <c r="E20" s="62" t="str">
        <f>VLOOKUP(D20,'2.Bookinglist'!A:CT,27,FALSE)</f>
        <v>UBE CHEMICALS (ASIA) PUBLIC COMPANY LIMITED</v>
      </c>
      <c r="F20" s="62" t="str">
        <f>VLOOKUP(D20,'2.Bookinglist'!A:CT,28,FALSE)</f>
        <v>UBE CHEMICALS (ASIA) PUBLIC COMPANY LIMITED</v>
      </c>
      <c r="G20" s="60">
        <f>VLOOKUP(D20,'2.Bookinglist'!A:E,5,FALSE)</f>
        <v>0</v>
      </c>
      <c r="H20" s="61" t="str">
        <f>VLOOKUP(D20,'2.Bookinglist'!A:CT,15,FALSE)</f>
        <v>THLCH</v>
      </c>
      <c r="I20" s="61" t="str">
        <f>VLOOKUP(D20,'2.Bookinglist'!A:CT,19,FALSE)</f>
        <v>CNSHK</v>
      </c>
      <c r="J20" s="61">
        <f>VLOOKUP(D20,'2.Bookinglist'!A:CT,26,FALSE)</f>
        <v>0</v>
      </c>
      <c r="K20" s="61" t="str">
        <f>VLOOKUP(A20,'1.Loading'!A:R,5,FALSE)</f>
        <v>22GP</v>
      </c>
      <c r="L20" s="60" t="str">
        <f>VLOOKUP(D20,'2.Bookinglist'!A:CT,85,FALSE)</f>
        <v>CY/CY</v>
      </c>
      <c r="M20" s="60" t="str">
        <f>IF(VLOOKUP(D20,'2.Bookinglist'!A:CT,43,FALSE)=0,"","DG")</f>
        <v/>
      </c>
      <c r="N20" s="60" t="str">
        <f>IF(RIGHT(K20,2)="RE","RF","")</f>
        <v/>
      </c>
      <c r="O20" s="61" t="str">
        <f>VLOOKUP(A20,'1.Loading'!A:R,3,FALSE)</f>
        <v>CMA</v>
      </c>
      <c r="P20" s="61" t="str">
        <f>VLOOKUP(A20,'1.Loading'!A:R,4,FALSE)</f>
        <v>2615N</v>
      </c>
      <c r="Q20" s="61" t="str">
        <f>VLOOKUP(D20,'2.Bookinglist'!A:CT,12,FALSE)</f>
        <v>KTS1</v>
      </c>
      <c r="R20" s="60" t="str">
        <f>IF(LEFT(K20,2)="22","20'","40'")</f>
        <v>20'</v>
      </c>
      <c r="S20" s="185" t="n"/>
      <c r="T20" s="61" t="str">
        <f>VLOOKUP(A20,'1.Loading'!A:R,2,FALSE)</f>
        <v>2026-10-25</v>
      </c>
      <c r="U20" s="63">
        <f>T20-S20</f>
        <v>46320</v>
      </c>
      <c r="V20" s="186" t="n"/>
      <c r="W20" s="61" t="str">
        <f>VLOOKUP(A20,'3.GateMove'!A:D,4,FALSE)</f>
        <v>2026-10-21</v>
      </c>
      <c r="X20" s="63">
        <f>((T20-W20)+1)</f>
        <v>5</v>
      </c>
      <c r="Y20" s="64">
        <f>IF(AND(OR(C20="BKK01",C20="BKK04"),L20="CFS/CY"),0,IF(M20="DG",1,IF(LEFT(C20,3)="LCH",7,IF(C20="BKK02",5,3))))</f>
        <v>7</v>
      </c>
      <c r="Z20" s="63">
        <f>IF(IF(AND(AC20="TML",AB20&gt;0),((T20-W20)+1)-AB20,((T20-W20)+1)-Y20)&gt;0,IF(AND(AC20="TML",AB20&gt;0),((T20-W20)+1)-AB20,((T20-W20)+1)-Y20),0)</f>
        <v>0</v>
      </c>
      <c r="AA20" s="187">
        <f>IF(AND(B20="G1",M20=""),IF(R20="20'",
VLOOKUP(Z20,Charge!$K$2:$M$5,2,TRUE)+(Z20-VLOOKUP(Z20,Charge!$K$2:$M$5,1,TRUE))*VLOOKUP(Z20,Charge!$K$2:$M$5,3,TRUE),
VLOOKUP(Z20,Charge!$N$2:$P$5,2,TRUE)+(Z20-VLOOKUP(Z20,Charge!$N$2:$P$5,1,TRUE))*VLOOKUP(Z20,Charge!$N$2:$P$5,3,TRUE)),
IF(AND(B20="G1",M20="DG"),IF(R20="20'",
VLOOKUP(Z20,Charge!$R$2:$T$5,2,TRUE)+(Z20-VLOOKUP(Z20,Charge!$R$2:$T$5,1,TRUE))*VLOOKUP(Z20,Charge!$R$2:$T$5,3,TRUE),
VLOOKUP(Z20,Charge!$U$2:$W$5,2,TRUE)+(Z20-VLOOKUP(Z20,Charge!$U$2:$W$5,1,TRUE))*VLOOKUP(Z20,Charge!$U$2:$W$5,3,TRUE)),
IF(AND(B20="G3",M20=""),IF(R20="20'",
VLOOKUP(Z20,Charge!$K$18:$M$21,2,TRUE)+(Z20-VLOOKUP(Z20,Charge!$K$18:$M$21,1,TRUE))*VLOOKUP(Z20,Charge!$K$18:$M$21,3,TRUE),
VLOOKUP(Z20,Charge!$N$18:$P$21,2,TRUE)+(Z20-VLOOKUP(Z20,Charge!$N$18:$P$21,1,TRUE))*VLOOKUP(Z20,Charge!$N$18:$P$21,3,TRUE)),
IF(AND(B20="G3",M20="DG"),IF(R20="20'",
VLOOKUP(Z20,Charge!$R$18:$T$21,2,TRUE)+(Z20-VLOOKUP(Z20,Charge!$R$18:$T$21,1,TRUE))*VLOOKUP(Z20,Charge!$R$18:$T$21,3,TRUE),
VLOOKUP(Z20,Charge!$U$18:$W$21,2,TRUE)+(Z20-VLOOKUP(Z20,Charge!$U$18:$W$21,1,TRUE))*VLOOKUP(Z20,Charge!$U$18:$W$21,3,TRUE)),
IF(AND(B20="G2",M20=""),IF(R20="20'",
VLOOKUP(Z20,Charge!$K$9:$M$12,2,TRUE)+(Z20-VLOOKUP(Z20,Charge!$K$9:$M$12,1,TRUE))*VLOOKUP(Z20,Charge!$K$9:$M$12,3,TRUE),
VLOOKUP(Z20,Charge!$N$9:$P$12,2,TRUE)+(Z20-VLOOKUP(Z20,Charge!$N$9:$P$12,1,TRUE))*VLOOKUP(Z20,Charge!$N$9:$P$12,3,TRUE)),
IF(AND(B20="G2",M20="DG"),IF(R20="20'",
VLOOKUP(Z20,Charge!$R$9:$T$12,2,TRUE)+(Z20-VLOOKUP(Z20,Charge!$R$9:$T$12,1,TRUE))*VLOOKUP(Z20,Charge!$R$9:$T$12,3,TRUE),
VLOOKUP(Z20,Charge!$U$9:$W$12,2,TRUE)+(Z20-VLOOKUP(Z20,Charge!$U$9:$W$12,1,TRUE))*VLOOKUP(Z20,Charge!$U$9:$W$12,3,TRUE)),IF(AND(B20="G4",M20=""),IF(R20="20'",Z20*Charge!$M$25,Z20*Charge!$P$25),IF(AND(B20="G4",M20="DG"),IF(R20="20'",Z20*Charge!$T$25,Z20*Charge!$W$25),0))))))))</f>
        <v>0</v>
      </c>
      <c r="AB20" s="184" t="n"/>
      <c r="AC20" s="184" t="n"/>
      <c r="AD20" s="60">
        <f>IF(M20="DG",3,IF(N20="RF",3,5))+IF(AND(LEFT(C20,3)="BKK",N20="RF",Q20="KTS"),1,0)+IF(Q20="KHS",1,0)</f>
        <v>5</v>
      </c>
      <c r="AE20" s="63">
        <f>(T20-V20)+1</f>
        <v>46321</v>
      </c>
      <c r="AF20" s="63">
        <f>IF(AB20&gt;IF((V20-W20)&gt;0,V20-W20,0),0,IF(AB20&lt;IF((V20-W20)&gt;0,V20-W20,0),IF((V20-W20)&gt;0,V20-W20,0)-AB20,IF((V20-W20)&gt;0,V20-W20,0)))</f>
        <v>0</v>
      </c>
      <c r="AG20" s="187">
        <f>IF(AND(M20=""),IF(R20="20'",
VLOOKUP(AF20,Charge!$K$31:$M$34,2,TRUE)+(AF20-VLOOKUP(AF20,Charge!$K$31:$M$34,1,TRUE))*VLOOKUP(AF20,Charge!$K$31:$M$34,3,TRUE),
VLOOKUP(AF20,Charge!$N$31:$P$34,2,TRUE)+(AF20-VLOOKUP(AF20,Charge!$N$31:$P$34,1,TRUE))*VLOOKUP(AF20,Charge!$N$31:$P$34,3,TRUE)),
IF(AND(M20="DG"),IF(R20="20'",
VLOOKUP(AF20,Charge!$R$31:$T$34,2,TRUE)+(AF20-VLOOKUP(AF20,Charge!$R$31:$T$34,1,TRUE))*VLOOKUP(AF20,Charge!$R$31:$T$34,3,TRUE),
VLOOKUP(AF20,Charge!$U$31:$W$34,2,TRUE)+(AF20-VLOOKUP(AF20,Charge!$U$31:$W$34,1,TRUE))*VLOOKUP(AF20,Charge!$U$31:$W$34,3,TRUE)),0))</f>
        <v>0</v>
      </c>
      <c r="AH20" s="65" t="n"/>
      <c r="AI20" s="65">
        <f>AA20-AH20</f>
        <v>0</v>
      </c>
      <c r="AJ20" s="188" t="n"/>
      <c r="AK20" s="62" t="str">
        <f>VLOOKUP(D20,'2.Bookinglist'!A:CT,40,FALSE)</f>
        <v>Tarn(Supaporn)</v>
      </c>
      <c r="AL20" s="60" t="str">
        <f>VLOOKUP(D20,'2.Bookinglist'!A:CW,101,FALSE)</f>
        <v>2026-10-24</v>
      </c>
      <c r="AM20" s="60" t="str">
        <f>VLOOKUP(D20,'2.Bookinglist'!A:BK,63,FALSE)</f>
        <v>LCHY5</v>
      </c>
      <c r="AN20" s="62" t="str">
        <f>VLOOKUP(D20,'2.Bookinglist'!A:AZ,52,FALSE)</f>
        <v>CY-RTN : 20-22/10/2026 
SAP SO : 2002054854
RQST CNTR GRADE A</v>
      </c>
      <c r="AO20" s="62">
        <f>VLOOKUP(D20,'2.Bookinglist'!A:CY,103,FALSE)</f>
        <v>0</v>
      </c>
    </row>
    <row r="21" ht="12.95" customHeight="1">
      <c r="A21" s="96" t="inlineStr">
        <is>
          <t>SKLU2480430</t>
        </is>
      </c>
      <c r="B21" s="184" t="str">
        <f>IF(C21=Charge!$M$1,Charge!$J$1,IF(C21=Charge!$M$23,Charge!$J$23,IF(C21=Charge!$M$17,Charge!$J$17,IF(C21=Charge!$N$17,Charge!$J$17,Charge!$J$7))))</f>
        <v>G1</v>
      </c>
      <c r="C21" s="61" t="str">
        <f>VLOOKUP(A21,'1.Loading'!A:R,14,FALSE)</f>
        <v>LCH04</v>
      </c>
      <c r="D21" s="61" t="str">
        <f>VLOOKUP(A21,'1.Loading'!A:R,17,FALSE)</f>
        <v>HASLS22261000843</v>
      </c>
      <c r="E21" s="62" t="str">
        <f>VLOOKUP(D21,'2.Bookinglist'!A:CT,27,FALSE)</f>
        <v>YUSEN LOGISTICS (THAILAND) CO., LTD.</v>
      </c>
      <c r="F21" s="62" t="str">
        <f>VLOOKUP(D21,'2.Bookinglist'!A:CT,28,FALSE)</f>
        <v>POLYFOOD IMPORT-EXPORT CO.,LTD.</v>
      </c>
      <c r="G21" s="60">
        <f>VLOOKUP(D21,'2.Bookinglist'!A:E,5,FALSE)</f>
        <v>0</v>
      </c>
      <c r="H21" s="61" t="str">
        <f>VLOOKUP(D21,'2.Bookinglist'!A:CT,15,FALSE)</f>
        <v>THLCH</v>
      </c>
      <c r="I21" s="61" t="str">
        <f>VLOOKUP(D21,'2.Bookinglist'!A:CT,19,FALSE)</f>
        <v>HKHKG</v>
      </c>
      <c r="J21" s="61">
        <f>VLOOKUP(D21,'2.Bookinglist'!A:CT,26,FALSE)</f>
        <v>0</v>
      </c>
      <c r="K21" s="61" t="str">
        <f>VLOOKUP(A21,'1.Loading'!A:R,5,FALSE)</f>
        <v>22GP</v>
      </c>
      <c r="L21" s="60" t="str">
        <f>VLOOKUP(D21,'2.Bookinglist'!A:CT,85,FALSE)</f>
        <v>CY/CY</v>
      </c>
      <c r="M21" s="60" t="str">
        <f>IF(VLOOKUP(D21,'2.Bookinglist'!A:CT,43,FALSE)=0,"","DG")</f>
        <v/>
      </c>
      <c r="N21" s="60" t="str">
        <f>IF(RIGHT(K21,2)="RE","RF","")</f>
        <v/>
      </c>
      <c r="O21" s="61" t="str">
        <f>VLOOKUP(A21,'1.Loading'!A:R,3,FALSE)</f>
        <v>CMA</v>
      </c>
      <c r="P21" s="61" t="str">
        <f>VLOOKUP(A21,'1.Loading'!A:R,4,FALSE)</f>
        <v>2615N</v>
      </c>
      <c r="Q21" s="61" t="str">
        <f>VLOOKUP(D21,'2.Bookinglist'!A:CT,12,FALSE)</f>
        <v>KTS1</v>
      </c>
      <c r="R21" s="60" t="str">
        <f>IF(LEFT(K21,2)="22","20'","40'")</f>
        <v>20'</v>
      </c>
      <c r="S21" s="185" t="n"/>
      <c r="T21" s="61" t="str">
        <f>VLOOKUP(A21,'1.Loading'!A:R,2,FALSE)</f>
        <v>2026-10-25</v>
      </c>
      <c r="U21" s="63">
        <f>T21-S21</f>
        <v>46320</v>
      </c>
      <c r="V21" s="186" t="n"/>
      <c r="W21" s="61" t="str">
        <f>VLOOKUP(A21,'3.GateMove'!A:D,4,FALSE)</f>
        <v>2026-10-21</v>
      </c>
      <c r="X21" s="63">
        <f>((T21-W21)+1)</f>
        <v>5</v>
      </c>
      <c r="Y21" s="64">
        <f>IF(AND(OR(C21="BKK01",C21="BKK04"),L21="CFS/CY"),0,IF(M21="DG",1,IF(LEFT(C21,3)="LCH",7,IF(C21="BKK02",5,3))))</f>
        <v>7</v>
      </c>
      <c r="Z21" s="63">
        <f>IF(IF(AND(AC21="TML",AB21&gt;0),((T21-W21)+1)-AB21,((T21-W21)+1)-Y21)&gt;0,IF(AND(AC21="TML",AB21&gt;0),((T21-W21)+1)-AB21,((T21-W21)+1)-Y21),0)</f>
        <v>0</v>
      </c>
      <c r="AA21" s="187">
        <f>IF(AND(B21="G1",M21=""),IF(R21="20'",
VLOOKUP(Z21,Charge!$K$2:$M$5,2,TRUE)+(Z21-VLOOKUP(Z21,Charge!$K$2:$M$5,1,TRUE))*VLOOKUP(Z21,Charge!$K$2:$M$5,3,TRUE),
VLOOKUP(Z21,Charge!$N$2:$P$5,2,TRUE)+(Z21-VLOOKUP(Z21,Charge!$N$2:$P$5,1,TRUE))*VLOOKUP(Z21,Charge!$N$2:$P$5,3,TRUE)),
IF(AND(B21="G1",M21="DG"),IF(R21="20'",
VLOOKUP(Z21,Charge!$R$2:$T$5,2,TRUE)+(Z21-VLOOKUP(Z21,Charge!$R$2:$T$5,1,TRUE))*VLOOKUP(Z21,Charge!$R$2:$T$5,3,TRUE),
VLOOKUP(Z21,Charge!$U$2:$W$5,2,TRUE)+(Z21-VLOOKUP(Z21,Charge!$U$2:$W$5,1,TRUE))*VLOOKUP(Z21,Charge!$U$2:$W$5,3,TRUE)),
IF(AND(B21="G3",M21=""),IF(R21="20'",
VLOOKUP(Z21,Charge!$K$18:$M$21,2,TRUE)+(Z21-VLOOKUP(Z21,Charge!$K$18:$M$21,1,TRUE))*VLOOKUP(Z21,Charge!$K$18:$M$21,3,TRUE),
VLOOKUP(Z21,Charge!$N$18:$P$21,2,TRUE)+(Z21-VLOOKUP(Z21,Charge!$N$18:$P$21,1,TRUE))*VLOOKUP(Z21,Charge!$N$18:$P$21,3,TRUE)),
IF(AND(B21="G3",M21="DG"),IF(R21="20'",
VLOOKUP(Z21,Charge!$R$18:$T$21,2,TRUE)+(Z21-VLOOKUP(Z21,Charge!$R$18:$T$21,1,TRUE))*VLOOKUP(Z21,Charge!$R$18:$T$21,3,TRUE),
VLOOKUP(Z21,Charge!$U$18:$W$21,2,TRUE)+(Z21-VLOOKUP(Z21,Charge!$U$18:$W$21,1,TRUE))*VLOOKUP(Z21,Charge!$U$18:$W$21,3,TRUE)),
IF(AND(B21="G2",M21=""),IF(R21="20'",
VLOOKUP(Z21,Charge!$K$9:$M$12,2,TRUE)+(Z21-VLOOKUP(Z21,Charge!$K$9:$M$12,1,TRUE))*VLOOKUP(Z21,Charge!$K$9:$M$12,3,TRUE),
VLOOKUP(Z21,Charge!$N$9:$P$12,2,TRUE)+(Z21-VLOOKUP(Z21,Charge!$N$9:$P$12,1,TRUE))*VLOOKUP(Z21,Charge!$N$9:$P$12,3,TRUE)),
IF(AND(B21="G2",M21="DG"),IF(R21="20'",
VLOOKUP(Z21,Charge!$R$9:$T$12,2,TRUE)+(Z21-VLOOKUP(Z21,Charge!$R$9:$T$12,1,TRUE))*VLOOKUP(Z21,Charge!$R$9:$T$12,3,TRUE),
VLOOKUP(Z21,Charge!$U$9:$W$12,2,TRUE)+(Z21-VLOOKUP(Z21,Charge!$U$9:$W$12,1,TRUE))*VLOOKUP(Z21,Charge!$U$9:$W$12,3,TRUE)),IF(AND(B21="G4",M21=""),IF(R21="20'",Z21*Charge!$M$25,Z21*Charge!$P$25),IF(AND(B21="G4",M21="DG"),IF(R21="20'",Z21*Charge!$T$25,Z21*Charge!$W$25),0))))))))</f>
        <v>0</v>
      </c>
      <c r="AB21" s="184" t="n"/>
      <c r="AC21" s="184" t="n"/>
      <c r="AD21" s="60">
        <f>IF(M21="DG",3,IF(N21="RF",3,5))+IF(AND(LEFT(C21,3)="BKK",N21="RF",Q21="KTS"),1,0)+IF(Q21="KHS",1,0)</f>
        <v>5</v>
      </c>
      <c r="AE21" s="63">
        <f>(T21-V21)+1</f>
        <v>46321</v>
      </c>
      <c r="AF21" s="63">
        <f>IF(AB21&gt;IF((V21-W21)&gt;0,V21-W21,0),0,IF(AB21&lt;IF((V21-W21)&gt;0,V21-W21,0),IF((V21-W21)&gt;0,V21-W21,0)-AB21,IF((V21-W21)&gt;0,V21-W21,0)))</f>
        <v>0</v>
      </c>
      <c r="AG21" s="187">
        <f>IF(AND(M21=""),IF(R21="20'",
VLOOKUP(AF21,Charge!$K$31:$M$34,2,TRUE)+(AF21-VLOOKUP(AF21,Charge!$K$31:$M$34,1,TRUE))*VLOOKUP(AF21,Charge!$K$31:$M$34,3,TRUE),
VLOOKUP(AF21,Charge!$N$31:$P$34,2,TRUE)+(AF21-VLOOKUP(AF21,Charge!$N$31:$P$34,1,TRUE))*VLOOKUP(AF21,Charge!$N$31:$P$34,3,TRUE)),
IF(AND(M21="DG"),IF(R21="20'",
VLOOKUP(AF21,Charge!$R$31:$T$34,2,TRUE)+(AF21-VLOOKUP(AF21,Charge!$R$31:$T$34,1,TRUE))*VLOOKUP(AF21,Charge!$R$31:$T$34,3,TRUE),
VLOOKUP(AF21,Charge!$U$31:$W$34,2,TRUE)+(AF21-VLOOKUP(AF21,Charge!$U$31:$W$34,1,TRUE))*VLOOKUP(AF21,Charge!$U$31:$W$34,3,TRUE)),0))</f>
        <v>0</v>
      </c>
      <c r="AH21" s="65" t="n"/>
      <c r="AI21" s="65">
        <f>AA21-AH21</f>
        <v>0</v>
      </c>
      <c r="AJ21" s="188" t="n"/>
      <c r="AK21" s="62" t="str">
        <f>VLOOKUP(D21,'2.Bookinglist'!A:CT,40,FALSE)</f>
        <v>Vilaiporn</v>
      </c>
      <c r="AL21" s="60" t="str">
        <f>VLOOKUP(D21,'2.Bookinglist'!A:CW,101,FALSE)</f>
        <v>2026-10-24</v>
      </c>
      <c r="AM21" s="60" t="str">
        <f>VLOOKUP(D21,'2.Bookinglist'!A:BK,63,FALSE)</f>
        <v>LCHY5</v>
      </c>
      <c r="AN21" s="62" t="str">
        <f>VLOOKUP(D21,'2.Bookinglist'!A:AZ,52,FALSE)</f>
        <v>Pickup : 2026-10-19, Return : 2026-10-20 
 </v>
      </c>
      <c r="AO21" s="62">
        <f>VLOOKUP(D21,'2.Bookinglist'!A:CY,103,FALSE)</f>
        <v>0</v>
      </c>
    </row>
    <row r="22" ht="12.95" customHeight="1">
      <c r="A22" s="96" t="inlineStr">
        <is>
          <t>TEMU3392636</t>
        </is>
      </c>
      <c r="B22" s="184" t="str">
        <f>IF(C22=Charge!$M$1,Charge!$J$1,IF(C22=Charge!$M$23,Charge!$J$23,IF(C22=Charge!$M$17,Charge!$J$17,IF(C22=Charge!$N$17,Charge!$J$17,Charge!$J$7))))</f>
        <v>G1</v>
      </c>
      <c r="C22" s="61" t="str">
        <f>VLOOKUP(A22,'1.Loading'!A:R,14,FALSE)</f>
        <v>LCH04</v>
      </c>
      <c r="D22" s="61" t="str">
        <f>VLOOKUP(A22,'1.Loading'!A:R,17,FALSE)</f>
        <v>HASLS22260901642</v>
      </c>
      <c r="E22" s="62" t="str">
        <f>VLOOKUP(D22,'2.Bookinglist'!A:CT,27,FALSE)</f>
        <v>LOUIS ADHESIVE TAPES CO., LTD.</v>
      </c>
      <c r="F22" s="62" t="str">
        <f>VLOOKUP(D22,'2.Bookinglist'!A:CT,28,FALSE)</f>
        <v>LOUIS ADHESIVE TAPES CO., LTD.</v>
      </c>
      <c r="G22" s="60">
        <f>VLOOKUP(D22,'2.Bookinglist'!A:E,5,FALSE)</f>
        <v>0</v>
      </c>
      <c r="H22" s="61" t="str">
        <f>VLOOKUP(D22,'2.Bookinglist'!A:CT,15,FALSE)</f>
        <v>THLCH</v>
      </c>
      <c r="I22" s="61" t="str">
        <f>VLOOKUP(D22,'2.Bookinglist'!A:CT,19,FALSE)</f>
        <v>CNSHK</v>
      </c>
      <c r="J22" s="61">
        <f>VLOOKUP(D22,'2.Bookinglist'!A:CT,26,FALSE)</f>
        <v>0</v>
      </c>
      <c r="K22" s="61" t="str">
        <f>VLOOKUP(A22,'1.Loading'!A:R,5,FALSE)</f>
        <v>22GP</v>
      </c>
      <c r="L22" s="60" t="str">
        <f>VLOOKUP(D22,'2.Bookinglist'!A:CT,85,FALSE)</f>
        <v>CY/CY</v>
      </c>
      <c r="M22" s="60" t="str">
        <f>IF(VLOOKUP(D22,'2.Bookinglist'!A:CT,43,FALSE)=0,"","DG")</f>
        <v/>
      </c>
      <c r="N22" s="60" t="str">
        <f>IF(RIGHT(K22,2)="RE","RF","")</f>
        <v/>
      </c>
      <c r="O22" s="61" t="str">
        <f>VLOOKUP(A22,'1.Loading'!A:R,3,FALSE)</f>
        <v>CMA</v>
      </c>
      <c r="P22" s="61" t="str">
        <f>VLOOKUP(A22,'1.Loading'!A:R,4,FALSE)</f>
        <v>2615N</v>
      </c>
      <c r="Q22" s="61" t="str">
        <f>VLOOKUP(D22,'2.Bookinglist'!A:CT,12,FALSE)</f>
        <v>KTS1</v>
      </c>
      <c r="R22" s="60" t="str">
        <f>IF(LEFT(K22,2)="22","20'","40'")</f>
        <v>20'</v>
      </c>
      <c r="S22" s="185" t="n"/>
      <c r="T22" s="61" t="str">
        <f>VLOOKUP(A22,'1.Loading'!A:R,2,FALSE)</f>
        <v>2026-10-25</v>
      </c>
      <c r="U22" s="63">
        <f>T22-S22</f>
        <v>46320</v>
      </c>
      <c r="V22" s="186" t="n"/>
      <c r="W22" s="61" t="str">
        <f>VLOOKUP(A22,'3.GateMove'!A:D,4,FALSE)</f>
        <v>2026-10-20</v>
      </c>
      <c r="X22" s="63">
        <f>((T22-W22)+1)</f>
        <v>6</v>
      </c>
      <c r="Y22" s="64">
        <f>IF(AND(OR(C22="BKK01",C22="BKK04"),L22="CFS/CY"),0,IF(M22="DG",1,IF(LEFT(C22,3)="LCH",7,IF(C22="BKK02",5,3))))</f>
        <v>7</v>
      </c>
      <c r="Z22" s="63">
        <f>IF(IF(AND(AC22="TML",AB22&gt;0),((T22-W22)+1)-AB22,((T22-W22)+1)-Y22)&gt;0,IF(AND(AC22="TML",AB22&gt;0),((T22-W22)+1)-AB22,((T22-W22)+1)-Y22),0)</f>
        <v>0</v>
      </c>
      <c r="AA22" s="187">
        <f>IF(AND(B22="G1",M22=""),IF(R22="20'",
VLOOKUP(Z22,Charge!$K$2:$M$5,2,TRUE)+(Z22-VLOOKUP(Z22,Charge!$K$2:$M$5,1,TRUE))*VLOOKUP(Z22,Charge!$K$2:$M$5,3,TRUE),
VLOOKUP(Z22,Charge!$N$2:$P$5,2,TRUE)+(Z22-VLOOKUP(Z22,Charge!$N$2:$P$5,1,TRUE))*VLOOKUP(Z22,Charge!$N$2:$P$5,3,TRUE)),
IF(AND(B22="G1",M22="DG"),IF(R22="20'",
VLOOKUP(Z22,Charge!$R$2:$T$5,2,TRUE)+(Z22-VLOOKUP(Z22,Charge!$R$2:$T$5,1,TRUE))*VLOOKUP(Z22,Charge!$R$2:$T$5,3,TRUE),
VLOOKUP(Z22,Charge!$U$2:$W$5,2,TRUE)+(Z22-VLOOKUP(Z22,Charge!$U$2:$W$5,1,TRUE))*VLOOKUP(Z22,Charge!$U$2:$W$5,3,TRUE)),
IF(AND(B22="G3",M22=""),IF(R22="20'",
VLOOKUP(Z22,Charge!$K$18:$M$21,2,TRUE)+(Z22-VLOOKUP(Z22,Charge!$K$18:$M$21,1,TRUE))*VLOOKUP(Z22,Charge!$K$18:$M$21,3,TRUE),
VLOOKUP(Z22,Charge!$N$18:$P$21,2,TRUE)+(Z22-VLOOKUP(Z22,Charge!$N$18:$P$21,1,TRUE))*VLOOKUP(Z22,Charge!$N$18:$P$21,3,TRUE)),
IF(AND(B22="G3",M22="DG"),IF(R22="20'",
VLOOKUP(Z22,Charge!$R$18:$T$21,2,TRUE)+(Z22-VLOOKUP(Z22,Charge!$R$18:$T$21,1,TRUE))*VLOOKUP(Z22,Charge!$R$18:$T$21,3,TRUE),
VLOOKUP(Z22,Charge!$U$18:$W$21,2,TRUE)+(Z22-VLOOKUP(Z22,Charge!$U$18:$W$21,1,TRUE))*VLOOKUP(Z22,Charge!$U$18:$W$21,3,TRUE)),
IF(AND(B22="G2",M22=""),IF(R22="20'",
VLOOKUP(Z22,Charge!$K$9:$M$12,2,TRUE)+(Z22-VLOOKUP(Z22,Charge!$K$9:$M$12,1,TRUE))*VLOOKUP(Z22,Charge!$K$9:$M$12,3,TRUE),
VLOOKUP(Z22,Charge!$N$9:$P$12,2,TRUE)+(Z22-VLOOKUP(Z22,Charge!$N$9:$P$12,1,TRUE))*VLOOKUP(Z22,Charge!$N$9:$P$12,3,TRUE)),
IF(AND(B22="G2",M22="DG"),IF(R22="20'",
VLOOKUP(Z22,Charge!$R$9:$T$12,2,TRUE)+(Z22-VLOOKUP(Z22,Charge!$R$9:$T$12,1,TRUE))*VLOOKUP(Z22,Charge!$R$9:$T$12,3,TRUE),
VLOOKUP(Z22,Charge!$U$9:$W$12,2,TRUE)+(Z22-VLOOKUP(Z22,Charge!$U$9:$W$12,1,TRUE))*VLOOKUP(Z22,Charge!$U$9:$W$12,3,TRUE)),IF(AND(B22="G4",M22=""),IF(R22="20'",Z22*Charge!$M$25,Z22*Charge!$P$25),IF(AND(B22="G4",M22="DG"),IF(R22="20'",Z22*Charge!$T$25,Z22*Charge!$W$25),0))))))))</f>
        <v>0</v>
      </c>
      <c r="AB22" s="184" t="n"/>
      <c r="AC22" s="184" t="n"/>
      <c r="AD22" s="60">
        <f>IF(M22="DG",3,IF(N22="RF",3,5))+IF(AND(LEFT(C22,3)="BKK",N22="RF",Q22="KTS"),1,0)+IF(Q22="KHS",1,0)</f>
        <v>5</v>
      </c>
      <c r="AE22" s="63">
        <f>(T22-V22)+1</f>
        <v>46321</v>
      </c>
      <c r="AF22" s="63">
        <f>IF(AB22&gt;IF((V22-W22)&gt;0,V22-W22,0),0,IF(AB22&lt;IF((V22-W22)&gt;0,V22-W22,0),IF((V22-W22)&gt;0,V22-W22,0)-AB22,IF((V22-W22)&gt;0,V22-W22,0)))</f>
        <v>0</v>
      </c>
      <c r="AG22" s="187">
        <f>IF(AND(M22=""),IF(R22="20'",
VLOOKUP(AF22,Charge!$K$31:$M$34,2,TRUE)+(AF22-VLOOKUP(AF22,Charge!$K$31:$M$34,1,TRUE))*VLOOKUP(AF22,Charge!$K$31:$M$34,3,TRUE),
VLOOKUP(AF22,Charge!$N$31:$P$34,2,TRUE)+(AF22-VLOOKUP(AF22,Charge!$N$31:$P$34,1,TRUE))*VLOOKUP(AF22,Charge!$N$31:$P$34,3,TRUE)),
IF(AND(M22="DG"),IF(R22="20'",
VLOOKUP(AF22,Charge!$R$31:$T$34,2,TRUE)+(AF22-VLOOKUP(AF22,Charge!$R$31:$T$34,1,TRUE))*VLOOKUP(AF22,Charge!$R$31:$T$34,3,TRUE),
VLOOKUP(AF22,Charge!$U$31:$W$34,2,TRUE)+(AF22-VLOOKUP(AF22,Charge!$U$31:$W$34,1,TRUE))*VLOOKUP(AF22,Charge!$U$31:$W$34,3,TRUE)),0))</f>
        <v>0</v>
      </c>
      <c r="AH22" s="65" t="n"/>
      <c r="AI22" s="65">
        <f>AA22-AH22</f>
        <v>0</v>
      </c>
      <c r="AJ22" s="188" t="n"/>
      <c r="AK22" s="62" t="str">
        <f>VLOOKUP(D22,'2.Bookinglist'!A:CT,40,FALSE)</f>
        <v>Arunphat W. (Aiw)</v>
      </c>
      <c r="AL22" s="60" t="str">
        <f>VLOOKUP(D22,'2.Bookinglist'!A:CW,101,FALSE)</f>
        <v>2026-10-24</v>
      </c>
      <c r="AM22" s="60" t="str">
        <f>VLOOKUP(D22,'2.Bookinglist'!A:BK,63,FALSE)</f>
        <v>LCHY5</v>
      </c>
      <c r="AN22" s="62" t="str">
        <f>VLOOKUP(D22,'2.Bookinglist'!A:AZ,52,FALSE)</f>
        <v>Pickup : 2026-10-19, Return : 2026-10-20 
 ** PLEASE CHECK OPEN GATE BEFORE RETURN CNTR **
</v>
      </c>
      <c r="AO22" s="62">
        <f>VLOOKUP(D22,'2.Bookinglist'!A:CY,103,FALSE)</f>
        <v>0</v>
      </c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2026-10-25T02:22:42Z</dcterms:modified>
  <cp:lastModifiedBy>office4</cp:lastModifiedBy>
  <cp:lastPrinted>2019-11-19T03:03:39Z</cp:lastPrinted>
</cp:coreProperties>
</file>