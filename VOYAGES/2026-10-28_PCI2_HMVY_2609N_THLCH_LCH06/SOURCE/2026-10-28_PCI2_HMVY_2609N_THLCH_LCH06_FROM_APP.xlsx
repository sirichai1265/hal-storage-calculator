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<sst xmlns="http://schemas.openxmlformats.org/spreadsheetml/2006/main" count="21673" uniqueCount="1945">
  <si>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</si>
  <si>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</si>
  <si>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</si>
  <si>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</si>
  <si>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</si>
  <si>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</si>
  <si>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</si>
  <si>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</si>
  <si>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</si>
  <si>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</si>
  <si>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</si>
  <si>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</si>
  <si>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</si>
  <si>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</si>
  <si>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</si>
  <si>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</si>
  <si>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</si>
  <si>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</si>
  <si>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</si>
  <si>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</si>
  <si>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</si>
  <si>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</si>
  <si>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</si>
  <si>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</si>
  <si>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</si>
  <si>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</si>
  <si>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</si>
  <si>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</si>
  <si>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</si>
  <si>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HALU5646756</t>
  </si>
  <si>
    <t>2026-10-28</t>
  </si>
  <si>
    <t>HMVY</t>
  </si>
  <si>
    <t>2609N</t>
  </si>
  <si>
    <t>45GP</t>
  </si>
  <si>
    <t>SD</t>
  </si>
  <si>
    <t>THLCH</t>
  </si>
  <si>
    <t>CNSHA</t>
  </si>
  <si>
    <t>F</t>
  </si>
  <si>
    <t>OWN</t>
  </si>
  <si>
    <t>VFL</t>
  </si>
  <si>
    <t>LCH06</t>
  </si>
  <si>
    <t>LCH</t>
  </si>
  <si>
    <t>TH</t>
  </si>
  <si>
    <t>HASLS22261000285</t>
  </si>
  <si>
    <t>N</t>
  </si>
  <si>
    <t>PCI</t>
  </si>
  <si>
    <t>SHK14003</t>
  </si>
  <si>
    <t>AGC VINYTHAI PUBLIC COMPANY LIMITED</t>
  </si>
  <si>
    <t>VFD</t>
  </si>
  <si>
    <t>SHENZHEN COMFLEX  INDUSTRY LIMITED</t>
  </si>
  <si>
    <t>SHAW5</t>
  </si>
  <si>
    <t>HALU5669941</t>
  </si>
  <si>
    <t>THSRP</t>
  </si>
  <si>
    <t>HASLS22261001024</t>
  </si>
  <si>
    <t>SHA15002</t>
  </si>
  <si>
    <t>I.P. ONE COMPANY LIMITED</t>
  </si>
  <si>
    <t>HAINING XINRE E-COMMERCE CO.,LTD.</t>
  </si>
  <si>
    <t>HALU5675137</t>
  </si>
  <si>
    <t>SHK15002</t>
  </si>
  <si>
    <t>HALU5679488</t>
  </si>
  <si>
    <t>SEGU5477280</t>
  </si>
  <si>
    <t>L/T</t>
  </si>
  <si>
    <t>HASLS22261000802</t>
  </si>
  <si>
    <t>TSN15L06</t>
  </si>
  <si>
    <t>KLOECKNER PENTAPLAST(THAILAND)LTD.</t>
  </si>
  <si>
    <t>JIANGYIN PROPACK PACKING CO., LTD.</t>
  </si>
  <si>
    <t>SEGU5420710</t>
  </si>
  <si>
    <t>SHA15L15</t>
  </si>
  <si>
    <t>HALU5615138</t>
  </si>
  <si>
    <t>KRPUS</t>
  </si>
  <si>
    <t>JPMYJ</t>
  </si>
  <si>
    <t>HASLS22260901683</t>
  </si>
  <si>
    <t>Y</t>
  </si>
  <si>
    <t>TAO11002</t>
  </si>
  <si>
    <t>PTT GLOBAL CHEMICAL PUBLIC COMPANY</t>
  </si>
  <si>
    <t>VED</t>
  </si>
  <si>
    <t>INABATA &amp; CO.,LTD</t>
  </si>
  <si>
    <t>MYJ01</t>
  </si>
  <si>
    <t>BMOU6062660</t>
  </si>
  <si>
    <t>HASLS22260900442</t>
  </si>
  <si>
    <t>SHA16L08</t>
  </si>
  <si>
    <t>SHUN YI INTERNATIONAL TRADING</t>
  </si>
  <si>
    <t>RTN</t>
  </si>
  <si>
    <t>JIANGSU LEE &amp; MAN PAPER MFG.</t>
  </si>
  <si>
    <t>BMOU6073217</t>
  </si>
  <si>
    <t>HASLS22261000614</t>
  </si>
  <si>
    <t>YUSEN LOGISTICS (THAILAND) CO., LTD</t>
  </si>
  <si>
    <t>YUSEN LOGISTICS (CHINA) CO., LTD</t>
  </si>
  <si>
    <t>HALU5690337</t>
  </si>
  <si>
    <t>SHA15005</t>
  </si>
  <si>
    <t>FCIU7279290</t>
  </si>
  <si>
    <t>SHA17L10</t>
  </si>
  <si>
    <t>HALU5633743</t>
  </si>
  <si>
    <t>TAO13013</t>
  </si>
  <si>
    <t>BEAU2351608</t>
  </si>
  <si>
    <t>22GP</t>
  </si>
  <si>
    <t>JPTRG</t>
  </si>
  <si>
    <t>HASLS22260900170</t>
  </si>
  <si>
    <t>TSN16L03</t>
  </si>
  <si>
    <t>GC-M PTA COMPANY LIMITED</t>
  </si>
  <si>
    <t>TOYOBO CO.,LTD</t>
  </si>
  <si>
    <t>TRG02</t>
  </si>
  <si>
    <t>HALU2085029</t>
  </si>
  <si>
    <t>HASLS22261001034</t>
  </si>
  <si>
    <t>TXG15010</t>
  </si>
  <si>
    <t>SEFAR (THAILAND) CO.,LTD.</t>
  </si>
  <si>
    <t>WUXI JINTONG HIGH PERFORMANCE</t>
  </si>
  <si>
    <t>SKHU6349631</t>
  </si>
  <si>
    <t>ONE</t>
  </si>
  <si>
    <t>HASLS22260802359</t>
  </si>
  <si>
    <t>K0120023</t>
  </si>
  <si>
    <t>GC MARKETING SOLUTIONS (SHANGHAI)</t>
  </si>
  <si>
    <t>SKHU6566175</t>
  </si>
  <si>
    <t>HASLS22261001110</t>
  </si>
  <si>
    <t>MORRISON EXPRESS CORP(THAILAND)LTD.</t>
  </si>
  <si>
    <t>MORRISON EXPRESS CORP. (SHANGHAI)</t>
  </si>
  <si>
    <t>SKHU9609630</t>
  </si>
  <si>
    <t>HASLS22260901902</t>
  </si>
  <si>
    <t>ONL</t>
  </si>
  <si>
    <t>SKHU9614385</t>
  </si>
  <si>
    <t>SKHU9966196</t>
  </si>
  <si>
    <t>SEKU4435710</t>
  </si>
  <si>
    <t>SKHU6534943</t>
  </si>
  <si>
    <t>SKHU6536910</t>
  </si>
  <si>
    <t>SKHU8717394</t>
  </si>
  <si>
    <t>HASLS22261001671</t>
  </si>
  <si>
    <t>V SMART NETWORK CO.,LTD.</t>
  </si>
  <si>
    <t>BOSHI INTERNATIONAL LOGISTICS</t>
  </si>
  <si>
    <t>GCXU5082616</t>
  </si>
  <si>
    <t>HASLS22260902492</t>
  </si>
  <si>
    <t>THAI POLYETHYLENE CO., LTD.</t>
  </si>
  <si>
    <t>TO ORDER</t>
  </si>
  <si>
    <t>SHANGHAI LIGHT INDUSTRY AND TEXTILE</t>
  </si>
  <si>
    <t>GCXU5086843</t>
  </si>
  <si>
    <t>FBLU0031010</t>
  </si>
  <si>
    <t>SKHU9820869</t>
  </si>
  <si>
    <t>HASLS22261000876</t>
  </si>
  <si>
    <t>SKHU9207137</t>
  </si>
  <si>
    <t>SKHU9511978</t>
  </si>
  <si>
    <t>SKHU9553438</t>
  </si>
  <si>
    <t>SKHU6315858</t>
  </si>
  <si>
    <t>SKHU6406222</t>
  </si>
  <si>
    <t>SKHU6406259</t>
  </si>
  <si>
    <t>SKHU6516533</t>
  </si>
  <si>
    <t>SKHU6621919</t>
  </si>
  <si>
    <t>SKHU8907861</t>
  </si>
  <si>
    <t>SKHU9112685</t>
  </si>
  <si>
    <t>TCLU9453372</t>
  </si>
  <si>
    <t>TCNU5178710</t>
  </si>
  <si>
    <t>TCNU6103969</t>
  </si>
  <si>
    <t>TRHU4756470</t>
  </si>
  <si>
    <t>TRHU6239199</t>
  </si>
  <si>
    <t>SKHU9963129</t>
  </si>
  <si>
    <t>TCNU5883578</t>
  </si>
  <si>
    <t>BMOU5910828</t>
  </si>
  <si>
    <t>HASLS22261000875</t>
  </si>
  <si>
    <t>SKHU6522644</t>
  </si>
  <si>
    <t>SKHU8121698</t>
  </si>
  <si>
    <t>SKHU9945995</t>
  </si>
  <si>
    <t>SKHU9966848</t>
  </si>
  <si>
    <t>SKHU6404600</t>
  </si>
  <si>
    <t>HASLS22261001211</t>
  </si>
  <si>
    <t>BANDAI LOGIPAL (THAILAND) CO., LTD.</t>
  </si>
  <si>
    <t>BANDAI LOGIPAL (SHANG HAI) LTD.</t>
  </si>
  <si>
    <t>SKHU8921509</t>
  </si>
  <si>
    <t>HASLS22260902721</t>
  </si>
  <si>
    <t>THAI FOENG INTERNATIONAL CO., LTD.</t>
  </si>
  <si>
    <t>TAICANG KECHUANGXIN PLASTIC TRADING</t>
  </si>
  <si>
    <t>SKHU6475970</t>
  </si>
  <si>
    <t>HASLS22261000715</t>
  </si>
  <si>
    <t>TAICANG KECHUANGXIN PLASTIC</t>
  </si>
  <si>
    <t>SKHU8415413</t>
  </si>
  <si>
    <t>SKHU6618411</t>
  </si>
  <si>
    <t>HASLS22261001467</t>
  </si>
  <si>
    <t>FUZIN PLASTIC CO.,LTD.</t>
  </si>
  <si>
    <t>QINGTIAN RUINUO IMPORT &amp; EXPORT</t>
  </si>
  <si>
    <t>HALU5659080</t>
  </si>
  <si>
    <t>HASLS22260901682</t>
  </si>
  <si>
    <t>SKHU9304965</t>
  </si>
  <si>
    <t>SKHU6476750</t>
  </si>
  <si>
    <t>TCLU8531573</t>
  </si>
  <si>
    <t>DFSU7522850</t>
  </si>
  <si>
    <t>HASLS22261001354</t>
  </si>
  <si>
    <t>KCT IMPORT EXPORT CO.,LTD.</t>
  </si>
  <si>
    <t>WINBRIGHT INTERNATIONAL TRADING</t>
  </si>
  <si>
    <t>HALU5650930</t>
  </si>
  <si>
    <t>HASLS22260902173</t>
  </si>
  <si>
    <t>YUSEN LOGISTICS (CHINA) CO., LTD.</t>
  </si>
  <si>
    <t>SKHU9407900</t>
  </si>
  <si>
    <t>HASLS22260902149</t>
  </si>
  <si>
    <t>DOUBLE A (1991) PUBLIC COMPANY</t>
  </si>
  <si>
    <t>DOUBLE A INTERNATIONAL TRADING</t>
  </si>
  <si>
    <t>SKHU9959474</t>
  </si>
  <si>
    <t>SKHU9108962</t>
  </si>
  <si>
    <t>HASLS22261000220</t>
  </si>
  <si>
    <t>EXPEDITORS THAILAND LTD.</t>
  </si>
  <si>
    <t>BEIJING KANG JIE KONG INTL CARGO</t>
  </si>
  <si>
    <t>SKHU9410000</t>
  </si>
  <si>
    <t>SKHU9513040</t>
  </si>
  <si>
    <t>SKHU8716253</t>
  </si>
  <si>
    <t>HASLS22261001079</t>
  </si>
  <si>
    <t>CARGO NETWORK DELIVERY (THAILAND)</t>
  </si>
  <si>
    <t>SHANGHAI JOOSE INTERNATIONAL</t>
  </si>
  <si>
    <t>SKHU9544586</t>
  </si>
  <si>
    <t>HASLS22260902449</t>
  </si>
  <si>
    <t>SBS LOGISTICS (THAILAND) CO.,LTD.</t>
  </si>
  <si>
    <t>RICOH INTERNATIONAL FREIGHT</t>
  </si>
  <si>
    <t>HLHU8324656</t>
  </si>
  <si>
    <t>SKHU6426363</t>
  </si>
  <si>
    <t>SKHU6448568</t>
  </si>
  <si>
    <t>SKHU6503618</t>
  </si>
  <si>
    <t>SKHU6520071</t>
  </si>
  <si>
    <t>SKHU8125332</t>
  </si>
  <si>
    <t>SKHU8126426</t>
  </si>
  <si>
    <t>SKHU8131850</t>
  </si>
  <si>
    <t>SKHU8424190</t>
  </si>
  <si>
    <t>TRHU5293894</t>
  </si>
  <si>
    <t>SKHU6444520</t>
  </si>
  <si>
    <t>HASLS22261001118</t>
  </si>
  <si>
    <t>FIRST MATERIAL SCIENCE (THAILAND)</t>
  </si>
  <si>
    <t>HANGZHOU FIRST APPLIED MATERIAL</t>
  </si>
  <si>
    <t>SKHU9004119</t>
  </si>
  <si>
    <t>SKHU9419265</t>
  </si>
  <si>
    <t>TEMU6805116</t>
  </si>
  <si>
    <t>SKHU6527409</t>
  </si>
  <si>
    <t>SKHU9403124</t>
  </si>
  <si>
    <t>SKHU9546779</t>
  </si>
  <si>
    <t>SKHU9622061</t>
  </si>
  <si>
    <t>SKHU9814911</t>
  </si>
  <si>
    <t>SKHU9966940</t>
  </si>
  <si>
    <t>TRHU5289533</t>
  </si>
  <si>
    <t>SKHU9950625</t>
  </si>
  <si>
    <t>HASLS22260900762</t>
  </si>
  <si>
    <t>THAI ARROW PRODUCTS COMPANY LIMITED</t>
  </si>
  <si>
    <t>HANGZHOU YAZAKI PARTS CO.,LTD.</t>
  </si>
  <si>
    <t>SHANGHAI ORIENT AMANO INT'L</t>
  </si>
  <si>
    <t>SKHU6322543</t>
  </si>
  <si>
    <t>SKHU6360754</t>
  </si>
  <si>
    <t>SKHU6372605</t>
  </si>
  <si>
    <t>SKHU9309015</t>
  </si>
  <si>
    <t>SKHU6436016</t>
  </si>
  <si>
    <t>SKHU6505272</t>
  </si>
  <si>
    <t>SKHU8126811</t>
  </si>
  <si>
    <t>SKHU8935312</t>
  </si>
  <si>
    <t>SKHU9932811</t>
  </si>
  <si>
    <t>SKHU9948401</t>
  </si>
  <si>
    <t>FSCU8977205</t>
  </si>
  <si>
    <t>SKHU6306727</t>
  </si>
  <si>
    <t>TCNU9695630</t>
  </si>
  <si>
    <t>HASLS22260902362</t>
  </si>
  <si>
    <t>INTERFACE MODULAR CARPET (CHINA)</t>
  </si>
  <si>
    <t>SKHU6385259</t>
  </si>
  <si>
    <t>HASLS22260900723</t>
  </si>
  <si>
    <t>THAI POLYETHYLENE CO.,LTD</t>
  </si>
  <si>
    <t>1ST NOTIFY PARTY: SINOCHEM</t>
  </si>
  <si>
    <t>SKHU6451221</t>
  </si>
  <si>
    <t>SKHU6471573</t>
  </si>
  <si>
    <t>HASLS22260901311</t>
  </si>
  <si>
    <t>SKHU6336948</t>
  </si>
  <si>
    <t>SKHU6380724</t>
  </si>
  <si>
    <t>SKHU6386790</t>
  </si>
  <si>
    <t>SKHU6394311</t>
  </si>
  <si>
    <t>SKHU8910470</t>
  </si>
  <si>
    <t>SKHU9957450</t>
  </si>
  <si>
    <t>TRHU6363229</t>
  </si>
  <si>
    <t>SKHU6424062</t>
  </si>
  <si>
    <t>HASLS22261001306</t>
  </si>
  <si>
    <t>FBIU5087980</t>
  </si>
  <si>
    <t>45RE</t>
  </si>
  <si>
    <t>HASLS22261001717</t>
  </si>
  <si>
    <t>K0120025</t>
  </si>
  <si>
    <t>PJW CORPORATION CO.,LTD.</t>
  </si>
  <si>
    <t>TO THE ORDER OF WOORI BANK</t>
  </si>
  <si>
    <t>DONG IL COLD STORAGE CO.,  LTD.</t>
  </si>
  <si>
    <t>PUS05</t>
  </si>
  <si>
    <t>SKLU1904806</t>
  </si>
  <si>
    <t>S1620001</t>
  </si>
  <si>
    <t>SKLU1558940</t>
  </si>
  <si>
    <t>SKLU1987919</t>
  </si>
  <si>
    <t>JPIYM</t>
  </si>
  <si>
    <t>HASLS22261000090</t>
  </si>
  <si>
    <t>K0120021</t>
  </si>
  <si>
    <t>MARUBENI INNOVEXIS CORPORATION</t>
  </si>
  <si>
    <t>IYM02</t>
  </si>
  <si>
    <t>SKLU2124070</t>
  </si>
  <si>
    <t>TGCU2399239</t>
  </si>
  <si>
    <t>SKLU1577046</t>
  </si>
  <si>
    <t>SKLU1437234</t>
  </si>
  <si>
    <t>SKLU1982769</t>
  </si>
  <si>
    <t>SKLU2032610</t>
  </si>
  <si>
    <t>SKLU2038239</t>
  </si>
  <si>
    <t>SKLU2100994</t>
  </si>
  <si>
    <t>SKLU2323982</t>
  </si>
  <si>
    <t>SKLU2342853</t>
  </si>
  <si>
    <t>SKLU2111725</t>
  </si>
  <si>
    <t>SKLU1663885</t>
  </si>
  <si>
    <t>HASLS22261001155</t>
  </si>
  <si>
    <t>SIGIN CHEMICAL &amp; INDUSTRY CO.,LTD</t>
  </si>
  <si>
    <t>SKLU2359563</t>
  </si>
  <si>
    <t>SKLU2421546</t>
  </si>
  <si>
    <t>SKLU2480261</t>
  </si>
  <si>
    <t>SKLU1930045</t>
  </si>
  <si>
    <t>SKLU1949919</t>
  </si>
  <si>
    <t>HALU2043044</t>
  </si>
  <si>
    <t>GCXU2426019</t>
  </si>
  <si>
    <t>HASLS22260902238</t>
  </si>
  <si>
    <t>UBE CHEMICALS (ASIA) PUBLIC</t>
  </si>
  <si>
    <t>UBE KOREA CO.,LTD.</t>
  </si>
  <si>
    <t>SKLU1331860</t>
  </si>
  <si>
    <t>HASLS22261000613</t>
  </si>
  <si>
    <t>SKLU1660680</t>
  </si>
  <si>
    <t>JPSBS</t>
  </si>
  <si>
    <t>HASLS22260802485</t>
  </si>
  <si>
    <t>SBS01</t>
  </si>
  <si>
    <t>SKLU2078057</t>
  </si>
  <si>
    <t>HASLS22261000396</t>
  </si>
  <si>
    <t>SGL (THAI) CO., LTD.</t>
  </si>
  <si>
    <t>SHANGHAI SAEYEON GLOBAL LOGISTICS</t>
  </si>
  <si>
    <t>SKLU1584446</t>
  </si>
  <si>
    <t>JPKIJ</t>
  </si>
  <si>
    <t>HASLS22260901522</t>
  </si>
  <si>
    <t>KIJ01</t>
  </si>
  <si>
    <t>SKLU2494120</t>
  </si>
  <si>
    <t>SKLU1555833</t>
  </si>
  <si>
    <t>JPTAK</t>
  </si>
  <si>
    <t>HASLS22261000087</t>
  </si>
  <si>
    <t>TAK01</t>
  </si>
  <si>
    <t>SKLU0516175</t>
  </si>
  <si>
    <t>JPNGO</t>
  </si>
  <si>
    <t>HASLS22260902669</t>
  </si>
  <si>
    <t>MITSUBISHI CORPORATION PLASTICS</t>
  </si>
  <si>
    <t>NGO01</t>
  </si>
  <si>
    <t>SKLU2478644</t>
  </si>
  <si>
    <t>SKLU2493886</t>
  </si>
  <si>
    <t>SKLU2078611</t>
  </si>
  <si>
    <t>HASLS22260901524</t>
  </si>
  <si>
    <t>SKLU2111638</t>
  </si>
  <si>
    <t>SKLU2313140</t>
  </si>
  <si>
    <t>SKLU1415657</t>
  </si>
  <si>
    <t>HASLS22261000787</t>
  </si>
  <si>
    <t>FREIGHT EXPRESS INTERNATIONAL</t>
  </si>
  <si>
    <t>FRIENCO LOGISTICS CO., LTD</t>
  </si>
  <si>
    <t>SKLU0715855</t>
  </si>
  <si>
    <t>HASLS22260902779</t>
  </si>
  <si>
    <t>JINHUA ZINC TECHNOLOGY (THAILAND)</t>
  </si>
  <si>
    <t>ANHUI JINHUA ZINC OXIDE CO.,LTD.</t>
  </si>
  <si>
    <t>YQN SOUTH-LOGISTICS(SHANGHAI)</t>
  </si>
  <si>
    <t>SKLU1543597</t>
  </si>
  <si>
    <t>HASLS22260902649</t>
  </si>
  <si>
    <t>TPT PETROCHEMICALS PUBLIC</t>
  </si>
  <si>
    <t>KYOKUYO CO., LTD.</t>
  </si>
  <si>
    <t>SKLU1538395</t>
  </si>
  <si>
    <t>SKLU1560486</t>
  </si>
  <si>
    <t>SKLU2105738</t>
  </si>
  <si>
    <t>HASLS22260902037</t>
  </si>
  <si>
    <t>SKLU2067710</t>
  </si>
  <si>
    <t>HASLS22260902295</t>
  </si>
  <si>
    <t>EURO-ORIENTAL RUBBERS CO.,LTD.</t>
  </si>
  <si>
    <t>ZHUOZHOU SHUANG YUE TAPE CO., LTD</t>
  </si>
  <si>
    <t>ANHUI JUNYAN INNOVATIVE MATERIALS</t>
  </si>
  <si>
    <t>SKLU2111978</t>
  </si>
  <si>
    <t>HASLS22260902617</t>
  </si>
  <si>
    <t>SMS CORPORATION CO., LTD.</t>
  </si>
  <si>
    <t>SHANGHAI HERYEE FOOD TECHNOLOGY</t>
  </si>
  <si>
    <t>SKLU2411975</t>
  </si>
  <si>
    <t>SKLU1638630</t>
  </si>
  <si>
    <t>SKLU1671160</t>
  </si>
  <si>
    <t>SKLU1912139</t>
  </si>
  <si>
    <t>SKLU1928562</t>
  </si>
  <si>
    <t>SKLU0543782</t>
  </si>
  <si>
    <t>HASLS22260901418</t>
  </si>
  <si>
    <t>SHANGHAI CHUANGXIN FOODS CO.,LTD</t>
  </si>
  <si>
    <t>SKLU2049151</t>
  </si>
  <si>
    <t>SKLU1562961</t>
  </si>
  <si>
    <t>SKLU1329100</t>
  </si>
  <si>
    <t>SKLU1550220</t>
  </si>
  <si>
    <t>SKLU1523224</t>
  </si>
  <si>
    <t>SKLU1540767</t>
  </si>
  <si>
    <t>SKLU1989439</t>
  </si>
  <si>
    <t>HASLS22261001309</t>
  </si>
  <si>
    <t>SKLU2413849</t>
  </si>
  <si>
    <t>HASLS22260902113</t>
  </si>
  <si>
    <t>SIAM TOHCELLO COMPANY LIMITED</t>
  </si>
  <si>
    <t>MITSUI PLASTICS TRADING (SHANGHAI)</t>
  </si>
  <si>
    <t>HALU2054368</t>
  </si>
  <si>
    <t>HALU2055744</t>
  </si>
  <si>
    <t>SKLU0506942</t>
  </si>
  <si>
    <t>JPTYO</t>
  </si>
  <si>
    <t>HASLS22260900176</t>
  </si>
  <si>
    <t>TYO02</t>
  </si>
  <si>
    <t>SKLU2300821</t>
  </si>
  <si>
    <t>HASLS22261001175</t>
  </si>
  <si>
    <t>OZU CORPORATION</t>
  </si>
  <si>
    <t>OZU(SHANGHAI) TRADING CO., LTD.</t>
  </si>
  <si>
    <t>SKLU0506599</t>
  </si>
  <si>
    <t>HASLS22261000714</t>
  </si>
  <si>
    <t>SUNWELL (THAILAND) CO., LTD.</t>
  </si>
  <si>
    <t>NANTONG WORLDRUN INTERNATIONAL</t>
  </si>
  <si>
    <t>SKLU2338597</t>
  </si>
  <si>
    <t>HASLS22261000675</t>
  </si>
  <si>
    <t>INNOVATIVE FOOD AND BEVERAGE</t>
  </si>
  <si>
    <t>HANGZHOU DARE E-COMMERCE CO., LTD.</t>
  </si>
  <si>
    <t>SKLU0505627</t>
  </si>
  <si>
    <t>HASLS22260901900</t>
  </si>
  <si>
    <t>CSI CLOSURE SYSTEMS (HANGZHOU)</t>
  </si>
  <si>
    <t>SKLU0574079</t>
  </si>
  <si>
    <t>SKLU1304458</t>
  </si>
  <si>
    <t>HASLS22261001139</t>
  </si>
  <si>
    <t>DREAM IMPORT - EXPORT CO.,LTD</t>
  </si>
  <si>
    <t>TAICANG HANSPAPER INDUSTRY CO., LTD</t>
  </si>
  <si>
    <t>SKLU0566854</t>
  </si>
  <si>
    <t>SKLU0520827</t>
  </si>
  <si>
    <t>THLKR</t>
  </si>
  <si>
    <t>HASLS22261000756</t>
  </si>
  <si>
    <t>TOP PREMIUM STARCH CO.,LTD.</t>
  </si>
  <si>
    <t>JIAXING TAIXIN TRADE CO.,LTD.</t>
  </si>
  <si>
    <t>SKLU2317280</t>
  </si>
  <si>
    <t>SKLU2332813</t>
  </si>
  <si>
    <t>SKLU2335793</t>
  </si>
  <si>
    <t>SKLU2346083</t>
  </si>
  <si>
    <t>SKLU2406984</t>
  </si>
  <si>
    <t>SKLU2413284</t>
  </si>
  <si>
    <t>SKLU2414439</t>
  </si>
  <si>
    <t>SKLU2483701</t>
  </si>
  <si>
    <t>SKLU1985768</t>
  </si>
  <si>
    <t>HASLS22260901911</t>
  </si>
  <si>
    <t>MITSUBISHI LOGISTICS (THAILAND)</t>
  </si>
  <si>
    <t>SHANGHAI LINGYUN GLOBAL FORWARDING</t>
  </si>
  <si>
    <t>SKLU1996572</t>
  </si>
  <si>
    <t>SKLU1202815</t>
  </si>
  <si>
    <t>HASLS22261001300</t>
  </si>
  <si>
    <t>TRANS-MAKER CO.,LTD.</t>
  </si>
  <si>
    <t>ESA INTERNATIONAL LOGISTICS</t>
  </si>
  <si>
    <t>SKLU0555382</t>
  </si>
  <si>
    <t>HASLS22261000008</t>
  </si>
  <si>
    <t>UBE CHEMICALS(ASIA)PUBLIC COMPANY</t>
  </si>
  <si>
    <t>TO THE ORDER OF INDUSTRIAL BANK OF</t>
  </si>
  <si>
    <t>MANSEN KOREA CO.,LTD.</t>
  </si>
  <si>
    <t>SKLU0584713</t>
  </si>
  <si>
    <t>HASLS22260901496</t>
  </si>
  <si>
    <t>MITSUBISHI CORPORATION PLASTICS LTD</t>
  </si>
  <si>
    <t>SKLU2424165</t>
  </si>
  <si>
    <t>SKLU2364615</t>
  </si>
  <si>
    <t>SKLU2493470</t>
  </si>
  <si>
    <t>SKLU1322997</t>
  </si>
  <si>
    <t>HASLS22261000047</t>
  </si>
  <si>
    <t>SIAM FOOD (2513) CO.,LTD.</t>
  </si>
  <si>
    <t>RIAN KOREA CORP.</t>
  </si>
  <si>
    <t>SKLU0521844</t>
  </si>
  <si>
    <t>HASLS22260901901</t>
  </si>
  <si>
    <t>SKLU1944347</t>
  </si>
  <si>
    <t>HASLS22261000347</t>
  </si>
  <si>
    <t>SIAM POLYETHYLENE CO., LTD.</t>
  </si>
  <si>
    <t>DOW CHEMICAL JAPAN LIMITED</t>
  </si>
  <si>
    <t>THE SHIBUSAWA WAREHOUSE CO., LTD.</t>
  </si>
  <si>
    <t>SKLU2325814</t>
  </si>
  <si>
    <t>HASLS22261000344</t>
  </si>
  <si>
    <t>SKLU1636175</t>
  </si>
  <si>
    <t>S1120012</t>
  </si>
  <si>
    <t>SEKU4977407</t>
  </si>
  <si>
    <t>C0721002</t>
  </si>
  <si>
    <t>SEKU4969314</t>
  </si>
  <si>
    <t>HLHU8112370</t>
  </si>
  <si>
    <t>HASLS22261000252</t>
  </si>
  <si>
    <t>C0521004</t>
  </si>
  <si>
    <t>TOYOX ASIA (THAILAND) CO., LTD.</t>
  </si>
  <si>
    <t>TOYOX TRADING SHANGHAI CO., LTD.</t>
  </si>
  <si>
    <t>HLHU8110839</t>
  </si>
  <si>
    <t>HALU2101217</t>
  </si>
  <si>
    <t>C0521003</t>
  </si>
  <si>
    <t>HALU2315899</t>
  </si>
  <si>
    <t>C0223001</t>
  </si>
  <si>
    <t>HALU2310120</t>
  </si>
  <si>
    <t>HLHU8333874</t>
  </si>
  <si>
    <t>C0523001</t>
  </si>
  <si>
    <t>HLHU8334248</t>
  </si>
  <si>
    <t>HALU2302696</t>
  </si>
  <si>
    <t>C0123002</t>
  </si>
  <si>
    <t>HALU2302016</t>
  </si>
  <si>
    <t>HLHU8301075</t>
  </si>
  <si>
    <t>C0123003</t>
  </si>
  <si>
    <t>HLHU8303904</t>
  </si>
  <si>
    <t>HALU2334369</t>
  </si>
  <si>
    <t>C0423001</t>
  </si>
  <si>
    <t>HALU2334667</t>
  </si>
  <si>
    <t>HLHU8356490</t>
  </si>
  <si>
    <t>C0123007</t>
  </si>
  <si>
    <t>HALU2354072</t>
  </si>
  <si>
    <t>HASLS22261000749</t>
  </si>
  <si>
    <t>C0223008</t>
  </si>
  <si>
    <t>CTI LOGISTICS CO., LTD.</t>
  </si>
  <si>
    <t>SHANGHAI POWERJOIN LOGISTICS</t>
  </si>
  <si>
    <t>CTI LOGISTICS (SHANGHAI) CO.,LTD.</t>
  </si>
  <si>
    <t>HALU2351155</t>
  </si>
  <si>
    <t>HALU2340551</t>
  </si>
  <si>
    <t>C0123011</t>
  </si>
  <si>
    <t>HALU2346436</t>
  </si>
  <si>
    <t>HALU2346483</t>
  </si>
  <si>
    <t>HLHU8204141</t>
  </si>
  <si>
    <t>C0722004</t>
  </si>
  <si>
    <t>HALU2322096</t>
  </si>
  <si>
    <t>C7T23001</t>
  </si>
  <si>
    <t>HLHU8370008</t>
  </si>
  <si>
    <t>C0623002</t>
  </si>
  <si>
    <t>HLHU8375289</t>
  </si>
  <si>
    <t>C0523003</t>
  </si>
  <si>
    <t>HLHU8346608</t>
  </si>
  <si>
    <t>C0723003</t>
  </si>
  <si>
    <t>HALU2358205</t>
  </si>
  <si>
    <t>HASLS22261000131</t>
  </si>
  <si>
    <t>C0123009</t>
  </si>
  <si>
    <t>SEATRANS INTERNATIONAL TRANSPORT</t>
  </si>
  <si>
    <t>SHANGHAI YONGYUAN LOGISTICS</t>
  </si>
  <si>
    <t>HLHU8394118</t>
  </si>
  <si>
    <t>C0324002</t>
  </si>
  <si>
    <t>HLHU8388199</t>
  </si>
  <si>
    <t>HLHU8428331</t>
  </si>
  <si>
    <t>C0124001</t>
  </si>
  <si>
    <t>HLHU8422117</t>
  </si>
  <si>
    <t>HASLS22261001378</t>
  </si>
  <si>
    <t>KCT IMPORT EXPORT CO., LTD.</t>
  </si>
  <si>
    <t>CHANGZHOU NINGTAI ENGINEERING</t>
  </si>
  <si>
    <t>HLHU8416074</t>
  </si>
  <si>
    <t>HLHU8441117</t>
  </si>
  <si>
    <t>HLHU8434020</t>
  </si>
  <si>
    <t>HLHU8414512</t>
  </si>
  <si>
    <t>HLHU8429240</t>
  </si>
  <si>
    <t>HLHU8433390</t>
  </si>
  <si>
    <t>HLHU8421255</t>
  </si>
  <si>
    <t>HLHU8420428</t>
  </si>
  <si>
    <t>HLHU8400606</t>
  </si>
  <si>
    <t>HLHU8431417</t>
  </si>
  <si>
    <t>HALU2327565</t>
  </si>
  <si>
    <t>C0324001</t>
  </si>
  <si>
    <t>HALU2362308</t>
  </si>
  <si>
    <t>C0324003</t>
  </si>
  <si>
    <t>HLHU8472036</t>
  </si>
  <si>
    <t>C0624001</t>
  </si>
  <si>
    <t>HLHU8472252</t>
  </si>
  <si>
    <t>HLHU8472627</t>
  </si>
  <si>
    <t>HLHU8478158</t>
  </si>
  <si>
    <t>HLHU8480129</t>
  </si>
  <si>
    <t>HLHU8484546</t>
  </si>
  <si>
    <t>C0524001</t>
  </si>
  <si>
    <t>HLHU8489471</t>
  </si>
  <si>
    <t>HLHU8482646</t>
  </si>
  <si>
    <t>HALU2550774</t>
  </si>
  <si>
    <t>C0125002</t>
  </si>
  <si>
    <t>HALU2555800</t>
  </si>
  <si>
    <t>HALU2511504</t>
  </si>
  <si>
    <t>HALU2526130</t>
  </si>
  <si>
    <t>HALU2516403</t>
  </si>
  <si>
    <t>HALU2537129</t>
  </si>
  <si>
    <t>HALU2551805</t>
  </si>
  <si>
    <t>HALU2515644</t>
  </si>
  <si>
    <t>HALU2544597</t>
  </si>
  <si>
    <t>HALU2552838</t>
  </si>
  <si>
    <t>HALU2544350</t>
  </si>
  <si>
    <t>HALU2534032</t>
  </si>
  <si>
    <t>HALU2548416</t>
  </si>
  <si>
    <t>HALU2550218</t>
  </si>
  <si>
    <t>HALU2553963</t>
  </si>
  <si>
    <t>HALU2570240</t>
  </si>
  <si>
    <t>C0325006</t>
  </si>
  <si>
    <t>HALU2560638</t>
  </si>
  <si>
    <t>HALU2563508</t>
  </si>
  <si>
    <t>HALU2571231</t>
  </si>
  <si>
    <t>JPHKT</t>
  </si>
  <si>
    <t>HASLS22260901623</t>
  </si>
  <si>
    <t>HKT02</t>
  </si>
  <si>
    <t>HLHU6400720</t>
  </si>
  <si>
    <t>C0724001</t>
  </si>
  <si>
    <t>HLHU6411514</t>
  </si>
  <si>
    <t>HLHU6401075</t>
  </si>
  <si>
    <t>HLHU6415736</t>
  </si>
  <si>
    <t>HALU2419701</t>
  </si>
  <si>
    <t>HASLS22261000345</t>
  </si>
  <si>
    <t>C0124002</t>
  </si>
  <si>
    <t>HALU2428719</t>
  </si>
  <si>
    <t>HALU2417247</t>
  </si>
  <si>
    <t>HALU2406849</t>
  </si>
  <si>
    <t>HALU2432724</t>
  </si>
  <si>
    <t>HALU2449352</t>
  </si>
  <si>
    <t>HASLS22261001400</t>
  </si>
  <si>
    <t>C0324009</t>
  </si>
  <si>
    <t>DOLPHIN LOGISTICS (THAILAND)</t>
  </si>
  <si>
    <t>DOLPHIN LOGISTICS SUPPLY CHAIN</t>
  </si>
  <si>
    <t>HALU2441808</t>
  </si>
  <si>
    <t>HASLS22261000407</t>
  </si>
  <si>
    <t>HALU2453481</t>
  </si>
  <si>
    <t>HASLS22260902236</t>
  </si>
  <si>
    <t>HALU2448741</t>
  </si>
  <si>
    <t>HASLS22260902103</t>
  </si>
  <si>
    <t>PRANBURI FRUIT INDUSTRIAL (2005)</t>
  </si>
  <si>
    <t>RUNYANG FOOD (JIASHAN) CO.,LTD</t>
  </si>
  <si>
    <t>HALU2472732</t>
  </si>
  <si>
    <t>C0524002</t>
  </si>
  <si>
    <t>HALU2466853</t>
  </si>
  <si>
    <t>C0424001</t>
  </si>
  <si>
    <t>HALU2466391</t>
  </si>
  <si>
    <t>HALU2462821</t>
  </si>
  <si>
    <t>HALU2466072</t>
  </si>
  <si>
    <t>HLHU8460354</t>
  </si>
  <si>
    <t>C5624002</t>
  </si>
  <si>
    <t>HLHU8453329</t>
  </si>
  <si>
    <t>HLHU8529110</t>
  </si>
  <si>
    <t>C0125003</t>
  </si>
  <si>
    <t>HLHU8535767</t>
  </si>
  <si>
    <t>HLHU8518688</t>
  </si>
  <si>
    <t>HLHU8525706</t>
  </si>
  <si>
    <t>HLHU8542051</t>
  </si>
  <si>
    <t>HLHU8500415</t>
  </si>
  <si>
    <t>HLHU8510820</t>
  </si>
  <si>
    <t>HLHU8504730</t>
  </si>
  <si>
    <t>HLHU8534333</t>
  </si>
  <si>
    <t>HLHU8536146</t>
  </si>
  <si>
    <t>HLHU8506250</t>
  </si>
  <si>
    <t>HLHU8527036</t>
  </si>
  <si>
    <t>HLHU8528731</t>
  </si>
  <si>
    <t>HLHU8538998</t>
  </si>
  <si>
    <t>HLHU8522672</t>
  </si>
  <si>
    <t>HLHU8534781</t>
  </si>
  <si>
    <t>HLHU8592812</t>
  </si>
  <si>
    <t>C0725001</t>
  </si>
  <si>
    <t>HLHU8586316</t>
  </si>
  <si>
    <t>HLHU8579235</t>
  </si>
  <si>
    <t>HLHU8584191</t>
  </si>
  <si>
    <t>HALU2590946</t>
  </si>
  <si>
    <t>HASLS22260901860</t>
  </si>
  <si>
    <t>C0426001</t>
  </si>
  <si>
    <t>RIVER KWAI INTERNATIONAL FOOD</t>
  </si>
  <si>
    <t>DEL MONTE (GUANGZHOU) TRADING</t>
  </si>
  <si>
    <t>HALU2580357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</si>
  <si>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</si>
  <si>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</si>
  <si>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</si>
  <si>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</si>
  <si>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</si>
  <si>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</si>
  <si>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</si>
  <si>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</si>
  <si>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</si>
  <si>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</si>
  <si>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</si>
  <si>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</si>
  <si>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</si>
  <si>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</si>
  <si>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</si>
  <si>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</si>
  <si>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</si>
  <si>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</si>
  <si>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</si>
  <si>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</si>
  <si>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</si>
  <si>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</si>
  <si>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</si>
  <si>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</si>
  <si>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</si>
  <si>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</si>
  <si>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</si>
  <si>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</si>
  <si>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</si>
  <si>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</si>
  <si>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</si>
  <si>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</si>
  <si>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</si>
  <si>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</si>
  <si>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</si>
  <si>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</si>
  <si>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</si>
  <si>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</si>
  <si>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</si>
  <si>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</si>
  <si>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</si>
  <si>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</si>
  <si>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</si>
  <si>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</si>
  <si>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</si>
  <si>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</si>
  <si>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</si>
  <si>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</si>
  <si>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</si>
  <si>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</si>
  <si>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</si>
  <si>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</si>
  <si>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</si>
  <si>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</si>
  <si>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</si>
  <si>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</si>
  <si>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</si>
  <si>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</si>
  <si>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</si>
  <si>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</si>
  <si>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</si>
  <si>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</si>
  <si>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</si>
  <si>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</si>
  <si>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</si>
  <si>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</si>
  <si>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</si>
  <si>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</si>
  <si>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</si>
  <si>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</si>
  <si>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</si>
  <si>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</si>
  <si>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</si>
  <si>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</si>
  <si>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</si>
  <si>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</si>
  <si>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</si>
  <si>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</si>
  <si>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</si>
  <si>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</si>
  <si>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</si>
  <si>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</si>
  <si>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</si>
  <si>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</si>
  <si>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</si>
  <si>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</si>
  <si>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</si>
  <si>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</si>
  <si>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</si>
  <si>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</si>
  <si>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</si>
  <si>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</si>
  <si>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</si>
  <si>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</si>
  <si>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40Hx1</t>
  </si>
  <si>
    <t>PCI2</t>
  </si>
  <si>
    <t>IA</t>
  </si>
  <si>
    <t>2026-11-03</t>
  </si>
  <si>
    <t>CN</t>
  </si>
  <si>
    <t>WHA GC LOGISTICS COMPANY LIMITED</t>
  </si>
  <si>
    <t>PTT GLOBAL CHEMICAL PUBLIC COMPANY LIMITED</t>
  </si>
  <si>
    <t>OK</t>
  </si>
  <si>
    <t>TBKK13</t>
  </si>
  <si>
    <t>Dharaporn</t>
  </si>
  <si>
    <t>HIGH DENSITY POLYETHYLENE</t>
  </si>
  <si>
    <t>Normal</t>
  </si>
  <si>
    <t>SUR</t>
  </si>
  <si>
    <t xml:space="preserve">CY-RTN 24-27/09/26 (1ST RETURN DATE DD.04/10/26)
*PLS CHECK OPEN GATE BEFORE RETURN CTNR*</t>
  </si>
  <si>
    <t xml:space="preserve">SI DD.9/10/26
FM POD : JPTYO BY K'JARIYA DD.02/10/2026
ROLL OVER FROM PREVIOUS VSL SWRG 2609N BY ALLOCATION TEAM MS.TAN APPROVED COST IS UNDER HA DD.13/10</t>
  </si>
  <si>
    <t>P</t>
  </si>
  <si>
    <t>2026-08-27</t>
  </si>
  <si>
    <t>2026-10-13</t>
  </si>
  <si>
    <t>RESIN</t>
  </si>
  <si>
    <t>Line</t>
  </si>
  <si>
    <t>S22</t>
  </si>
  <si>
    <t>LCHY5</t>
  </si>
  <si>
    <t>2026-09-24</t>
  </si>
  <si>
    <t>FULL</t>
  </si>
  <si>
    <t>0 Teu</t>
  </si>
  <si>
    <t>CY/CY</t>
  </si>
  <si>
    <t>jariya.c@wha-gc.com</t>
  </si>
  <si>
    <t>CLOSED</t>
  </si>
  <si>
    <t>202610221500</t>
  </si>
  <si>
    <t>202610260700</t>
  </si>
  <si>
    <t>S22-2309036</t>
  </si>
  <si>
    <t>TH02GR</t>
  </si>
  <si>
    <t>2026-10-24</t>
  </si>
  <si>
    <t>390120</t>
  </si>
  <si>
    <t>ROLL OVER FROM PREVIOUS VSL SWRG 2609N BY ALLOCATION TEAM MS.TAN APPROVED COST IS UNDER HA DD.13/10</t>
  </si>
  <si>
    <t>20'x1</t>
  </si>
  <si>
    <t>2026-11-19</t>
  </si>
  <si>
    <t>JP</t>
  </si>
  <si>
    <t>METALLOCENE LINEAR LOW DENSITY POLYETHYLENE</t>
  </si>
  <si>
    <t>[FIX][FIX]CY-RTN 08-12/10/26 (1ST RETURN 14/10/26)</t>
  </si>
  <si>
    <t xml:space="preserve">SI DD.20/10/26
FM SWVG 2612N BY K'NUI DD.24/09/2026
[Split] - HASLS22261000207
FM POD: JPIYM DD.08/10/26</t>
  </si>
  <si>
    <t>2026-08-28</t>
  </si>
  <si>
    <t>2026-10-20</t>
  </si>
  <si>
    <t>LCH28</t>
  </si>
  <si>
    <t>2026-10-08</t>
  </si>
  <si>
    <t>POL: THLCH [HMVY/2609N]; T/S(1st): KRPUS [MJEP/2671E]; POD: JPSBS [/]</t>
  </si>
  <si>
    <t>S19-2309008</t>
  </si>
  <si>
    <t>2026-10-18</t>
  </si>
  <si>
    <t>390140</t>
  </si>
  <si>
    <t>20'x32</t>
  </si>
  <si>
    <t>2026-11-10</t>
  </si>
  <si>
    <t>PANDA GOGO LOGISTICS CO., LTD.</t>
  </si>
  <si>
    <t>TBKK47</t>
  </si>
  <si>
    <t>Tarn(Supaporn)</t>
  </si>
  <si>
    <t>PURIFIED TEREPHTHALIC ACID</t>
  </si>
  <si>
    <t xml:space="preserve">[FIX]Pickup : 2026-10-14, Return : 2026-10-15 [1ST RTN 16/10/2026 W/O RENT]
** PLEASE CHECK OPEN GATE BEFORE RETURN CONTAINER ** </t>
  </si>
  <si>
    <t xml:space="preserve">FM HAB 2612N 08/09
FM SWIC 2611N 23/09SPECIAL REQUEST : SEABULK CONTAINER (FOR TOYOBO SHIPMENT) FREE TIME AT POD : DEM28 / DET21</t>
  </si>
  <si>
    <t>2026-09-02</t>
  </si>
  <si>
    <t>2026-10-21</t>
  </si>
  <si>
    <t>PURIFIED TEREPHTHALIC ACID (HS CODE: 291736)</t>
  </si>
  <si>
    <t>2026-10-14</t>
  </si>
  <si>
    <t>POL: THLCH [HMVY/2609N]; T/S(1st): KRPUS [PCNB/2644E]; POD: JPTRG [/]</t>
  </si>
  <si>
    <t>Chanphen@pdgg-logistics.co.th</t>
  </si>
  <si>
    <t>S19-2101032</t>
  </si>
  <si>
    <t>THTOTU</t>
  </si>
  <si>
    <t>2026-10-22</t>
  </si>
  <si>
    <t>291736</t>
  </si>
  <si>
    <t>2026-11-16</t>
  </si>
  <si>
    <t xml:space="preserve">[FIX][FIX][FIX]SURVEY 14/10/2026 CY-RTN 14-18/10/26 (PR2610003990 )
**CHECK OPENGATE BEFORE RETURN CNTR**
</t>
  </si>
  <si>
    <t xml:space="preserve">SI DD.19/10/26
FM 4X20'GP DD.17/09/26
[Split] - HASLS22261000407 / HASLS22261000408</t>
  </si>
  <si>
    <t>2026-10-19</t>
  </si>
  <si>
    <t>POL: THLCH [HMVY/2609N]; T/S(1st): KRPUS [HAHP/2641S]; POD: JPTYO [/]</t>
  </si>
  <si>
    <t>natchaya.ki@pttgcgroup.com</t>
  </si>
  <si>
    <t>390110</t>
  </si>
  <si>
    <t>40Hx30</t>
  </si>
  <si>
    <t>BARKLAYS LOGISTICS (THAILAND) CO., LTD.</t>
  </si>
  <si>
    <t>SHUN YI INTERNATIONAL TRADING CO., LTD.</t>
  </si>
  <si>
    <t>TH0011</t>
  </si>
  <si>
    <t>Nannaapust Sukporntaweewat</t>
  </si>
  <si>
    <t>DRY PULP</t>
  </si>
  <si>
    <t>Pickup : 2026-10-02, Return : 2026-10-04 *1ST RETURN CNTR DD.08/10/2026*</t>
  </si>
  <si>
    <t xml:space="preserve">FM SWVG 2612N CFM BY SALE 29/09
ROLL OVER FROM PREVIOUS VSL SWRG 2609N BY ALLOCATION TEAM MS.TAN APPROVED COST IS UNDER HA DD.09/10</t>
  </si>
  <si>
    <t>2026-09-04</t>
  </si>
  <si>
    <t>2026-10-09</t>
  </si>
  <si>
    <t>PAPER PULP</t>
  </si>
  <si>
    <t>2026-10-02</t>
  </si>
  <si>
    <t>bkkop@barklaysinc.co.th</t>
  </si>
  <si>
    <t>S22-2512002</t>
  </si>
  <si>
    <t>THTW3S</t>
  </si>
  <si>
    <t>470620</t>
  </si>
  <si>
    <t>ROLL OVER FROM PREVIOUS VSL SWRG 2609N BY ALLOCATION TEAM MS.TAN APPROVED COST IS UNDER HA DD.09/10</t>
  </si>
  <si>
    <t>40Hx4</t>
  </si>
  <si>
    <t>SCGJWD LOGISTICS PUBLIC COMPANY LIMITED</t>
  </si>
  <si>
    <t>TBKK19</t>
  </si>
  <si>
    <t>Kanokporn</t>
  </si>
  <si>
    <t>LOW DENSITY POLYETHYLENE RESIN</t>
  </si>
  <si>
    <t>OBL</t>
  </si>
  <si>
    <t xml:space="preserve">CY-RTN: 16-20/10/2026 
(INV.3031062765) 
REQ GOOD AND CLEAN CONT., NO OIL, NO RUSTY</t>
  </si>
  <si>
    <t xml:space="preserve">ROLL OVER FROM PREVIOUS VSL HAB 2612N BY ALLOCATION TEAM MS.TAN APPROVED COST IS UNDER HA DD.26/10
[Split] - HASLS22261000234
FM 2X40'HC DD.06/10/26</t>
  </si>
  <si>
    <t>2026-09-09</t>
  </si>
  <si>
    <t>2026-10-26</t>
  </si>
  <si>
    <t>2026-10-16</t>
  </si>
  <si>
    <t>pornnariv@scgjwd.com</t>
  </si>
  <si>
    <t>S19-2308041</t>
  </si>
  <si>
    <t>TH0235</t>
  </si>
  <si>
    <t>ROLL OVER FROM PREVIOUS VSL HAB 2612N BY ALLOCATION TEAM MS.TAN APPROVED COST IS UNDER HA DD.26/10</t>
  </si>
  <si>
    <t>40Hx2</t>
  </si>
  <si>
    <t>ELC CONTAINER LINES CO.,LTD.</t>
  </si>
  <si>
    <t>THAI ARROW PRODUCTS CO., LTD.</t>
  </si>
  <si>
    <t>RAW MATERIAL FOR AUTOMOTIVE</t>
  </si>
  <si>
    <t xml:space="preserve">Pickup : 2026-10-17, Return SRP : 2026-10-20 [PAPERLESS CODE 2829]
CLS TIME 24/10/26 @20.00</t>
  </si>
  <si>
    <t xml:space="preserve">FM HAB 2612N &amp; P'KUNG ACCEPT 14/10BL SURRENDERD
FM 3X40HQ+1X20GP 21/10</t>
  </si>
  <si>
    <t>RAW MATERIAL</t>
  </si>
  <si>
    <t>BKK27</t>
  </si>
  <si>
    <t>2026-10-17</t>
  </si>
  <si>
    <t>BKK11</t>
  </si>
  <si>
    <t>jum@elccont.com</t>
  </si>
  <si>
    <t>BKK14A0075-1</t>
  </si>
  <si>
    <t>BB0690</t>
  </si>
  <si>
    <t>2026-10-27</t>
  </si>
  <si>
    <t>391723</t>
  </si>
  <si>
    <t>40Hx12</t>
  </si>
  <si>
    <t>PARTIAL CHILD</t>
  </si>
  <si>
    <t>CY-RTN: 20-23/10/2026  (1ST RETURN 22/10/26)</t>
  </si>
  <si>
    <t xml:space="preserve">ROLL OVER FORM PREIVOUS VSL HAB 2612N BY ALLOCATION TEAM MS.TAN APPROVED COST IS UNDER HA DD.26/10
FM SWVG 2612N DD.28/09
FM 3X40'HC DD.02/10/26
FM HMVY 2609N DD.12/10
[Split] - HASLS22261000969</t>
  </si>
  <si>
    <t>2026-09-15</t>
  </si>
  <si>
    <t>ROLL OVER FORM PREIVOUS VSL HAB 2612N BY ALLOCATION TEAM MS.TAN APPROVED COST IS UNDER HA DD.26/10</t>
  </si>
  <si>
    <t>20'x5</t>
  </si>
  <si>
    <t>RCL LOGISTICS CO., LTD.</t>
  </si>
  <si>
    <t>TH0031</t>
  </si>
  <si>
    <t>Pattarapong Saengthong</t>
  </si>
  <si>
    <t>MODIFIED TAPIOCA STARCH</t>
  </si>
  <si>
    <t xml:space="preserve">Pickup : 2026-10-02, Return @SRP : 2026-10-06 (PAPERLESS CODE : 2829)
CLS TIME @SRP : 06/10/2026 @23.59 </t>
  </si>
  <si>
    <t>2026-09-16</t>
  </si>
  <si>
    <t>BKK25</t>
  </si>
  <si>
    <t>praewphinya@rclgroup.com</t>
  </si>
  <si>
    <t>S22-2602009</t>
  </si>
  <si>
    <t>THTOPU</t>
  </si>
  <si>
    <t>350510</t>
  </si>
  <si>
    <t>20'x7</t>
  </si>
  <si>
    <t>2026-11-17</t>
  </si>
  <si>
    <t xml:space="preserve">[FIX][FIX][FIX]SURVEY+CY :07/10/2026 RTN :10/10/2026
REQUEST SEA BULK CONTAIER + SURVEY EMPTY BEFORE PICK UP
</t>
  </si>
  <si>
    <t xml:space="preserve">SI DD.29/9/26
[Split] - HASLS22260902669</t>
  </si>
  <si>
    <t>2026-09-17</t>
  </si>
  <si>
    <t>2026-10-07</t>
  </si>
  <si>
    <t>POL: THLCH [HMVY/2609N]; T/S(1st): KRPUS [HAHP/2641S]; POD: JPNGO [/]</t>
  </si>
  <si>
    <t>20'x2</t>
  </si>
  <si>
    <t>2026-11-14</t>
  </si>
  <si>
    <t xml:space="preserve">CY-RTN 02-08/10/26 (PR2610002955)
*PLS CHECK OPEN GATE BEFORE RETURN CTNR*</t>
  </si>
  <si>
    <t>SI DD.9/10/26</t>
  </si>
  <si>
    <t>POL: THLCH [HMVY/2609N]; T/S(1st): KRPUS [SKJD/2618E]; POD: JPKIJ [/]</t>
  </si>
  <si>
    <t>wannicha.p@wha-gc.com</t>
  </si>
  <si>
    <t>20'x3</t>
  </si>
  <si>
    <t>2026-11-13</t>
  </si>
  <si>
    <t xml:space="preserve">[FIX][FIX]CY-RTN 02-08/10/26 (PR2610002956)
*PLS CHECK OPEN GATE BEFORE RETURN CTNR*</t>
  </si>
  <si>
    <t>SI DD.8/10/26</t>
  </si>
  <si>
    <t>POL: THLCH [HMVY/2609N]; T/S(1st): KRPUS [HTVY/2644E]; POD: JPTAK [/]</t>
  </si>
  <si>
    <t>2026-11-12</t>
  </si>
  <si>
    <t xml:space="preserve">CY-RTN : 08-10/10/2026
</t>
  </si>
  <si>
    <t>POL: THLCH [HMVY/2609N]; T/S(1st): KRPUS [HKEP/2689E]; POD: JPHKT [/]</t>
  </si>
  <si>
    <t>2026-11-20</t>
  </si>
  <si>
    <t>[FIX][FIX]CY-RTN 08-10/10/26</t>
  </si>
  <si>
    <t>2026-09-18</t>
  </si>
  <si>
    <t>POL: THLCH [HMVY/2609N]; T/S(1st): KRPUS [HSWH/2664E]; POD: JPMYJ [/]</t>
  </si>
  <si>
    <t xml:space="preserve">ไม่ย้ายเรือ 
SI DD.9/10/26</t>
  </si>
  <si>
    <t>2026-10-12</t>
  </si>
  <si>
    <t>DYNAMIC INTERTRANSPORT CO., LTD.</t>
  </si>
  <si>
    <t>RIVER KWAI INTERNATIONAL FOOD INDUSTRY CO., LTD.</t>
  </si>
  <si>
    <t>TBKK55</t>
  </si>
  <si>
    <t>Vilaiporn</t>
  </si>
  <si>
    <t>CANNED SWEET CORN</t>
  </si>
  <si>
    <t xml:space="preserve">Pickup : 2026-10-03, Return SRP : 2026-10-05 [PAPERLESS CODE 2829]
CLS TIME 10/10/26 @18.00 [1ST RTN 07/10/2026 W/O RENT]</t>
  </si>
  <si>
    <t>ROLL OVER FROM PREVIOUS VSL SWRG 2609N BY ALLOCATION TEAM MS.TAN APPROVED COST IS UNDER HA DD.12/10</t>
  </si>
  <si>
    <t>2026-09-21</t>
  </si>
  <si>
    <t>2026-10-03</t>
  </si>
  <si>
    <t>chulalak.pub@dynamic.co.th;jidapa.chu@dynamic.co.th;tanawan.dee@dynamic.co.th;naput.tua@dynamic.co.th</t>
  </si>
  <si>
    <t>S19-2308018</t>
  </si>
  <si>
    <t>BB0575</t>
  </si>
  <si>
    <t>200580</t>
  </si>
  <si>
    <t>20'x8</t>
  </si>
  <si>
    <t xml:space="preserve">SURVEY+CY DD.10/10/2026 RTN 16/10/2026 
*PLS CHECK OPEN GATE BEFORE RETURN CTNR*</t>
  </si>
  <si>
    <t>SI 15/10</t>
  </si>
  <si>
    <t>2026-10-15</t>
  </si>
  <si>
    <t>2026-10-10</t>
  </si>
  <si>
    <t>SI DD.14/10/26</t>
  </si>
  <si>
    <t>40Hx8</t>
  </si>
  <si>
    <t>LOW DENSITY POLYETHYLENE</t>
  </si>
  <si>
    <t xml:space="preserve">CY-RTN 09-10/10/26 
*PLS CHECK OPEN GATE BEFORE RETURN CTNR*</t>
  </si>
  <si>
    <t xml:space="preserve">SI DD.19/10/26
FM 4X40'HC DD.09/10/26</t>
  </si>
  <si>
    <t>MITSUBISHI LOGISTICS (THAILAND) CO., LTD.</t>
  </si>
  <si>
    <t>SHIN-ETSU SILICONES (THAILAND) LTD.</t>
  </si>
  <si>
    <t>CON</t>
  </si>
  <si>
    <t>SILICONE</t>
  </si>
  <si>
    <t>Pickup : 2026-10-08, Return : 2026-10-09 [1ST RTN 09/10/2026 W/O RENT]</t>
  </si>
  <si>
    <t>panisara.b@mitsubishi-logistics.co.th;patita.c@mitsubishi-logistics.co.th;tossawat.p@mitsubishi-logistics.co.th;aungkana.w@mitsubishi-logistics.co.th</t>
  </si>
  <si>
    <t>S22-2603004</t>
  </si>
  <si>
    <t>BB0214</t>
  </si>
  <si>
    <t>391000</t>
  </si>
  <si>
    <t>DOUBLE A (1991) PUBLIC COMPANY LIMITED</t>
  </si>
  <si>
    <t>PHOTOCOPY PAPER "DOUBLE A" BRAND</t>
  </si>
  <si>
    <t xml:space="preserve">CY-RTN : 08-13/10/2026 
REF : PI-CN-TH-DA-26100048
FRT  31/20'/40'HQ Freetime 21 days 
</t>
  </si>
  <si>
    <t>HS CODE : 48025690</t>
  </si>
  <si>
    <t>2026-09-22</t>
  </si>
  <si>
    <t>PAPER</t>
  </si>
  <si>
    <t>srithorn_s@doublea1991.com</t>
  </si>
  <si>
    <t>S19-2312005</t>
  </si>
  <si>
    <t>TH0382</t>
  </si>
  <si>
    <t>480256</t>
  </si>
  <si>
    <t>MAJOR FREIGHT INTERNATIONAL CO., LTD.</t>
  </si>
  <si>
    <t>PRANBURI FRUIT INDUSTRIAL.LTD.PART</t>
  </si>
  <si>
    <t>DEHYDRATED FRUIT</t>
  </si>
  <si>
    <t xml:space="preserve">Pickup : 2026-10-15, Return SRP  : 2026-10-16 [PAPERLESS CODE 2829]
CLS TIME 19/10/26 @13.00</t>
  </si>
  <si>
    <t>2026-09-23</t>
  </si>
  <si>
    <t>DREID FRUITS</t>
  </si>
  <si>
    <t>customer-major@majorfreight.co.th</t>
  </si>
  <si>
    <t>S22-2503049</t>
  </si>
  <si>
    <t>TH02UC</t>
  </si>
  <si>
    <t>200600</t>
  </si>
  <si>
    <t>PRIME LOGISTICS INTERNATIONAL CO., LTD.</t>
  </si>
  <si>
    <t>PLASTIC WRAP FOR FOOD</t>
  </si>
  <si>
    <t>Pickup : 2026-10-17, Return : 2026-10-19</t>
  </si>
  <si>
    <t>REQ FOOD GRADE CONTAINERCY-RTN: 13-14/OCT / ETD 18/OCT / 1X20'DC</t>
  </si>
  <si>
    <t>LCH27</t>
  </si>
  <si>
    <t>noppasorn.a@primeloginter.com</t>
  </si>
  <si>
    <t>S22-2411029</t>
  </si>
  <si>
    <t>THTRZB</t>
  </si>
  <si>
    <t>392010</t>
  </si>
  <si>
    <t>20'x2 40Hx2</t>
  </si>
  <si>
    <t xml:space="preserve">CY-RTN :30-05/10/2026
REF : PI-CN-TH-DA-26100038, PI-CN-TH-DA-26100039, PI-CN-TH-DA-26100040,  PI-CN-TH-DA-26100041
FRT 31/20',40'HQ + FREETIME 21DAYS</t>
  </si>
  <si>
    <t xml:space="preserve">HS CODE : 48025690
ROLL OVER FROM PREVIOUS VSL SWRG 2609N BY ALLOCATION TEAM MS.TAN APPROVED COST IS UNDER HA DD.13/10</t>
  </si>
  <si>
    <t>2026-09-30</t>
  </si>
  <si>
    <t>YUSEN LOGISTICS (THAILAND) CO., LTD.</t>
  </si>
  <si>
    <t>IDEC ASIA (THAILAND) CO., LTD.</t>
  </si>
  <si>
    <t>CONTACT BLOCK / ELECTRONIC PART</t>
  </si>
  <si>
    <t xml:space="preserve">Pickup : 2026-10-15, Return SRP : 2026-10-16 [PAPERLESS CODE 2829]
CLS TIME 19/10/26 @ 23.59</t>
  </si>
  <si>
    <t>amornthep.n@th.yusen-logistics.com</t>
  </si>
  <si>
    <t>S19-2112038</t>
  </si>
  <si>
    <t>TH03TL</t>
  </si>
  <si>
    <t>853890</t>
  </si>
  <si>
    <t>2026-11-05</t>
  </si>
  <si>
    <t>KR</t>
  </si>
  <si>
    <t>UBE CHEMICALS (ASIA) PUBLIC COMPANY LIMITED</t>
  </si>
  <si>
    <t>POLYAMIDE RESIN 1022B</t>
  </si>
  <si>
    <t xml:space="preserve">CY-RTN 10-12/10/26 (2002054624)
*PLD CHECK OPEN GATE BEFORE ERTURN CTNR*</t>
  </si>
  <si>
    <t>SI DD.19/10/26</t>
  </si>
  <si>
    <t>POLYAMIDE RESIN</t>
  </si>
  <si>
    <t>hataipach@ube.co.th;ugttransportex@ube.co.th</t>
  </si>
  <si>
    <t>BKK17A0457-1</t>
  </si>
  <si>
    <t>TH035E</t>
  </si>
  <si>
    <t>POLYAMIDE RESIN (NON DG)</t>
  </si>
  <si>
    <t xml:space="preserve">CY-RTN 10-12/10/26 (2002054623)
*PLD CHECK OPEN GATE BEFORE ERTURN CTNR*</t>
  </si>
  <si>
    <t>CS FREIGHT &amp; SERVICE  CO.,LTD.</t>
  </si>
  <si>
    <t>EURO-ORIENTAL TRADING CO., LTD.</t>
  </si>
  <si>
    <t>HEVEAGRAFT 5050 LATEX</t>
  </si>
  <si>
    <t xml:space="preserve">** APPROVED BY KIM JAE-HYUNG DD.24/09/2026 ** *FLEXIBAG ONDECK*
Survey + Pickup : 2026-10-02, Return : 2026-10-15</t>
  </si>
  <si>
    <t xml:space="preserve">ลากตู้ลงใต้ 
</t>
  </si>
  <si>
    <t>CSFREIGHT19@GMAIL.COM</t>
  </si>
  <si>
    <t>S22-2511024</t>
  </si>
  <si>
    <t>THTYMW</t>
  </si>
  <si>
    <t>400291</t>
  </si>
  <si>
    <t>POLYVINYL CHLORIDE SIAMVIC / PVC RESIN</t>
  </si>
  <si>
    <t xml:space="preserve">Pickup : 2026-10-16, Return : 2026-10-17 </t>
  </si>
  <si>
    <t>NEW CNTR, GRADE A</t>
  </si>
  <si>
    <t>2026-09-25</t>
  </si>
  <si>
    <t>PVC RESIN</t>
  </si>
  <si>
    <t>orawan.namw@agc.com;alisa.rubs@agc.com</t>
  </si>
  <si>
    <t>S22-2310025</t>
  </si>
  <si>
    <t>TH04MG</t>
  </si>
  <si>
    <t>390410</t>
  </si>
  <si>
    <t>SBS LOGISTICS (THAILAND) CO., LTD.</t>
  </si>
  <si>
    <t>MITANI TRADING (THAILAND) CO.,LTD.</t>
  </si>
  <si>
    <t>TBKK97</t>
  </si>
  <si>
    <t>Arunphat W. (Aiw)</t>
  </si>
  <si>
    <t>TWO WAY CAP</t>
  </si>
  <si>
    <t xml:space="preserve">Pickup : 2026-10-15, Return : 2026-10-15 [PAPERLESS CODE : 2829] 
 CLS TIME @SRP : 19/10 @13.00 [1ST RTN 16/10 W/O RENT] 
</t>
  </si>
  <si>
    <t>CY AND RETURN : TICTCONDITION CONTAINER : GOOD AND CLEAN</t>
  </si>
  <si>
    <t>SGID00001098@rlsc.sbs-group.com</t>
  </si>
  <si>
    <t>S22-2506006</t>
  </si>
  <si>
    <t>TH05TX</t>
  </si>
  <si>
    <t>848180</t>
  </si>
  <si>
    <t>40Hx3</t>
  </si>
  <si>
    <t>ARTIFICIAL WAXES (POLYETHYLENE WAX)</t>
  </si>
  <si>
    <t xml:space="preserve">CY-RTN 09-12/10/26 (INV. 3031062392)
</t>
  </si>
  <si>
    <t>6X20' SURRENDER BL HS CODE : 390120 3 X 40HC' HS. CODE : 3404.90.00 / ORIGINAL BL</t>
  </si>
  <si>
    <t>2026-09-28</t>
  </si>
  <si>
    <t>20'x4</t>
  </si>
  <si>
    <t xml:space="preserve">Pickup : 2026-10-12, Return SRP : 2026-10-15 [PAPERLESS CODE 2829]
CLS TIME 17/10/26 @10.00</t>
  </si>
  <si>
    <t>CY/RTN AT BKK // CY:12 OCT // RTN: 16 OCTFOOD GRADE CONTAINERDO NOT RELEASE RED WALL CONTAINERPO: HERYEE-SMS-26076/4X20</t>
  </si>
  <si>
    <t>2026-09-29</t>
  </si>
  <si>
    <t>HAST LOGISTICS CO., LTD.</t>
  </si>
  <si>
    <t>TPT PETROCHEMICALS PUBLIC COMPANY LIMITED</t>
  </si>
  <si>
    <t>BOTTLE PET RESIN RAMAPET N1</t>
  </si>
  <si>
    <t xml:space="preserve">Pickup : 2026-10-15, Return : 2026-10-16  /FIRST DATE CAN RETURN CNTR DD.19/10 W/O RENT
</t>
  </si>
  <si>
    <t>1. Request container good grade, suitable for loading beverage packaging / Pet resin2. Not bad smell inside container, No rust, No hole inside, Grade A-B, Not Red wall3. Vessel age not over 30 years =&gt; also request certificate</t>
  </si>
  <si>
    <t>PET RESIN</t>
  </si>
  <si>
    <t>cs@hast.co.th</t>
  </si>
  <si>
    <t>BKK14A0215-1</t>
  </si>
  <si>
    <t>THTHBP</t>
  </si>
  <si>
    <t>390761</t>
  </si>
  <si>
    <t>20'x6</t>
  </si>
  <si>
    <t xml:space="preserve">[FIX][FIX][FIX]SURVEY+CY :09/10/2026 RTN :10/10/2026
REQUEST SEA BULK CONTAIER + SURVEY EMPTY BEFORE PICK UP
</t>
  </si>
  <si>
    <t>MANA GLOBAL LINK CO., LTD.</t>
  </si>
  <si>
    <t>PET RECYCLE PELLET</t>
  </si>
  <si>
    <t xml:space="preserve">Pickup : 2026-10-05, Return SRP : 2026-10-06 [PAPERLESS CODE 2829]
CLS TIME 10/10/26 @18.00 (1ST RTN DD: 07/10/26 WO/RENT)</t>
  </si>
  <si>
    <t xml:space="preserve">REQUEST CONTIANER MAX GROSS 32.50 TONS/CTNRคืนตู้ท่าน้ำตาล
ROLL OVER FROM PREVIOUS VSL SWRG 2609N BY ALLOCATION TEAM MS.TAN APPROVED COST IS UNDER HA DD.13/10</t>
  </si>
  <si>
    <t>PE RECYCLE PELLET</t>
  </si>
  <si>
    <t>2026-10-05</t>
  </si>
  <si>
    <t>export@managloballink.com</t>
  </si>
  <si>
    <t>S22-2601004</t>
  </si>
  <si>
    <t>THTXUH</t>
  </si>
  <si>
    <t>390769</t>
  </si>
  <si>
    <t>YQN INTERNATIONAL LOGISTICS (THAILAND) CO., LTD.</t>
  </si>
  <si>
    <t>JINHUA ZINC TECHNOLOGY (THAILAND) CO., LTD.</t>
  </si>
  <si>
    <t>ZINC OXIDE  (NOT D.G.)</t>
  </si>
  <si>
    <t xml:space="preserve">Pickup : 2026-10-08, Return : 2026-10-09 
 ** PLEASE CHECK OPEN GATE BEFORE RETURN CNTR **
</t>
  </si>
  <si>
    <t>ZINC OXIDE</t>
  </si>
  <si>
    <t>yqn_th_exp@yqn.com</t>
  </si>
  <si>
    <t>S22-2305025</t>
  </si>
  <si>
    <t>THTPKB</t>
  </si>
  <si>
    <t>281700</t>
  </si>
  <si>
    <t xml:space="preserve">CY-RTN 19-21/1/26 
SAP SO : 2002054816</t>
  </si>
  <si>
    <t xml:space="preserve">SI DD.21/10/26
RQST CHANGE VSL NAME FROM KMBK 2612N BY HA DD.21/10
FM PUS 2616N DD.12/10
FM SWAL 2610N BY K'HATAIPACH DD.15/10/2026</t>
  </si>
  <si>
    <t>2026-10-01</t>
  </si>
  <si>
    <t>SIAM FOOD (2513) CO., LTD.</t>
  </si>
  <si>
    <t>S1951</t>
  </si>
  <si>
    <t>Lee suk hyun</t>
  </si>
  <si>
    <t>CANNED PINEAPPLE</t>
  </si>
  <si>
    <t xml:space="preserve">Pickup : 2026-10-22, Return : 2026-10-23
** PLEASE CHECK OPEN GATE BEFORE RETURN CONTAINER ** </t>
  </si>
  <si>
    <t>RQST CHANGE VSL NAME FROM  HAHM 2612N BY HA DD.21/10</t>
  </si>
  <si>
    <t>C</t>
  </si>
  <si>
    <t>2026-10-25</t>
  </si>
  <si>
    <t>CANNED PINEAPPLE/H.S.CODE 2008.20</t>
  </si>
  <si>
    <t>ratchaya.p@siamfood.co.th;jirapa.j@siamfood.co.th</t>
  </si>
  <si>
    <t>K01-1912034</t>
  </si>
  <si>
    <t>THTQCZ</t>
  </si>
  <si>
    <t>200820</t>
  </si>
  <si>
    <t>[FIX][FIX]CY-RTN 16-19/10/26 (PR2610002928 )</t>
  </si>
  <si>
    <t xml:space="preserve">SI DD.21/10/26
RQST CHANGE VSL NAME FROM KMBK 2612N BY HA DD.21/10</t>
  </si>
  <si>
    <t>kotchakorn.w@wha-gc.com</t>
  </si>
  <si>
    <t xml:space="preserve">[FIX]CY-RTN 21-22/10/26 </t>
  </si>
  <si>
    <t xml:space="preserve">FM 4X20'GP DD.20/10/26
ROLL OVER FROM PREVIOUS VSL HAB 2612N BY ALLOCATION TEAM MS.TAN APPROVED COST IS UNDER HA DD.26/10</t>
  </si>
  <si>
    <t>POL: THLCH [HMVY/2609N]; T/S(1st): KRPUS [HTVY/2645E]; POD: JPIYM [/]</t>
  </si>
  <si>
    <t>SEATRANS INTERNATIONAL TRANSPORT CO., LTD.</t>
  </si>
  <si>
    <t>AMPOL FOOD PROCESSING LTD.</t>
  </si>
  <si>
    <t>UHT COCONUT MILK</t>
  </si>
  <si>
    <t xml:space="preserve">Pickup : 2026-10-08, Return SRP : 2026-10-09 [PAPERLESS CODE 2829]
CLS TIME 12/10/26 @23.59</t>
  </si>
  <si>
    <t>document@seatrans.co.th;manoon@seatrans.co.th;saowanee_aeyaey@hotmail.com</t>
  </si>
  <si>
    <t>S22-2209004</t>
  </si>
  <si>
    <t>BB0178</t>
  </si>
  <si>
    <t>210690</t>
  </si>
  <si>
    <t>HASLS22261000191</t>
  </si>
  <si>
    <t>RUVVO</t>
  </si>
  <si>
    <t>VVO01</t>
  </si>
  <si>
    <t>RU</t>
  </si>
  <si>
    <t>FREIGHT MARK ASIA (THAILAND) CO. LTD.</t>
  </si>
  <si>
    <t>MAXXIS INTERNATIONAL (THAILAND) CO., LTD.</t>
  </si>
  <si>
    <t>RUVO02</t>
  </si>
  <si>
    <t>Konstantin Gorbushin</t>
  </si>
  <si>
    <t>NEUMATICOS, AUTOMOBILE TYRES, LIGHT TRUCK TYRES</t>
  </si>
  <si>
    <t xml:space="preserve">HMVY/2609N/11/04[FIX] Pickup : 2026-10-14, Return : 2026-10-15 SOC 
CUSTOMS FORMALITY (SOC) BY HAL = 1,000 BAHT</t>
  </si>
  <si>
    <t xml:space="preserve">MAINTAIN ON HMVY 2609N 
CUSTOMS FORMALITY (SOC) BY HAL = 1,000 BAHT
NEW SEAL 2 QTYS = 500THB  (MOVE SEAL AND COST SEAL FM BKG HASLS22260902401) </t>
  </si>
  <si>
    <t>TYRED</t>
  </si>
  <si>
    <t>POL: THLCH [HMVY/2609N]; T/S(1st): KRPUS [SWTD/9020N]; POD: RUVVO [/]</t>
  </si>
  <si>
    <t>suchanya@freightmarkasia.com</t>
  </si>
  <si>
    <t>MAXXIS  INTERNATIONAL (THAILAND)</t>
  </si>
  <si>
    <t>INDIVIDUAL ENTREPRENEUR SEMISOTNOV</t>
  </si>
  <si>
    <t>GROWEX LLC</t>
  </si>
  <si>
    <t>R01-2308005</t>
  </si>
  <si>
    <t>THTXNK</t>
  </si>
  <si>
    <t>401120</t>
  </si>
  <si>
    <t>20'x1 40Hx1</t>
  </si>
  <si>
    <t>EXPEDITORS (THAILAND) LTD.</t>
  </si>
  <si>
    <t>INNOVALUES PRECISION (THAILAND) LTD.</t>
  </si>
  <si>
    <t>HEXPOR ,ALUMINUM HEXPORT</t>
  </si>
  <si>
    <t>Pickup : 2026-10-14, Return : 2026-10-15 CLS TIME DD.17/1200AM AT SIAM RIVER PORT (CODE A3:2829)</t>
  </si>
  <si>
    <t>AUTOMOTIVE PARTS</t>
  </si>
  <si>
    <t>alina.jantieng@expeditors.com</t>
  </si>
  <si>
    <t>S22-2408021</t>
  </si>
  <si>
    <t>BB0038</t>
  </si>
  <si>
    <t>903300</t>
  </si>
  <si>
    <t>GRAND INTERNATIONAL LOGISTICS  CO.,LTD.</t>
  </si>
  <si>
    <t>TOYOX PRESSURE HOSES</t>
  </si>
  <si>
    <t xml:space="preserve">Pickup : 2026-10-14, Return @SRP : 2026-10-15  (PAPERLESS CODE : 2829)
CLS TIME @SRP : 17/10/2026 @18.00 </t>
  </si>
  <si>
    <t>csgroup@grandinterlogistics.com</t>
  </si>
  <si>
    <t>S22-2308014</t>
  </si>
  <si>
    <t>THTKJ7</t>
  </si>
  <si>
    <t>391739</t>
  </si>
  <si>
    <t>40Hx36</t>
  </si>
  <si>
    <t>PVC RESIN / POLYVINYL CHLORIDE SIAMVIC</t>
  </si>
  <si>
    <t>Pickup : 2026-10-15, Return : 2026-10-16</t>
  </si>
  <si>
    <t>DOW CHEMICAL THAILAND LTD.</t>
  </si>
  <si>
    <t>B0004</t>
  </si>
  <si>
    <t>SEO JI YEONG</t>
  </si>
  <si>
    <t>ELITE TM 5220LC ENHANCED POLYETHYLENE RESIN BULK</t>
  </si>
  <si>
    <t>SWB</t>
  </si>
  <si>
    <t xml:space="preserve">[FIX]Pickup : 2026-10-19, Return : 2026-10-22
** PLEASE CHECK OPEN GATE BEFORE RETURN CONTAINER ** </t>
  </si>
  <si>
    <t>FM HAHM 2612N BY HAL DD 21/101X20' SEABULK "1.Pls send Email to  kittima.t@bdpint.com 2.Issue SEA WAYBILL "</t>
  </si>
  <si>
    <t>rattiya.w@psabdp.com</t>
  </si>
  <si>
    <t>76492-25003</t>
  </si>
  <si>
    <t>THTJG3</t>
  </si>
  <si>
    <t xml:space="preserve">[FIX]Pickup : 2026-10-19, Return : 2026-10-22 </t>
  </si>
  <si>
    <t xml:space="preserve">[FIX]Pickup : 2026-10-19, Return : 2026-10-22
** PLEASE CHECK OPEN GATE BEFORE RETURN CONTAINER **
</t>
  </si>
  <si>
    <t>DAECHANG TRADING (THAILAND) CO.,LTD.</t>
  </si>
  <si>
    <t>BRASS ROD</t>
  </si>
  <si>
    <t xml:space="preserve">Pickup : 2026-10-20, Return : 2026-10-21 
 ** PLEASE CHECK OPEN GATE BEFORE RETURN CNTR **
 </t>
  </si>
  <si>
    <t>REQUEST GOOD &amp; CLEAN CONTAINER / WITHOUT HOLE</t>
  </si>
  <si>
    <t>rung@shasgl.com</t>
  </si>
  <si>
    <t>S22-2605002</t>
  </si>
  <si>
    <t>THTWPL</t>
  </si>
  <si>
    <t>740721</t>
  </si>
  <si>
    <t xml:space="preserve">[FIX][FIX][FIX]SURVEY 14/10/2026 CY-RTN 14-18/10/26 (PR2610003991 )
**CHECK OPENGATE BEFORE RETURN CNTR**
</t>
  </si>
  <si>
    <t xml:space="preserve">SI DD.19/10/26
FM 4X20'GP DD.17/09/26</t>
  </si>
  <si>
    <t>2026-10-06</t>
  </si>
  <si>
    <t>KUBOTA ENGINE ( THAILAND ) CO., LTD.</t>
  </si>
  <si>
    <t>DIESEL ENGINE</t>
  </si>
  <si>
    <t>Pickup : 2026-10-19, Return : 2026-10-19 (1ST RTN DD: 18/10/26 WO/RENT)</t>
  </si>
  <si>
    <t>pinda.k@th.yusen-logistics.com;kwanjira.k@th.yusen-logistics.com</t>
  </si>
  <si>
    <t>HASLS22261000634</t>
  </si>
  <si>
    <t>RUVST</t>
  </si>
  <si>
    <t>VST01</t>
  </si>
  <si>
    <t>2026-11-15</t>
  </si>
  <si>
    <t>SWIFT CARGO LIMITED</t>
  </si>
  <si>
    <t>RUVO04</t>
  </si>
  <si>
    <t>Victoria Shitova</t>
  </si>
  <si>
    <t>NEW "YOKOHAMA" BRAND TIRES</t>
  </si>
  <si>
    <t xml:space="preserve">HMVY/2609N/11/04[FIX] Pickup : 2026-10-15, Return : 2026-10-21 SOC 
CUSTOMS FORMALITY (SOC) BY HAL = 1,000 BAHT  </t>
  </si>
  <si>
    <t xml:space="preserve">CUSTOMS FORMALITY (SOC) BY HAL = 1,000 BAHT  
NEW SEAL THB=250D
FM RUVVO 19/10Drop Off St.PetersburgS/C R01-2309017</t>
  </si>
  <si>
    <t xml:space="preserve">NEW TYRES </t>
  </si>
  <si>
    <t>POL: THLCH [HMVY/2609N]; T/S(1st): KRPUS [SDTR/2632N]; POD: RUVST [/]</t>
  </si>
  <si>
    <t>csbkk@swiftcargo.com</t>
  </si>
  <si>
    <t>MAXXIS  INTERNATIONAL</t>
  </si>
  <si>
    <t>YOKOHAMA RUSSIA LLC</t>
  </si>
  <si>
    <t>R01-2309017</t>
  </si>
  <si>
    <t>THTRTX</t>
  </si>
  <si>
    <t>UNITED MARINE LOGISTIC CO., LTD.</t>
  </si>
  <si>
    <t>INNOVATIVE FOOD AND BEVERAGE (THAILAND) CO., LTD.</t>
  </si>
  <si>
    <t xml:space="preserve">COCONUT WATER </t>
  </si>
  <si>
    <t xml:space="preserve">Pickup : 2026-10-16, Return SRP : 2026-10-17 [PAPERLESS CODE 2829]
CLS TIME 19/10/26 @13.00</t>
  </si>
  <si>
    <t xml:space="preserve">FM 7X20GP 09/10CY/RTN BKK </t>
  </si>
  <si>
    <t>pranee@umac.co.th</t>
  </si>
  <si>
    <t>S22-2406015</t>
  </si>
  <si>
    <t>BB1277</t>
  </si>
  <si>
    <t>200989</t>
  </si>
  <si>
    <t>CONNEXT LOG (THAILAND) CO.,LTD.</t>
  </si>
  <si>
    <t>SUNWELL (THAILAND) CO., LTD</t>
  </si>
  <si>
    <t>WOVEN FABRIC</t>
  </si>
  <si>
    <t xml:space="preserve">Pickup : 2026-10-22, Return : 2026-10-22
 ** PLEASE CHECK OPEN GATE BEFORE RETURN CNTR **
</t>
  </si>
  <si>
    <t>export_cs@cnlthailand.com</t>
  </si>
  <si>
    <t>S22-2504004</t>
  </si>
  <si>
    <t>THTS51</t>
  </si>
  <si>
    <t>540752</t>
  </si>
  <si>
    <t xml:space="preserve">Pickup : 2026-10-12, Return : 2026-10-14 [PAPERLESS CODE : 2829]
 CLS TIME 19/10 @12.00 [1ST RTN 16/10 W/O RENT] 
 </t>
  </si>
  <si>
    <t>FM 2X40HQ BY K.VIEW 12/10</t>
  </si>
  <si>
    <t>GEMINI TEXTILE CO., LTD.</t>
  </si>
  <si>
    <t>FABRICS</t>
  </si>
  <si>
    <t xml:space="preserve">Pickup : 2026-10-19, Return : 2026-10-20 Paperless Code 2829
Closing Time 2026-10-24 @ 20.00</t>
  </si>
  <si>
    <t xml:space="preserve">FM SHRP : GEMMA KNITS (THAILAND) CO., LTD.  //  2 SHRP LOAD : 1. GEMINI TEXTILE CO.,LTD. 2. SETAFIL  DD 20/10 
REQUEST CLEAN CONTAINERCY&amp;RETURN AREA BKK ONLY</t>
  </si>
  <si>
    <t>malin@ctibkk.com</t>
  </si>
  <si>
    <t>S19-2606004</t>
  </si>
  <si>
    <t>THTI8R</t>
  </si>
  <si>
    <t>600632</t>
  </si>
  <si>
    <t>20'x20</t>
  </si>
  <si>
    <t>TOP INTER FREIGHT CO., LTD.</t>
  </si>
  <si>
    <t>TOP PREMIUM STARCH CO., LTD.</t>
  </si>
  <si>
    <t>TAPIOCASTARCH</t>
  </si>
  <si>
    <t xml:space="preserve">STUFFING CARGO AT TIFFA ICD DD.16-17/10/26 [PAPERLESS CODE 2829]
CLS TIME 19/10/26 @17.00</t>
  </si>
  <si>
    <t>CY-RE AT BKK (SIAM RIVER PORT) ON 16-17/10/2026REQUEST CONTAINER FOOD GRADE</t>
  </si>
  <si>
    <t>LCH54</t>
  </si>
  <si>
    <t>CFS/CY</t>
  </si>
  <si>
    <t>supawan@topinterfreight.com;cs@topinterfreight.com</t>
  </si>
  <si>
    <t>S22-2203040</t>
  </si>
  <si>
    <t>THTQI7</t>
  </si>
  <si>
    <t>110814</t>
  </si>
  <si>
    <t>FREIGHT EXPRESS INTERNATIONAL CO., LTD.</t>
  </si>
  <si>
    <t>MITSUBISHI ELECTRIC THAI AUTO-PARTS CO., LTD.</t>
  </si>
  <si>
    <t>VALVE MODEL</t>
  </si>
  <si>
    <t>Pickup : 2026-10-22, Return : 2026-10-23 (1ST RTN DD: 16/10/26 WO/RENT)</t>
  </si>
  <si>
    <t>ACTUATOR-ASSY</t>
  </si>
  <si>
    <t>export@fei.co.th</t>
  </si>
  <si>
    <t>S22-2502048</t>
  </si>
  <si>
    <t>THTIVB</t>
  </si>
  <si>
    <t>840999</t>
  </si>
  <si>
    <t>FLS 1993 (THAILAND) CO., LTD.</t>
  </si>
  <si>
    <t>KLOECKNER PENTAPLAST (THAILAND) LTD.</t>
  </si>
  <si>
    <t>PENTAPHARM</t>
  </si>
  <si>
    <t>Pickup : 2026-10-17, Return : 2026-10-18 [1ST RTN 18/10/2026 W/O RENT]</t>
  </si>
  <si>
    <t>booking@fls-group.com</t>
  </si>
  <si>
    <t>S22-2405036</t>
  </si>
  <si>
    <t>TH0471</t>
  </si>
  <si>
    <t>392049</t>
  </si>
  <si>
    <t>40Hx5</t>
  </si>
  <si>
    <t>SUN-OCEAN GLOBAL SUPPLY CHAIN CO., LTD.</t>
  </si>
  <si>
    <t>HYGIENE SOFTENER CONCENTRATE</t>
  </si>
  <si>
    <t xml:space="preserve">Pickup : 2026-10-19, Return SRP : 2026-10-19 [PAPERLESS CODE 2829]
CLS TIME 24/10/26 @21.00 (1ST RETURN DATE 21/10/26)</t>
  </si>
  <si>
    <t>COMM: LAUNDRY DETERGENTNEED GOOD CONTAINERSREQ CY RTN AT BKK AREA</t>
  </si>
  <si>
    <t>GENERAL CARGO</t>
  </si>
  <si>
    <t>export@sunoceantl.com;nicky@sunoceantl.com;koko@sunoceantl.com</t>
  </si>
  <si>
    <t>S22-2510005</t>
  </si>
  <si>
    <t>THTSN7</t>
  </si>
  <si>
    <t>340290</t>
  </si>
  <si>
    <t>40Hx20</t>
  </si>
  <si>
    <t>HYGIENE DETERGENT</t>
  </si>
  <si>
    <t xml:space="preserve">Pickup : 2026-10-16, Return SRP : 2026-10-17 [PAPERLESS CODE 2829]
CLS TIME 24/10/26 @21.00 (1ST RETURN 17/10/26)</t>
  </si>
  <si>
    <t>COMM: LAUNDRY DETERGENT</t>
  </si>
  <si>
    <t>40Hx10</t>
  </si>
  <si>
    <t xml:space="preserve">Pickup : 2026-10-19, Return SRP : 2026-10-20 [PAPERLESS CODE 2829]
CLS TIME 24/10/26 @21.00 (1ST RETURN DD.21/10/26)</t>
  </si>
  <si>
    <t>LAUNDRY DETERGENT</t>
  </si>
  <si>
    <t>S22-2610017</t>
  </si>
  <si>
    <t>BNE GLOBAL CO.,LTD.</t>
  </si>
  <si>
    <t>SEFAR (THAILAND) CO LTD</t>
  </si>
  <si>
    <t>TBKK28</t>
  </si>
  <si>
    <t>Nustsireerach</t>
  </si>
  <si>
    <t>RETURNABLE EMPTY BOBBIN</t>
  </si>
  <si>
    <t xml:space="preserve">Pickup : 2026-10-19, Return : 2026-10-20  </t>
  </si>
  <si>
    <t xml:space="preserve">BOBBIN </t>
  </si>
  <si>
    <t>operation@bneglobal.co.th</t>
  </si>
  <si>
    <t>S22-2505025</t>
  </si>
  <si>
    <t>THTW77</t>
  </si>
  <si>
    <t>392690</t>
  </si>
  <si>
    <t>CARGO NETWORK DELIVERY (THAILAND) CO., LTD.</t>
  </si>
  <si>
    <t>DOCKWEILER ASIA CO., LTD.</t>
  </si>
  <si>
    <t>STAINLESS STEEL TUBE</t>
  </si>
  <si>
    <t xml:space="preserve">Pickup : 2026-10-20, Return SRP : 2026-10-21 [PAPERLESS CODE 2829]
CLS TIME 24/10/26 @18.00 (1ST RTN DD: 21/10/26 WO/RENT)</t>
  </si>
  <si>
    <t>cs@cndthai.com</t>
  </si>
  <si>
    <t>S19-2308004</t>
  </si>
  <si>
    <t>BB0596</t>
  </si>
  <si>
    <t>730640</t>
  </si>
  <si>
    <t>MORRISON EXPRESS CORP (THAILAND)LTD.</t>
  </si>
  <si>
    <t>VILLEROY &amp; BOCH (THAILAND) CO., LTD.</t>
  </si>
  <si>
    <t>CERAMIC SANITARYWARE</t>
  </si>
  <si>
    <t xml:space="preserve">Pickup : 2026-10-17, Return SRP : 2026-10-19 [PAPERLESS CODE 2829]
CLS TIME 22/10/26 @23.59</t>
  </si>
  <si>
    <t>CERAMIC</t>
  </si>
  <si>
    <t>bkk_seaexports@morrisonexpress.com</t>
  </si>
  <si>
    <t>S22-2504032</t>
  </si>
  <si>
    <t>THTKV2</t>
  </si>
  <si>
    <t>691010</t>
  </si>
  <si>
    <t>K-APEX (THAILAND) CO., LTD.</t>
  </si>
  <si>
    <t>FIRST MATERIAL SCIENCE (THAILAND) CO., LTD.</t>
  </si>
  <si>
    <t>ETHYLENE VINYL ACETATE RESIN</t>
  </si>
  <si>
    <t>Pickup : 2026-10-20, Return : 2026-10-21</t>
  </si>
  <si>
    <t>FM 2X40'HQBOOK BY POP 276 SHPR : FIRST MATERIAL SCIENCE (THAILAND) CO.,LTD.MOD : ETHYLENE VINYL ACETATE RESIN HS CODE : 3901.30.00DESTINATION : SHANGHAI,CHINACY-RTN : 19-20 OCT 2026** REQUEST GOOD AND CLEAN CONTAINER</t>
  </si>
  <si>
    <t xml:space="preserve">ETHYLENE VINYL ACETATE RESIN </t>
  </si>
  <si>
    <t>th.kapex.seaexport@kln.com</t>
  </si>
  <si>
    <t>S22-2203038</t>
  </si>
  <si>
    <t>THTJ47</t>
  </si>
  <si>
    <t>390190</t>
  </si>
  <si>
    <t>DREAM IMPORT-EXPORT CO.,LTD.</t>
  </si>
  <si>
    <t>MULBERRY PULP</t>
  </si>
  <si>
    <t>Pickup : 2026-10-20, Return : 2026-10-22  (HV LOI 17/10/26)</t>
  </si>
  <si>
    <t>SHIPMENT INTRANSIT FROM LAOS EX.LCB TO SHANGHAI  (HV LOI 17/10/26)1X20', SHIPMENT INTRANSIT FROM LAOS EX.LCB TO SHANGHAIH.S.CODE: 53031000</t>
  </si>
  <si>
    <t>POTASSIUM CARBONATE 99% MIN. (NON-DG)</t>
  </si>
  <si>
    <t xml:space="preserve">Pickup : 2026-10-21, Return : 2026-10-22 </t>
  </si>
  <si>
    <t>SEND DRAFT  nannagamphat.n@agc.com,KANOKPHON@FTS.CO.TH , LALIDA@FTS.CO.TH , wanissa@fts.co.th</t>
  </si>
  <si>
    <t>rawinnipha.sawa@agc.com</t>
  </si>
  <si>
    <t>283640</t>
  </si>
  <si>
    <t>THE M CORP GLOBAL CO., LTD.</t>
  </si>
  <si>
    <t xml:space="preserve">OZU CORPORATION </t>
  </si>
  <si>
    <t>WIPERS</t>
  </si>
  <si>
    <t xml:space="preserve">Pickup : 2026-10-20, Return SRP : 2026-10-21 [PAPERLESS CODE 2829]
CLS TIME 22/10/26 @23.59</t>
  </si>
  <si>
    <t xml:space="preserve">SHOW ON BL SHPR :  OZU CORPORATION ON BEHALF OF C.B.TACT (THAILAND)ACTUAL SHIPPER : OZU CORPORATIONCY - RTN AT BKK GOOD AND CLEAN CONTAINER </t>
  </si>
  <si>
    <t>EXPORT@MINTERCORP.CO.TH</t>
  </si>
  <si>
    <t>S22-2311019</t>
  </si>
  <si>
    <t>THTLC5</t>
  </si>
  <si>
    <t>560312</t>
  </si>
  <si>
    <t>ABLE AWARDS GLOBAL LOGISTICS CO., LTD.</t>
  </si>
  <si>
    <t>TH0042</t>
  </si>
  <si>
    <t>Sukunpoj Damrongying</t>
  </si>
  <si>
    <t>SNACKS//CRAYON SHINCHAN CHOCOBI</t>
  </si>
  <si>
    <t>CY-RTN at Bangkokplease extend closing time at siam river port to 23/10/2026 before noon</t>
  </si>
  <si>
    <t>SNACKS</t>
  </si>
  <si>
    <t>ARAYA@ABLE-AWARDS.CO.TH</t>
  </si>
  <si>
    <t>S22-2301037</t>
  </si>
  <si>
    <t>THTXU8</t>
  </si>
  <si>
    <t>190590</t>
  </si>
  <si>
    <t>TRANS-MAKER CO., LTD.</t>
  </si>
  <si>
    <t>TFL LEDERTECHNIK GMBH</t>
  </si>
  <si>
    <t>LEATHER CHEMICALS (NON DG)</t>
  </si>
  <si>
    <t xml:space="preserve">Pickup : 2026-10-22, Return : 2026-10-24 </t>
  </si>
  <si>
    <t>tmkcusexp@trans-maker.com</t>
  </si>
  <si>
    <t>S19-2011020</t>
  </si>
  <si>
    <t>TH01GM</t>
  </si>
  <si>
    <t>380993</t>
  </si>
  <si>
    <t>AVERY DENNISON (THAILAND) LTD.</t>
  </si>
  <si>
    <t>SELF ADHESIVE MATERIAL</t>
  </si>
  <si>
    <t xml:space="preserve">Pickup : 2026-10-20, Return : 2026-10-21 PAPERLESS CODE 2829]
CLS TIME 24/10/26 @18.00 (1ST RTN DD: 21/10/26 WO/RENT)</t>
  </si>
  <si>
    <t>SI dd.27/10/26</t>
  </si>
  <si>
    <t>391990</t>
  </si>
  <si>
    <t>YUSEN LOGISTICS (THAILAND) CO.,LTD.</t>
  </si>
  <si>
    <t>PRINTER FOR INDUSTRY / ENGRAVING MACHINE</t>
  </si>
  <si>
    <t xml:space="preserve">Pickup : 2026-10-21, Return SRP : 2026-10-21 [PAPERLESS CODE 2829]
CLS TIME 24/10/26 @18.00</t>
  </si>
  <si>
    <t>ACTUAL SHIPPER: YUSEN LOGISTICS (THAILAND) CO.,LTD.CY-RTN 20-21 OCTHS.CODE: 8443.32PRINTER FOR INDUSTRY (NON-DG)</t>
  </si>
  <si>
    <t>PRINTER FOR INDUSTRY</t>
  </si>
  <si>
    <t>kwanjira.k@th.yusen-logistics.com;ylth.ml.offg.exp.special@th.yusen-logistics.com;nuntanit.t@th.yusen-logistics.com</t>
  </si>
  <si>
    <t>901849</t>
  </si>
  <si>
    <t>THAIGO LOGISTICS CO.,LTD</t>
  </si>
  <si>
    <t>ABS/PC RECYCLE PELLET</t>
  </si>
  <si>
    <t xml:space="preserve">Pickup : 2026-10-20, Return SRP : 2026-10-21 [PAPERLESS CODE 2829]
CLS TIME 24/10/26 @18.00</t>
  </si>
  <si>
    <t>HS CODE : 3902.10</t>
  </si>
  <si>
    <t>PC/ABS RECYCLE PELLET</t>
  </si>
  <si>
    <t>wyh3323083@gmail.com</t>
  </si>
  <si>
    <t>S22-2406022</t>
  </si>
  <si>
    <t>THTTV0</t>
  </si>
  <si>
    <t>390210</t>
  </si>
  <si>
    <t>JINWINS LOGISTICS CO.,LTD</t>
  </si>
  <si>
    <t>VAST OCEAN CO., LTD.</t>
  </si>
  <si>
    <t>POM RECYCLE PELLET</t>
  </si>
  <si>
    <t>SI DD.21/10/26</t>
  </si>
  <si>
    <t>export.thailand@jinwins.com</t>
  </si>
  <si>
    <t>S22-2506002</t>
  </si>
  <si>
    <t>THTXE4</t>
  </si>
  <si>
    <t>390710</t>
  </si>
  <si>
    <t>DOLPHIN LOGISTICS (THAILAND) CO., LTD.</t>
  </si>
  <si>
    <t>SODICK (THAILAND) CO., LTD.</t>
  </si>
  <si>
    <t>SERVICE PARTS</t>
  </si>
  <si>
    <t xml:space="preserve">Pickup : 2026-10-21, Return : 2026-10-21 (PAPERLESS CODE : 2829)
CLS TIME @SRP : 24/10/2026 @12.00 [1ST RTN : 21/10/2026 SUBJECT TO DELAY]</t>
  </si>
  <si>
    <t>REQUEST GOOD, CLEAN, NO LEAK, NO HOLE'S CONTAINER.REQUEST CY / RTN : BKK AREA</t>
  </si>
  <si>
    <t>dolphin-th-exp@dolphinth.com</t>
  </si>
  <si>
    <t>S22-2308056</t>
  </si>
  <si>
    <t>TH018T</t>
  </si>
  <si>
    <t>853710</t>
  </si>
  <si>
    <t xml:space="preserve">Pickup : 2026-10-21, Return : 2026-10-23*1ST RETURN CNTR DD.23/10/2026 WITHOUT RENT*
</t>
  </si>
  <si>
    <t>V SMART NETWORK CO., LTD.</t>
  </si>
  <si>
    <t>ZIEHL-ABEGG (THAILAND) LTD.</t>
  </si>
  <si>
    <t>IMPELLER</t>
  </si>
  <si>
    <t>Pickup : 2026-10-26, Return : 2026-10-26</t>
  </si>
  <si>
    <t>EC INDUSTRIAL FAN</t>
  </si>
  <si>
    <t>cs2-overseas@vsmartnetwork.co.th</t>
  </si>
  <si>
    <t>S22-2504013</t>
  </si>
  <si>
    <t>THTNRB</t>
  </si>
  <si>
    <t>841490</t>
  </si>
  <si>
    <t>R40Hx1</t>
  </si>
  <si>
    <t>ISSIRA INTERGROUP CO., LTD.</t>
  </si>
  <si>
    <t>FROZEN FRESH CHICKEN MEAT</t>
  </si>
  <si>
    <t>RF// MIN:-20.0 MAX:-20.0 [COVER:CLOSE]</t>
  </si>
  <si>
    <t xml:space="preserve">45REx1 </t>
  </si>
  <si>
    <t xml:space="preserve">Pickup : 2026-10-22, Return : 2026-10-24 (Temp -20.0℃ / Vent Close)
CLS TIME DD.26/10/2026 @ 15.00Hrs.</t>
  </si>
  <si>
    <t>CY :: 22-OCT-26 AT LCHRE : 24-OCT-26 AT LCH SHPPER : PJW CORPORATION CO.,LTD.</t>
  </si>
  <si>
    <t>FROZEN CHICKEN MEAT</t>
  </si>
  <si>
    <t>chonly.isl@outlook.com</t>
  </si>
  <si>
    <t>45RE x1: RF(Temp:-20.0' / Cover:CLOSE)</t>
  </si>
  <si>
    <t>BKK14A0118-1</t>
  </si>
  <si>
    <t>THTRMW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</si>
  <si>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</si>
  <si>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</si>
  <si>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</si>
  <si>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</si>
  <si>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</si>
  <si>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</si>
  <si>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</si>
  <si>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</si>
  <si>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</si>
  <si>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</si>
  <si>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</si>
  <si>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</si>
  <si>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</si>
  <si>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</si>
  <si>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</si>
  <si>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</si>
  <si>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</si>
  <si>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</si>
  <si>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</si>
  <si>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</si>
  <si>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</si>
  <si>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</si>
  <si>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</si>
  <si>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</si>
  <si>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</si>
  <si>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</si>
  <si>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</si>
  <si>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</si>
  <si>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</si>
  <si>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1553</t>
  </si>
  <si>
    <t>FTP</t>
  </si>
  <si>
    <t>EDI2</t>
  </si>
  <si>
    <t>Full</t>
  </si>
  <si>
    <t xml:space="preserve">20'x32 </t>
  </si>
  <si>
    <t>2014</t>
  </si>
  <si>
    <t>1829</t>
  </si>
  <si>
    <t>2026-10-23</t>
  </si>
  <si>
    <t>1018</t>
  </si>
  <si>
    <t xml:space="preserve">40Hx5 </t>
  </si>
  <si>
    <t>1249</t>
  </si>
  <si>
    <t>0428</t>
  </si>
  <si>
    <t xml:space="preserve">40Hx30 </t>
  </si>
  <si>
    <t>2015</t>
  </si>
  <si>
    <t>SWRG</t>
  </si>
  <si>
    <t>0723</t>
  </si>
  <si>
    <t>1653</t>
  </si>
  <si>
    <t xml:space="preserve">40Hx1 </t>
  </si>
  <si>
    <t>1956</t>
  </si>
  <si>
    <t>0000</t>
  </si>
  <si>
    <t xml:space="preserve">40Hx2 </t>
  </si>
  <si>
    <t>0221</t>
  </si>
  <si>
    <t>2246</t>
  </si>
  <si>
    <t xml:space="preserve">R40Hx1 </t>
  </si>
  <si>
    <t>2021</t>
  </si>
  <si>
    <t>CARRIER</t>
  </si>
  <si>
    <t>69NT40-561-503</t>
  </si>
  <si>
    <t>0153</t>
  </si>
  <si>
    <t>A116R</t>
  </si>
  <si>
    <t>1311</t>
  </si>
  <si>
    <t xml:space="preserve">40Hx36 </t>
  </si>
  <si>
    <t>2018</t>
  </si>
  <si>
    <t>1624</t>
  </si>
  <si>
    <t>0809</t>
  </si>
  <si>
    <t>2017</t>
  </si>
  <si>
    <t>1113</t>
  </si>
  <si>
    <t>1309</t>
  </si>
  <si>
    <t xml:space="preserve">40Hx20 </t>
  </si>
  <si>
    <t>1549</t>
  </si>
  <si>
    <t>0526</t>
  </si>
  <si>
    <t xml:space="preserve">20'x1 </t>
  </si>
  <si>
    <t>2024</t>
  </si>
  <si>
    <t>0835</t>
  </si>
  <si>
    <t>A100R</t>
  </si>
  <si>
    <t>0748</t>
  </si>
  <si>
    <t xml:space="preserve">40Hx3 </t>
  </si>
  <si>
    <t>1117</t>
  </si>
  <si>
    <t>0903</t>
  </si>
  <si>
    <t>1155</t>
  </si>
  <si>
    <t>1648</t>
  </si>
  <si>
    <t>1929</t>
  </si>
  <si>
    <t>1913</t>
  </si>
  <si>
    <t>2158</t>
  </si>
  <si>
    <t>2121</t>
  </si>
  <si>
    <t>0005</t>
  </si>
  <si>
    <t>1534</t>
  </si>
  <si>
    <t>1811</t>
  </si>
  <si>
    <t>0237</t>
  </si>
  <si>
    <t xml:space="preserve">20'x5 </t>
  </si>
  <si>
    <t>0459</t>
  </si>
  <si>
    <t>1922</t>
  </si>
  <si>
    <t xml:space="preserve">20'x20 </t>
  </si>
  <si>
    <t>2023</t>
  </si>
  <si>
    <t>2338</t>
  </si>
  <si>
    <t>2233</t>
  </si>
  <si>
    <t>0107</t>
  </si>
  <si>
    <t>1937</t>
  </si>
  <si>
    <t>2208</t>
  </si>
  <si>
    <t>1029</t>
  </si>
  <si>
    <t>1346</t>
  </si>
  <si>
    <t>2309</t>
  </si>
  <si>
    <t xml:space="preserve">20'x7 </t>
  </si>
  <si>
    <t>HAB</t>
  </si>
  <si>
    <t>2612N</t>
  </si>
  <si>
    <t>0223</t>
  </si>
  <si>
    <t>2312</t>
  </si>
  <si>
    <t>0324</t>
  </si>
  <si>
    <t>0606</t>
  </si>
  <si>
    <t>1959</t>
  </si>
  <si>
    <t>1851</t>
  </si>
  <si>
    <t>2241</t>
  </si>
  <si>
    <t>0137</t>
  </si>
  <si>
    <t>0112</t>
  </si>
  <si>
    <t xml:space="preserve">40Hx1 20'x1 </t>
  </si>
  <si>
    <t>0350</t>
  </si>
  <si>
    <t>1828</t>
  </si>
  <si>
    <t>2106</t>
  </si>
  <si>
    <t>1256</t>
  </si>
  <si>
    <t>1520</t>
  </si>
  <si>
    <t>0211</t>
  </si>
  <si>
    <t>0429</t>
  </si>
  <si>
    <t>2316</t>
  </si>
  <si>
    <t xml:space="preserve">20'x2 </t>
  </si>
  <si>
    <t>0156</t>
  </si>
  <si>
    <t>1903</t>
  </si>
  <si>
    <t>1246</t>
  </si>
  <si>
    <t xml:space="preserve">20'x4 </t>
  </si>
  <si>
    <t>1228</t>
  </si>
  <si>
    <t>0821</t>
  </si>
  <si>
    <t xml:space="preserve">20'x6 </t>
  </si>
  <si>
    <t>0940</t>
  </si>
  <si>
    <t>1253</t>
  </si>
  <si>
    <t>1533</t>
  </si>
  <si>
    <t>1225</t>
  </si>
  <si>
    <t>1447</t>
  </si>
  <si>
    <t>1254</t>
  </si>
  <si>
    <t>1742</t>
  </si>
  <si>
    <t>0411</t>
  </si>
  <si>
    <t>0707</t>
  </si>
  <si>
    <t>0701</t>
  </si>
  <si>
    <t>1007</t>
  </si>
  <si>
    <t>0515</t>
  </si>
  <si>
    <t>0814</t>
  </si>
  <si>
    <t xml:space="preserve">20'x8 </t>
  </si>
  <si>
    <t>2225</t>
  </si>
  <si>
    <t>1248</t>
  </si>
  <si>
    <t>0320</t>
  </si>
  <si>
    <t>2025</t>
  </si>
  <si>
    <t>0304</t>
  </si>
  <si>
    <t>0607</t>
  </si>
  <si>
    <t>0528</t>
  </si>
  <si>
    <t>0806</t>
  </si>
  <si>
    <t>0848</t>
  </si>
  <si>
    <t>1142</t>
  </si>
  <si>
    <t>2333</t>
  </si>
  <si>
    <t>0234</t>
  </si>
  <si>
    <t>0546</t>
  </si>
  <si>
    <t>1045</t>
  </si>
  <si>
    <t>1353</t>
  </si>
  <si>
    <t>2112</t>
  </si>
  <si>
    <t>0009</t>
  </si>
  <si>
    <t>0517</t>
  </si>
  <si>
    <t>0827</t>
  </si>
  <si>
    <t>0745</t>
  </si>
  <si>
    <t>1056</t>
  </si>
  <si>
    <t>0631</t>
  </si>
  <si>
    <t>0935</t>
  </si>
  <si>
    <t>2227</t>
  </si>
  <si>
    <t>0109</t>
  </si>
  <si>
    <t>0915</t>
  </si>
  <si>
    <t>1223</t>
  </si>
  <si>
    <t>2125</t>
  </si>
  <si>
    <t>1250</t>
  </si>
  <si>
    <t>0010</t>
  </si>
  <si>
    <t>0449</t>
  </si>
  <si>
    <t>1229</t>
  </si>
  <si>
    <t xml:space="preserve">20'x3 </t>
  </si>
  <si>
    <t>0316</t>
  </si>
  <si>
    <t>1725</t>
  </si>
  <si>
    <t xml:space="preserve">40Hx4 </t>
  </si>
  <si>
    <t>2011</t>
  </si>
  <si>
    <t>1119</t>
  </si>
  <si>
    <t>2013</t>
  </si>
  <si>
    <t>1425</t>
  </si>
  <si>
    <t>0843</t>
  </si>
  <si>
    <t>1125</t>
  </si>
  <si>
    <t>1046</t>
  </si>
  <si>
    <t>1319</t>
  </si>
  <si>
    <t>1836</t>
  </si>
  <si>
    <t>1028</t>
  </si>
  <si>
    <t xml:space="preserve">40Hx10 </t>
  </si>
  <si>
    <t>1231</t>
  </si>
  <si>
    <t>1459</t>
  </si>
  <si>
    <t>0931</t>
  </si>
  <si>
    <t>1218</t>
  </si>
  <si>
    <t>0815</t>
  </si>
  <si>
    <t>0804</t>
  </si>
  <si>
    <t>1053</t>
  </si>
  <si>
    <t>1818</t>
  </si>
  <si>
    <t>0844</t>
  </si>
  <si>
    <t>2026-10-04</t>
  </si>
  <si>
    <t>0951</t>
  </si>
  <si>
    <t>1255</t>
  </si>
  <si>
    <t>0839</t>
  </si>
  <si>
    <t>0936</t>
  </si>
  <si>
    <t>Sirichai Prayochananon</t>
  </si>
  <si>
    <t>1025</t>
  </si>
  <si>
    <t>TBKK42</t>
  </si>
  <si>
    <t>0250</t>
  </si>
  <si>
    <t>2022</t>
  </si>
  <si>
    <t>0524</t>
  </si>
  <si>
    <t>1707</t>
  </si>
  <si>
    <t>2235</t>
  </si>
  <si>
    <t>0124</t>
  </si>
  <si>
    <t>1552</t>
  </si>
  <si>
    <t>1853</t>
  </si>
  <si>
    <t>2348</t>
  </si>
  <si>
    <t>0021</t>
  </si>
  <si>
    <t>1501</t>
  </si>
  <si>
    <t xml:space="preserve">40Hx8 </t>
  </si>
  <si>
    <t>1729</t>
  </si>
  <si>
    <t>2120</t>
  </si>
  <si>
    <t>0028</t>
  </si>
  <si>
    <t>0047</t>
  </si>
  <si>
    <t>0327</t>
  </si>
  <si>
    <t>1442</t>
  </si>
  <si>
    <t>1721</t>
  </si>
  <si>
    <t>1537</t>
  </si>
  <si>
    <t>1059</t>
  </si>
  <si>
    <t>0423</t>
  </si>
  <si>
    <t xml:space="preserve">40Hx12 </t>
  </si>
  <si>
    <t>0653</t>
  </si>
  <si>
    <t>0436</t>
  </si>
  <si>
    <t>1008</t>
  </si>
  <si>
    <t>2351</t>
  </si>
  <si>
    <t>2053</t>
  </si>
  <si>
    <t>0420</t>
  </si>
  <si>
    <t>1536</t>
  </si>
  <si>
    <t>1325</t>
  </si>
  <si>
    <t>0050</t>
  </si>
  <si>
    <t>0322</t>
  </si>
  <si>
    <t>1103</t>
  </si>
  <si>
    <t>0851</t>
  </si>
  <si>
    <t>1144</t>
  </si>
  <si>
    <t>1016</t>
  </si>
  <si>
    <t>1327</t>
  </si>
  <si>
    <t>0358</t>
  </si>
  <si>
    <t>0554</t>
  </si>
  <si>
    <t>0856</t>
  </si>
  <si>
    <t>1301</t>
  </si>
  <si>
    <t>1551</t>
  </si>
  <si>
    <t>0349</t>
  </si>
  <si>
    <t>0613</t>
  </si>
  <si>
    <t>2357</t>
  </si>
  <si>
    <t>1302</t>
  </si>
  <si>
    <t>1619</t>
  </si>
  <si>
    <t>1739</t>
  </si>
  <si>
    <t>2029</t>
  </si>
  <si>
    <t>1413</t>
  </si>
  <si>
    <t>0952</t>
  </si>
  <si>
    <t>1640</t>
  </si>
  <si>
    <t>1923</t>
  </si>
  <si>
    <t>2356</t>
  </si>
  <si>
    <t>2354</t>
  </si>
  <si>
    <t>0227</t>
  </si>
  <si>
    <t>1634</t>
  </si>
  <si>
    <t>1921</t>
  </si>
  <si>
    <t>1124</t>
  </si>
  <si>
    <t>2048</t>
  </si>
  <si>
    <t>2323</t>
  </si>
  <si>
    <t>1749</t>
  </si>
  <si>
    <t>1050</t>
  </si>
  <si>
    <t>2256</t>
  </si>
  <si>
    <t>0039</t>
  </si>
  <si>
    <t>0553</t>
  </si>
  <si>
    <t>1516</t>
  </si>
  <si>
    <t>1759</t>
  </si>
  <si>
    <t>1455</t>
  </si>
  <si>
    <t>0408</t>
  </si>
  <si>
    <t>0643</t>
  </si>
  <si>
    <t>2325</t>
  </si>
  <si>
    <t>0157</t>
  </si>
  <si>
    <t>1006</t>
  </si>
  <si>
    <t>1417</t>
  </si>
  <si>
    <t>1140</t>
  </si>
  <si>
    <t>1426</t>
  </si>
  <si>
    <t>0902</t>
  </si>
  <si>
    <t>1003</t>
  </si>
  <si>
    <t>1507</t>
  </si>
  <si>
    <t>1001</t>
  </si>
  <si>
    <t>0955</t>
  </si>
  <si>
    <t>1307</t>
  </si>
  <si>
    <t>1509</t>
  </si>
  <si>
    <t>1138</t>
  </si>
  <si>
    <t>0407</t>
  </si>
  <si>
    <t>2026-10-11</t>
  </si>
  <si>
    <t>1535</t>
  </si>
  <si>
    <t>0024</t>
  </si>
  <si>
    <t>1102</t>
  </si>
  <si>
    <t>1630</t>
  </si>
  <si>
    <t>0409</t>
  </si>
  <si>
    <t>0031</t>
  </si>
  <si>
    <t>0033</t>
  </si>
  <si>
    <t>0431</t>
  </si>
  <si>
    <t>0805</t>
  </si>
  <si>
    <t>0023</t>
  </si>
  <si>
    <t>0258</t>
  </si>
  <si>
    <t>0057</t>
  </si>
  <si>
    <t>0035</t>
  </si>
  <si>
    <t>0355</t>
  </si>
  <si>
    <t>1122</t>
  </si>
  <si>
    <t>1349</t>
  </si>
  <si>
    <t>1532</t>
  </si>
  <si>
    <t>1814</t>
  </si>
  <si>
    <t>2139</t>
  </si>
  <si>
    <t>0714</t>
  </si>
  <si>
    <t>0422</t>
  </si>
  <si>
    <t>1027</t>
  </si>
  <si>
    <t>1821</t>
  </si>
  <si>
    <t>1005</t>
  </si>
  <si>
    <t>1731</t>
  </si>
  <si>
    <t>2138</t>
  </si>
  <si>
    <t>1021</t>
  </si>
  <si>
    <t>0933</t>
  </si>
  <si>
    <t>1443</t>
  </si>
  <si>
    <t>1709</t>
  </si>
  <si>
    <t>2026</t>
  </si>
  <si>
    <t>1338</t>
  </si>
  <si>
    <t>0959</t>
  </si>
  <si>
    <t>0938</t>
  </si>
  <si>
    <t>1109</t>
  </si>
  <si>
    <t>1355</t>
  </si>
  <si>
    <t>2259</t>
  </si>
  <si>
    <t>1305</t>
  </si>
  <si>
    <t>1221</t>
  </si>
  <si>
    <t>1521</t>
  </si>
  <si>
    <t>0948</t>
  </si>
  <si>
    <t>2322</t>
  </si>
  <si>
    <t>0101</t>
  </si>
  <si>
    <t>2007</t>
  </si>
  <si>
    <t>1718</t>
  </si>
  <si>
    <t>2027</t>
  </si>
  <si>
    <t>0042</t>
  </si>
  <si>
    <t>2019</t>
  </si>
  <si>
    <t>0328</t>
  </si>
  <si>
    <t>0410</t>
  </si>
  <si>
    <t>0045</t>
  </si>
  <si>
    <t>0259</t>
  </si>
  <si>
    <t>1130</t>
  </si>
  <si>
    <t>1348</t>
  </si>
  <si>
    <t>2010</t>
  </si>
  <si>
    <t>1011</t>
  </si>
  <si>
    <t>1049</t>
  </si>
  <si>
    <t>0036</t>
  </si>
  <si>
    <t>2012</t>
  </si>
  <si>
    <t>1734</t>
  </si>
  <si>
    <t>1127</t>
  </si>
  <si>
    <t>1044</t>
  </si>
  <si>
    <t>0953</t>
  </si>
  <si>
    <t xml:space="preserve">40Hx2 20'x2 </t>
  </si>
  <si>
    <t>1040</t>
  </si>
  <si>
    <t>2345</t>
  </si>
  <si>
    <t>1051</t>
  </si>
  <si>
    <t>0958</t>
  </si>
  <si>
    <t>1037</t>
  </si>
  <si>
    <t>1108</t>
  </si>
  <si>
    <t>1441</t>
  </si>
  <si>
    <t>2016</t>
  </si>
  <si>
    <t>1506</t>
  </si>
  <si>
    <t>0941</t>
  </si>
  <si>
    <t>1112</t>
  </si>
  <si>
    <t>1022</t>
  </si>
  <si>
    <t>1332</t>
  </si>
  <si>
    <t>1623</t>
  </si>
  <si>
    <t>1048</t>
  </si>
  <si>
    <t>1554</t>
  </si>
  <si>
    <t>2353</t>
  </si>
  <si>
    <t>1633</t>
  </si>
  <si>
    <t>1118</t>
  </si>
  <si>
    <t>1424</t>
  </si>
  <si>
    <t>1133</t>
  </si>
  <si>
    <t>1510</t>
  </si>
  <si>
    <t>1019</t>
  </si>
  <si>
    <t>1115</t>
  </si>
  <si>
    <t>1519</t>
  </si>
  <si>
    <t>2035</t>
  </si>
  <si>
    <t>1844</t>
  </si>
  <si>
    <t>1227</t>
  </si>
  <si>
    <t>0208</t>
  </si>
  <si>
    <t>A25ZR</t>
  </si>
  <si>
    <t>1206</t>
  </si>
  <si>
    <t>1644</t>
  </si>
  <si>
    <t>1451</t>
  </si>
  <si>
    <t>1738</t>
  </si>
  <si>
    <t>2118</t>
  </si>
  <si>
    <t>1732</t>
  </si>
  <si>
    <t>A0SAA</t>
  </si>
  <si>
    <t>1154</t>
  </si>
  <si>
    <t>1429</t>
  </si>
  <si>
    <t>1745</t>
  </si>
  <si>
    <t>0838</t>
  </si>
  <si>
    <t>1306</t>
  </si>
  <si>
    <t>0636</t>
  </si>
  <si>
    <t>0908</t>
  </si>
  <si>
    <t>0226</t>
  </si>
  <si>
    <t>0525</t>
  </si>
  <si>
    <t>1058</t>
  </si>
  <si>
    <t>0104</t>
  </si>
  <si>
    <t>0447</t>
  </si>
  <si>
    <t>1035</t>
  </si>
  <si>
    <t>1239</t>
  </si>
  <si>
    <t>1523</t>
  </si>
  <si>
    <t>0123</t>
  </si>
  <si>
    <t>0716</t>
  </si>
  <si>
    <t>1806</t>
  </si>
  <si>
    <t>0735</t>
  </si>
  <si>
    <t>0945</t>
  </si>
  <si>
    <t>1235</t>
  </si>
  <si>
    <t>2320</t>
  </si>
  <si>
    <t>0215</t>
  </si>
  <si>
    <t>2206</t>
  </si>
  <si>
    <t>2115</t>
  </si>
  <si>
    <t>0854</t>
  </si>
  <si>
    <t>1135</t>
  </si>
  <si>
    <t>1357</t>
  </si>
  <si>
    <t>1226</t>
  </si>
  <si>
    <t>1804</t>
  </si>
  <si>
    <t>0920</t>
  </si>
  <si>
    <t>0401</t>
  </si>
  <si>
    <t>1252</t>
  </si>
  <si>
    <t>2247</t>
  </si>
  <si>
    <t>0246</t>
  </si>
  <si>
    <t>0616</t>
  </si>
  <si>
    <t>1528</t>
  </si>
  <si>
    <t>0229</t>
  </si>
  <si>
    <t>0133</t>
  </si>
  <si>
    <t>0353</t>
  </si>
  <si>
    <t>1625</t>
  </si>
  <si>
    <t>1945</t>
  </si>
  <si>
    <t>0724</t>
  </si>
  <si>
    <t>2052</t>
  </si>
  <si>
    <t>0015</t>
  </si>
  <si>
    <t>1026</t>
  </si>
  <si>
    <t>1320</t>
  </si>
  <si>
    <t>0538</t>
  </si>
  <si>
    <t>1158</t>
  </si>
  <si>
    <t>1258</t>
  </si>
  <si>
    <t>0819</t>
  </si>
  <si>
    <t>2240</t>
  </si>
  <si>
    <t>1928</t>
  </si>
  <si>
    <t>0049</t>
  </si>
  <si>
    <t>0340</t>
  </si>
  <si>
    <t>1845</t>
  </si>
  <si>
    <t>1234</t>
  </si>
  <si>
    <t>1335</t>
  </si>
  <si>
    <t>1629</t>
  </si>
  <si>
    <t>1149</t>
  </si>
  <si>
    <t>0635</t>
  </si>
  <si>
    <t>0923</t>
  </si>
  <si>
    <t>1950</t>
  </si>
  <si>
    <t>1251</t>
  </si>
  <si>
    <t>1917</t>
  </si>
  <si>
    <t>0541</t>
  </si>
  <si>
    <t>0847</t>
  </si>
  <si>
    <t>0859</t>
  </si>
  <si>
    <t>0846</t>
  </si>
  <si>
    <t>1207</t>
  </si>
  <si>
    <t>2352</t>
  </si>
  <si>
    <t>2147</t>
  </si>
  <si>
    <t>1039</t>
  </si>
  <si>
    <t>0640</t>
  </si>
  <si>
    <t>1015</t>
  </si>
  <si>
    <t>2004</t>
  </si>
  <si>
    <t>1813</t>
  </si>
  <si>
    <t>2044</t>
  </si>
  <si>
    <t>1539</t>
  </si>
  <si>
    <t>2020</t>
  </si>
  <si>
    <t>1835</t>
  </si>
  <si>
    <t>1031</t>
  </si>
  <si>
    <t>1458</t>
  </si>
  <si>
    <t>0913</t>
  </si>
  <si>
    <t>1408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</si>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</sst>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164" fontId="2" fillId="5" borderId="1" xfId="0" applyNumberFormat="1" applyFont="1" applyFill="1" applyBorder="1" applyAlignment="1">
      <alignment horizontal="left" vertical="center" readingOrder="1"/>
    </xf>
    <xf numFmtId="166" fontId="2" fillId="5" borderId="1" xfId="0" applyNumberFormat="1" applyFont="1" applyFill="1" applyBorder="1" applyAlignment="1">
      <alignment horizontal="left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0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7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15" fillId="8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readingOrder="1"/>
    </xf>
    <xf numFmtId="49" fontId="16" fillId="3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4" fillId="9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49" fontId="15" fillId="9" borderId="4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8" fontId="4" fillId="2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49" fontId="6" fillId="8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6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169" fontId="14" fillId="2" borderId="4" xfId="0" applyNumberFormat="1" applyFont="1" applyFill="1" applyBorder="1" applyAlignment="1">
      <alignment horizontal="center" vertical="center"/>
    </xf>
    <xf numFmtId="169" fontId="6" fillId="2" borderId="4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8" fillId="9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1" fontId="18" fillId="11" borderId="0" xfId="0" applyNumberFormat="1" applyFont="1" applyFill="1"/>
    <xf numFmtId="1" fontId="18" fillId="10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9" borderId="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9" borderId="0" xfId="0" applyNumberFormat="1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1" fontId="22" fillId="9" borderId="2" xfId="0" applyNumberFormat="1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315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49</v>
      </c>
      <c r="AA2" s="5">
        <v>22462</v>
      </c>
      <c r="AB2" s="3" t="s">
        <v>40</v>
      </c>
      <c r="AC2" s="3" t="s">
        <v>50</v>
      </c>
    </row>
    <row r="3" ht="12" customHeight="1" spans="1:29" x14ac:dyDescent="0.25">
      <c r="A3" s="3" t="s">
        <v>51</v>
      </c>
      <c r="B3" s="4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52</v>
      </c>
      <c r="H3" s="3" t="s">
        <v>35</v>
      </c>
      <c r="I3" s="3" t="s">
        <v>36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53</v>
      </c>
      <c r="R3" s="3" t="s">
        <v>44</v>
      </c>
      <c r="S3" s="3" t="s">
        <v>44</v>
      </c>
      <c r="T3" s="3" t="s">
        <v>45</v>
      </c>
      <c r="U3" s="5"/>
      <c r="V3" s="3" t="s">
        <v>54</v>
      </c>
      <c r="W3" s="3" t="s">
        <v>55</v>
      </c>
      <c r="X3" s="3" t="s">
        <v>48</v>
      </c>
      <c r="Y3" s="3" t="s">
        <v>56</v>
      </c>
      <c r="Z3" s="3" t="s">
        <v>56</v>
      </c>
      <c r="AA3" s="5">
        <v>13698.36</v>
      </c>
      <c r="AB3" s="3" t="s">
        <v>40</v>
      </c>
      <c r="AC3" s="3" t="s">
        <v>50</v>
      </c>
    </row>
    <row r="4" ht="12" customHeight="1" spans="1:29" x14ac:dyDescent="0.25">
      <c r="A4" s="3" t="s">
        <v>57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36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44</v>
      </c>
      <c r="T4" s="3" t="s">
        <v>45</v>
      </c>
      <c r="U4" s="5"/>
      <c r="V4" s="3" t="s">
        <v>58</v>
      </c>
      <c r="W4" s="3" t="s">
        <v>47</v>
      </c>
      <c r="X4" s="3" t="s">
        <v>48</v>
      </c>
      <c r="Y4" s="3" t="s">
        <v>49</v>
      </c>
      <c r="Z4" s="3" t="s">
        <v>49</v>
      </c>
      <c r="AA4" s="5">
        <v>22462</v>
      </c>
      <c r="AB4" s="3" t="s">
        <v>40</v>
      </c>
      <c r="AC4" s="3" t="s">
        <v>50</v>
      </c>
    </row>
    <row r="5" ht="12" customHeight="1" spans="1:29" x14ac:dyDescent="0.25">
      <c r="A5" s="3" t="s">
        <v>59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52</v>
      </c>
      <c r="H5" s="3" t="s">
        <v>35</v>
      </c>
      <c r="I5" s="3" t="s">
        <v>36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53</v>
      </c>
      <c r="R5" s="3" t="s">
        <v>44</v>
      </c>
      <c r="S5" s="3" t="s">
        <v>44</v>
      </c>
      <c r="T5" s="3" t="s">
        <v>45</v>
      </c>
      <c r="U5" s="5"/>
      <c r="V5" s="3" t="s">
        <v>58</v>
      </c>
      <c r="W5" s="3" t="s">
        <v>55</v>
      </c>
      <c r="X5" s="3" t="s">
        <v>48</v>
      </c>
      <c r="Y5" s="3" t="s">
        <v>56</v>
      </c>
      <c r="Z5" s="3" t="s">
        <v>56</v>
      </c>
      <c r="AA5" s="5">
        <v>14851.2</v>
      </c>
      <c r="AB5" s="3" t="s">
        <v>40</v>
      </c>
      <c r="AC5" s="3" t="s">
        <v>50</v>
      </c>
    </row>
    <row r="6" ht="12" customHeight="1" spans="1:29" x14ac:dyDescent="0.25">
      <c r="A6" s="3" t="s">
        <v>60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36</v>
      </c>
      <c r="J6" s="3" t="s">
        <v>36</v>
      </c>
      <c r="K6" s="3" t="s">
        <v>37</v>
      </c>
      <c r="L6" s="3" t="s">
        <v>61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62</v>
      </c>
      <c r="R6" s="3" t="s">
        <v>44</v>
      </c>
      <c r="S6" s="3" t="s">
        <v>44</v>
      </c>
      <c r="T6" s="3" t="s">
        <v>45</v>
      </c>
      <c r="U6" s="5"/>
      <c r="V6" s="3" t="s">
        <v>63</v>
      </c>
      <c r="W6" s="3" t="s">
        <v>64</v>
      </c>
      <c r="X6" s="3" t="s">
        <v>48</v>
      </c>
      <c r="Y6" s="3" t="s">
        <v>65</v>
      </c>
      <c r="Z6" s="3" t="s">
        <v>65</v>
      </c>
      <c r="AA6" s="5">
        <v>21697</v>
      </c>
      <c r="AB6" s="3" t="s">
        <v>40</v>
      </c>
      <c r="AC6" s="3" t="s">
        <v>50</v>
      </c>
    </row>
    <row r="7" ht="12" customHeight="1" spans="1:29" x14ac:dyDescent="0.25">
      <c r="A7" s="3" t="s">
        <v>66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61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43</v>
      </c>
      <c r="R7" s="3" t="s">
        <v>44</v>
      </c>
      <c r="S7" s="3" t="s">
        <v>44</v>
      </c>
      <c r="T7" s="3" t="s">
        <v>45</v>
      </c>
      <c r="U7" s="5"/>
      <c r="V7" s="3" t="s">
        <v>67</v>
      </c>
      <c r="W7" s="3" t="s">
        <v>47</v>
      </c>
      <c r="X7" s="3" t="s">
        <v>48</v>
      </c>
      <c r="Y7" s="3" t="s">
        <v>49</v>
      </c>
      <c r="Z7" s="3" t="s">
        <v>49</v>
      </c>
      <c r="AA7" s="5">
        <v>22462</v>
      </c>
      <c r="AB7" s="3" t="s">
        <v>40</v>
      </c>
      <c r="AC7" s="3" t="s">
        <v>50</v>
      </c>
    </row>
    <row r="8" ht="12" customHeight="1" spans="1:29" x14ac:dyDescent="0.25">
      <c r="A8" s="3" t="s">
        <v>68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35</v>
      </c>
      <c r="I8" s="3" t="s">
        <v>69</v>
      </c>
      <c r="J8" s="3" t="s">
        <v>70</v>
      </c>
      <c r="K8" s="3" t="s">
        <v>37</v>
      </c>
      <c r="L8" s="3" t="s">
        <v>38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71</v>
      </c>
      <c r="R8" s="3" t="s">
        <v>72</v>
      </c>
      <c r="S8" s="3" t="s">
        <v>44</v>
      </c>
      <c r="T8" s="3" t="s">
        <v>45</v>
      </c>
      <c r="U8" s="5"/>
      <c r="V8" s="3" t="s">
        <v>73</v>
      </c>
      <c r="W8" s="3" t="s">
        <v>74</v>
      </c>
      <c r="X8" s="3" t="s">
        <v>75</v>
      </c>
      <c r="Y8" s="3" t="s">
        <v>76</v>
      </c>
      <c r="Z8" s="3" t="s">
        <v>76</v>
      </c>
      <c r="AA8" s="5">
        <v>24240</v>
      </c>
      <c r="AB8" s="3" t="s">
        <v>40</v>
      </c>
      <c r="AC8" s="3" t="s">
        <v>77</v>
      </c>
    </row>
    <row r="9" ht="12" customHeight="1" spans="1:29" x14ac:dyDescent="0.25">
      <c r="A9" s="3" t="s">
        <v>78</v>
      </c>
      <c r="B9" s="4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35</v>
      </c>
      <c r="I9" s="3" t="s">
        <v>36</v>
      </c>
      <c r="J9" s="3" t="s">
        <v>36</v>
      </c>
      <c r="K9" s="3" t="s">
        <v>37</v>
      </c>
      <c r="L9" s="3" t="s">
        <v>61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79</v>
      </c>
      <c r="R9" s="3" t="s">
        <v>44</v>
      </c>
      <c r="S9" s="3" t="s">
        <v>44</v>
      </c>
      <c r="T9" s="3" t="s">
        <v>45</v>
      </c>
      <c r="U9" s="5"/>
      <c r="V9" s="3" t="s">
        <v>80</v>
      </c>
      <c r="W9" s="3" t="s">
        <v>81</v>
      </c>
      <c r="X9" s="3" t="s">
        <v>82</v>
      </c>
      <c r="Y9" s="3" t="s">
        <v>83</v>
      </c>
      <c r="Z9" s="3" t="s">
        <v>83</v>
      </c>
      <c r="AA9" s="5">
        <v>25280</v>
      </c>
      <c r="AB9" s="3" t="s">
        <v>40</v>
      </c>
      <c r="AC9" s="3" t="s">
        <v>50</v>
      </c>
    </row>
    <row r="10" ht="12" customHeight="1" spans="1:29" x14ac:dyDescent="0.25">
      <c r="A10" s="3" t="s">
        <v>84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35</v>
      </c>
      <c r="I10" s="3" t="s">
        <v>36</v>
      </c>
      <c r="J10" s="3" t="s">
        <v>36</v>
      </c>
      <c r="K10" s="3" t="s">
        <v>37</v>
      </c>
      <c r="L10" s="3" t="s">
        <v>61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85</v>
      </c>
      <c r="R10" s="3" t="s">
        <v>44</v>
      </c>
      <c r="S10" s="3" t="s">
        <v>44</v>
      </c>
      <c r="T10" s="3" t="s">
        <v>45</v>
      </c>
      <c r="U10" s="5"/>
      <c r="V10" s="3" t="s">
        <v>80</v>
      </c>
      <c r="W10" s="3" t="s">
        <v>86</v>
      </c>
      <c r="X10" s="3" t="s">
        <v>48</v>
      </c>
      <c r="Y10" s="3" t="s">
        <v>87</v>
      </c>
      <c r="Z10" s="3" t="s">
        <v>87</v>
      </c>
      <c r="AA10" s="5">
        <v>18648</v>
      </c>
      <c r="AB10" s="3" t="s">
        <v>40</v>
      </c>
      <c r="AC10" s="3" t="s">
        <v>50</v>
      </c>
    </row>
    <row r="11" ht="12" customHeight="1" spans="1:29" x14ac:dyDescent="0.25">
      <c r="A11" s="3" t="s">
        <v>88</v>
      </c>
      <c r="B11" s="4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35</v>
      </c>
      <c r="I11" s="3" t="s">
        <v>36</v>
      </c>
      <c r="J11" s="3" t="s">
        <v>36</v>
      </c>
      <c r="K11" s="3" t="s">
        <v>37</v>
      </c>
      <c r="L11" s="3" t="s">
        <v>38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43</v>
      </c>
      <c r="R11" s="3" t="s">
        <v>44</v>
      </c>
      <c r="S11" s="3" t="s">
        <v>44</v>
      </c>
      <c r="T11" s="3" t="s">
        <v>45</v>
      </c>
      <c r="U11" s="5"/>
      <c r="V11" s="3" t="s">
        <v>89</v>
      </c>
      <c r="W11" s="3" t="s">
        <v>47</v>
      </c>
      <c r="X11" s="3" t="s">
        <v>48</v>
      </c>
      <c r="Y11" s="3" t="s">
        <v>49</v>
      </c>
      <c r="Z11" s="3" t="s">
        <v>49</v>
      </c>
      <c r="AA11" s="5">
        <v>22440</v>
      </c>
      <c r="AB11" s="3" t="s">
        <v>40</v>
      </c>
      <c r="AC11" s="3" t="s">
        <v>50</v>
      </c>
    </row>
    <row r="12" ht="12" customHeight="1" spans="1:29" x14ac:dyDescent="0.25">
      <c r="A12" s="3" t="s">
        <v>90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35</v>
      </c>
      <c r="I12" s="3" t="s">
        <v>36</v>
      </c>
      <c r="J12" s="3" t="s">
        <v>36</v>
      </c>
      <c r="K12" s="3" t="s">
        <v>37</v>
      </c>
      <c r="L12" s="3" t="s">
        <v>61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43</v>
      </c>
      <c r="R12" s="3" t="s">
        <v>44</v>
      </c>
      <c r="S12" s="3" t="s">
        <v>44</v>
      </c>
      <c r="T12" s="3" t="s">
        <v>45</v>
      </c>
      <c r="U12" s="5"/>
      <c r="V12" s="3" t="s">
        <v>91</v>
      </c>
      <c r="W12" s="3" t="s">
        <v>47</v>
      </c>
      <c r="X12" s="3" t="s">
        <v>48</v>
      </c>
      <c r="Y12" s="3" t="s">
        <v>49</v>
      </c>
      <c r="Z12" s="3" t="s">
        <v>49</v>
      </c>
      <c r="AA12" s="5">
        <v>22462</v>
      </c>
      <c r="AB12" s="3" t="s">
        <v>40</v>
      </c>
      <c r="AC12" s="3" t="s">
        <v>50</v>
      </c>
    </row>
    <row r="13" ht="12" customHeight="1" spans="1:29" x14ac:dyDescent="0.25">
      <c r="A13" s="3" t="s">
        <v>92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35</v>
      </c>
      <c r="I13" s="3" t="s">
        <v>36</v>
      </c>
      <c r="J13" s="3" t="s">
        <v>36</v>
      </c>
      <c r="K13" s="3" t="s">
        <v>37</v>
      </c>
      <c r="L13" s="3" t="s">
        <v>38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43</v>
      </c>
      <c r="R13" s="3" t="s">
        <v>44</v>
      </c>
      <c r="S13" s="3" t="s">
        <v>44</v>
      </c>
      <c r="T13" s="3" t="s">
        <v>45</v>
      </c>
      <c r="U13" s="5"/>
      <c r="V13" s="3" t="s">
        <v>93</v>
      </c>
      <c r="W13" s="3" t="s">
        <v>47</v>
      </c>
      <c r="X13" s="3" t="s">
        <v>82</v>
      </c>
      <c r="Y13" s="3" t="s">
        <v>49</v>
      </c>
      <c r="Z13" s="3" t="s">
        <v>49</v>
      </c>
      <c r="AA13" s="5">
        <v>22462</v>
      </c>
      <c r="AB13" s="3" t="s">
        <v>40</v>
      </c>
      <c r="AC13" s="3" t="s">
        <v>50</v>
      </c>
    </row>
    <row r="14" ht="12" customHeight="1" spans="1:29" x14ac:dyDescent="0.25">
      <c r="A14" s="3" t="s">
        <v>94</v>
      </c>
      <c r="B14" s="4" t="s">
        <v>30</v>
      </c>
      <c r="C14" s="3" t="s">
        <v>31</v>
      </c>
      <c r="D14" s="3" t="s">
        <v>32</v>
      </c>
      <c r="E14" s="3" t="s">
        <v>95</v>
      </c>
      <c r="F14" s="3" t="s">
        <v>34</v>
      </c>
      <c r="G14" s="3" t="s">
        <v>35</v>
      </c>
      <c r="H14" s="3" t="s">
        <v>35</v>
      </c>
      <c r="I14" s="3" t="s">
        <v>69</v>
      </c>
      <c r="J14" s="3" t="s">
        <v>96</v>
      </c>
      <c r="K14" s="3" t="s">
        <v>37</v>
      </c>
      <c r="L14" s="3" t="s">
        <v>61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97</v>
      </c>
      <c r="R14" s="3" t="s">
        <v>72</v>
      </c>
      <c r="S14" s="3" t="s">
        <v>44</v>
      </c>
      <c r="T14" s="3" t="s">
        <v>45</v>
      </c>
      <c r="U14" s="5"/>
      <c r="V14" s="3" t="s">
        <v>98</v>
      </c>
      <c r="W14" s="3" t="s">
        <v>99</v>
      </c>
      <c r="X14" s="3" t="s">
        <v>75</v>
      </c>
      <c r="Y14" s="3" t="s">
        <v>100</v>
      </c>
      <c r="Z14" s="3" t="s">
        <v>100</v>
      </c>
      <c r="AA14" s="5">
        <v>21555.1</v>
      </c>
      <c r="AB14" s="3" t="s">
        <v>40</v>
      </c>
      <c r="AC14" s="3" t="s">
        <v>101</v>
      </c>
    </row>
    <row r="15" ht="12" customHeight="1" spans="1:29" x14ac:dyDescent="0.25">
      <c r="A15" s="3" t="s">
        <v>102</v>
      </c>
      <c r="B15" s="4" t="s">
        <v>30</v>
      </c>
      <c r="C15" s="3" t="s">
        <v>31</v>
      </c>
      <c r="D15" s="3" t="s">
        <v>32</v>
      </c>
      <c r="E15" s="3" t="s">
        <v>95</v>
      </c>
      <c r="F15" s="3" t="s">
        <v>34</v>
      </c>
      <c r="G15" s="3" t="s">
        <v>35</v>
      </c>
      <c r="H15" s="3" t="s">
        <v>35</v>
      </c>
      <c r="I15" s="3" t="s">
        <v>36</v>
      </c>
      <c r="J15" s="3" t="s">
        <v>36</v>
      </c>
      <c r="K15" s="3" t="s">
        <v>37</v>
      </c>
      <c r="L15" s="3" t="s">
        <v>38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103</v>
      </c>
      <c r="R15" s="3" t="s">
        <v>44</v>
      </c>
      <c r="S15" s="3" t="s">
        <v>44</v>
      </c>
      <c r="T15" s="3" t="s">
        <v>45</v>
      </c>
      <c r="U15" s="5"/>
      <c r="V15" s="3" t="s">
        <v>104</v>
      </c>
      <c r="W15" s="3" t="s">
        <v>105</v>
      </c>
      <c r="X15" s="3" t="s">
        <v>75</v>
      </c>
      <c r="Y15" s="3" t="s">
        <v>106</v>
      </c>
      <c r="Z15" s="3" t="s">
        <v>106</v>
      </c>
      <c r="AA15" s="5">
        <v>7983.5</v>
      </c>
      <c r="AB15" s="3" t="s">
        <v>40</v>
      </c>
      <c r="AC15" s="3" t="s">
        <v>50</v>
      </c>
    </row>
    <row r="16" ht="12" customHeight="1" spans="1:29" x14ac:dyDescent="0.25">
      <c r="A16" s="3" t="s">
        <v>107</v>
      </c>
      <c r="B16" s="4" t="s">
        <v>30</v>
      </c>
      <c r="C16" s="3" t="s">
        <v>31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35</v>
      </c>
      <c r="I16" s="3" t="s">
        <v>36</v>
      </c>
      <c r="J16" s="3" t="s">
        <v>36</v>
      </c>
      <c r="K16" s="3" t="s">
        <v>37</v>
      </c>
      <c r="L16" s="3" t="s">
        <v>108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109</v>
      </c>
      <c r="R16" s="3" t="s">
        <v>44</v>
      </c>
      <c r="S16" s="3" t="s">
        <v>44</v>
      </c>
      <c r="T16" s="3" t="s">
        <v>45</v>
      </c>
      <c r="U16" s="5"/>
      <c r="V16" s="3" t="s">
        <v>110</v>
      </c>
      <c r="W16" s="3" t="s">
        <v>74</v>
      </c>
      <c r="X16" s="3" t="s">
        <v>48</v>
      </c>
      <c r="Y16" s="3" t="s">
        <v>111</v>
      </c>
      <c r="Z16" s="3" t="s">
        <v>111</v>
      </c>
      <c r="AA16" s="5">
        <v>25100</v>
      </c>
      <c r="AB16" s="3" t="s">
        <v>40</v>
      </c>
      <c r="AC16" s="3" t="s">
        <v>50</v>
      </c>
    </row>
    <row r="17" ht="12" customHeight="1" spans="1:29" x14ac:dyDescent="0.25">
      <c r="A17" s="3" t="s">
        <v>112</v>
      </c>
      <c r="B17" s="4" t="s">
        <v>30</v>
      </c>
      <c r="C17" s="3" t="s">
        <v>31</v>
      </c>
      <c r="D17" s="3" t="s">
        <v>32</v>
      </c>
      <c r="E17" s="3" t="s">
        <v>33</v>
      </c>
      <c r="F17" s="3" t="s">
        <v>34</v>
      </c>
      <c r="G17" s="3" t="s">
        <v>52</v>
      </c>
      <c r="H17" s="3" t="s">
        <v>35</v>
      </c>
      <c r="I17" s="3" t="s">
        <v>36</v>
      </c>
      <c r="J17" s="3" t="s">
        <v>36</v>
      </c>
      <c r="K17" s="3" t="s">
        <v>37</v>
      </c>
      <c r="L17" s="3" t="s">
        <v>108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113</v>
      </c>
      <c r="R17" s="3" t="s">
        <v>44</v>
      </c>
      <c r="S17" s="3" t="s">
        <v>44</v>
      </c>
      <c r="T17" s="3" t="s">
        <v>45</v>
      </c>
      <c r="U17" s="5"/>
      <c r="V17" s="3" t="s">
        <v>110</v>
      </c>
      <c r="W17" s="3" t="s">
        <v>114</v>
      </c>
      <c r="X17" s="3" t="s">
        <v>48</v>
      </c>
      <c r="Y17" s="3" t="s">
        <v>115</v>
      </c>
      <c r="Z17" s="3" t="s">
        <v>115</v>
      </c>
      <c r="AA17" s="5">
        <v>10748.28</v>
      </c>
      <c r="AB17" s="3" t="s">
        <v>40</v>
      </c>
      <c r="AC17" s="3" t="s">
        <v>50</v>
      </c>
    </row>
    <row r="18" ht="12" customHeight="1" spans="1:29" x14ac:dyDescent="0.25">
      <c r="A18" s="3" t="s">
        <v>116</v>
      </c>
      <c r="B18" s="4" t="s">
        <v>30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35</v>
      </c>
      <c r="I18" s="3" t="s">
        <v>36</v>
      </c>
      <c r="J18" s="3" t="s">
        <v>36</v>
      </c>
      <c r="K18" s="3" t="s">
        <v>37</v>
      </c>
      <c r="L18" s="3" t="s">
        <v>108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117</v>
      </c>
      <c r="R18" s="3" t="s">
        <v>44</v>
      </c>
      <c r="S18" s="3" t="s">
        <v>44</v>
      </c>
      <c r="T18" s="3" t="s">
        <v>45</v>
      </c>
      <c r="U18" s="5"/>
      <c r="V18" s="3" t="s">
        <v>110</v>
      </c>
      <c r="W18" s="3" t="s">
        <v>74</v>
      </c>
      <c r="X18" s="3" t="s">
        <v>118</v>
      </c>
      <c r="Y18" s="3" t="s">
        <v>111</v>
      </c>
      <c r="Z18" s="3" t="s">
        <v>111</v>
      </c>
      <c r="AA18" s="5">
        <v>24240</v>
      </c>
      <c r="AB18" s="3" t="s">
        <v>40</v>
      </c>
      <c r="AC18" s="3" t="s">
        <v>50</v>
      </c>
    </row>
    <row r="19" ht="12" customHeight="1" spans="1:29" x14ac:dyDescent="0.25">
      <c r="A19" s="3" t="s">
        <v>119</v>
      </c>
      <c r="B19" s="4" t="s">
        <v>30</v>
      </c>
      <c r="C19" s="3" t="s">
        <v>31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35</v>
      </c>
      <c r="I19" s="3" t="s">
        <v>36</v>
      </c>
      <c r="J19" s="3" t="s">
        <v>36</v>
      </c>
      <c r="K19" s="3" t="s">
        <v>37</v>
      </c>
      <c r="L19" s="3" t="s">
        <v>108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117</v>
      </c>
      <c r="R19" s="3" t="s">
        <v>44</v>
      </c>
      <c r="S19" s="3" t="s">
        <v>44</v>
      </c>
      <c r="T19" s="3" t="s">
        <v>45</v>
      </c>
      <c r="U19" s="5"/>
      <c r="V19" s="3" t="s">
        <v>110</v>
      </c>
      <c r="W19" s="3" t="s">
        <v>74</v>
      </c>
      <c r="X19" s="3" t="s">
        <v>48</v>
      </c>
      <c r="Y19" s="3" t="s">
        <v>111</v>
      </c>
      <c r="Z19" s="3" t="s">
        <v>111</v>
      </c>
      <c r="AA19" s="5">
        <v>24240</v>
      </c>
      <c r="AB19" s="3" t="s">
        <v>40</v>
      </c>
      <c r="AC19" s="3" t="s">
        <v>50</v>
      </c>
    </row>
    <row r="20" ht="12" customHeight="1" spans="1:29" x14ac:dyDescent="0.25">
      <c r="A20" s="3" t="s">
        <v>120</v>
      </c>
      <c r="B20" s="4" t="s">
        <v>30</v>
      </c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108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117</v>
      </c>
      <c r="R20" s="3" t="s">
        <v>44</v>
      </c>
      <c r="S20" s="3" t="s">
        <v>44</v>
      </c>
      <c r="T20" s="3" t="s">
        <v>45</v>
      </c>
      <c r="U20" s="5"/>
      <c r="V20" s="3" t="s">
        <v>110</v>
      </c>
      <c r="W20" s="3" t="s">
        <v>74</v>
      </c>
      <c r="X20" s="3" t="s">
        <v>48</v>
      </c>
      <c r="Y20" s="3" t="s">
        <v>111</v>
      </c>
      <c r="Z20" s="3" t="s">
        <v>111</v>
      </c>
      <c r="AA20" s="5">
        <v>24240</v>
      </c>
      <c r="AB20" s="3" t="s">
        <v>40</v>
      </c>
      <c r="AC20" s="3" t="s">
        <v>50</v>
      </c>
    </row>
    <row r="21" ht="12" customHeight="1" spans="1:29" x14ac:dyDescent="0.25">
      <c r="A21" s="3" t="s">
        <v>121</v>
      </c>
      <c r="B21" s="4" t="s">
        <v>30</v>
      </c>
      <c r="C21" s="3" t="s">
        <v>31</v>
      </c>
      <c r="D21" s="3" t="s">
        <v>32</v>
      </c>
      <c r="E21" s="3" t="s">
        <v>33</v>
      </c>
      <c r="F21" s="3" t="s">
        <v>34</v>
      </c>
      <c r="G21" s="3" t="s">
        <v>35</v>
      </c>
      <c r="H21" s="3" t="s">
        <v>35</v>
      </c>
      <c r="I21" s="3" t="s">
        <v>36</v>
      </c>
      <c r="J21" s="3" t="s">
        <v>36</v>
      </c>
      <c r="K21" s="3" t="s">
        <v>37</v>
      </c>
      <c r="L21" s="3" t="s">
        <v>108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117</v>
      </c>
      <c r="R21" s="3" t="s">
        <v>44</v>
      </c>
      <c r="S21" s="3" t="s">
        <v>44</v>
      </c>
      <c r="T21" s="3" t="s">
        <v>45</v>
      </c>
      <c r="U21" s="5"/>
      <c r="V21" s="3" t="s">
        <v>110</v>
      </c>
      <c r="W21" s="3" t="s">
        <v>74</v>
      </c>
      <c r="X21" s="3" t="s">
        <v>48</v>
      </c>
      <c r="Y21" s="3" t="s">
        <v>111</v>
      </c>
      <c r="Z21" s="3" t="s">
        <v>111</v>
      </c>
      <c r="AA21" s="5">
        <v>24240</v>
      </c>
      <c r="AB21" s="3" t="s">
        <v>40</v>
      </c>
      <c r="AC21" s="3" t="s">
        <v>50</v>
      </c>
    </row>
    <row r="22" ht="12" customHeight="1" spans="1:29" x14ac:dyDescent="0.25">
      <c r="A22" s="3" t="s">
        <v>122</v>
      </c>
      <c r="B22" s="4" t="s">
        <v>30</v>
      </c>
      <c r="C22" s="3" t="s">
        <v>31</v>
      </c>
      <c r="D22" s="3" t="s">
        <v>32</v>
      </c>
      <c r="E22" s="3" t="s">
        <v>33</v>
      </c>
      <c r="F22" s="3" t="s">
        <v>34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  <c r="L22" s="3" t="s">
        <v>108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117</v>
      </c>
      <c r="R22" s="3" t="s">
        <v>44</v>
      </c>
      <c r="S22" s="3" t="s">
        <v>44</v>
      </c>
      <c r="T22" s="3" t="s">
        <v>45</v>
      </c>
      <c r="U22" s="5"/>
      <c r="V22" s="3" t="s">
        <v>110</v>
      </c>
      <c r="W22" s="3" t="s">
        <v>74</v>
      </c>
      <c r="X22" s="3" t="s">
        <v>118</v>
      </c>
      <c r="Y22" s="3" t="s">
        <v>111</v>
      </c>
      <c r="Z22" s="3" t="s">
        <v>111</v>
      </c>
      <c r="AA22" s="5">
        <v>24240</v>
      </c>
      <c r="AB22" s="3" t="s">
        <v>40</v>
      </c>
      <c r="AC22" s="3" t="s">
        <v>50</v>
      </c>
    </row>
    <row r="23" ht="12" customHeight="1" spans="1:29" x14ac:dyDescent="0.25">
      <c r="A23" s="3" t="s">
        <v>123</v>
      </c>
      <c r="B23" s="4" t="s">
        <v>30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35</v>
      </c>
      <c r="I23" s="3" t="s">
        <v>69</v>
      </c>
      <c r="J23" s="3" t="s">
        <v>70</v>
      </c>
      <c r="K23" s="3" t="s">
        <v>37</v>
      </c>
      <c r="L23" s="3" t="s">
        <v>108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71</v>
      </c>
      <c r="R23" s="3" t="s">
        <v>72</v>
      </c>
      <c r="S23" s="3" t="s">
        <v>44</v>
      </c>
      <c r="T23" s="3" t="s">
        <v>45</v>
      </c>
      <c r="U23" s="5"/>
      <c r="V23" s="3" t="s">
        <v>110</v>
      </c>
      <c r="W23" s="3" t="s">
        <v>74</v>
      </c>
      <c r="X23" s="3" t="s">
        <v>118</v>
      </c>
      <c r="Y23" s="3" t="s">
        <v>76</v>
      </c>
      <c r="Z23" s="3" t="s">
        <v>76</v>
      </c>
      <c r="AA23" s="5">
        <v>24240</v>
      </c>
      <c r="AB23" s="3" t="s">
        <v>40</v>
      </c>
      <c r="AC23" s="3" t="s">
        <v>77</v>
      </c>
    </row>
    <row r="24" ht="12" customHeight="1" spans="1:29" x14ac:dyDescent="0.25">
      <c r="A24" s="3" t="s">
        <v>124</v>
      </c>
      <c r="B24" s="4" t="s">
        <v>30</v>
      </c>
      <c r="C24" s="3" t="s">
        <v>31</v>
      </c>
      <c r="D24" s="3" t="s">
        <v>32</v>
      </c>
      <c r="E24" s="3" t="s">
        <v>33</v>
      </c>
      <c r="F24" s="3" t="s">
        <v>34</v>
      </c>
      <c r="G24" s="3" t="s">
        <v>35</v>
      </c>
      <c r="H24" s="3" t="s">
        <v>35</v>
      </c>
      <c r="I24" s="3" t="s">
        <v>36</v>
      </c>
      <c r="J24" s="3" t="s">
        <v>36</v>
      </c>
      <c r="K24" s="3" t="s">
        <v>37</v>
      </c>
      <c r="L24" s="3" t="s">
        <v>108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125</v>
      </c>
      <c r="R24" s="3" t="s">
        <v>44</v>
      </c>
      <c r="S24" s="3" t="s">
        <v>44</v>
      </c>
      <c r="T24" s="3" t="s">
        <v>45</v>
      </c>
      <c r="U24" s="5"/>
      <c r="V24" s="3" t="s">
        <v>110</v>
      </c>
      <c r="W24" s="3" t="s">
        <v>126</v>
      </c>
      <c r="X24" s="3" t="s">
        <v>118</v>
      </c>
      <c r="Y24" s="3" t="s">
        <v>127</v>
      </c>
      <c r="Z24" s="3" t="s">
        <v>127</v>
      </c>
      <c r="AA24" s="5">
        <v>1594.8</v>
      </c>
      <c r="AB24" s="3" t="s">
        <v>40</v>
      </c>
      <c r="AC24" s="3" t="s">
        <v>50</v>
      </c>
    </row>
    <row r="25" ht="12" customHeight="1" spans="1:29" x14ac:dyDescent="0.25">
      <c r="A25" s="3" t="s">
        <v>128</v>
      </c>
      <c r="B25" s="4" t="s">
        <v>30</v>
      </c>
      <c r="C25" s="3" t="s">
        <v>31</v>
      </c>
      <c r="D25" s="3" t="s">
        <v>32</v>
      </c>
      <c r="E25" s="3" t="s">
        <v>33</v>
      </c>
      <c r="F25" s="3" t="s">
        <v>34</v>
      </c>
      <c r="G25" s="3" t="s">
        <v>35</v>
      </c>
      <c r="H25" s="3" t="s">
        <v>35</v>
      </c>
      <c r="I25" s="3" t="s">
        <v>36</v>
      </c>
      <c r="J25" s="3" t="s">
        <v>36</v>
      </c>
      <c r="K25" s="3" t="s">
        <v>37</v>
      </c>
      <c r="L25" s="3" t="s">
        <v>108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129</v>
      </c>
      <c r="R25" s="3" t="s">
        <v>44</v>
      </c>
      <c r="S25" s="3" t="s">
        <v>44</v>
      </c>
      <c r="T25" s="3" t="s">
        <v>45</v>
      </c>
      <c r="U25" s="5"/>
      <c r="V25" s="3" t="s">
        <v>110</v>
      </c>
      <c r="W25" s="3" t="s">
        <v>130</v>
      </c>
      <c r="X25" s="3" t="s">
        <v>48</v>
      </c>
      <c r="Y25" s="3" t="s">
        <v>131</v>
      </c>
      <c r="Z25" s="3" t="s">
        <v>132</v>
      </c>
      <c r="AA25" s="5">
        <v>24444.3</v>
      </c>
      <c r="AB25" s="3" t="s">
        <v>40</v>
      </c>
      <c r="AC25" s="3" t="s">
        <v>50</v>
      </c>
    </row>
    <row r="26" ht="12" customHeight="1" spans="1:29" x14ac:dyDescent="0.25">
      <c r="A26" s="3" t="s">
        <v>133</v>
      </c>
      <c r="B26" s="4" t="s">
        <v>30</v>
      </c>
      <c r="C26" s="3" t="s">
        <v>31</v>
      </c>
      <c r="D26" s="3" t="s">
        <v>32</v>
      </c>
      <c r="E26" s="3" t="s">
        <v>33</v>
      </c>
      <c r="F26" s="3" t="s">
        <v>34</v>
      </c>
      <c r="G26" s="3" t="s">
        <v>35</v>
      </c>
      <c r="H26" s="3" t="s">
        <v>35</v>
      </c>
      <c r="I26" s="3" t="s">
        <v>36</v>
      </c>
      <c r="J26" s="3" t="s">
        <v>36</v>
      </c>
      <c r="K26" s="3" t="s">
        <v>37</v>
      </c>
      <c r="L26" s="3" t="s">
        <v>108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43</v>
      </c>
      <c r="R26" s="3" t="s">
        <v>44</v>
      </c>
      <c r="S26" s="3" t="s">
        <v>44</v>
      </c>
      <c r="T26" s="3" t="s">
        <v>45</v>
      </c>
      <c r="U26" s="5"/>
      <c r="V26" s="3" t="s">
        <v>110</v>
      </c>
      <c r="W26" s="3" t="s">
        <v>47</v>
      </c>
      <c r="X26" s="3" t="s">
        <v>48</v>
      </c>
      <c r="Y26" s="3" t="s">
        <v>49</v>
      </c>
      <c r="Z26" s="3" t="s">
        <v>49</v>
      </c>
      <c r="AA26" s="5">
        <v>22462</v>
      </c>
      <c r="AB26" s="3" t="s">
        <v>40</v>
      </c>
      <c r="AC26" s="3" t="s">
        <v>50</v>
      </c>
    </row>
    <row r="27" ht="12" customHeight="1" spans="1:29" x14ac:dyDescent="0.25">
      <c r="A27" s="3" t="s">
        <v>134</v>
      </c>
      <c r="B27" s="4" t="s">
        <v>30</v>
      </c>
      <c r="C27" s="3" t="s">
        <v>31</v>
      </c>
      <c r="D27" s="3" t="s">
        <v>32</v>
      </c>
      <c r="E27" s="3" t="s">
        <v>33</v>
      </c>
      <c r="F27" s="3" t="s">
        <v>34</v>
      </c>
      <c r="G27" s="3" t="s">
        <v>35</v>
      </c>
      <c r="H27" s="3" t="s">
        <v>35</v>
      </c>
      <c r="I27" s="3" t="s">
        <v>36</v>
      </c>
      <c r="J27" s="3" t="s">
        <v>36</v>
      </c>
      <c r="K27" s="3" t="s">
        <v>37</v>
      </c>
      <c r="L27" s="3" t="s">
        <v>108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43</v>
      </c>
      <c r="R27" s="3" t="s">
        <v>44</v>
      </c>
      <c r="S27" s="3" t="s">
        <v>44</v>
      </c>
      <c r="T27" s="3" t="s">
        <v>45</v>
      </c>
      <c r="U27" s="5"/>
      <c r="V27" s="3" t="s">
        <v>110</v>
      </c>
      <c r="W27" s="3" t="s">
        <v>47</v>
      </c>
      <c r="X27" s="3" t="s">
        <v>48</v>
      </c>
      <c r="Y27" s="3" t="s">
        <v>49</v>
      </c>
      <c r="Z27" s="3" t="s">
        <v>49</v>
      </c>
      <c r="AA27" s="5">
        <v>22462</v>
      </c>
      <c r="AB27" s="3" t="s">
        <v>40</v>
      </c>
      <c r="AC27" s="3" t="s">
        <v>50</v>
      </c>
    </row>
    <row r="28" ht="12" customHeight="1" spans="1:29" x14ac:dyDescent="0.25">
      <c r="A28" s="3" t="s">
        <v>135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 t="s">
        <v>52</v>
      </c>
      <c r="H28" s="3" t="s">
        <v>35</v>
      </c>
      <c r="I28" s="3" t="s">
        <v>36</v>
      </c>
      <c r="J28" s="3" t="s">
        <v>36</v>
      </c>
      <c r="K28" s="3" t="s">
        <v>37</v>
      </c>
      <c r="L28" s="3" t="s">
        <v>108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136</v>
      </c>
      <c r="R28" s="3" t="s">
        <v>44</v>
      </c>
      <c r="S28" s="3" t="s">
        <v>44</v>
      </c>
      <c r="T28" s="3" t="s">
        <v>45</v>
      </c>
      <c r="U28" s="5"/>
      <c r="V28" s="3" t="s">
        <v>110</v>
      </c>
      <c r="W28" s="3" t="s">
        <v>55</v>
      </c>
      <c r="X28" s="3" t="s">
        <v>48</v>
      </c>
      <c r="Y28" s="3" t="s">
        <v>56</v>
      </c>
      <c r="Z28" s="3" t="s">
        <v>56</v>
      </c>
      <c r="AA28" s="5">
        <v>15600</v>
      </c>
      <c r="AB28" s="3" t="s">
        <v>40</v>
      </c>
      <c r="AC28" s="3" t="s">
        <v>50</v>
      </c>
    </row>
    <row r="29" ht="12" customHeight="1" spans="1:29" x14ac:dyDescent="0.25">
      <c r="A29" s="3" t="s">
        <v>137</v>
      </c>
      <c r="B29" s="4" t="s">
        <v>30</v>
      </c>
      <c r="C29" s="3" t="s">
        <v>31</v>
      </c>
      <c r="D29" s="3" t="s">
        <v>32</v>
      </c>
      <c r="E29" s="3" t="s">
        <v>33</v>
      </c>
      <c r="F29" s="3" t="s">
        <v>34</v>
      </c>
      <c r="G29" s="3" t="s">
        <v>35</v>
      </c>
      <c r="H29" s="3" t="s">
        <v>35</v>
      </c>
      <c r="I29" s="3" t="s">
        <v>36</v>
      </c>
      <c r="J29" s="3" t="s">
        <v>36</v>
      </c>
      <c r="K29" s="3" t="s">
        <v>37</v>
      </c>
      <c r="L29" s="3" t="s">
        <v>108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43</v>
      </c>
      <c r="R29" s="3" t="s">
        <v>44</v>
      </c>
      <c r="S29" s="3" t="s">
        <v>44</v>
      </c>
      <c r="T29" s="3" t="s">
        <v>45</v>
      </c>
      <c r="U29" s="5"/>
      <c r="V29" s="3" t="s">
        <v>110</v>
      </c>
      <c r="W29" s="3" t="s">
        <v>47</v>
      </c>
      <c r="X29" s="3" t="s">
        <v>48</v>
      </c>
      <c r="Y29" s="3" t="s">
        <v>49</v>
      </c>
      <c r="Z29" s="3" t="s">
        <v>49</v>
      </c>
      <c r="AA29" s="5">
        <v>22440</v>
      </c>
      <c r="AB29" s="3" t="s">
        <v>40</v>
      </c>
      <c r="AC29" s="3" t="s">
        <v>50</v>
      </c>
    </row>
    <row r="30" ht="12" customHeight="1" spans="1:29" x14ac:dyDescent="0.25">
      <c r="A30" s="3" t="s">
        <v>138</v>
      </c>
      <c r="B30" s="4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35</v>
      </c>
      <c r="I30" s="3" t="s">
        <v>36</v>
      </c>
      <c r="J30" s="3" t="s">
        <v>36</v>
      </c>
      <c r="K30" s="3" t="s">
        <v>37</v>
      </c>
      <c r="L30" s="3" t="s">
        <v>108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43</v>
      </c>
      <c r="R30" s="3" t="s">
        <v>44</v>
      </c>
      <c r="S30" s="3" t="s">
        <v>44</v>
      </c>
      <c r="T30" s="3" t="s">
        <v>45</v>
      </c>
      <c r="U30" s="5"/>
      <c r="V30" s="3" t="s">
        <v>110</v>
      </c>
      <c r="W30" s="3" t="s">
        <v>47</v>
      </c>
      <c r="X30" s="3" t="s">
        <v>48</v>
      </c>
      <c r="Y30" s="3" t="s">
        <v>49</v>
      </c>
      <c r="Z30" s="3" t="s">
        <v>49</v>
      </c>
      <c r="AA30" s="5">
        <v>22462</v>
      </c>
      <c r="AB30" s="3" t="s">
        <v>40</v>
      </c>
      <c r="AC30" s="3" t="s">
        <v>50</v>
      </c>
    </row>
    <row r="31" ht="12" customHeight="1" spans="1:29" x14ac:dyDescent="0.25">
      <c r="A31" s="3" t="s">
        <v>139</v>
      </c>
      <c r="B31" s="4" t="s">
        <v>30</v>
      </c>
      <c r="C31" s="3" t="s">
        <v>31</v>
      </c>
      <c r="D31" s="3" t="s">
        <v>32</v>
      </c>
      <c r="E31" s="3" t="s">
        <v>33</v>
      </c>
      <c r="F31" s="3" t="s">
        <v>34</v>
      </c>
      <c r="G31" s="3" t="s">
        <v>35</v>
      </c>
      <c r="H31" s="3" t="s">
        <v>35</v>
      </c>
      <c r="I31" s="3" t="s">
        <v>36</v>
      </c>
      <c r="J31" s="3" t="s">
        <v>36</v>
      </c>
      <c r="K31" s="3" t="s">
        <v>37</v>
      </c>
      <c r="L31" s="3" t="s">
        <v>108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43</v>
      </c>
      <c r="R31" s="3" t="s">
        <v>44</v>
      </c>
      <c r="S31" s="3" t="s">
        <v>44</v>
      </c>
      <c r="T31" s="3" t="s">
        <v>45</v>
      </c>
      <c r="U31" s="5"/>
      <c r="V31" s="3" t="s">
        <v>110</v>
      </c>
      <c r="W31" s="3" t="s">
        <v>47</v>
      </c>
      <c r="X31" s="3" t="s">
        <v>118</v>
      </c>
      <c r="Y31" s="3" t="s">
        <v>49</v>
      </c>
      <c r="Z31" s="3" t="s">
        <v>49</v>
      </c>
      <c r="AA31" s="5">
        <v>22462</v>
      </c>
      <c r="AB31" s="3" t="s">
        <v>40</v>
      </c>
      <c r="AC31" s="3" t="s">
        <v>50</v>
      </c>
    </row>
    <row r="32" ht="12" customHeight="1" spans="1:29" x14ac:dyDescent="0.25">
      <c r="A32" s="3" t="s">
        <v>140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35</v>
      </c>
      <c r="H32" s="3" t="s">
        <v>35</v>
      </c>
      <c r="I32" s="3" t="s">
        <v>36</v>
      </c>
      <c r="J32" s="3" t="s">
        <v>36</v>
      </c>
      <c r="K32" s="3" t="s">
        <v>37</v>
      </c>
      <c r="L32" s="3" t="s">
        <v>108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43</v>
      </c>
      <c r="R32" s="3" t="s">
        <v>44</v>
      </c>
      <c r="S32" s="3" t="s">
        <v>44</v>
      </c>
      <c r="T32" s="3" t="s">
        <v>45</v>
      </c>
      <c r="U32" s="5"/>
      <c r="V32" s="3" t="s">
        <v>110</v>
      </c>
      <c r="W32" s="3" t="s">
        <v>47</v>
      </c>
      <c r="X32" s="3" t="s">
        <v>118</v>
      </c>
      <c r="Y32" s="3" t="s">
        <v>49</v>
      </c>
      <c r="Z32" s="3" t="s">
        <v>49</v>
      </c>
      <c r="AA32" s="5">
        <v>22462</v>
      </c>
      <c r="AB32" s="3" t="s">
        <v>40</v>
      </c>
      <c r="AC32" s="3" t="s">
        <v>50</v>
      </c>
    </row>
    <row r="33" ht="12" customHeight="1" spans="1:29" x14ac:dyDescent="0.25">
      <c r="A33" s="3" t="s">
        <v>141</v>
      </c>
      <c r="B33" s="4" t="s">
        <v>30</v>
      </c>
      <c r="C33" s="3" t="s">
        <v>31</v>
      </c>
      <c r="D33" s="3" t="s">
        <v>32</v>
      </c>
      <c r="E33" s="3" t="s">
        <v>33</v>
      </c>
      <c r="F33" s="3" t="s">
        <v>34</v>
      </c>
      <c r="G33" s="3" t="s">
        <v>35</v>
      </c>
      <c r="H33" s="3" t="s">
        <v>35</v>
      </c>
      <c r="I33" s="3" t="s">
        <v>36</v>
      </c>
      <c r="J33" s="3" t="s">
        <v>36</v>
      </c>
      <c r="K33" s="3" t="s">
        <v>37</v>
      </c>
      <c r="L33" s="3" t="s">
        <v>108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43</v>
      </c>
      <c r="R33" s="3" t="s">
        <v>44</v>
      </c>
      <c r="S33" s="3" t="s">
        <v>44</v>
      </c>
      <c r="T33" s="3" t="s">
        <v>45</v>
      </c>
      <c r="U33" s="5"/>
      <c r="V33" s="3" t="s">
        <v>110</v>
      </c>
      <c r="W33" s="3" t="s">
        <v>47</v>
      </c>
      <c r="X33" s="3" t="s">
        <v>48</v>
      </c>
      <c r="Y33" s="3" t="s">
        <v>49</v>
      </c>
      <c r="Z33" s="3" t="s">
        <v>49</v>
      </c>
      <c r="AA33" s="5">
        <v>22440</v>
      </c>
      <c r="AB33" s="3" t="s">
        <v>40</v>
      </c>
      <c r="AC33" s="3" t="s">
        <v>50</v>
      </c>
    </row>
    <row r="34" ht="12" customHeight="1" spans="1:29" x14ac:dyDescent="0.25">
      <c r="A34" s="3" t="s">
        <v>142</v>
      </c>
      <c r="B34" s="4" t="s">
        <v>30</v>
      </c>
      <c r="C34" s="3" t="s">
        <v>31</v>
      </c>
      <c r="D34" s="3" t="s">
        <v>32</v>
      </c>
      <c r="E34" s="3" t="s">
        <v>33</v>
      </c>
      <c r="F34" s="3" t="s">
        <v>34</v>
      </c>
      <c r="G34" s="3" t="s">
        <v>35</v>
      </c>
      <c r="H34" s="3" t="s">
        <v>35</v>
      </c>
      <c r="I34" s="3" t="s">
        <v>36</v>
      </c>
      <c r="J34" s="3" t="s">
        <v>36</v>
      </c>
      <c r="K34" s="3" t="s">
        <v>37</v>
      </c>
      <c r="L34" s="3" t="s">
        <v>108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43</v>
      </c>
      <c r="R34" s="3" t="s">
        <v>44</v>
      </c>
      <c r="S34" s="3" t="s">
        <v>44</v>
      </c>
      <c r="T34" s="3" t="s">
        <v>45</v>
      </c>
      <c r="U34" s="5"/>
      <c r="V34" s="3" t="s">
        <v>110</v>
      </c>
      <c r="W34" s="3" t="s">
        <v>47</v>
      </c>
      <c r="X34" s="3" t="s">
        <v>48</v>
      </c>
      <c r="Y34" s="3" t="s">
        <v>49</v>
      </c>
      <c r="Z34" s="3" t="s">
        <v>49</v>
      </c>
      <c r="AA34" s="5">
        <v>22484</v>
      </c>
      <c r="AB34" s="3" t="s">
        <v>40</v>
      </c>
      <c r="AC34" s="3" t="s">
        <v>50</v>
      </c>
    </row>
    <row r="35" ht="12" customHeight="1" spans="1:29" x14ac:dyDescent="0.25">
      <c r="A35" s="3" t="s">
        <v>143</v>
      </c>
      <c r="B35" s="4" t="s">
        <v>30</v>
      </c>
      <c r="C35" s="3" t="s">
        <v>31</v>
      </c>
      <c r="D35" s="3" t="s">
        <v>32</v>
      </c>
      <c r="E35" s="3" t="s">
        <v>33</v>
      </c>
      <c r="F35" s="3" t="s">
        <v>34</v>
      </c>
      <c r="G35" s="3" t="s">
        <v>35</v>
      </c>
      <c r="H35" s="3" t="s">
        <v>35</v>
      </c>
      <c r="I35" s="3" t="s">
        <v>36</v>
      </c>
      <c r="J35" s="3" t="s">
        <v>36</v>
      </c>
      <c r="K35" s="3" t="s">
        <v>37</v>
      </c>
      <c r="L35" s="3" t="s">
        <v>108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43</v>
      </c>
      <c r="R35" s="3" t="s">
        <v>44</v>
      </c>
      <c r="S35" s="3" t="s">
        <v>44</v>
      </c>
      <c r="T35" s="3" t="s">
        <v>45</v>
      </c>
      <c r="U35" s="5"/>
      <c r="V35" s="3" t="s">
        <v>110</v>
      </c>
      <c r="W35" s="3" t="s">
        <v>47</v>
      </c>
      <c r="X35" s="3" t="s">
        <v>48</v>
      </c>
      <c r="Y35" s="3" t="s">
        <v>49</v>
      </c>
      <c r="Z35" s="3" t="s">
        <v>49</v>
      </c>
      <c r="AA35" s="5">
        <v>22462</v>
      </c>
      <c r="AB35" s="3" t="s">
        <v>40</v>
      </c>
      <c r="AC35" s="3" t="s">
        <v>50</v>
      </c>
    </row>
    <row r="36" ht="12" customHeight="1" spans="1:29" x14ac:dyDescent="0.25">
      <c r="A36" s="3" t="s">
        <v>144</v>
      </c>
      <c r="B36" s="4" t="s">
        <v>30</v>
      </c>
      <c r="C36" s="3" t="s">
        <v>31</v>
      </c>
      <c r="D36" s="3" t="s">
        <v>32</v>
      </c>
      <c r="E36" s="3" t="s">
        <v>33</v>
      </c>
      <c r="F36" s="3" t="s">
        <v>34</v>
      </c>
      <c r="G36" s="3" t="s">
        <v>35</v>
      </c>
      <c r="H36" s="3" t="s">
        <v>35</v>
      </c>
      <c r="I36" s="3" t="s">
        <v>36</v>
      </c>
      <c r="J36" s="3" t="s">
        <v>36</v>
      </c>
      <c r="K36" s="3" t="s">
        <v>37</v>
      </c>
      <c r="L36" s="3" t="s">
        <v>108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43</v>
      </c>
      <c r="R36" s="3" t="s">
        <v>44</v>
      </c>
      <c r="S36" s="3" t="s">
        <v>44</v>
      </c>
      <c r="T36" s="3" t="s">
        <v>45</v>
      </c>
      <c r="U36" s="5"/>
      <c r="V36" s="3" t="s">
        <v>110</v>
      </c>
      <c r="W36" s="3" t="s">
        <v>47</v>
      </c>
      <c r="X36" s="3" t="s">
        <v>48</v>
      </c>
      <c r="Y36" s="3" t="s">
        <v>49</v>
      </c>
      <c r="Z36" s="3" t="s">
        <v>49</v>
      </c>
      <c r="AA36" s="5">
        <v>22462</v>
      </c>
      <c r="AB36" s="3" t="s">
        <v>40</v>
      </c>
      <c r="AC36" s="3" t="s">
        <v>50</v>
      </c>
    </row>
    <row r="37" ht="12" customHeight="1" spans="1:29" x14ac:dyDescent="0.25">
      <c r="A37" s="3" t="s">
        <v>145</v>
      </c>
      <c r="B37" s="4" t="s">
        <v>30</v>
      </c>
      <c r="C37" s="3" t="s">
        <v>31</v>
      </c>
      <c r="D37" s="3" t="s">
        <v>32</v>
      </c>
      <c r="E37" s="3" t="s">
        <v>33</v>
      </c>
      <c r="F37" s="3" t="s">
        <v>34</v>
      </c>
      <c r="G37" s="3" t="s">
        <v>35</v>
      </c>
      <c r="H37" s="3" t="s">
        <v>35</v>
      </c>
      <c r="I37" s="3" t="s">
        <v>36</v>
      </c>
      <c r="J37" s="3" t="s">
        <v>36</v>
      </c>
      <c r="K37" s="3" t="s">
        <v>37</v>
      </c>
      <c r="L37" s="3" t="s">
        <v>108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43</v>
      </c>
      <c r="R37" s="3" t="s">
        <v>44</v>
      </c>
      <c r="S37" s="3" t="s">
        <v>44</v>
      </c>
      <c r="T37" s="3" t="s">
        <v>45</v>
      </c>
      <c r="U37" s="5"/>
      <c r="V37" s="3" t="s">
        <v>110</v>
      </c>
      <c r="W37" s="3" t="s">
        <v>47</v>
      </c>
      <c r="X37" s="3" t="s">
        <v>48</v>
      </c>
      <c r="Y37" s="3" t="s">
        <v>49</v>
      </c>
      <c r="Z37" s="3" t="s">
        <v>49</v>
      </c>
      <c r="AA37" s="5">
        <v>22440</v>
      </c>
      <c r="AB37" s="3" t="s">
        <v>40</v>
      </c>
      <c r="AC37" s="3" t="s">
        <v>50</v>
      </c>
    </row>
    <row r="38" ht="12" customHeight="1" spans="1:29" x14ac:dyDescent="0.25">
      <c r="A38" s="3" t="s">
        <v>146</v>
      </c>
      <c r="B38" s="4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3" t="s">
        <v>35</v>
      </c>
      <c r="H38" s="3" t="s">
        <v>35</v>
      </c>
      <c r="I38" s="3" t="s">
        <v>36</v>
      </c>
      <c r="J38" s="3" t="s">
        <v>36</v>
      </c>
      <c r="K38" s="3" t="s">
        <v>37</v>
      </c>
      <c r="L38" s="3" t="s">
        <v>108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43</v>
      </c>
      <c r="R38" s="3" t="s">
        <v>44</v>
      </c>
      <c r="S38" s="3" t="s">
        <v>44</v>
      </c>
      <c r="T38" s="3" t="s">
        <v>45</v>
      </c>
      <c r="U38" s="5"/>
      <c r="V38" s="3" t="s">
        <v>110</v>
      </c>
      <c r="W38" s="3" t="s">
        <v>47</v>
      </c>
      <c r="X38" s="3" t="s">
        <v>48</v>
      </c>
      <c r="Y38" s="3" t="s">
        <v>49</v>
      </c>
      <c r="Z38" s="3" t="s">
        <v>49</v>
      </c>
      <c r="AA38" s="5">
        <v>22462</v>
      </c>
      <c r="AB38" s="3" t="s">
        <v>40</v>
      </c>
      <c r="AC38" s="3" t="s">
        <v>50</v>
      </c>
    </row>
    <row r="39" ht="12" customHeight="1" spans="1:29" x14ac:dyDescent="0.25">
      <c r="A39" s="3" t="s">
        <v>147</v>
      </c>
      <c r="B39" s="4" t="s">
        <v>30</v>
      </c>
      <c r="C39" s="3" t="s">
        <v>31</v>
      </c>
      <c r="D39" s="3" t="s">
        <v>32</v>
      </c>
      <c r="E39" s="3" t="s">
        <v>33</v>
      </c>
      <c r="F39" s="3" t="s">
        <v>34</v>
      </c>
      <c r="G39" s="3" t="s">
        <v>35</v>
      </c>
      <c r="H39" s="3" t="s">
        <v>35</v>
      </c>
      <c r="I39" s="3" t="s">
        <v>36</v>
      </c>
      <c r="J39" s="3" t="s">
        <v>36</v>
      </c>
      <c r="K39" s="3" t="s">
        <v>37</v>
      </c>
      <c r="L39" s="3" t="s">
        <v>108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43</v>
      </c>
      <c r="R39" s="3" t="s">
        <v>44</v>
      </c>
      <c r="S39" s="3" t="s">
        <v>44</v>
      </c>
      <c r="T39" s="3" t="s">
        <v>45</v>
      </c>
      <c r="U39" s="5"/>
      <c r="V39" s="3" t="s">
        <v>110</v>
      </c>
      <c r="W39" s="3" t="s">
        <v>47</v>
      </c>
      <c r="X39" s="3" t="s">
        <v>48</v>
      </c>
      <c r="Y39" s="3" t="s">
        <v>49</v>
      </c>
      <c r="Z39" s="3" t="s">
        <v>49</v>
      </c>
      <c r="AA39" s="5">
        <v>22462</v>
      </c>
      <c r="AB39" s="3" t="s">
        <v>40</v>
      </c>
      <c r="AC39" s="3" t="s">
        <v>50</v>
      </c>
    </row>
    <row r="40" ht="12" customHeight="1" spans="1:29" x14ac:dyDescent="0.25">
      <c r="A40" s="3" t="s">
        <v>148</v>
      </c>
      <c r="B40" s="4" t="s">
        <v>30</v>
      </c>
      <c r="C40" s="3" t="s">
        <v>31</v>
      </c>
      <c r="D40" s="3" t="s">
        <v>32</v>
      </c>
      <c r="E40" s="3" t="s">
        <v>33</v>
      </c>
      <c r="F40" s="3" t="s">
        <v>34</v>
      </c>
      <c r="G40" s="3" t="s">
        <v>35</v>
      </c>
      <c r="H40" s="3" t="s">
        <v>35</v>
      </c>
      <c r="I40" s="3" t="s">
        <v>36</v>
      </c>
      <c r="J40" s="3" t="s">
        <v>36</v>
      </c>
      <c r="K40" s="3" t="s">
        <v>37</v>
      </c>
      <c r="L40" s="3" t="s">
        <v>108</v>
      </c>
      <c r="M40" s="3" t="s">
        <v>39</v>
      </c>
      <c r="N40" s="3" t="s">
        <v>40</v>
      </c>
      <c r="O40" s="3" t="s">
        <v>41</v>
      </c>
      <c r="P40" s="3" t="s">
        <v>42</v>
      </c>
      <c r="Q40" s="3" t="s">
        <v>43</v>
      </c>
      <c r="R40" s="3" t="s">
        <v>44</v>
      </c>
      <c r="S40" s="3" t="s">
        <v>44</v>
      </c>
      <c r="T40" s="3" t="s">
        <v>45</v>
      </c>
      <c r="U40" s="5"/>
      <c r="V40" s="3" t="s">
        <v>110</v>
      </c>
      <c r="W40" s="3" t="s">
        <v>47</v>
      </c>
      <c r="X40" s="3" t="s">
        <v>48</v>
      </c>
      <c r="Y40" s="3" t="s">
        <v>49</v>
      </c>
      <c r="Z40" s="3" t="s">
        <v>49</v>
      </c>
      <c r="AA40" s="5">
        <v>22484</v>
      </c>
      <c r="AB40" s="3" t="s">
        <v>40</v>
      </c>
      <c r="AC40" s="3" t="s">
        <v>50</v>
      </c>
    </row>
    <row r="41" ht="12" customHeight="1" spans="1:29" x14ac:dyDescent="0.25">
      <c r="A41" s="3" t="s">
        <v>149</v>
      </c>
      <c r="B41" s="4" t="s">
        <v>30</v>
      </c>
      <c r="C41" s="3" t="s">
        <v>31</v>
      </c>
      <c r="D41" s="3" t="s">
        <v>32</v>
      </c>
      <c r="E41" s="3" t="s">
        <v>33</v>
      </c>
      <c r="F41" s="3" t="s">
        <v>34</v>
      </c>
      <c r="G41" s="3" t="s">
        <v>35</v>
      </c>
      <c r="H41" s="3" t="s">
        <v>35</v>
      </c>
      <c r="I41" s="3" t="s">
        <v>36</v>
      </c>
      <c r="J41" s="3" t="s">
        <v>36</v>
      </c>
      <c r="K41" s="3" t="s">
        <v>37</v>
      </c>
      <c r="L41" s="3" t="s">
        <v>108</v>
      </c>
      <c r="M41" s="3" t="s">
        <v>39</v>
      </c>
      <c r="N41" s="3" t="s">
        <v>40</v>
      </c>
      <c r="O41" s="3" t="s">
        <v>41</v>
      </c>
      <c r="P41" s="3" t="s">
        <v>42</v>
      </c>
      <c r="Q41" s="3" t="s">
        <v>43</v>
      </c>
      <c r="R41" s="3" t="s">
        <v>44</v>
      </c>
      <c r="S41" s="3" t="s">
        <v>44</v>
      </c>
      <c r="T41" s="3" t="s">
        <v>45</v>
      </c>
      <c r="U41" s="5"/>
      <c r="V41" s="3" t="s">
        <v>110</v>
      </c>
      <c r="W41" s="3" t="s">
        <v>47</v>
      </c>
      <c r="X41" s="3" t="s">
        <v>48</v>
      </c>
      <c r="Y41" s="3" t="s">
        <v>49</v>
      </c>
      <c r="Z41" s="3" t="s">
        <v>49</v>
      </c>
      <c r="AA41" s="5">
        <v>22440</v>
      </c>
      <c r="AB41" s="3" t="s">
        <v>40</v>
      </c>
      <c r="AC41" s="3" t="s">
        <v>50</v>
      </c>
    </row>
    <row r="42" ht="12" customHeight="1" spans="1:29" x14ac:dyDescent="0.25">
      <c r="A42" s="3" t="s">
        <v>150</v>
      </c>
      <c r="B42" s="4" t="s">
        <v>30</v>
      </c>
      <c r="C42" s="3" t="s">
        <v>31</v>
      </c>
      <c r="D42" s="3" t="s">
        <v>32</v>
      </c>
      <c r="E42" s="3" t="s">
        <v>33</v>
      </c>
      <c r="F42" s="3" t="s">
        <v>34</v>
      </c>
      <c r="G42" s="3" t="s">
        <v>35</v>
      </c>
      <c r="H42" s="3" t="s">
        <v>35</v>
      </c>
      <c r="I42" s="3" t="s">
        <v>36</v>
      </c>
      <c r="J42" s="3" t="s">
        <v>36</v>
      </c>
      <c r="K42" s="3" t="s">
        <v>37</v>
      </c>
      <c r="L42" s="3" t="s">
        <v>108</v>
      </c>
      <c r="M42" s="3" t="s">
        <v>39</v>
      </c>
      <c r="N42" s="3" t="s">
        <v>40</v>
      </c>
      <c r="O42" s="3" t="s">
        <v>41</v>
      </c>
      <c r="P42" s="3" t="s">
        <v>42</v>
      </c>
      <c r="Q42" s="3" t="s">
        <v>43</v>
      </c>
      <c r="R42" s="3" t="s">
        <v>44</v>
      </c>
      <c r="S42" s="3" t="s">
        <v>44</v>
      </c>
      <c r="T42" s="3" t="s">
        <v>45</v>
      </c>
      <c r="U42" s="5"/>
      <c r="V42" s="3" t="s">
        <v>110</v>
      </c>
      <c r="W42" s="3" t="s">
        <v>47</v>
      </c>
      <c r="X42" s="3" t="s">
        <v>48</v>
      </c>
      <c r="Y42" s="3" t="s">
        <v>49</v>
      </c>
      <c r="Z42" s="3" t="s">
        <v>49</v>
      </c>
      <c r="AA42" s="5">
        <v>22462</v>
      </c>
      <c r="AB42" s="3" t="s">
        <v>40</v>
      </c>
      <c r="AC42" s="3" t="s">
        <v>50</v>
      </c>
    </row>
    <row r="43" ht="12" customHeight="1" spans="1:29" x14ac:dyDescent="0.25">
      <c r="A43" s="3" t="s">
        <v>151</v>
      </c>
      <c r="B43" s="4" t="s">
        <v>30</v>
      </c>
      <c r="C43" s="3" t="s">
        <v>31</v>
      </c>
      <c r="D43" s="3" t="s">
        <v>32</v>
      </c>
      <c r="E43" s="3" t="s">
        <v>33</v>
      </c>
      <c r="F43" s="3" t="s">
        <v>34</v>
      </c>
      <c r="G43" s="3" t="s">
        <v>35</v>
      </c>
      <c r="H43" s="3" t="s">
        <v>35</v>
      </c>
      <c r="I43" s="3" t="s">
        <v>36</v>
      </c>
      <c r="J43" s="3" t="s">
        <v>36</v>
      </c>
      <c r="K43" s="3" t="s">
        <v>37</v>
      </c>
      <c r="L43" s="3" t="s">
        <v>108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43</v>
      </c>
      <c r="R43" s="3" t="s">
        <v>44</v>
      </c>
      <c r="S43" s="3" t="s">
        <v>44</v>
      </c>
      <c r="T43" s="3" t="s">
        <v>45</v>
      </c>
      <c r="U43" s="5"/>
      <c r="V43" s="3" t="s">
        <v>110</v>
      </c>
      <c r="W43" s="3" t="s">
        <v>47</v>
      </c>
      <c r="X43" s="3" t="s">
        <v>48</v>
      </c>
      <c r="Y43" s="3" t="s">
        <v>49</v>
      </c>
      <c r="Z43" s="3" t="s">
        <v>49</v>
      </c>
      <c r="AA43" s="5">
        <v>22484</v>
      </c>
      <c r="AB43" s="3" t="s">
        <v>40</v>
      </c>
      <c r="AC43" s="3" t="s">
        <v>50</v>
      </c>
    </row>
    <row r="44" ht="12" customHeight="1" spans="1:29" x14ac:dyDescent="0.25">
      <c r="A44" s="3" t="s">
        <v>152</v>
      </c>
      <c r="B44" s="4" t="s">
        <v>30</v>
      </c>
      <c r="C44" s="3" t="s">
        <v>31</v>
      </c>
      <c r="D44" s="3" t="s">
        <v>32</v>
      </c>
      <c r="E44" s="3" t="s">
        <v>33</v>
      </c>
      <c r="F44" s="3" t="s">
        <v>34</v>
      </c>
      <c r="G44" s="3" t="s">
        <v>52</v>
      </c>
      <c r="H44" s="3" t="s">
        <v>35</v>
      </c>
      <c r="I44" s="3" t="s">
        <v>36</v>
      </c>
      <c r="J44" s="3" t="s">
        <v>36</v>
      </c>
      <c r="K44" s="3" t="s">
        <v>37</v>
      </c>
      <c r="L44" s="3" t="s">
        <v>108</v>
      </c>
      <c r="M44" s="3" t="s">
        <v>39</v>
      </c>
      <c r="N44" s="3" t="s">
        <v>40</v>
      </c>
      <c r="O44" s="3" t="s">
        <v>41</v>
      </c>
      <c r="P44" s="3" t="s">
        <v>42</v>
      </c>
      <c r="Q44" s="3" t="s">
        <v>136</v>
      </c>
      <c r="R44" s="3" t="s">
        <v>44</v>
      </c>
      <c r="S44" s="3" t="s">
        <v>44</v>
      </c>
      <c r="T44" s="3" t="s">
        <v>45</v>
      </c>
      <c r="U44" s="5"/>
      <c r="V44" s="3" t="s">
        <v>110</v>
      </c>
      <c r="W44" s="3" t="s">
        <v>55</v>
      </c>
      <c r="X44" s="3" t="s">
        <v>48</v>
      </c>
      <c r="Y44" s="3" t="s">
        <v>56</v>
      </c>
      <c r="Z44" s="3" t="s">
        <v>56</v>
      </c>
      <c r="AA44" s="5">
        <v>15600</v>
      </c>
      <c r="AB44" s="3" t="s">
        <v>40</v>
      </c>
      <c r="AC44" s="3" t="s">
        <v>50</v>
      </c>
    </row>
    <row r="45" ht="12" customHeight="1" spans="1:29" x14ac:dyDescent="0.25">
      <c r="A45" s="3" t="s">
        <v>153</v>
      </c>
      <c r="B45" s="4" t="s">
        <v>30</v>
      </c>
      <c r="C45" s="3" t="s">
        <v>31</v>
      </c>
      <c r="D45" s="3" t="s">
        <v>32</v>
      </c>
      <c r="E45" s="3" t="s">
        <v>33</v>
      </c>
      <c r="F45" s="3" t="s">
        <v>34</v>
      </c>
      <c r="G45" s="3" t="s">
        <v>52</v>
      </c>
      <c r="H45" s="3" t="s">
        <v>35</v>
      </c>
      <c r="I45" s="3" t="s">
        <v>36</v>
      </c>
      <c r="J45" s="3" t="s">
        <v>36</v>
      </c>
      <c r="K45" s="3" t="s">
        <v>37</v>
      </c>
      <c r="L45" s="3" t="s">
        <v>108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136</v>
      </c>
      <c r="R45" s="3" t="s">
        <v>44</v>
      </c>
      <c r="S45" s="3" t="s">
        <v>44</v>
      </c>
      <c r="T45" s="3" t="s">
        <v>45</v>
      </c>
      <c r="U45" s="5"/>
      <c r="V45" s="3" t="s">
        <v>110</v>
      </c>
      <c r="W45" s="3" t="s">
        <v>55</v>
      </c>
      <c r="X45" s="3" t="s">
        <v>48</v>
      </c>
      <c r="Y45" s="3" t="s">
        <v>56</v>
      </c>
      <c r="Z45" s="3" t="s">
        <v>56</v>
      </c>
      <c r="AA45" s="5">
        <v>15600</v>
      </c>
      <c r="AB45" s="3" t="s">
        <v>40</v>
      </c>
      <c r="AC45" s="3" t="s">
        <v>50</v>
      </c>
    </row>
    <row r="46" ht="12" customHeight="1" spans="1:29" x14ac:dyDescent="0.25">
      <c r="A46" s="3" t="s">
        <v>154</v>
      </c>
      <c r="B46" s="4" t="s">
        <v>30</v>
      </c>
      <c r="C46" s="3" t="s">
        <v>31</v>
      </c>
      <c r="D46" s="3" t="s">
        <v>32</v>
      </c>
      <c r="E46" s="3" t="s">
        <v>33</v>
      </c>
      <c r="F46" s="3" t="s">
        <v>34</v>
      </c>
      <c r="G46" s="3" t="s">
        <v>52</v>
      </c>
      <c r="H46" s="3" t="s">
        <v>35</v>
      </c>
      <c r="I46" s="3" t="s">
        <v>36</v>
      </c>
      <c r="J46" s="3" t="s">
        <v>36</v>
      </c>
      <c r="K46" s="3" t="s">
        <v>37</v>
      </c>
      <c r="L46" s="3" t="s">
        <v>108</v>
      </c>
      <c r="M46" s="3" t="s">
        <v>39</v>
      </c>
      <c r="N46" s="3" t="s">
        <v>40</v>
      </c>
      <c r="O46" s="3" t="s">
        <v>41</v>
      </c>
      <c r="P46" s="3" t="s">
        <v>42</v>
      </c>
      <c r="Q46" s="3" t="s">
        <v>155</v>
      </c>
      <c r="R46" s="3" t="s">
        <v>44</v>
      </c>
      <c r="S46" s="3" t="s">
        <v>44</v>
      </c>
      <c r="T46" s="3" t="s">
        <v>45</v>
      </c>
      <c r="U46" s="5"/>
      <c r="V46" s="3" t="s">
        <v>110</v>
      </c>
      <c r="W46" s="3" t="s">
        <v>55</v>
      </c>
      <c r="X46" s="3" t="s">
        <v>48</v>
      </c>
      <c r="Y46" s="3" t="s">
        <v>56</v>
      </c>
      <c r="Z46" s="3" t="s">
        <v>56</v>
      </c>
      <c r="AA46" s="5">
        <v>15580</v>
      </c>
      <c r="AB46" s="3" t="s">
        <v>40</v>
      </c>
      <c r="AC46" s="3" t="s">
        <v>50</v>
      </c>
    </row>
    <row r="47" ht="12" customHeight="1" spans="1:29" x14ac:dyDescent="0.25">
      <c r="A47" s="3" t="s">
        <v>156</v>
      </c>
      <c r="B47" s="4" t="s">
        <v>30</v>
      </c>
      <c r="C47" s="3" t="s">
        <v>31</v>
      </c>
      <c r="D47" s="3" t="s">
        <v>32</v>
      </c>
      <c r="E47" s="3" t="s">
        <v>33</v>
      </c>
      <c r="F47" s="3" t="s">
        <v>34</v>
      </c>
      <c r="G47" s="3" t="s">
        <v>52</v>
      </c>
      <c r="H47" s="3" t="s">
        <v>35</v>
      </c>
      <c r="I47" s="3" t="s">
        <v>36</v>
      </c>
      <c r="J47" s="3" t="s">
        <v>36</v>
      </c>
      <c r="K47" s="3" t="s">
        <v>37</v>
      </c>
      <c r="L47" s="3" t="s">
        <v>108</v>
      </c>
      <c r="M47" s="3" t="s">
        <v>39</v>
      </c>
      <c r="N47" s="3" t="s">
        <v>40</v>
      </c>
      <c r="O47" s="3" t="s">
        <v>41</v>
      </c>
      <c r="P47" s="3" t="s">
        <v>42</v>
      </c>
      <c r="Q47" s="3" t="s">
        <v>155</v>
      </c>
      <c r="R47" s="3" t="s">
        <v>44</v>
      </c>
      <c r="S47" s="3" t="s">
        <v>44</v>
      </c>
      <c r="T47" s="3" t="s">
        <v>45</v>
      </c>
      <c r="U47" s="5"/>
      <c r="V47" s="3" t="s">
        <v>110</v>
      </c>
      <c r="W47" s="3" t="s">
        <v>55</v>
      </c>
      <c r="X47" s="3" t="s">
        <v>48</v>
      </c>
      <c r="Y47" s="3" t="s">
        <v>56</v>
      </c>
      <c r="Z47" s="3" t="s">
        <v>56</v>
      </c>
      <c r="AA47" s="5">
        <v>15580</v>
      </c>
      <c r="AB47" s="3" t="s">
        <v>40</v>
      </c>
      <c r="AC47" s="3" t="s">
        <v>50</v>
      </c>
    </row>
    <row r="48" ht="12" customHeight="1" spans="1:29" x14ac:dyDescent="0.25">
      <c r="A48" s="3" t="s">
        <v>157</v>
      </c>
      <c r="B48" s="4" t="s">
        <v>30</v>
      </c>
      <c r="C48" s="3" t="s">
        <v>31</v>
      </c>
      <c r="D48" s="3" t="s">
        <v>32</v>
      </c>
      <c r="E48" s="3" t="s">
        <v>33</v>
      </c>
      <c r="F48" s="3" t="s">
        <v>34</v>
      </c>
      <c r="G48" s="3" t="s">
        <v>52</v>
      </c>
      <c r="H48" s="3" t="s">
        <v>35</v>
      </c>
      <c r="I48" s="3" t="s">
        <v>36</v>
      </c>
      <c r="J48" s="3" t="s">
        <v>36</v>
      </c>
      <c r="K48" s="3" t="s">
        <v>37</v>
      </c>
      <c r="L48" s="3" t="s">
        <v>108</v>
      </c>
      <c r="M48" s="3" t="s">
        <v>39</v>
      </c>
      <c r="N48" s="3" t="s">
        <v>40</v>
      </c>
      <c r="O48" s="3" t="s">
        <v>41</v>
      </c>
      <c r="P48" s="3" t="s">
        <v>42</v>
      </c>
      <c r="Q48" s="3" t="s">
        <v>155</v>
      </c>
      <c r="R48" s="3" t="s">
        <v>44</v>
      </c>
      <c r="S48" s="3" t="s">
        <v>44</v>
      </c>
      <c r="T48" s="3" t="s">
        <v>45</v>
      </c>
      <c r="U48" s="5"/>
      <c r="V48" s="3" t="s">
        <v>110</v>
      </c>
      <c r="W48" s="3" t="s">
        <v>55</v>
      </c>
      <c r="X48" s="3" t="s">
        <v>48</v>
      </c>
      <c r="Y48" s="3" t="s">
        <v>56</v>
      </c>
      <c r="Z48" s="3" t="s">
        <v>56</v>
      </c>
      <c r="AA48" s="5">
        <v>15580</v>
      </c>
      <c r="AB48" s="3" t="s">
        <v>40</v>
      </c>
      <c r="AC48" s="3" t="s">
        <v>50</v>
      </c>
    </row>
    <row r="49" ht="12" customHeight="1" spans="1:29" x14ac:dyDescent="0.25">
      <c r="A49" s="3" t="s">
        <v>158</v>
      </c>
      <c r="B49" s="4" t="s">
        <v>30</v>
      </c>
      <c r="C49" s="3" t="s">
        <v>31</v>
      </c>
      <c r="D49" s="3" t="s">
        <v>32</v>
      </c>
      <c r="E49" s="3" t="s">
        <v>33</v>
      </c>
      <c r="F49" s="3" t="s">
        <v>34</v>
      </c>
      <c r="G49" s="3" t="s">
        <v>52</v>
      </c>
      <c r="H49" s="3" t="s">
        <v>35</v>
      </c>
      <c r="I49" s="3" t="s">
        <v>36</v>
      </c>
      <c r="J49" s="3" t="s">
        <v>36</v>
      </c>
      <c r="K49" s="3" t="s">
        <v>37</v>
      </c>
      <c r="L49" s="3" t="s">
        <v>108</v>
      </c>
      <c r="M49" s="3" t="s">
        <v>39</v>
      </c>
      <c r="N49" s="3" t="s">
        <v>40</v>
      </c>
      <c r="O49" s="3" t="s">
        <v>41</v>
      </c>
      <c r="P49" s="3" t="s">
        <v>42</v>
      </c>
      <c r="Q49" s="3" t="s">
        <v>155</v>
      </c>
      <c r="R49" s="3" t="s">
        <v>44</v>
      </c>
      <c r="S49" s="3" t="s">
        <v>44</v>
      </c>
      <c r="T49" s="3" t="s">
        <v>45</v>
      </c>
      <c r="U49" s="5"/>
      <c r="V49" s="3" t="s">
        <v>110</v>
      </c>
      <c r="W49" s="3" t="s">
        <v>55</v>
      </c>
      <c r="X49" s="3" t="s">
        <v>48</v>
      </c>
      <c r="Y49" s="3" t="s">
        <v>56</v>
      </c>
      <c r="Z49" s="3" t="s">
        <v>56</v>
      </c>
      <c r="AA49" s="5">
        <v>15289.24</v>
      </c>
      <c r="AB49" s="3" t="s">
        <v>40</v>
      </c>
      <c r="AC49" s="3" t="s">
        <v>50</v>
      </c>
    </row>
    <row r="50" ht="12" customHeight="1" spans="1:29" x14ac:dyDescent="0.25">
      <c r="A50" s="3" t="s">
        <v>159</v>
      </c>
      <c r="B50" s="4" t="s">
        <v>30</v>
      </c>
      <c r="C50" s="3" t="s">
        <v>31</v>
      </c>
      <c r="D50" s="3" t="s">
        <v>32</v>
      </c>
      <c r="E50" s="3" t="s">
        <v>33</v>
      </c>
      <c r="F50" s="3" t="s">
        <v>34</v>
      </c>
      <c r="G50" s="3" t="s">
        <v>52</v>
      </c>
      <c r="H50" s="3" t="s">
        <v>35</v>
      </c>
      <c r="I50" s="3" t="s">
        <v>36</v>
      </c>
      <c r="J50" s="3" t="s">
        <v>36</v>
      </c>
      <c r="K50" s="3" t="s">
        <v>37</v>
      </c>
      <c r="L50" s="3" t="s">
        <v>108</v>
      </c>
      <c r="M50" s="3" t="s">
        <v>39</v>
      </c>
      <c r="N50" s="3" t="s">
        <v>40</v>
      </c>
      <c r="O50" s="3" t="s">
        <v>41</v>
      </c>
      <c r="P50" s="3" t="s">
        <v>42</v>
      </c>
      <c r="Q50" s="3" t="s">
        <v>155</v>
      </c>
      <c r="R50" s="3" t="s">
        <v>44</v>
      </c>
      <c r="S50" s="3" t="s">
        <v>44</v>
      </c>
      <c r="T50" s="3" t="s">
        <v>45</v>
      </c>
      <c r="U50" s="5"/>
      <c r="V50" s="3" t="s">
        <v>110</v>
      </c>
      <c r="W50" s="3" t="s">
        <v>55</v>
      </c>
      <c r="X50" s="3" t="s">
        <v>48</v>
      </c>
      <c r="Y50" s="3" t="s">
        <v>56</v>
      </c>
      <c r="Z50" s="3" t="s">
        <v>56</v>
      </c>
      <c r="AA50" s="5">
        <v>15580</v>
      </c>
      <c r="AB50" s="3" t="s">
        <v>40</v>
      </c>
      <c r="AC50" s="3" t="s">
        <v>50</v>
      </c>
    </row>
    <row r="51" ht="12" customHeight="1" spans="1:29" x14ac:dyDescent="0.25">
      <c r="A51" s="3" t="s">
        <v>160</v>
      </c>
      <c r="B51" s="4" t="s">
        <v>30</v>
      </c>
      <c r="C51" s="3" t="s">
        <v>31</v>
      </c>
      <c r="D51" s="3" t="s">
        <v>32</v>
      </c>
      <c r="E51" s="3" t="s">
        <v>33</v>
      </c>
      <c r="F51" s="3" t="s">
        <v>34</v>
      </c>
      <c r="G51" s="3" t="s">
        <v>52</v>
      </c>
      <c r="H51" s="3" t="s">
        <v>35</v>
      </c>
      <c r="I51" s="3" t="s">
        <v>36</v>
      </c>
      <c r="J51" s="3" t="s">
        <v>36</v>
      </c>
      <c r="K51" s="3" t="s">
        <v>37</v>
      </c>
      <c r="L51" s="3" t="s">
        <v>108</v>
      </c>
      <c r="M51" s="3" t="s">
        <v>39</v>
      </c>
      <c r="N51" s="3" t="s">
        <v>40</v>
      </c>
      <c r="O51" s="3" t="s">
        <v>41</v>
      </c>
      <c r="P51" s="3" t="s">
        <v>42</v>
      </c>
      <c r="Q51" s="3" t="s">
        <v>161</v>
      </c>
      <c r="R51" s="3" t="s">
        <v>44</v>
      </c>
      <c r="S51" s="3" t="s">
        <v>44</v>
      </c>
      <c r="T51" s="3" t="s">
        <v>45</v>
      </c>
      <c r="U51" s="5"/>
      <c r="V51" s="3" t="s">
        <v>110</v>
      </c>
      <c r="W51" s="3" t="s">
        <v>162</v>
      </c>
      <c r="X51" s="3" t="s">
        <v>48</v>
      </c>
      <c r="Y51" s="3" t="s">
        <v>163</v>
      </c>
      <c r="Z51" s="3" t="s">
        <v>163</v>
      </c>
      <c r="AA51" s="5">
        <v>4427.5</v>
      </c>
      <c r="AB51" s="3" t="s">
        <v>40</v>
      </c>
      <c r="AC51" s="3" t="s">
        <v>50</v>
      </c>
    </row>
    <row r="52" ht="12" customHeight="1" spans="1:29" x14ac:dyDescent="0.25">
      <c r="A52" s="3" t="s">
        <v>164</v>
      </c>
      <c r="B52" s="4" t="s">
        <v>30</v>
      </c>
      <c r="C52" s="3" t="s">
        <v>31</v>
      </c>
      <c r="D52" s="3" t="s">
        <v>32</v>
      </c>
      <c r="E52" s="3" t="s">
        <v>33</v>
      </c>
      <c r="F52" s="3" t="s">
        <v>34</v>
      </c>
      <c r="G52" s="3" t="s">
        <v>52</v>
      </c>
      <c r="H52" s="3" t="s">
        <v>35</v>
      </c>
      <c r="I52" s="3" t="s">
        <v>36</v>
      </c>
      <c r="J52" s="3" t="s">
        <v>36</v>
      </c>
      <c r="K52" s="3" t="s">
        <v>37</v>
      </c>
      <c r="L52" s="3" t="s">
        <v>108</v>
      </c>
      <c r="M52" s="3" t="s">
        <v>39</v>
      </c>
      <c r="N52" s="3" t="s">
        <v>40</v>
      </c>
      <c r="O52" s="3" t="s">
        <v>41</v>
      </c>
      <c r="P52" s="3" t="s">
        <v>42</v>
      </c>
      <c r="Q52" s="3" t="s">
        <v>165</v>
      </c>
      <c r="R52" s="3" t="s">
        <v>44</v>
      </c>
      <c r="S52" s="3" t="s">
        <v>44</v>
      </c>
      <c r="T52" s="3" t="s">
        <v>45</v>
      </c>
      <c r="U52" s="5"/>
      <c r="V52" s="3" t="s">
        <v>110</v>
      </c>
      <c r="W52" s="3" t="s">
        <v>166</v>
      </c>
      <c r="X52" s="3" t="s">
        <v>48</v>
      </c>
      <c r="Y52" s="3" t="s">
        <v>167</v>
      </c>
      <c r="Z52" s="3" t="s">
        <v>167</v>
      </c>
      <c r="AA52" s="5">
        <v>26660</v>
      </c>
      <c r="AB52" s="3" t="s">
        <v>40</v>
      </c>
      <c r="AC52" s="3" t="s">
        <v>50</v>
      </c>
    </row>
    <row r="53" ht="12" customHeight="1" spans="1:29" x14ac:dyDescent="0.25">
      <c r="A53" s="3" t="s">
        <v>168</v>
      </c>
      <c r="B53" s="4" t="s">
        <v>30</v>
      </c>
      <c r="C53" s="3" t="s">
        <v>31</v>
      </c>
      <c r="D53" s="3" t="s">
        <v>32</v>
      </c>
      <c r="E53" s="3" t="s">
        <v>33</v>
      </c>
      <c r="F53" s="3" t="s">
        <v>34</v>
      </c>
      <c r="G53" s="3" t="s">
        <v>52</v>
      </c>
      <c r="H53" s="3" t="s">
        <v>35</v>
      </c>
      <c r="I53" s="3" t="s">
        <v>36</v>
      </c>
      <c r="J53" s="3" t="s">
        <v>36</v>
      </c>
      <c r="K53" s="3" t="s">
        <v>37</v>
      </c>
      <c r="L53" s="3" t="s">
        <v>108</v>
      </c>
      <c r="M53" s="3" t="s">
        <v>39</v>
      </c>
      <c r="N53" s="3" t="s">
        <v>40</v>
      </c>
      <c r="O53" s="3" t="s">
        <v>41</v>
      </c>
      <c r="P53" s="3" t="s">
        <v>42</v>
      </c>
      <c r="Q53" s="3" t="s">
        <v>169</v>
      </c>
      <c r="R53" s="3" t="s">
        <v>44</v>
      </c>
      <c r="S53" s="3" t="s">
        <v>44</v>
      </c>
      <c r="T53" s="3" t="s">
        <v>45</v>
      </c>
      <c r="U53" s="5"/>
      <c r="V53" s="3" t="s">
        <v>110</v>
      </c>
      <c r="W53" s="3" t="s">
        <v>166</v>
      </c>
      <c r="X53" s="3" t="s">
        <v>48</v>
      </c>
      <c r="Y53" s="3" t="s">
        <v>170</v>
      </c>
      <c r="Z53" s="3" t="s">
        <v>170</v>
      </c>
      <c r="AA53" s="5">
        <v>27070</v>
      </c>
      <c r="AB53" s="3" t="s">
        <v>40</v>
      </c>
      <c r="AC53" s="3" t="s">
        <v>50</v>
      </c>
    </row>
    <row r="54" ht="12" customHeight="1" spans="1:29" x14ac:dyDescent="0.25">
      <c r="A54" s="3" t="s">
        <v>171</v>
      </c>
      <c r="B54" s="4" t="s">
        <v>30</v>
      </c>
      <c r="C54" s="3" t="s">
        <v>31</v>
      </c>
      <c r="D54" s="3" t="s">
        <v>32</v>
      </c>
      <c r="E54" s="3" t="s">
        <v>33</v>
      </c>
      <c r="F54" s="3" t="s">
        <v>34</v>
      </c>
      <c r="G54" s="3" t="s">
        <v>52</v>
      </c>
      <c r="H54" s="3" t="s">
        <v>35</v>
      </c>
      <c r="I54" s="3" t="s">
        <v>36</v>
      </c>
      <c r="J54" s="3" t="s">
        <v>36</v>
      </c>
      <c r="K54" s="3" t="s">
        <v>37</v>
      </c>
      <c r="L54" s="3" t="s">
        <v>108</v>
      </c>
      <c r="M54" s="3" t="s">
        <v>39</v>
      </c>
      <c r="N54" s="3" t="s">
        <v>40</v>
      </c>
      <c r="O54" s="3" t="s">
        <v>41</v>
      </c>
      <c r="P54" s="3" t="s">
        <v>42</v>
      </c>
      <c r="Q54" s="3" t="s">
        <v>169</v>
      </c>
      <c r="R54" s="3" t="s">
        <v>44</v>
      </c>
      <c r="S54" s="3" t="s">
        <v>44</v>
      </c>
      <c r="T54" s="3" t="s">
        <v>45</v>
      </c>
      <c r="U54" s="5"/>
      <c r="V54" s="3" t="s">
        <v>110</v>
      </c>
      <c r="W54" s="3" t="s">
        <v>166</v>
      </c>
      <c r="X54" s="3" t="s">
        <v>48</v>
      </c>
      <c r="Y54" s="3" t="s">
        <v>170</v>
      </c>
      <c r="Z54" s="3" t="s">
        <v>170</v>
      </c>
      <c r="AA54" s="5">
        <v>26490</v>
      </c>
      <c r="AB54" s="3" t="s">
        <v>40</v>
      </c>
      <c r="AC54" s="3" t="s">
        <v>50</v>
      </c>
    </row>
    <row r="55" ht="12" customHeight="1" spans="1:29" x14ac:dyDescent="0.25">
      <c r="A55" s="3" t="s">
        <v>172</v>
      </c>
      <c r="B55" s="4" t="s">
        <v>30</v>
      </c>
      <c r="C55" s="3" t="s">
        <v>31</v>
      </c>
      <c r="D55" s="3" t="s">
        <v>32</v>
      </c>
      <c r="E55" s="3" t="s">
        <v>33</v>
      </c>
      <c r="F55" s="3" t="s">
        <v>34</v>
      </c>
      <c r="G55" s="3" t="s">
        <v>35</v>
      </c>
      <c r="H55" s="3" t="s">
        <v>35</v>
      </c>
      <c r="I55" s="3" t="s">
        <v>36</v>
      </c>
      <c r="J55" s="3" t="s">
        <v>36</v>
      </c>
      <c r="K55" s="3" t="s">
        <v>37</v>
      </c>
      <c r="L55" s="3" t="s">
        <v>108</v>
      </c>
      <c r="M55" s="3" t="s">
        <v>39</v>
      </c>
      <c r="N55" s="3" t="s">
        <v>40</v>
      </c>
      <c r="O55" s="3" t="s">
        <v>41</v>
      </c>
      <c r="P55" s="3" t="s">
        <v>42</v>
      </c>
      <c r="Q55" s="3" t="s">
        <v>173</v>
      </c>
      <c r="R55" s="3" t="s">
        <v>44</v>
      </c>
      <c r="S55" s="3" t="s">
        <v>44</v>
      </c>
      <c r="T55" s="3" t="s">
        <v>45</v>
      </c>
      <c r="U55" s="5"/>
      <c r="V55" s="3" t="s">
        <v>110</v>
      </c>
      <c r="W55" s="3" t="s">
        <v>174</v>
      </c>
      <c r="X55" s="3" t="s">
        <v>48</v>
      </c>
      <c r="Y55" s="3" t="s">
        <v>175</v>
      </c>
      <c r="Z55" s="3" t="s">
        <v>175</v>
      </c>
      <c r="AA55" s="5">
        <v>27080</v>
      </c>
      <c r="AB55" s="3" t="s">
        <v>40</v>
      </c>
      <c r="AC55" s="3" t="s">
        <v>50</v>
      </c>
    </row>
    <row r="56" ht="12" customHeight="1" spans="1:29" x14ac:dyDescent="0.25">
      <c r="A56" s="3" t="s">
        <v>176</v>
      </c>
      <c r="B56" s="4" t="s">
        <v>30</v>
      </c>
      <c r="C56" s="3" t="s">
        <v>31</v>
      </c>
      <c r="D56" s="3" t="s">
        <v>32</v>
      </c>
      <c r="E56" s="3" t="s">
        <v>33</v>
      </c>
      <c r="F56" s="3" t="s">
        <v>34</v>
      </c>
      <c r="G56" s="3" t="s">
        <v>35</v>
      </c>
      <c r="H56" s="3" t="s">
        <v>35</v>
      </c>
      <c r="I56" s="3" t="s">
        <v>69</v>
      </c>
      <c r="J56" s="3" t="s">
        <v>70</v>
      </c>
      <c r="K56" s="3" t="s">
        <v>37</v>
      </c>
      <c r="L56" s="3" t="s">
        <v>108</v>
      </c>
      <c r="M56" s="3" t="s">
        <v>39</v>
      </c>
      <c r="N56" s="3" t="s">
        <v>40</v>
      </c>
      <c r="O56" s="3" t="s">
        <v>41</v>
      </c>
      <c r="P56" s="3" t="s">
        <v>42</v>
      </c>
      <c r="Q56" s="3" t="s">
        <v>177</v>
      </c>
      <c r="R56" s="3" t="s">
        <v>72</v>
      </c>
      <c r="S56" s="3" t="s">
        <v>44</v>
      </c>
      <c r="T56" s="3" t="s">
        <v>45</v>
      </c>
      <c r="U56" s="5"/>
      <c r="V56" s="3" t="s">
        <v>110</v>
      </c>
      <c r="W56" s="3" t="s">
        <v>74</v>
      </c>
      <c r="X56" s="3" t="s">
        <v>75</v>
      </c>
      <c r="Y56" s="3" t="s">
        <v>76</v>
      </c>
      <c r="Z56" s="3" t="s">
        <v>76</v>
      </c>
      <c r="AA56" s="5">
        <v>24240</v>
      </c>
      <c r="AB56" s="3" t="s">
        <v>40</v>
      </c>
      <c r="AC56" s="3" t="s">
        <v>77</v>
      </c>
    </row>
    <row r="57" ht="12" customHeight="1" spans="1:29" x14ac:dyDescent="0.25">
      <c r="A57" s="3" t="s">
        <v>178</v>
      </c>
      <c r="B57" s="4" t="s">
        <v>30</v>
      </c>
      <c r="C57" s="3" t="s">
        <v>31</v>
      </c>
      <c r="D57" s="3" t="s">
        <v>32</v>
      </c>
      <c r="E57" s="3" t="s">
        <v>33</v>
      </c>
      <c r="F57" s="3" t="s">
        <v>34</v>
      </c>
      <c r="G57" s="3" t="s">
        <v>35</v>
      </c>
      <c r="H57" s="3" t="s">
        <v>35</v>
      </c>
      <c r="I57" s="3" t="s">
        <v>69</v>
      </c>
      <c r="J57" s="3" t="s">
        <v>70</v>
      </c>
      <c r="K57" s="3" t="s">
        <v>37</v>
      </c>
      <c r="L57" s="3" t="s">
        <v>108</v>
      </c>
      <c r="M57" s="3" t="s">
        <v>39</v>
      </c>
      <c r="N57" s="3" t="s">
        <v>40</v>
      </c>
      <c r="O57" s="3" t="s">
        <v>41</v>
      </c>
      <c r="P57" s="3" t="s">
        <v>42</v>
      </c>
      <c r="Q57" s="3" t="s">
        <v>177</v>
      </c>
      <c r="R57" s="3" t="s">
        <v>72</v>
      </c>
      <c r="S57" s="3" t="s">
        <v>44</v>
      </c>
      <c r="T57" s="3" t="s">
        <v>45</v>
      </c>
      <c r="U57" s="5"/>
      <c r="V57" s="3" t="s">
        <v>110</v>
      </c>
      <c r="W57" s="3" t="s">
        <v>74</v>
      </c>
      <c r="X57" s="3" t="s">
        <v>75</v>
      </c>
      <c r="Y57" s="3" t="s">
        <v>76</v>
      </c>
      <c r="Z57" s="3" t="s">
        <v>76</v>
      </c>
      <c r="AA57" s="5">
        <v>24240</v>
      </c>
      <c r="AB57" s="3" t="s">
        <v>40</v>
      </c>
      <c r="AC57" s="3" t="s">
        <v>77</v>
      </c>
    </row>
    <row r="58" ht="12" customHeight="1" spans="1:29" x14ac:dyDescent="0.25">
      <c r="A58" s="3" t="s">
        <v>179</v>
      </c>
      <c r="B58" s="4" t="s">
        <v>30</v>
      </c>
      <c r="C58" s="3" t="s">
        <v>31</v>
      </c>
      <c r="D58" s="3" t="s">
        <v>32</v>
      </c>
      <c r="E58" s="3" t="s">
        <v>33</v>
      </c>
      <c r="F58" s="3" t="s">
        <v>34</v>
      </c>
      <c r="G58" s="3" t="s">
        <v>35</v>
      </c>
      <c r="H58" s="3" t="s">
        <v>35</v>
      </c>
      <c r="I58" s="3" t="s">
        <v>69</v>
      </c>
      <c r="J58" s="3" t="s">
        <v>70</v>
      </c>
      <c r="K58" s="3" t="s">
        <v>37</v>
      </c>
      <c r="L58" s="3" t="s">
        <v>108</v>
      </c>
      <c r="M58" s="3" t="s">
        <v>39</v>
      </c>
      <c r="N58" s="3" t="s">
        <v>40</v>
      </c>
      <c r="O58" s="3" t="s">
        <v>41</v>
      </c>
      <c r="P58" s="3" t="s">
        <v>42</v>
      </c>
      <c r="Q58" s="3" t="s">
        <v>177</v>
      </c>
      <c r="R58" s="3" t="s">
        <v>72</v>
      </c>
      <c r="S58" s="3" t="s">
        <v>44</v>
      </c>
      <c r="T58" s="3" t="s">
        <v>45</v>
      </c>
      <c r="U58" s="5"/>
      <c r="V58" s="3" t="s">
        <v>110</v>
      </c>
      <c r="W58" s="3" t="s">
        <v>74</v>
      </c>
      <c r="X58" s="3" t="s">
        <v>48</v>
      </c>
      <c r="Y58" s="3" t="s">
        <v>76</v>
      </c>
      <c r="Z58" s="3" t="s">
        <v>76</v>
      </c>
      <c r="AA58" s="5">
        <v>24240</v>
      </c>
      <c r="AB58" s="3" t="s">
        <v>40</v>
      </c>
      <c r="AC58" s="3" t="s">
        <v>77</v>
      </c>
    </row>
    <row r="59" ht="12" customHeight="1" spans="1:29" x14ac:dyDescent="0.25">
      <c r="A59" s="3" t="s">
        <v>180</v>
      </c>
      <c r="B59" s="4" t="s">
        <v>30</v>
      </c>
      <c r="C59" s="3" t="s">
        <v>31</v>
      </c>
      <c r="D59" s="3" t="s">
        <v>32</v>
      </c>
      <c r="E59" s="3" t="s">
        <v>33</v>
      </c>
      <c r="F59" s="3" t="s">
        <v>34</v>
      </c>
      <c r="G59" s="3" t="s">
        <v>35</v>
      </c>
      <c r="H59" s="3" t="s">
        <v>35</v>
      </c>
      <c r="I59" s="3" t="s">
        <v>36</v>
      </c>
      <c r="J59" s="3" t="s">
        <v>36</v>
      </c>
      <c r="K59" s="3" t="s">
        <v>37</v>
      </c>
      <c r="L59" s="3" t="s">
        <v>108</v>
      </c>
      <c r="M59" s="3" t="s">
        <v>39</v>
      </c>
      <c r="N59" s="3" t="s">
        <v>40</v>
      </c>
      <c r="O59" s="3" t="s">
        <v>41</v>
      </c>
      <c r="P59" s="3" t="s">
        <v>42</v>
      </c>
      <c r="Q59" s="3" t="s">
        <v>173</v>
      </c>
      <c r="R59" s="3" t="s">
        <v>44</v>
      </c>
      <c r="S59" s="3" t="s">
        <v>44</v>
      </c>
      <c r="T59" s="3" t="s">
        <v>45</v>
      </c>
      <c r="U59" s="5"/>
      <c r="V59" s="3" t="s">
        <v>110</v>
      </c>
      <c r="W59" s="3" t="s">
        <v>174</v>
      </c>
      <c r="X59" s="3" t="s">
        <v>118</v>
      </c>
      <c r="Y59" s="3" t="s">
        <v>175</v>
      </c>
      <c r="Z59" s="3" t="s">
        <v>175</v>
      </c>
      <c r="AA59" s="5">
        <v>27080</v>
      </c>
      <c r="AB59" s="3" t="s">
        <v>40</v>
      </c>
      <c r="AC59" s="3" t="s">
        <v>50</v>
      </c>
    </row>
    <row r="60" ht="12" customHeight="1" spans="1:29" x14ac:dyDescent="0.25">
      <c r="A60" s="3" t="s">
        <v>181</v>
      </c>
      <c r="B60" s="4" t="s">
        <v>30</v>
      </c>
      <c r="C60" s="3" t="s">
        <v>31</v>
      </c>
      <c r="D60" s="3" t="s">
        <v>32</v>
      </c>
      <c r="E60" s="3" t="s">
        <v>33</v>
      </c>
      <c r="F60" s="3" t="s">
        <v>34</v>
      </c>
      <c r="G60" s="3" t="s">
        <v>52</v>
      </c>
      <c r="H60" s="3" t="s">
        <v>35</v>
      </c>
      <c r="I60" s="3" t="s">
        <v>36</v>
      </c>
      <c r="J60" s="3" t="s">
        <v>36</v>
      </c>
      <c r="K60" s="3" t="s">
        <v>37</v>
      </c>
      <c r="L60" s="3" t="s">
        <v>108</v>
      </c>
      <c r="M60" s="3" t="s">
        <v>39</v>
      </c>
      <c r="N60" s="3" t="s">
        <v>40</v>
      </c>
      <c r="O60" s="3" t="s">
        <v>41</v>
      </c>
      <c r="P60" s="3" t="s">
        <v>42</v>
      </c>
      <c r="Q60" s="3" t="s">
        <v>182</v>
      </c>
      <c r="R60" s="3" t="s">
        <v>44</v>
      </c>
      <c r="S60" s="3" t="s">
        <v>44</v>
      </c>
      <c r="T60" s="3" t="s">
        <v>45</v>
      </c>
      <c r="U60" s="5"/>
      <c r="V60" s="3" t="s">
        <v>110</v>
      </c>
      <c r="W60" s="3" t="s">
        <v>183</v>
      </c>
      <c r="X60" s="3" t="s">
        <v>48</v>
      </c>
      <c r="Y60" s="3" t="s">
        <v>184</v>
      </c>
      <c r="Z60" s="3" t="s">
        <v>184</v>
      </c>
      <c r="AA60" s="5">
        <v>27100</v>
      </c>
      <c r="AB60" s="3" t="s">
        <v>40</v>
      </c>
      <c r="AC60" s="3" t="s">
        <v>50</v>
      </c>
    </row>
    <row r="61" ht="12" customHeight="1" spans="1:29" x14ac:dyDescent="0.25">
      <c r="A61" s="3" t="s">
        <v>185</v>
      </c>
      <c r="B61" s="4" t="s">
        <v>30</v>
      </c>
      <c r="C61" s="3" t="s">
        <v>31</v>
      </c>
      <c r="D61" s="3" t="s">
        <v>32</v>
      </c>
      <c r="E61" s="3" t="s">
        <v>33</v>
      </c>
      <c r="F61" s="3" t="s">
        <v>34</v>
      </c>
      <c r="G61" s="3" t="s">
        <v>52</v>
      </c>
      <c r="H61" s="3" t="s">
        <v>35</v>
      </c>
      <c r="I61" s="3" t="s">
        <v>36</v>
      </c>
      <c r="J61" s="3" t="s">
        <v>36</v>
      </c>
      <c r="K61" s="3" t="s">
        <v>37</v>
      </c>
      <c r="L61" s="3" t="s">
        <v>108</v>
      </c>
      <c r="M61" s="3" t="s">
        <v>39</v>
      </c>
      <c r="N61" s="3" t="s">
        <v>40</v>
      </c>
      <c r="O61" s="3" t="s">
        <v>41</v>
      </c>
      <c r="P61" s="3" t="s">
        <v>42</v>
      </c>
      <c r="Q61" s="3" t="s">
        <v>186</v>
      </c>
      <c r="R61" s="3" t="s">
        <v>44</v>
      </c>
      <c r="S61" s="3" t="s">
        <v>44</v>
      </c>
      <c r="T61" s="3" t="s">
        <v>45</v>
      </c>
      <c r="U61" s="5"/>
      <c r="V61" s="3" t="s">
        <v>110</v>
      </c>
      <c r="W61" s="3" t="s">
        <v>86</v>
      </c>
      <c r="X61" s="3" t="s">
        <v>48</v>
      </c>
      <c r="Y61" s="3" t="s">
        <v>187</v>
      </c>
      <c r="Z61" s="3" t="s">
        <v>187</v>
      </c>
      <c r="AA61" s="5">
        <v>5232.9</v>
      </c>
      <c r="AB61" s="3" t="s">
        <v>40</v>
      </c>
      <c r="AC61" s="3" t="s">
        <v>50</v>
      </c>
    </row>
    <row r="62" ht="12" customHeight="1" spans="1:29" x14ac:dyDescent="0.25">
      <c r="A62" s="3" t="s">
        <v>188</v>
      </c>
      <c r="B62" s="4" t="s">
        <v>30</v>
      </c>
      <c r="C62" s="3" t="s">
        <v>31</v>
      </c>
      <c r="D62" s="3" t="s">
        <v>32</v>
      </c>
      <c r="E62" s="3" t="s">
        <v>33</v>
      </c>
      <c r="F62" s="3" t="s">
        <v>34</v>
      </c>
      <c r="G62" s="3" t="s">
        <v>35</v>
      </c>
      <c r="H62" s="3" t="s">
        <v>35</v>
      </c>
      <c r="I62" s="3" t="s">
        <v>36</v>
      </c>
      <c r="J62" s="3" t="s">
        <v>36</v>
      </c>
      <c r="K62" s="3" t="s">
        <v>37</v>
      </c>
      <c r="L62" s="3" t="s">
        <v>108</v>
      </c>
      <c r="M62" s="3" t="s">
        <v>39</v>
      </c>
      <c r="N62" s="3" t="s">
        <v>40</v>
      </c>
      <c r="O62" s="3" t="s">
        <v>41</v>
      </c>
      <c r="P62" s="3" t="s">
        <v>42</v>
      </c>
      <c r="Q62" s="3" t="s">
        <v>189</v>
      </c>
      <c r="R62" s="3" t="s">
        <v>44</v>
      </c>
      <c r="S62" s="3" t="s">
        <v>44</v>
      </c>
      <c r="T62" s="3" t="s">
        <v>45</v>
      </c>
      <c r="U62" s="5"/>
      <c r="V62" s="3" t="s">
        <v>110</v>
      </c>
      <c r="W62" s="3" t="s">
        <v>190</v>
      </c>
      <c r="X62" s="3" t="s">
        <v>48</v>
      </c>
      <c r="Y62" s="3" t="s">
        <v>191</v>
      </c>
      <c r="Z62" s="3" t="s">
        <v>191</v>
      </c>
      <c r="AA62" s="5">
        <v>25227</v>
      </c>
      <c r="AB62" s="3" t="s">
        <v>40</v>
      </c>
      <c r="AC62" s="3" t="s">
        <v>50</v>
      </c>
    </row>
    <row r="63" ht="12" customHeight="1" spans="1:29" x14ac:dyDescent="0.25">
      <c r="A63" s="3" t="s">
        <v>192</v>
      </c>
      <c r="B63" s="4" t="s">
        <v>30</v>
      </c>
      <c r="C63" s="3" t="s">
        <v>31</v>
      </c>
      <c r="D63" s="3" t="s">
        <v>32</v>
      </c>
      <c r="E63" s="3" t="s">
        <v>33</v>
      </c>
      <c r="F63" s="3" t="s">
        <v>34</v>
      </c>
      <c r="G63" s="3" t="s">
        <v>35</v>
      </c>
      <c r="H63" s="3" t="s">
        <v>35</v>
      </c>
      <c r="I63" s="3" t="s">
        <v>36</v>
      </c>
      <c r="J63" s="3" t="s">
        <v>36</v>
      </c>
      <c r="K63" s="3" t="s">
        <v>37</v>
      </c>
      <c r="L63" s="3" t="s">
        <v>108</v>
      </c>
      <c r="M63" s="3" t="s">
        <v>39</v>
      </c>
      <c r="N63" s="3" t="s">
        <v>40</v>
      </c>
      <c r="O63" s="3" t="s">
        <v>41</v>
      </c>
      <c r="P63" s="3" t="s">
        <v>42</v>
      </c>
      <c r="Q63" s="3" t="s">
        <v>189</v>
      </c>
      <c r="R63" s="3" t="s">
        <v>44</v>
      </c>
      <c r="S63" s="3" t="s">
        <v>44</v>
      </c>
      <c r="T63" s="3" t="s">
        <v>45</v>
      </c>
      <c r="U63" s="5"/>
      <c r="V63" s="3" t="s">
        <v>110</v>
      </c>
      <c r="W63" s="3" t="s">
        <v>190</v>
      </c>
      <c r="X63" s="3" t="s">
        <v>48</v>
      </c>
      <c r="Y63" s="3" t="s">
        <v>191</v>
      </c>
      <c r="Z63" s="3" t="s">
        <v>191</v>
      </c>
      <c r="AA63" s="5">
        <v>24946</v>
      </c>
      <c r="AB63" s="3" t="s">
        <v>40</v>
      </c>
      <c r="AC63" s="3" t="s">
        <v>50</v>
      </c>
    </row>
    <row r="64" ht="12" customHeight="1" spans="1:29" x14ac:dyDescent="0.25">
      <c r="A64" s="3" t="s">
        <v>193</v>
      </c>
      <c r="B64" s="4" t="s">
        <v>30</v>
      </c>
      <c r="C64" s="3" t="s">
        <v>31</v>
      </c>
      <c r="D64" s="3" t="s">
        <v>32</v>
      </c>
      <c r="E64" s="3" t="s">
        <v>33</v>
      </c>
      <c r="F64" s="3" t="s">
        <v>34</v>
      </c>
      <c r="G64" s="3" t="s">
        <v>52</v>
      </c>
      <c r="H64" s="3" t="s">
        <v>35</v>
      </c>
      <c r="I64" s="3" t="s">
        <v>36</v>
      </c>
      <c r="J64" s="3" t="s">
        <v>36</v>
      </c>
      <c r="K64" s="3" t="s">
        <v>37</v>
      </c>
      <c r="L64" s="3" t="s">
        <v>108</v>
      </c>
      <c r="M64" s="3" t="s">
        <v>39</v>
      </c>
      <c r="N64" s="3" t="s">
        <v>40</v>
      </c>
      <c r="O64" s="3" t="s">
        <v>41</v>
      </c>
      <c r="P64" s="3" t="s">
        <v>42</v>
      </c>
      <c r="Q64" s="3" t="s">
        <v>194</v>
      </c>
      <c r="R64" s="3" t="s">
        <v>44</v>
      </c>
      <c r="S64" s="3" t="s">
        <v>44</v>
      </c>
      <c r="T64" s="3" t="s">
        <v>45</v>
      </c>
      <c r="U64" s="5"/>
      <c r="V64" s="3" t="s">
        <v>110</v>
      </c>
      <c r="W64" s="3" t="s">
        <v>195</v>
      </c>
      <c r="X64" s="3" t="s">
        <v>48</v>
      </c>
      <c r="Y64" s="3" t="s">
        <v>196</v>
      </c>
      <c r="Z64" s="3" t="s">
        <v>196</v>
      </c>
      <c r="AA64" s="5">
        <v>3347</v>
      </c>
      <c r="AB64" s="3" t="s">
        <v>40</v>
      </c>
      <c r="AC64" s="3" t="s">
        <v>50</v>
      </c>
    </row>
    <row r="65" ht="12" customHeight="1" spans="1:29" x14ac:dyDescent="0.25">
      <c r="A65" s="3" t="s">
        <v>197</v>
      </c>
      <c r="B65" s="4" t="s">
        <v>30</v>
      </c>
      <c r="C65" s="3" t="s">
        <v>31</v>
      </c>
      <c r="D65" s="3" t="s">
        <v>32</v>
      </c>
      <c r="E65" s="3" t="s">
        <v>33</v>
      </c>
      <c r="F65" s="3" t="s">
        <v>34</v>
      </c>
      <c r="G65" s="3" t="s">
        <v>52</v>
      </c>
      <c r="H65" s="3" t="s">
        <v>35</v>
      </c>
      <c r="I65" s="3" t="s">
        <v>36</v>
      </c>
      <c r="J65" s="3" t="s">
        <v>36</v>
      </c>
      <c r="K65" s="3" t="s">
        <v>37</v>
      </c>
      <c r="L65" s="3" t="s">
        <v>108</v>
      </c>
      <c r="M65" s="3" t="s">
        <v>39</v>
      </c>
      <c r="N65" s="3" t="s">
        <v>40</v>
      </c>
      <c r="O65" s="3" t="s">
        <v>41</v>
      </c>
      <c r="P65" s="3" t="s">
        <v>42</v>
      </c>
      <c r="Q65" s="3" t="s">
        <v>136</v>
      </c>
      <c r="R65" s="3" t="s">
        <v>44</v>
      </c>
      <c r="S65" s="3" t="s">
        <v>44</v>
      </c>
      <c r="T65" s="3" t="s">
        <v>45</v>
      </c>
      <c r="U65" s="5"/>
      <c r="V65" s="3" t="s">
        <v>110</v>
      </c>
      <c r="W65" s="3" t="s">
        <v>55</v>
      </c>
      <c r="X65" s="3" t="s">
        <v>48</v>
      </c>
      <c r="Y65" s="3" t="s">
        <v>56</v>
      </c>
      <c r="Z65" s="3" t="s">
        <v>56</v>
      </c>
      <c r="AA65" s="5">
        <v>15600</v>
      </c>
      <c r="AB65" s="3" t="s">
        <v>40</v>
      </c>
      <c r="AC65" s="3" t="s">
        <v>50</v>
      </c>
    </row>
    <row r="66" ht="12" customHeight="1" spans="1:29" x14ac:dyDescent="0.25">
      <c r="A66" s="3" t="s">
        <v>198</v>
      </c>
      <c r="B66" s="4" t="s">
        <v>30</v>
      </c>
      <c r="C66" s="3" t="s">
        <v>31</v>
      </c>
      <c r="D66" s="3" t="s">
        <v>32</v>
      </c>
      <c r="E66" s="3" t="s">
        <v>33</v>
      </c>
      <c r="F66" s="3" t="s">
        <v>34</v>
      </c>
      <c r="G66" s="3" t="s">
        <v>52</v>
      </c>
      <c r="H66" s="3" t="s">
        <v>35</v>
      </c>
      <c r="I66" s="3" t="s">
        <v>36</v>
      </c>
      <c r="J66" s="3" t="s">
        <v>36</v>
      </c>
      <c r="K66" s="3" t="s">
        <v>37</v>
      </c>
      <c r="L66" s="3" t="s">
        <v>108</v>
      </c>
      <c r="M66" s="3" t="s">
        <v>39</v>
      </c>
      <c r="N66" s="3" t="s">
        <v>40</v>
      </c>
      <c r="O66" s="3" t="s">
        <v>41</v>
      </c>
      <c r="P66" s="3" t="s">
        <v>42</v>
      </c>
      <c r="Q66" s="3" t="s">
        <v>136</v>
      </c>
      <c r="R66" s="3" t="s">
        <v>44</v>
      </c>
      <c r="S66" s="3" t="s">
        <v>44</v>
      </c>
      <c r="T66" s="3" t="s">
        <v>45</v>
      </c>
      <c r="U66" s="5"/>
      <c r="V66" s="3" t="s">
        <v>110</v>
      </c>
      <c r="W66" s="3" t="s">
        <v>55</v>
      </c>
      <c r="X66" s="3" t="s">
        <v>48</v>
      </c>
      <c r="Y66" s="3" t="s">
        <v>56</v>
      </c>
      <c r="Z66" s="3" t="s">
        <v>56</v>
      </c>
      <c r="AA66" s="5">
        <v>15600</v>
      </c>
      <c r="AB66" s="3" t="s">
        <v>40</v>
      </c>
      <c r="AC66" s="3" t="s">
        <v>50</v>
      </c>
    </row>
    <row r="67" ht="12" customHeight="1" spans="1:29" x14ac:dyDescent="0.25">
      <c r="A67" s="3" t="s">
        <v>199</v>
      </c>
      <c r="B67" s="4" t="s">
        <v>30</v>
      </c>
      <c r="C67" s="3" t="s">
        <v>31</v>
      </c>
      <c r="D67" s="3" t="s">
        <v>32</v>
      </c>
      <c r="E67" s="3" t="s">
        <v>33</v>
      </c>
      <c r="F67" s="3" t="s">
        <v>34</v>
      </c>
      <c r="G67" s="3" t="s">
        <v>52</v>
      </c>
      <c r="H67" s="3" t="s">
        <v>35</v>
      </c>
      <c r="I67" s="3" t="s">
        <v>36</v>
      </c>
      <c r="J67" s="3" t="s">
        <v>36</v>
      </c>
      <c r="K67" s="3" t="s">
        <v>37</v>
      </c>
      <c r="L67" s="3" t="s">
        <v>108</v>
      </c>
      <c r="M67" s="3" t="s">
        <v>39</v>
      </c>
      <c r="N67" s="3" t="s">
        <v>40</v>
      </c>
      <c r="O67" s="3" t="s">
        <v>41</v>
      </c>
      <c r="P67" s="3" t="s">
        <v>42</v>
      </c>
      <c r="Q67" s="3" t="s">
        <v>200</v>
      </c>
      <c r="R67" s="3" t="s">
        <v>44</v>
      </c>
      <c r="S67" s="3" t="s">
        <v>44</v>
      </c>
      <c r="T67" s="3" t="s">
        <v>45</v>
      </c>
      <c r="U67" s="5"/>
      <c r="V67" s="3" t="s">
        <v>110</v>
      </c>
      <c r="W67" s="3" t="s">
        <v>201</v>
      </c>
      <c r="X67" s="3" t="s">
        <v>48</v>
      </c>
      <c r="Y67" s="3" t="s">
        <v>202</v>
      </c>
      <c r="Z67" s="3" t="s">
        <v>202</v>
      </c>
      <c r="AA67" s="5">
        <v>4387</v>
      </c>
      <c r="AB67" s="3" t="s">
        <v>40</v>
      </c>
      <c r="AC67" s="3" t="s">
        <v>50</v>
      </c>
    </row>
    <row r="68" ht="12" customHeight="1" spans="1:29" x14ac:dyDescent="0.25">
      <c r="A68" s="3" t="s">
        <v>203</v>
      </c>
      <c r="B68" s="4" t="s">
        <v>30</v>
      </c>
      <c r="C68" s="3" t="s">
        <v>31</v>
      </c>
      <c r="D68" s="3" t="s">
        <v>32</v>
      </c>
      <c r="E68" s="3" t="s">
        <v>33</v>
      </c>
      <c r="F68" s="3" t="s">
        <v>34</v>
      </c>
      <c r="G68" s="3" t="s">
        <v>52</v>
      </c>
      <c r="H68" s="3" t="s">
        <v>35</v>
      </c>
      <c r="I68" s="3" t="s">
        <v>36</v>
      </c>
      <c r="J68" s="3" t="s">
        <v>36</v>
      </c>
      <c r="K68" s="3" t="s">
        <v>37</v>
      </c>
      <c r="L68" s="3" t="s">
        <v>108</v>
      </c>
      <c r="M68" s="3" t="s">
        <v>39</v>
      </c>
      <c r="N68" s="3" t="s">
        <v>40</v>
      </c>
      <c r="O68" s="3" t="s">
        <v>41</v>
      </c>
      <c r="P68" s="3" t="s">
        <v>42</v>
      </c>
      <c r="Q68" s="3" t="s">
        <v>204</v>
      </c>
      <c r="R68" s="3" t="s">
        <v>44</v>
      </c>
      <c r="S68" s="3" t="s">
        <v>44</v>
      </c>
      <c r="T68" s="3" t="s">
        <v>45</v>
      </c>
      <c r="U68" s="5"/>
      <c r="V68" s="3" t="s">
        <v>110</v>
      </c>
      <c r="W68" s="3" t="s">
        <v>205</v>
      </c>
      <c r="X68" s="3" t="s">
        <v>48</v>
      </c>
      <c r="Y68" s="3" t="s">
        <v>206</v>
      </c>
      <c r="Z68" s="3" t="s">
        <v>206</v>
      </c>
      <c r="AA68" s="5">
        <v>6273.21</v>
      </c>
      <c r="AB68" s="3" t="s">
        <v>40</v>
      </c>
      <c r="AC68" s="3" t="s">
        <v>50</v>
      </c>
    </row>
    <row r="69" ht="12" customHeight="1" spans="1:29" x14ac:dyDescent="0.25">
      <c r="A69" s="3" t="s">
        <v>207</v>
      </c>
      <c r="B69" s="4" t="s">
        <v>30</v>
      </c>
      <c r="C69" s="3" t="s">
        <v>31</v>
      </c>
      <c r="D69" s="3" t="s">
        <v>32</v>
      </c>
      <c r="E69" s="3" t="s">
        <v>33</v>
      </c>
      <c r="F69" s="3" t="s">
        <v>34</v>
      </c>
      <c r="G69" s="3" t="s">
        <v>35</v>
      </c>
      <c r="H69" s="3" t="s">
        <v>35</v>
      </c>
      <c r="I69" s="3" t="s">
        <v>36</v>
      </c>
      <c r="J69" s="3" t="s">
        <v>36</v>
      </c>
      <c r="K69" s="3" t="s">
        <v>37</v>
      </c>
      <c r="L69" s="3" t="s">
        <v>108</v>
      </c>
      <c r="M69" s="3" t="s">
        <v>39</v>
      </c>
      <c r="N69" s="3" t="s">
        <v>40</v>
      </c>
      <c r="O69" s="3" t="s">
        <v>41</v>
      </c>
      <c r="P69" s="3" t="s">
        <v>42</v>
      </c>
      <c r="Q69" s="3" t="s">
        <v>79</v>
      </c>
      <c r="R69" s="3" t="s">
        <v>44</v>
      </c>
      <c r="S69" s="3" t="s">
        <v>44</v>
      </c>
      <c r="T69" s="3" t="s">
        <v>45</v>
      </c>
      <c r="U69" s="5"/>
      <c r="V69" s="3" t="s">
        <v>110</v>
      </c>
      <c r="W69" s="3" t="s">
        <v>81</v>
      </c>
      <c r="X69" s="3" t="s">
        <v>48</v>
      </c>
      <c r="Y69" s="3" t="s">
        <v>83</v>
      </c>
      <c r="Z69" s="3" t="s">
        <v>83</v>
      </c>
      <c r="AA69" s="5">
        <v>25510</v>
      </c>
      <c r="AB69" s="3" t="s">
        <v>40</v>
      </c>
      <c r="AC69" s="3" t="s">
        <v>50</v>
      </c>
    </row>
    <row r="70" ht="12" customHeight="1" spans="1:29" x14ac:dyDescent="0.25">
      <c r="A70" s="3" t="s">
        <v>208</v>
      </c>
      <c r="B70" s="4" t="s">
        <v>30</v>
      </c>
      <c r="C70" s="3" t="s">
        <v>31</v>
      </c>
      <c r="D70" s="3" t="s">
        <v>32</v>
      </c>
      <c r="E70" s="3" t="s">
        <v>33</v>
      </c>
      <c r="F70" s="3" t="s">
        <v>34</v>
      </c>
      <c r="G70" s="3" t="s">
        <v>35</v>
      </c>
      <c r="H70" s="3" t="s">
        <v>35</v>
      </c>
      <c r="I70" s="3" t="s">
        <v>36</v>
      </c>
      <c r="J70" s="3" t="s">
        <v>36</v>
      </c>
      <c r="K70" s="3" t="s">
        <v>37</v>
      </c>
      <c r="L70" s="3" t="s">
        <v>108</v>
      </c>
      <c r="M70" s="3" t="s">
        <v>39</v>
      </c>
      <c r="N70" s="3" t="s">
        <v>40</v>
      </c>
      <c r="O70" s="3" t="s">
        <v>41</v>
      </c>
      <c r="P70" s="3" t="s">
        <v>42</v>
      </c>
      <c r="Q70" s="3" t="s">
        <v>79</v>
      </c>
      <c r="R70" s="3" t="s">
        <v>44</v>
      </c>
      <c r="S70" s="3" t="s">
        <v>44</v>
      </c>
      <c r="T70" s="3" t="s">
        <v>45</v>
      </c>
      <c r="U70" s="5"/>
      <c r="V70" s="3" t="s">
        <v>110</v>
      </c>
      <c r="W70" s="3" t="s">
        <v>81</v>
      </c>
      <c r="X70" s="3" t="s">
        <v>48</v>
      </c>
      <c r="Y70" s="3" t="s">
        <v>83</v>
      </c>
      <c r="Z70" s="3" t="s">
        <v>83</v>
      </c>
      <c r="AA70" s="5">
        <v>24340</v>
      </c>
      <c r="AB70" s="3" t="s">
        <v>40</v>
      </c>
      <c r="AC70" s="3" t="s">
        <v>50</v>
      </c>
    </row>
    <row r="71" ht="12" customHeight="1" spans="1:29" x14ac:dyDescent="0.25">
      <c r="A71" s="3" t="s">
        <v>209</v>
      </c>
      <c r="B71" s="4" t="s">
        <v>30</v>
      </c>
      <c r="C71" s="3" t="s">
        <v>31</v>
      </c>
      <c r="D71" s="3" t="s">
        <v>32</v>
      </c>
      <c r="E71" s="3" t="s">
        <v>33</v>
      </c>
      <c r="F71" s="3" t="s">
        <v>34</v>
      </c>
      <c r="G71" s="3" t="s">
        <v>35</v>
      </c>
      <c r="H71" s="3" t="s">
        <v>35</v>
      </c>
      <c r="I71" s="3" t="s">
        <v>36</v>
      </c>
      <c r="J71" s="3" t="s">
        <v>36</v>
      </c>
      <c r="K71" s="3" t="s">
        <v>37</v>
      </c>
      <c r="L71" s="3" t="s">
        <v>108</v>
      </c>
      <c r="M71" s="3" t="s">
        <v>39</v>
      </c>
      <c r="N71" s="3" t="s">
        <v>40</v>
      </c>
      <c r="O71" s="3" t="s">
        <v>41</v>
      </c>
      <c r="P71" s="3" t="s">
        <v>42</v>
      </c>
      <c r="Q71" s="3" t="s">
        <v>79</v>
      </c>
      <c r="R71" s="3" t="s">
        <v>44</v>
      </c>
      <c r="S71" s="3" t="s">
        <v>44</v>
      </c>
      <c r="T71" s="3" t="s">
        <v>45</v>
      </c>
      <c r="U71" s="5"/>
      <c r="V71" s="3" t="s">
        <v>110</v>
      </c>
      <c r="W71" s="3" t="s">
        <v>81</v>
      </c>
      <c r="X71" s="3" t="s">
        <v>48</v>
      </c>
      <c r="Y71" s="3" t="s">
        <v>83</v>
      </c>
      <c r="Z71" s="3" t="s">
        <v>83</v>
      </c>
      <c r="AA71" s="5">
        <v>25190</v>
      </c>
      <c r="AB71" s="3" t="s">
        <v>40</v>
      </c>
      <c r="AC71" s="3" t="s">
        <v>50</v>
      </c>
    </row>
    <row r="72" ht="12" customHeight="1" spans="1:29" x14ac:dyDescent="0.25">
      <c r="A72" s="3" t="s">
        <v>210</v>
      </c>
      <c r="B72" s="4" t="s">
        <v>30</v>
      </c>
      <c r="C72" s="3" t="s">
        <v>31</v>
      </c>
      <c r="D72" s="3" t="s">
        <v>32</v>
      </c>
      <c r="E72" s="3" t="s">
        <v>33</v>
      </c>
      <c r="F72" s="3" t="s">
        <v>34</v>
      </c>
      <c r="G72" s="3" t="s">
        <v>35</v>
      </c>
      <c r="H72" s="3" t="s">
        <v>35</v>
      </c>
      <c r="I72" s="3" t="s">
        <v>36</v>
      </c>
      <c r="J72" s="3" t="s">
        <v>36</v>
      </c>
      <c r="K72" s="3" t="s">
        <v>37</v>
      </c>
      <c r="L72" s="3" t="s">
        <v>108</v>
      </c>
      <c r="M72" s="3" t="s">
        <v>39</v>
      </c>
      <c r="N72" s="3" t="s">
        <v>40</v>
      </c>
      <c r="O72" s="3" t="s">
        <v>41</v>
      </c>
      <c r="P72" s="3" t="s">
        <v>42</v>
      </c>
      <c r="Q72" s="3" t="s">
        <v>79</v>
      </c>
      <c r="R72" s="3" t="s">
        <v>44</v>
      </c>
      <c r="S72" s="3" t="s">
        <v>44</v>
      </c>
      <c r="T72" s="3" t="s">
        <v>45</v>
      </c>
      <c r="U72" s="5"/>
      <c r="V72" s="3" t="s">
        <v>110</v>
      </c>
      <c r="W72" s="3" t="s">
        <v>81</v>
      </c>
      <c r="X72" s="3" t="s">
        <v>48</v>
      </c>
      <c r="Y72" s="3" t="s">
        <v>83</v>
      </c>
      <c r="Z72" s="3" t="s">
        <v>83</v>
      </c>
      <c r="AA72" s="5">
        <v>24610</v>
      </c>
      <c r="AB72" s="3" t="s">
        <v>40</v>
      </c>
      <c r="AC72" s="3" t="s">
        <v>50</v>
      </c>
    </row>
    <row r="73" ht="12" customHeight="1" spans="1:29" x14ac:dyDescent="0.25">
      <c r="A73" s="3" t="s">
        <v>211</v>
      </c>
      <c r="B73" s="4" t="s">
        <v>30</v>
      </c>
      <c r="C73" s="3" t="s">
        <v>31</v>
      </c>
      <c r="D73" s="3" t="s">
        <v>32</v>
      </c>
      <c r="E73" s="3" t="s">
        <v>33</v>
      </c>
      <c r="F73" s="3" t="s">
        <v>34</v>
      </c>
      <c r="G73" s="3" t="s">
        <v>35</v>
      </c>
      <c r="H73" s="3" t="s">
        <v>35</v>
      </c>
      <c r="I73" s="3" t="s">
        <v>36</v>
      </c>
      <c r="J73" s="3" t="s">
        <v>36</v>
      </c>
      <c r="K73" s="3" t="s">
        <v>37</v>
      </c>
      <c r="L73" s="3" t="s">
        <v>108</v>
      </c>
      <c r="M73" s="3" t="s">
        <v>39</v>
      </c>
      <c r="N73" s="3" t="s">
        <v>40</v>
      </c>
      <c r="O73" s="3" t="s">
        <v>41</v>
      </c>
      <c r="P73" s="3" t="s">
        <v>42</v>
      </c>
      <c r="Q73" s="3" t="s">
        <v>79</v>
      </c>
      <c r="R73" s="3" t="s">
        <v>44</v>
      </c>
      <c r="S73" s="3" t="s">
        <v>44</v>
      </c>
      <c r="T73" s="3" t="s">
        <v>45</v>
      </c>
      <c r="U73" s="5"/>
      <c r="V73" s="3" t="s">
        <v>110</v>
      </c>
      <c r="W73" s="3" t="s">
        <v>81</v>
      </c>
      <c r="X73" s="3" t="s">
        <v>48</v>
      </c>
      <c r="Y73" s="3" t="s">
        <v>83</v>
      </c>
      <c r="Z73" s="3" t="s">
        <v>83</v>
      </c>
      <c r="AA73" s="5">
        <v>25310</v>
      </c>
      <c r="AB73" s="3" t="s">
        <v>40</v>
      </c>
      <c r="AC73" s="3" t="s">
        <v>50</v>
      </c>
    </row>
    <row r="74" ht="12" customHeight="1" spans="1:29" x14ac:dyDescent="0.25">
      <c r="A74" s="3" t="s">
        <v>212</v>
      </c>
      <c r="B74" s="4" t="s">
        <v>30</v>
      </c>
      <c r="C74" s="3" t="s">
        <v>31</v>
      </c>
      <c r="D74" s="3" t="s">
        <v>32</v>
      </c>
      <c r="E74" s="3" t="s">
        <v>33</v>
      </c>
      <c r="F74" s="3" t="s">
        <v>34</v>
      </c>
      <c r="G74" s="3" t="s">
        <v>35</v>
      </c>
      <c r="H74" s="3" t="s">
        <v>35</v>
      </c>
      <c r="I74" s="3" t="s">
        <v>36</v>
      </c>
      <c r="J74" s="3" t="s">
        <v>36</v>
      </c>
      <c r="K74" s="3" t="s">
        <v>37</v>
      </c>
      <c r="L74" s="3" t="s">
        <v>108</v>
      </c>
      <c r="M74" s="3" t="s">
        <v>39</v>
      </c>
      <c r="N74" s="3" t="s">
        <v>40</v>
      </c>
      <c r="O74" s="3" t="s">
        <v>41</v>
      </c>
      <c r="P74" s="3" t="s">
        <v>42</v>
      </c>
      <c r="Q74" s="3" t="s">
        <v>79</v>
      </c>
      <c r="R74" s="3" t="s">
        <v>44</v>
      </c>
      <c r="S74" s="3" t="s">
        <v>44</v>
      </c>
      <c r="T74" s="3" t="s">
        <v>45</v>
      </c>
      <c r="U74" s="5"/>
      <c r="V74" s="3" t="s">
        <v>110</v>
      </c>
      <c r="W74" s="3" t="s">
        <v>81</v>
      </c>
      <c r="X74" s="3" t="s">
        <v>48</v>
      </c>
      <c r="Y74" s="3" t="s">
        <v>83</v>
      </c>
      <c r="Z74" s="3" t="s">
        <v>83</v>
      </c>
      <c r="AA74" s="5">
        <v>25030</v>
      </c>
      <c r="AB74" s="3" t="s">
        <v>40</v>
      </c>
      <c r="AC74" s="3" t="s">
        <v>50</v>
      </c>
    </row>
    <row r="75" ht="12" customHeight="1" spans="1:29" x14ac:dyDescent="0.25">
      <c r="A75" s="3" t="s">
        <v>213</v>
      </c>
      <c r="B75" s="4" t="s">
        <v>30</v>
      </c>
      <c r="C75" s="3" t="s">
        <v>31</v>
      </c>
      <c r="D75" s="3" t="s">
        <v>32</v>
      </c>
      <c r="E75" s="3" t="s">
        <v>33</v>
      </c>
      <c r="F75" s="3" t="s">
        <v>34</v>
      </c>
      <c r="G75" s="3" t="s">
        <v>35</v>
      </c>
      <c r="H75" s="3" t="s">
        <v>35</v>
      </c>
      <c r="I75" s="3" t="s">
        <v>36</v>
      </c>
      <c r="J75" s="3" t="s">
        <v>36</v>
      </c>
      <c r="K75" s="3" t="s">
        <v>37</v>
      </c>
      <c r="L75" s="3" t="s">
        <v>108</v>
      </c>
      <c r="M75" s="3" t="s">
        <v>39</v>
      </c>
      <c r="N75" s="3" t="s">
        <v>40</v>
      </c>
      <c r="O75" s="3" t="s">
        <v>41</v>
      </c>
      <c r="P75" s="3" t="s">
        <v>42</v>
      </c>
      <c r="Q75" s="3" t="s">
        <v>79</v>
      </c>
      <c r="R75" s="3" t="s">
        <v>44</v>
      </c>
      <c r="S75" s="3" t="s">
        <v>44</v>
      </c>
      <c r="T75" s="3" t="s">
        <v>45</v>
      </c>
      <c r="U75" s="5"/>
      <c r="V75" s="3" t="s">
        <v>110</v>
      </c>
      <c r="W75" s="3" t="s">
        <v>81</v>
      </c>
      <c r="X75" s="3" t="s">
        <v>118</v>
      </c>
      <c r="Y75" s="3" t="s">
        <v>83</v>
      </c>
      <c r="Z75" s="3" t="s">
        <v>83</v>
      </c>
      <c r="AA75" s="5">
        <v>25460</v>
      </c>
      <c r="AB75" s="3" t="s">
        <v>40</v>
      </c>
      <c r="AC75" s="3" t="s">
        <v>50</v>
      </c>
    </row>
    <row r="76" ht="12" customHeight="1" spans="1:29" x14ac:dyDescent="0.25">
      <c r="A76" s="3" t="s">
        <v>214</v>
      </c>
      <c r="B76" s="4" t="s">
        <v>30</v>
      </c>
      <c r="C76" s="3" t="s">
        <v>31</v>
      </c>
      <c r="D76" s="3" t="s">
        <v>32</v>
      </c>
      <c r="E76" s="3" t="s">
        <v>33</v>
      </c>
      <c r="F76" s="3" t="s">
        <v>34</v>
      </c>
      <c r="G76" s="3" t="s">
        <v>35</v>
      </c>
      <c r="H76" s="3" t="s">
        <v>35</v>
      </c>
      <c r="I76" s="3" t="s">
        <v>36</v>
      </c>
      <c r="J76" s="3" t="s">
        <v>36</v>
      </c>
      <c r="K76" s="3" t="s">
        <v>37</v>
      </c>
      <c r="L76" s="3" t="s">
        <v>108</v>
      </c>
      <c r="M76" s="3" t="s">
        <v>39</v>
      </c>
      <c r="N76" s="3" t="s">
        <v>40</v>
      </c>
      <c r="O76" s="3" t="s">
        <v>41</v>
      </c>
      <c r="P76" s="3" t="s">
        <v>42</v>
      </c>
      <c r="Q76" s="3" t="s">
        <v>79</v>
      </c>
      <c r="R76" s="3" t="s">
        <v>44</v>
      </c>
      <c r="S76" s="3" t="s">
        <v>44</v>
      </c>
      <c r="T76" s="3" t="s">
        <v>45</v>
      </c>
      <c r="U76" s="5"/>
      <c r="V76" s="3" t="s">
        <v>110</v>
      </c>
      <c r="W76" s="3" t="s">
        <v>81</v>
      </c>
      <c r="X76" s="3" t="s">
        <v>48</v>
      </c>
      <c r="Y76" s="3" t="s">
        <v>83</v>
      </c>
      <c r="Z76" s="3" t="s">
        <v>83</v>
      </c>
      <c r="AA76" s="5">
        <v>23980</v>
      </c>
      <c r="AB76" s="3" t="s">
        <v>40</v>
      </c>
      <c r="AC76" s="3" t="s">
        <v>50</v>
      </c>
    </row>
    <row r="77" ht="12" customHeight="1" spans="1:29" x14ac:dyDescent="0.25">
      <c r="A77" s="3" t="s">
        <v>215</v>
      </c>
      <c r="B77" s="4" t="s">
        <v>30</v>
      </c>
      <c r="C77" s="3" t="s">
        <v>31</v>
      </c>
      <c r="D77" s="3" t="s">
        <v>32</v>
      </c>
      <c r="E77" s="3" t="s">
        <v>33</v>
      </c>
      <c r="F77" s="3" t="s">
        <v>34</v>
      </c>
      <c r="G77" s="3" t="s">
        <v>35</v>
      </c>
      <c r="H77" s="3" t="s">
        <v>35</v>
      </c>
      <c r="I77" s="3" t="s">
        <v>36</v>
      </c>
      <c r="J77" s="3" t="s">
        <v>36</v>
      </c>
      <c r="K77" s="3" t="s">
        <v>37</v>
      </c>
      <c r="L77" s="3" t="s">
        <v>108</v>
      </c>
      <c r="M77" s="3" t="s">
        <v>39</v>
      </c>
      <c r="N77" s="3" t="s">
        <v>40</v>
      </c>
      <c r="O77" s="3" t="s">
        <v>41</v>
      </c>
      <c r="P77" s="3" t="s">
        <v>42</v>
      </c>
      <c r="Q77" s="3" t="s">
        <v>79</v>
      </c>
      <c r="R77" s="3" t="s">
        <v>44</v>
      </c>
      <c r="S77" s="3" t="s">
        <v>44</v>
      </c>
      <c r="T77" s="3" t="s">
        <v>45</v>
      </c>
      <c r="U77" s="5"/>
      <c r="V77" s="3" t="s">
        <v>110</v>
      </c>
      <c r="W77" s="3" t="s">
        <v>81</v>
      </c>
      <c r="X77" s="3" t="s">
        <v>75</v>
      </c>
      <c r="Y77" s="3" t="s">
        <v>83</v>
      </c>
      <c r="Z77" s="3" t="s">
        <v>83</v>
      </c>
      <c r="AA77" s="5">
        <v>24010</v>
      </c>
      <c r="AB77" s="3" t="s">
        <v>40</v>
      </c>
      <c r="AC77" s="3" t="s">
        <v>50</v>
      </c>
    </row>
    <row r="78" ht="12" customHeight="1" spans="1:29" x14ac:dyDescent="0.25">
      <c r="A78" s="3" t="s">
        <v>216</v>
      </c>
      <c r="B78" s="4" t="s">
        <v>30</v>
      </c>
      <c r="C78" s="3" t="s">
        <v>31</v>
      </c>
      <c r="D78" s="3" t="s">
        <v>32</v>
      </c>
      <c r="E78" s="3" t="s">
        <v>33</v>
      </c>
      <c r="F78" s="3" t="s">
        <v>34</v>
      </c>
      <c r="G78" s="3" t="s">
        <v>35</v>
      </c>
      <c r="H78" s="3" t="s">
        <v>35</v>
      </c>
      <c r="I78" s="3" t="s">
        <v>36</v>
      </c>
      <c r="J78" s="3" t="s">
        <v>36</v>
      </c>
      <c r="K78" s="3" t="s">
        <v>37</v>
      </c>
      <c r="L78" s="3" t="s">
        <v>108</v>
      </c>
      <c r="M78" s="3" t="s">
        <v>39</v>
      </c>
      <c r="N78" s="3" t="s">
        <v>40</v>
      </c>
      <c r="O78" s="3" t="s">
        <v>41</v>
      </c>
      <c r="P78" s="3" t="s">
        <v>42</v>
      </c>
      <c r="Q78" s="3" t="s">
        <v>79</v>
      </c>
      <c r="R78" s="3" t="s">
        <v>44</v>
      </c>
      <c r="S78" s="3" t="s">
        <v>44</v>
      </c>
      <c r="T78" s="3" t="s">
        <v>45</v>
      </c>
      <c r="U78" s="5"/>
      <c r="V78" s="3" t="s">
        <v>110</v>
      </c>
      <c r="W78" s="3" t="s">
        <v>81</v>
      </c>
      <c r="X78" s="3" t="s">
        <v>48</v>
      </c>
      <c r="Y78" s="3" t="s">
        <v>83</v>
      </c>
      <c r="Z78" s="3" t="s">
        <v>83</v>
      </c>
      <c r="AA78" s="5">
        <v>25480</v>
      </c>
      <c r="AB78" s="3" t="s">
        <v>40</v>
      </c>
      <c r="AC78" s="3" t="s">
        <v>50</v>
      </c>
    </row>
    <row r="79" ht="12" customHeight="1" spans="1:29" x14ac:dyDescent="0.25">
      <c r="A79" s="3" t="s">
        <v>217</v>
      </c>
      <c r="B79" s="4" t="s">
        <v>30</v>
      </c>
      <c r="C79" s="3" t="s">
        <v>31</v>
      </c>
      <c r="D79" s="3" t="s">
        <v>32</v>
      </c>
      <c r="E79" s="3" t="s">
        <v>33</v>
      </c>
      <c r="F79" s="3" t="s">
        <v>34</v>
      </c>
      <c r="G79" s="3" t="s">
        <v>35</v>
      </c>
      <c r="H79" s="3" t="s">
        <v>35</v>
      </c>
      <c r="I79" s="3" t="s">
        <v>36</v>
      </c>
      <c r="J79" s="3" t="s">
        <v>36</v>
      </c>
      <c r="K79" s="3" t="s">
        <v>37</v>
      </c>
      <c r="L79" s="3" t="s">
        <v>108</v>
      </c>
      <c r="M79" s="3" t="s">
        <v>39</v>
      </c>
      <c r="N79" s="3" t="s">
        <v>40</v>
      </c>
      <c r="O79" s="3" t="s">
        <v>41</v>
      </c>
      <c r="P79" s="3" t="s">
        <v>42</v>
      </c>
      <c r="Q79" s="3" t="s">
        <v>218</v>
      </c>
      <c r="R79" s="3" t="s">
        <v>44</v>
      </c>
      <c r="S79" s="3" t="s">
        <v>44</v>
      </c>
      <c r="T79" s="3" t="s">
        <v>45</v>
      </c>
      <c r="U79" s="5"/>
      <c r="V79" s="3" t="s">
        <v>110</v>
      </c>
      <c r="W79" s="3" t="s">
        <v>219</v>
      </c>
      <c r="X79" s="3" t="s">
        <v>118</v>
      </c>
      <c r="Y79" s="3" t="s">
        <v>220</v>
      </c>
      <c r="Z79" s="3" t="s">
        <v>220</v>
      </c>
      <c r="AA79" s="5">
        <v>20400</v>
      </c>
      <c r="AB79" s="3" t="s">
        <v>40</v>
      </c>
      <c r="AC79" s="3" t="s">
        <v>50</v>
      </c>
    </row>
    <row r="80" ht="12" customHeight="1" spans="1:29" x14ac:dyDescent="0.25">
      <c r="A80" s="3" t="s">
        <v>221</v>
      </c>
      <c r="B80" s="4" t="s">
        <v>30</v>
      </c>
      <c r="C80" s="3" t="s">
        <v>31</v>
      </c>
      <c r="D80" s="3" t="s">
        <v>32</v>
      </c>
      <c r="E80" s="3" t="s">
        <v>33</v>
      </c>
      <c r="F80" s="3" t="s">
        <v>34</v>
      </c>
      <c r="G80" s="3" t="s">
        <v>35</v>
      </c>
      <c r="H80" s="3" t="s">
        <v>35</v>
      </c>
      <c r="I80" s="3" t="s">
        <v>36</v>
      </c>
      <c r="J80" s="3" t="s">
        <v>36</v>
      </c>
      <c r="K80" s="3" t="s">
        <v>37</v>
      </c>
      <c r="L80" s="3" t="s">
        <v>108</v>
      </c>
      <c r="M80" s="3" t="s">
        <v>39</v>
      </c>
      <c r="N80" s="3" t="s">
        <v>40</v>
      </c>
      <c r="O80" s="3" t="s">
        <v>41</v>
      </c>
      <c r="P80" s="3" t="s">
        <v>42</v>
      </c>
      <c r="Q80" s="3" t="s">
        <v>218</v>
      </c>
      <c r="R80" s="3" t="s">
        <v>44</v>
      </c>
      <c r="S80" s="3" t="s">
        <v>44</v>
      </c>
      <c r="T80" s="3" t="s">
        <v>45</v>
      </c>
      <c r="U80" s="5"/>
      <c r="V80" s="3" t="s">
        <v>110</v>
      </c>
      <c r="W80" s="3" t="s">
        <v>219</v>
      </c>
      <c r="X80" s="3" t="s">
        <v>48</v>
      </c>
      <c r="Y80" s="3" t="s">
        <v>220</v>
      </c>
      <c r="Z80" s="3" t="s">
        <v>220</v>
      </c>
      <c r="AA80" s="5">
        <v>20400</v>
      </c>
      <c r="AB80" s="3" t="s">
        <v>40</v>
      </c>
      <c r="AC80" s="3" t="s">
        <v>50</v>
      </c>
    </row>
    <row r="81" ht="12" customHeight="1" spans="1:29" x14ac:dyDescent="0.25">
      <c r="A81" s="3" t="s">
        <v>222</v>
      </c>
      <c r="B81" s="4" t="s">
        <v>30</v>
      </c>
      <c r="C81" s="3" t="s">
        <v>31</v>
      </c>
      <c r="D81" s="3" t="s">
        <v>32</v>
      </c>
      <c r="E81" s="3" t="s">
        <v>33</v>
      </c>
      <c r="F81" s="3" t="s">
        <v>34</v>
      </c>
      <c r="G81" s="3" t="s">
        <v>35</v>
      </c>
      <c r="H81" s="3" t="s">
        <v>35</v>
      </c>
      <c r="I81" s="3" t="s">
        <v>36</v>
      </c>
      <c r="J81" s="3" t="s">
        <v>36</v>
      </c>
      <c r="K81" s="3" t="s">
        <v>37</v>
      </c>
      <c r="L81" s="3" t="s">
        <v>108</v>
      </c>
      <c r="M81" s="3" t="s">
        <v>39</v>
      </c>
      <c r="N81" s="3" t="s">
        <v>40</v>
      </c>
      <c r="O81" s="3" t="s">
        <v>41</v>
      </c>
      <c r="P81" s="3" t="s">
        <v>42</v>
      </c>
      <c r="Q81" s="3" t="s">
        <v>218</v>
      </c>
      <c r="R81" s="3" t="s">
        <v>44</v>
      </c>
      <c r="S81" s="3" t="s">
        <v>44</v>
      </c>
      <c r="T81" s="3" t="s">
        <v>45</v>
      </c>
      <c r="U81" s="5"/>
      <c r="V81" s="3" t="s">
        <v>110</v>
      </c>
      <c r="W81" s="3" t="s">
        <v>219</v>
      </c>
      <c r="X81" s="3" t="s">
        <v>118</v>
      </c>
      <c r="Y81" s="3" t="s">
        <v>220</v>
      </c>
      <c r="Z81" s="3" t="s">
        <v>220</v>
      </c>
      <c r="AA81" s="5">
        <v>20400</v>
      </c>
      <c r="AB81" s="3" t="s">
        <v>40</v>
      </c>
      <c r="AC81" s="3" t="s">
        <v>50</v>
      </c>
    </row>
    <row r="82" ht="12" customHeight="1" spans="1:29" x14ac:dyDescent="0.25">
      <c r="A82" s="3" t="s">
        <v>223</v>
      </c>
      <c r="B82" s="4" t="s">
        <v>30</v>
      </c>
      <c r="C82" s="3" t="s">
        <v>31</v>
      </c>
      <c r="D82" s="3" t="s">
        <v>32</v>
      </c>
      <c r="E82" s="3" t="s">
        <v>33</v>
      </c>
      <c r="F82" s="3" t="s">
        <v>34</v>
      </c>
      <c r="G82" s="3" t="s">
        <v>35</v>
      </c>
      <c r="H82" s="3" t="s">
        <v>35</v>
      </c>
      <c r="I82" s="3" t="s">
        <v>36</v>
      </c>
      <c r="J82" s="3" t="s">
        <v>36</v>
      </c>
      <c r="K82" s="3" t="s">
        <v>37</v>
      </c>
      <c r="L82" s="3" t="s">
        <v>108</v>
      </c>
      <c r="M82" s="3" t="s">
        <v>39</v>
      </c>
      <c r="N82" s="3" t="s">
        <v>40</v>
      </c>
      <c r="O82" s="3" t="s">
        <v>41</v>
      </c>
      <c r="P82" s="3" t="s">
        <v>42</v>
      </c>
      <c r="Q82" s="3" t="s">
        <v>218</v>
      </c>
      <c r="R82" s="3" t="s">
        <v>44</v>
      </c>
      <c r="S82" s="3" t="s">
        <v>44</v>
      </c>
      <c r="T82" s="3" t="s">
        <v>45</v>
      </c>
      <c r="U82" s="5"/>
      <c r="V82" s="3" t="s">
        <v>110</v>
      </c>
      <c r="W82" s="3" t="s">
        <v>219</v>
      </c>
      <c r="X82" s="3" t="s">
        <v>48</v>
      </c>
      <c r="Y82" s="3" t="s">
        <v>220</v>
      </c>
      <c r="Z82" s="3" t="s">
        <v>220</v>
      </c>
      <c r="AA82" s="5">
        <v>20400</v>
      </c>
      <c r="AB82" s="3" t="s">
        <v>40</v>
      </c>
      <c r="AC82" s="3" t="s">
        <v>50</v>
      </c>
    </row>
    <row r="83" ht="12" customHeight="1" spans="1:29" x14ac:dyDescent="0.25">
      <c r="A83" s="3" t="s">
        <v>224</v>
      </c>
      <c r="B83" s="4" t="s">
        <v>30</v>
      </c>
      <c r="C83" s="3" t="s">
        <v>31</v>
      </c>
      <c r="D83" s="3" t="s">
        <v>32</v>
      </c>
      <c r="E83" s="3" t="s">
        <v>33</v>
      </c>
      <c r="F83" s="3" t="s">
        <v>34</v>
      </c>
      <c r="G83" s="3" t="s">
        <v>52</v>
      </c>
      <c r="H83" s="3" t="s">
        <v>35</v>
      </c>
      <c r="I83" s="3" t="s">
        <v>36</v>
      </c>
      <c r="J83" s="3" t="s">
        <v>36</v>
      </c>
      <c r="K83" s="3" t="s">
        <v>37</v>
      </c>
      <c r="L83" s="3" t="s">
        <v>108</v>
      </c>
      <c r="M83" s="3" t="s">
        <v>39</v>
      </c>
      <c r="N83" s="3" t="s">
        <v>40</v>
      </c>
      <c r="O83" s="3" t="s">
        <v>41</v>
      </c>
      <c r="P83" s="3" t="s">
        <v>42</v>
      </c>
      <c r="Q83" s="3" t="s">
        <v>53</v>
      </c>
      <c r="R83" s="3" t="s">
        <v>44</v>
      </c>
      <c r="S83" s="3" t="s">
        <v>44</v>
      </c>
      <c r="T83" s="3" t="s">
        <v>45</v>
      </c>
      <c r="U83" s="5"/>
      <c r="V83" s="3" t="s">
        <v>110</v>
      </c>
      <c r="W83" s="3" t="s">
        <v>55</v>
      </c>
      <c r="X83" s="3" t="s">
        <v>48</v>
      </c>
      <c r="Y83" s="3" t="s">
        <v>56</v>
      </c>
      <c r="Z83" s="3" t="s">
        <v>56</v>
      </c>
      <c r="AA83" s="5">
        <v>14851.2</v>
      </c>
      <c r="AB83" s="3" t="s">
        <v>40</v>
      </c>
      <c r="AC83" s="3" t="s">
        <v>50</v>
      </c>
    </row>
    <row r="84" ht="12" customHeight="1" spans="1:29" x14ac:dyDescent="0.25">
      <c r="A84" s="3" t="s">
        <v>225</v>
      </c>
      <c r="B84" s="4" t="s">
        <v>30</v>
      </c>
      <c r="C84" s="3" t="s">
        <v>31</v>
      </c>
      <c r="D84" s="3" t="s">
        <v>32</v>
      </c>
      <c r="E84" s="3" t="s">
        <v>33</v>
      </c>
      <c r="F84" s="3" t="s">
        <v>34</v>
      </c>
      <c r="G84" s="3" t="s">
        <v>52</v>
      </c>
      <c r="H84" s="3" t="s">
        <v>35</v>
      </c>
      <c r="I84" s="3" t="s">
        <v>36</v>
      </c>
      <c r="J84" s="3" t="s">
        <v>36</v>
      </c>
      <c r="K84" s="3" t="s">
        <v>37</v>
      </c>
      <c r="L84" s="3" t="s">
        <v>108</v>
      </c>
      <c r="M84" s="3" t="s">
        <v>39</v>
      </c>
      <c r="N84" s="3" t="s">
        <v>40</v>
      </c>
      <c r="O84" s="3" t="s">
        <v>41</v>
      </c>
      <c r="P84" s="3" t="s">
        <v>42</v>
      </c>
      <c r="Q84" s="3" t="s">
        <v>53</v>
      </c>
      <c r="R84" s="3" t="s">
        <v>44</v>
      </c>
      <c r="S84" s="3" t="s">
        <v>44</v>
      </c>
      <c r="T84" s="3" t="s">
        <v>45</v>
      </c>
      <c r="U84" s="5"/>
      <c r="V84" s="3" t="s">
        <v>110</v>
      </c>
      <c r="W84" s="3" t="s">
        <v>55</v>
      </c>
      <c r="X84" s="3" t="s">
        <v>48</v>
      </c>
      <c r="Y84" s="3" t="s">
        <v>56</v>
      </c>
      <c r="Z84" s="3" t="s">
        <v>56</v>
      </c>
      <c r="AA84" s="5">
        <v>14851.2</v>
      </c>
      <c r="AB84" s="3" t="s">
        <v>40</v>
      </c>
      <c r="AC84" s="3" t="s">
        <v>50</v>
      </c>
    </row>
    <row r="85" ht="12" customHeight="1" spans="1:29" x14ac:dyDescent="0.25">
      <c r="A85" s="3" t="s">
        <v>226</v>
      </c>
      <c r="B85" s="4" t="s">
        <v>30</v>
      </c>
      <c r="C85" s="3" t="s">
        <v>31</v>
      </c>
      <c r="D85" s="3" t="s">
        <v>32</v>
      </c>
      <c r="E85" s="3" t="s">
        <v>33</v>
      </c>
      <c r="F85" s="3" t="s">
        <v>34</v>
      </c>
      <c r="G85" s="3" t="s">
        <v>52</v>
      </c>
      <c r="H85" s="3" t="s">
        <v>35</v>
      </c>
      <c r="I85" s="3" t="s">
        <v>36</v>
      </c>
      <c r="J85" s="3" t="s">
        <v>36</v>
      </c>
      <c r="K85" s="3" t="s">
        <v>37</v>
      </c>
      <c r="L85" s="3" t="s">
        <v>108</v>
      </c>
      <c r="M85" s="3" t="s">
        <v>39</v>
      </c>
      <c r="N85" s="3" t="s">
        <v>40</v>
      </c>
      <c r="O85" s="3" t="s">
        <v>41</v>
      </c>
      <c r="P85" s="3" t="s">
        <v>42</v>
      </c>
      <c r="Q85" s="3" t="s">
        <v>53</v>
      </c>
      <c r="R85" s="3" t="s">
        <v>44</v>
      </c>
      <c r="S85" s="3" t="s">
        <v>44</v>
      </c>
      <c r="T85" s="3" t="s">
        <v>45</v>
      </c>
      <c r="U85" s="5"/>
      <c r="V85" s="3" t="s">
        <v>110</v>
      </c>
      <c r="W85" s="3" t="s">
        <v>55</v>
      </c>
      <c r="X85" s="3" t="s">
        <v>48</v>
      </c>
      <c r="Y85" s="3" t="s">
        <v>56</v>
      </c>
      <c r="Z85" s="3" t="s">
        <v>56</v>
      </c>
      <c r="AA85" s="5">
        <v>14851.2</v>
      </c>
      <c r="AB85" s="3" t="s">
        <v>40</v>
      </c>
      <c r="AC85" s="3" t="s">
        <v>50</v>
      </c>
    </row>
    <row r="86" ht="12" customHeight="1" spans="1:29" x14ac:dyDescent="0.25">
      <c r="A86" s="3" t="s">
        <v>227</v>
      </c>
      <c r="B86" s="4" t="s">
        <v>30</v>
      </c>
      <c r="C86" s="3" t="s">
        <v>31</v>
      </c>
      <c r="D86" s="3" t="s">
        <v>32</v>
      </c>
      <c r="E86" s="3" t="s">
        <v>33</v>
      </c>
      <c r="F86" s="3" t="s">
        <v>34</v>
      </c>
      <c r="G86" s="3" t="s">
        <v>52</v>
      </c>
      <c r="H86" s="3" t="s">
        <v>35</v>
      </c>
      <c r="I86" s="3" t="s">
        <v>36</v>
      </c>
      <c r="J86" s="3" t="s">
        <v>36</v>
      </c>
      <c r="K86" s="3" t="s">
        <v>37</v>
      </c>
      <c r="L86" s="3" t="s">
        <v>108</v>
      </c>
      <c r="M86" s="3" t="s">
        <v>39</v>
      </c>
      <c r="N86" s="3" t="s">
        <v>40</v>
      </c>
      <c r="O86" s="3" t="s">
        <v>41</v>
      </c>
      <c r="P86" s="3" t="s">
        <v>42</v>
      </c>
      <c r="Q86" s="3" t="s">
        <v>53</v>
      </c>
      <c r="R86" s="3" t="s">
        <v>44</v>
      </c>
      <c r="S86" s="3" t="s">
        <v>44</v>
      </c>
      <c r="T86" s="3" t="s">
        <v>45</v>
      </c>
      <c r="U86" s="5"/>
      <c r="V86" s="3" t="s">
        <v>110</v>
      </c>
      <c r="W86" s="3" t="s">
        <v>55</v>
      </c>
      <c r="X86" s="3" t="s">
        <v>48</v>
      </c>
      <c r="Y86" s="3" t="s">
        <v>56</v>
      </c>
      <c r="Z86" s="3" t="s">
        <v>56</v>
      </c>
      <c r="AA86" s="5">
        <v>14851.2</v>
      </c>
      <c r="AB86" s="3" t="s">
        <v>40</v>
      </c>
      <c r="AC86" s="3" t="s">
        <v>50</v>
      </c>
    </row>
    <row r="87" ht="12" customHeight="1" spans="1:29" x14ac:dyDescent="0.25">
      <c r="A87" s="3" t="s">
        <v>228</v>
      </c>
      <c r="B87" s="4" t="s">
        <v>30</v>
      </c>
      <c r="C87" s="3" t="s">
        <v>31</v>
      </c>
      <c r="D87" s="3" t="s">
        <v>32</v>
      </c>
      <c r="E87" s="3" t="s">
        <v>33</v>
      </c>
      <c r="F87" s="3" t="s">
        <v>34</v>
      </c>
      <c r="G87" s="3" t="s">
        <v>52</v>
      </c>
      <c r="H87" s="3" t="s">
        <v>35</v>
      </c>
      <c r="I87" s="3" t="s">
        <v>36</v>
      </c>
      <c r="J87" s="3" t="s">
        <v>36</v>
      </c>
      <c r="K87" s="3" t="s">
        <v>37</v>
      </c>
      <c r="L87" s="3" t="s">
        <v>108</v>
      </c>
      <c r="M87" s="3" t="s">
        <v>39</v>
      </c>
      <c r="N87" s="3" t="s">
        <v>40</v>
      </c>
      <c r="O87" s="3" t="s">
        <v>41</v>
      </c>
      <c r="P87" s="3" t="s">
        <v>42</v>
      </c>
      <c r="Q87" s="3" t="s">
        <v>53</v>
      </c>
      <c r="R87" s="3" t="s">
        <v>44</v>
      </c>
      <c r="S87" s="3" t="s">
        <v>44</v>
      </c>
      <c r="T87" s="3" t="s">
        <v>45</v>
      </c>
      <c r="U87" s="5"/>
      <c r="V87" s="3" t="s">
        <v>110</v>
      </c>
      <c r="W87" s="3" t="s">
        <v>55</v>
      </c>
      <c r="X87" s="3" t="s">
        <v>48</v>
      </c>
      <c r="Y87" s="3" t="s">
        <v>56</v>
      </c>
      <c r="Z87" s="3" t="s">
        <v>56</v>
      </c>
      <c r="AA87" s="5">
        <v>14589.12</v>
      </c>
      <c r="AB87" s="3" t="s">
        <v>40</v>
      </c>
      <c r="AC87" s="3" t="s">
        <v>50</v>
      </c>
    </row>
    <row r="88" ht="12" customHeight="1" spans="1:29" x14ac:dyDescent="0.25">
      <c r="A88" s="3" t="s">
        <v>229</v>
      </c>
      <c r="B88" s="4" t="s">
        <v>30</v>
      </c>
      <c r="C88" s="3" t="s">
        <v>31</v>
      </c>
      <c r="D88" s="3" t="s">
        <v>32</v>
      </c>
      <c r="E88" s="3" t="s">
        <v>33</v>
      </c>
      <c r="F88" s="3" t="s">
        <v>34</v>
      </c>
      <c r="G88" s="3" t="s">
        <v>52</v>
      </c>
      <c r="H88" s="3" t="s">
        <v>35</v>
      </c>
      <c r="I88" s="3" t="s">
        <v>36</v>
      </c>
      <c r="J88" s="3" t="s">
        <v>36</v>
      </c>
      <c r="K88" s="3" t="s">
        <v>37</v>
      </c>
      <c r="L88" s="3" t="s">
        <v>108</v>
      </c>
      <c r="M88" s="3" t="s">
        <v>39</v>
      </c>
      <c r="N88" s="3" t="s">
        <v>40</v>
      </c>
      <c r="O88" s="3" t="s">
        <v>41</v>
      </c>
      <c r="P88" s="3" t="s">
        <v>42</v>
      </c>
      <c r="Q88" s="3" t="s">
        <v>53</v>
      </c>
      <c r="R88" s="3" t="s">
        <v>44</v>
      </c>
      <c r="S88" s="3" t="s">
        <v>44</v>
      </c>
      <c r="T88" s="3" t="s">
        <v>45</v>
      </c>
      <c r="U88" s="5"/>
      <c r="V88" s="3" t="s">
        <v>110</v>
      </c>
      <c r="W88" s="3" t="s">
        <v>55</v>
      </c>
      <c r="X88" s="3" t="s">
        <v>48</v>
      </c>
      <c r="Y88" s="3" t="s">
        <v>56</v>
      </c>
      <c r="Z88" s="3" t="s">
        <v>56</v>
      </c>
      <c r="AA88" s="5">
        <v>14851.2</v>
      </c>
      <c r="AB88" s="3" t="s">
        <v>40</v>
      </c>
      <c r="AC88" s="3" t="s">
        <v>50</v>
      </c>
    </row>
    <row r="89" ht="12" customHeight="1" spans="1:29" x14ac:dyDescent="0.25">
      <c r="A89" s="3" t="s">
        <v>230</v>
      </c>
      <c r="B89" s="4" t="s">
        <v>30</v>
      </c>
      <c r="C89" s="3" t="s">
        <v>31</v>
      </c>
      <c r="D89" s="3" t="s">
        <v>32</v>
      </c>
      <c r="E89" s="3" t="s">
        <v>33</v>
      </c>
      <c r="F89" s="3" t="s">
        <v>34</v>
      </c>
      <c r="G89" s="3" t="s">
        <v>52</v>
      </c>
      <c r="H89" s="3" t="s">
        <v>35</v>
      </c>
      <c r="I89" s="3" t="s">
        <v>36</v>
      </c>
      <c r="J89" s="3" t="s">
        <v>36</v>
      </c>
      <c r="K89" s="3" t="s">
        <v>37</v>
      </c>
      <c r="L89" s="3" t="s">
        <v>108</v>
      </c>
      <c r="M89" s="3" t="s">
        <v>39</v>
      </c>
      <c r="N89" s="3" t="s">
        <v>40</v>
      </c>
      <c r="O89" s="3" t="s">
        <v>41</v>
      </c>
      <c r="P89" s="3" t="s">
        <v>42</v>
      </c>
      <c r="Q89" s="3" t="s">
        <v>53</v>
      </c>
      <c r="R89" s="3" t="s">
        <v>44</v>
      </c>
      <c r="S89" s="3" t="s">
        <v>44</v>
      </c>
      <c r="T89" s="3" t="s">
        <v>45</v>
      </c>
      <c r="U89" s="5"/>
      <c r="V89" s="3" t="s">
        <v>110</v>
      </c>
      <c r="W89" s="3" t="s">
        <v>55</v>
      </c>
      <c r="X89" s="3" t="s">
        <v>48</v>
      </c>
      <c r="Y89" s="3" t="s">
        <v>56</v>
      </c>
      <c r="Z89" s="3" t="s">
        <v>56</v>
      </c>
      <c r="AA89" s="5">
        <v>14851.2</v>
      </c>
      <c r="AB89" s="3" t="s">
        <v>40</v>
      </c>
      <c r="AC89" s="3" t="s">
        <v>50</v>
      </c>
    </row>
    <row r="90" ht="12" customHeight="1" spans="1:29" x14ac:dyDescent="0.25">
      <c r="A90" s="3" t="s">
        <v>231</v>
      </c>
      <c r="B90" s="4" t="s">
        <v>30</v>
      </c>
      <c r="C90" s="3" t="s">
        <v>31</v>
      </c>
      <c r="D90" s="3" t="s">
        <v>32</v>
      </c>
      <c r="E90" s="3" t="s">
        <v>33</v>
      </c>
      <c r="F90" s="3" t="s">
        <v>34</v>
      </c>
      <c r="G90" s="3" t="s">
        <v>52</v>
      </c>
      <c r="H90" s="3" t="s">
        <v>35</v>
      </c>
      <c r="I90" s="3" t="s">
        <v>36</v>
      </c>
      <c r="J90" s="3" t="s">
        <v>36</v>
      </c>
      <c r="K90" s="3" t="s">
        <v>37</v>
      </c>
      <c r="L90" s="3" t="s">
        <v>108</v>
      </c>
      <c r="M90" s="3" t="s">
        <v>39</v>
      </c>
      <c r="N90" s="3" t="s">
        <v>40</v>
      </c>
      <c r="O90" s="3" t="s">
        <v>41</v>
      </c>
      <c r="P90" s="3" t="s">
        <v>42</v>
      </c>
      <c r="Q90" s="3" t="s">
        <v>232</v>
      </c>
      <c r="R90" s="3" t="s">
        <v>44</v>
      </c>
      <c r="S90" s="3" t="s">
        <v>44</v>
      </c>
      <c r="T90" s="3" t="s">
        <v>45</v>
      </c>
      <c r="U90" s="5"/>
      <c r="V90" s="3" t="s">
        <v>110</v>
      </c>
      <c r="W90" s="3" t="s">
        <v>233</v>
      </c>
      <c r="X90" s="3" t="s">
        <v>48</v>
      </c>
      <c r="Y90" s="3" t="s">
        <v>234</v>
      </c>
      <c r="Z90" s="3" t="s">
        <v>235</v>
      </c>
      <c r="AA90" s="5">
        <v>3078.77</v>
      </c>
      <c r="AB90" s="3" t="s">
        <v>40</v>
      </c>
      <c r="AC90" s="3" t="s">
        <v>50</v>
      </c>
    </row>
    <row r="91" ht="12" customHeight="1" spans="1:29" x14ac:dyDescent="0.25">
      <c r="A91" s="3" t="s">
        <v>236</v>
      </c>
      <c r="B91" s="4" t="s">
        <v>30</v>
      </c>
      <c r="C91" s="3" t="s">
        <v>31</v>
      </c>
      <c r="D91" s="3" t="s">
        <v>32</v>
      </c>
      <c r="E91" s="3" t="s">
        <v>33</v>
      </c>
      <c r="F91" s="3" t="s">
        <v>34</v>
      </c>
      <c r="G91" s="3" t="s">
        <v>52</v>
      </c>
      <c r="H91" s="3" t="s">
        <v>35</v>
      </c>
      <c r="I91" s="3" t="s">
        <v>36</v>
      </c>
      <c r="J91" s="3" t="s">
        <v>36</v>
      </c>
      <c r="K91" s="3" t="s">
        <v>37</v>
      </c>
      <c r="L91" s="3" t="s">
        <v>108</v>
      </c>
      <c r="M91" s="3" t="s">
        <v>39</v>
      </c>
      <c r="N91" s="3" t="s">
        <v>40</v>
      </c>
      <c r="O91" s="3" t="s">
        <v>41</v>
      </c>
      <c r="P91" s="3" t="s">
        <v>42</v>
      </c>
      <c r="Q91" s="3" t="s">
        <v>136</v>
      </c>
      <c r="R91" s="3" t="s">
        <v>44</v>
      </c>
      <c r="S91" s="3" t="s">
        <v>44</v>
      </c>
      <c r="T91" s="3" t="s">
        <v>45</v>
      </c>
      <c r="U91" s="5"/>
      <c r="V91" s="3" t="s">
        <v>110</v>
      </c>
      <c r="W91" s="3" t="s">
        <v>55</v>
      </c>
      <c r="X91" s="3" t="s">
        <v>48</v>
      </c>
      <c r="Y91" s="3" t="s">
        <v>56</v>
      </c>
      <c r="Z91" s="3" t="s">
        <v>56</v>
      </c>
      <c r="AA91" s="5">
        <v>15600</v>
      </c>
      <c r="AB91" s="3" t="s">
        <v>40</v>
      </c>
      <c r="AC91" s="3" t="s">
        <v>50</v>
      </c>
    </row>
    <row r="92" ht="12" customHeight="1" spans="1:29" x14ac:dyDescent="0.25">
      <c r="A92" s="3" t="s">
        <v>237</v>
      </c>
      <c r="B92" s="4" t="s">
        <v>30</v>
      </c>
      <c r="C92" s="3" t="s">
        <v>31</v>
      </c>
      <c r="D92" s="3" t="s">
        <v>32</v>
      </c>
      <c r="E92" s="3" t="s">
        <v>33</v>
      </c>
      <c r="F92" s="3" t="s">
        <v>34</v>
      </c>
      <c r="G92" s="3" t="s">
        <v>52</v>
      </c>
      <c r="H92" s="3" t="s">
        <v>35</v>
      </c>
      <c r="I92" s="3" t="s">
        <v>36</v>
      </c>
      <c r="J92" s="3" t="s">
        <v>36</v>
      </c>
      <c r="K92" s="3" t="s">
        <v>37</v>
      </c>
      <c r="L92" s="3" t="s">
        <v>108</v>
      </c>
      <c r="M92" s="3" t="s">
        <v>39</v>
      </c>
      <c r="N92" s="3" t="s">
        <v>40</v>
      </c>
      <c r="O92" s="3" t="s">
        <v>41</v>
      </c>
      <c r="P92" s="3" t="s">
        <v>42</v>
      </c>
      <c r="Q92" s="3" t="s">
        <v>136</v>
      </c>
      <c r="R92" s="3" t="s">
        <v>44</v>
      </c>
      <c r="S92" s="3" t="s">
        <v>44</v>
      </c>
      <c r="T92" s="3" t="s">
        <v>45</v>
      </c>
      <c r="U92" s="5"/>
      <c r="V92" s="3" t="s">
        <v>110</v>
      </c>
      <c r="W92" s="3" t="s">
        <v>55</v>
      </c>
      <c r="X92" s="3" t="s">
        <v>48</v>
      </c>
      <c r="Y92" s="3" t="s">
        <v>56</v>
      </c>
      <c r="Z92" s="3" t="s">
        <v>56</v>
      </c>
      <c r="AA92" s="5">
        <v>15600</v>
      </c>
      <c r="AB92" s="3" t="s">
        <v>40</v>
      </c>
      <c r="AC92" s="3" t="s">
        <v>50</v>
      </c>
    </row>
    <row r="93" ht="12" customHeight="1" spans="1:29" x14ac:dyDescent="0.25">
      <c r="A93" s="3" t="s">
        <v>238</v>
      </c>
      <c r="B93" s="4" t="s">
        <v>30</v>
      </c>
      <c r="C93" s="3" t="s">
        <v>31</v>
      </c>
      <c r="D93" s="3" t="s">
        <v>32</v>
      </c>
      <c r="E93" s="3" t="s">
        <v>33</v>
      </c>
      <c r="F93" s="3" t="s">
        <v>34</v>
      </c>
      <c r="G93" s="3" t="s">
        <v>52</v>
      </c>
      <c r="H93" s="3" t="s">
        <v>35</v>
      </c>
      <c r="I93" s="3" t="s">
        <v>36</v>
      </c>
      <c r="J93" s="3" t="s">
        <v>36</v>
      </c>
      <c r="K93" s="3" t="s">
        <v>37</v>
      </c>
      <c r="L93" s="3" t="s">
        <v>108</v>
      </c>
      <c r="M93" s="3" t="s">
        <v>39</v>
      </c>
      <c r="N93" s="3" t="s">
        <v>40</v>
      </c>
      <c r="O93" s="3" t="s">
        <v>41</v>
      </c>
      <c r="P93" s="3" t="s">
        <v>42</v>
      </c>
      <c r="Q93" s="3" t="s">
        <v>136</v>
      </c>
      <c r="R93" s="3" t="s">
        <v>44</v>
      </c>
      <c r="S93" s="3" t="s">
        <v>44</v>
      </c>
      <c r="T93" s="3" t="s">
        <v>45</v>
      </c>
      <c r="U93" s="5"/>
      <c r="V93" s="3" t="s">
        <v>110</v>
      </c>
      <c r="W93" s="3" t="s">
        <v>55</v>
      </c>
      <c r="X93" s="3" t="s">
        <v>48</v>
      </c>
      <c r="Y93" s="3" t="s">
        <v>56</v>
      </c>
      <c r="Z93" s="3" t="s">
        <v>56</v>
      </c>
      <c r="AA93" s="5">
        <v>15600</v>
      </c>
      <c r="AB93" s="3" t="s">
        <v>40</v>
      </c>
      <c r="AC93" s="3" t="s">
        <v>50</v>
      </c>
    </row>
    <row r="94" ht="12" customHeight="1" spans="1:29" x14ac:dyDescent="0.25">
      <c r="A94" s="3" t="s">
        <v>239</v>
      </c>
      <c r="B94" s="4" t="s">
        <v>30</v>
      </c>
      <c r="C94" s="3" t="s">
        <v>31</v>
      </c>
      <c r="D94" s="3" t="s">
        <v>32</v>
      </c>
      <c r="E94" s="3" t="s">
        <v>33</v>
      </c>
      <c r="F94" s="3" t="s">
        <v>34</v>
      </c>
      <c r="G94" s="3" t="s">
        <v>52</v>
      </c>
      <c r="H94" s="3" t="s">
        <v>35</v>
      </c>
      <c r="I94" s="3" t="s">
        <v>36</v>
      </c>
      <c r="J94" s="3" t="s">
        <v>36</v>
      </c>
      <c r="K94" s="3" t="s">
        <v>37</v>
      </c>
      <c r="L94" s="3" t="s">
        <v>108</v>
      </c>
      <c r="M94" s="3" t="s">
        <v>39</v>
      </c>
      <c r="N94" s="3" t="s">
        <v>40</v>
      </c>
      <c r="O94" s="3" t="s">
        <v>41</v>
      </c>
      <c r="P94" s="3" t="s">
        <v>42</v>
      </c>
      <c r="Q94" s="3" t="s">
        <v>136</v>
      </c>
      <c r="R94" s="3" t="s">
        <v>44</v>
      </c>
      <c r="S94" s="3" t="s">
        <v>44</v>
      </c>
      <c r="T94" s="3" t="s">
        <v>45</v>
      </c>
      <c r="U94" s="5"/>
      <c r="V94" s="3" t="s">
        <v>110</v>
      </c>
      <c r="W94" s="3" t="s">
        <v>55</v>
      </c>
      <c r="X94" s="3" t="s">
        <v>48</v>
      </c>
      <c r="Y94" s="3" t="s">
        <v>56</v>
      </c>
      <c r="Z94" s="3" t="s">
        <v>56</v>
      </c>
      <c r="AA94" s="5">
        <v>15600</v>
      </c>
      <c r="AB94" s="3" t="s">
        <v>40</v>
      </c>
      <c r="AC94" s="3" t="s">
        <v>50</v>
      </c>
    </row>
    <row r="95" ht="12" customHeight="1" spans="1:29" x14ac:dyDescent="0.25">
      <c r="A95" s="3" t="s">
        <v>240</v>
      </c>
      <c r="B95" s="4" t="s">
        <v>30</v>
      </c>
      <c r="C95" s="3" t="s">
        <v>31</v>
      </c>
      <c r="D95" s="3" t="s">
        <v>32</v>
      </c>
      <c r="E95" s="3" t="s">
        <v>33</v>
      </c>
      <c r="F95" s="3" t="s">
        <v>34</v>
      </c>
      <c r="G95" s="3" t="s">
        <v>52</v>
      </c>
      <c r="H95" s="3" t="s">
        <v>35</v>
      </c>
      <c r="I95" s="3" t="s">
        <v>36</v>
      </c>
      <c r="J95" s="3" t="s">
        <v>36</v>
      </c>
      <c r="K95" s="3" t="s">
        <v>37</v>
      </c>
      <c r="L95" s="3" t="s">
        <v>108</v>
      </c>
      <c r="M95" s="3" t="s">
        <v>39</v>
      </c>
      <c r="N95" s="3" t="s">
        <v>40</v>
      </c>
      <c r="O95" s="3" t="s">
        <v>41</v>
      </c>
      <c r="P95" s="3" t="s">
        <v>42</v>
      </c>
      <c r="Q95" s="3" t="s">
        <v>136</v>
      </c>
      <c r="R95" s="3" t="s">
        <v>44</v>
      </c>
      <c r="S95" s="3" t="s">
        <v>44</v>
      </c>
      <c r="T95" s="3" t="s">
        <v>45</v>
      </c>
      <c r="U95" s="5"/>
      <c r="V95" s="3" t="s">
        <v>110</v>
      </c>
      <c r="W95" s="3" t="s">
        <v>55</v>
      </c>
      <c r="X95" s="3" t="s">
        <v>48</v>
      </c>
      <c r="Y95" s="3" t="s">
        <v>56</v>
      </c>
      <c r="Z95" s="3" t="s">
        <v>56</v>
      </c>
      <c r="AA95" s="5">
        <v>15600</v>
      </c>
      <c r="AB95" s="3" t="s">
        <v>40</v>
      </c>
      <c r="AC95" s="3" t="s">
        <v>50</v>
      </c>
    </row>
    <row r="96" ht="12" customHeight="1" spans="1:29" x14ac:dyDescent="0.25">
      <c r="A96" s="3" t="s">
        <v>241</v>
      </c>
      <c r="B96" s="4" t="s">
        <v>30</v>
      </c>
      <c r="C96" s="3" t="s">
        <v>31</v>
      </c>
      <c r="D96" s="3" t="s">
        <v>32</v>
      </c>
      <c r="E96" s="3" t="s">
        <v>33</v>
      </c>
      <c r="F96" s="3" t="s">
        <v>34</v>
      </c>
      <c r="G96" s="3" t="s">
        <v>52</v>
      </c>
      <c r="H96" s="3" t="s">
        <v>35</v>
      </c>
      <c r="I96" s="3" t="s">
        <v>36</v>
      </c>
      <c r="J96" s="3" t="s">
        <v>36</v>
      </c>
      <c r="K96" s="3" t="s">
        <v>37</v>
      </c>
      <c r="L96" s="3" t="s">
        <v>108</v>
      </c>
      <c r="M96" s="3" t="s">
        <v>39</v>
      </c>
      <c r="N96" s="3" t="s">
        <v>40</v>
      </c>
      <c r="O96" s="3" t="s">
        <v>41</v>
      </c>
      <c r="P96" s="3" t="s">
        <v>42</v>
      </c>
      <c r="Q96" s="3" t="s">
        <v>136</v>
      </c>
      <c r="R96" s="3" t="s">
        <v>44</v>
      </c>
      <c r="S96" s="3" t="s">
        <v>44</v>
      </c>
      <c r="T96" s="3" t="s">
        <v>45</v>
      </c>
      <c r="U96" s="5"/>
      <c r="V96" s="3" t="s">
        <v>110</v>
      </c>
      <c r="W96" s="3" t="s">
        <v>55</v>
      </c>
      <c r="X96" s="3" t="s">
        <v>48</v>
      </c>
      <c r="Y96" s="3" t="s">
        <v>56</v>
      </c>
      <c r="Z96" s="3" t="s">
        <v>56</v>
      </c>
      <c r="AA96" s="5">
        <v>15600</v>
      </c>
      <c r="AB96" s="3" t="s">
        <v>40</v>
      </c>
      <c r="AC96" s="3" t="s">
        <v>50</v>
      </c>
    </row>
    <row r="97" ht="12" customHeight="1" spans="1:29" x14ac:dyDescent="0.25">
      <c r="A97" s="3" t="s">
        <v>242</v>
      </c>
      <c r="B97" s="4" t="s">
        <v>30</v>
      </c>
      <c r="C97" s="3" t="s">
        <v>31</v>
      </c>
      <c r="D97" s="3" t="s">
        <v>32</v>
      </c>
      <c r="E97" s="3" t="s">
        <v>33</v>
      </c>
      <c r="F97" s="3" t="s">
        <v>34</v>
      </c>
      <c r="G97" s="3" t="s">
        <v>52</v>
      </c>
      <c r="H97" s="3" t="s">
        <v>35</v>
      </c>
      <c r="I97" s="3" t="s">
        <v>36</v>
      </c>
      <c r="J97" s="3" t="s">
        <v>36</v>
      </c>
      <c r="K97" s="3" t="s">
        <v>37</v>
      </c>
      <c r="L97" s="3" t="s">
        <v>108</v>
      </c>
      <c r="M97" s="3" t="s">
        <v>39</v>
      </c>
      <c r="N97" s="3" t="s">
        <v>40</v>
      </c>
      <c r="O97" s="3" t="s">
        <v>41</v>
      </c>
      <c r="P97" s="3" t="s">
        <v>42</v>
      </c>
      <c r="Q97" s="3" t="s">
        <v>136</v>
      </c>
      <c r="R97" s="3" t="s">
        <v>44</v>
      </c>
      <c r="S97" s="3" t="s">
        <v>44</v>
      </c>
      <c r="T97" s="3" t="s">
        <v>45</v>
      </c>
      <c r="U97" s="5"/>
      <c r="V97" s="3" t="s">
        <v>110</v>
      </c>
      <c r="W97" s="3" t="s">
        <v>55</v>
      </c>
      <c r="X97" s="3" t="s">
        <v>48</v>
      </c>
      <c r="Y97" s="3" t="s">
        <v>56</v>
      </c>
      <c r="Z97" s="3" t="s">
        <v>56</v>
      </c>
      <c r="AA97" s="5">
        <v>15600</v>
      </c>
      <c r="AB97" s="3" t="s">
        <v>40</v>
      </c>
      <c r="AC97" s="3" t="s">
        <v>50</v>
      </c>
    </row>
    <row r="98" ht="12" customHeight="1" spans="1:29" x14ac:dyDescent="0.25">
      <c r="A98" s="3" t="s">
        <v>243</v>
      </c>
      <c r="B98" s="4" t="s">
        <v>30</v>
      </c>
      <c r="C98" s="3" t="s">
        <v>31</v>
      </c>
      <c r="D98" s="3" t="s">
        <v>32</v>
      </c>
      <c r="E98" s="3" t="s">
        <v>33</v>
      </c>
      <c r="F98" s="3" t="s">
        <v>34</v>
      </c>
      <c r="G98" s="3" t="s">
        <v>52</v>
      </c>
      <c r="H98" s="3" t="s">
        <v>35</v>
      </c>
      <c r="I98" s="3" t="s">
        <v>36</v>
      </c>
      <c r="J98" s="3" t="s">
        <v>36</v>
      </c>
      <c r="K98" s="3" t="s">
        <v>37</v>
      </c>
      <c r="L98" s="3" t="s">
        <v>108</v>
      </c>
      <c r="M98" s="3" t="s">
        <v>39</v>
      </c>
      <c r="N98" s="3" t="s">
        <v>40</v>
      </c>
      <c r="O98" s="3" t="s">
        <v>41</v>
      </c>
      <c r="P98" s="3" t="s">
        <v>42</v>
      </c>
      <c r="Q98" s="3" t="s">
        <v>136</v>
      </c>
      <c r="R98" s="3" t="s">
        <v>44</v>
      </c>
      <c r="S98" s="3" t="s">
        <v>44</v>
      </c>
      <c r="T98" s="3" t="s">
        <v>45</v>
      </c>
      <c r="U98" s="5"/>
      <c r="V98" s="3" t="s">
        <v>110</v>
      </c>
      <c r="W98" s="3" t="s">
        <v>55</v>
      </c>
      <c r="X98" s="3" t="s">
        <v>48</v>
      </c>
      <c r="Y98" s="3" t="s">
        <v>56</v>
      </c>
      <c r="Z98" s="3" t="s">
        <v>56</v>
      </c>
      <c r="AA98" s="5">
        <v>15600</v>
      </c>
      <c r="AB98" s="3" t="s">
        <v>40</v>
      </c>
      <c r="AC98" s="3" t="s">
        <v>50</v>
      </c>
    </row>
    <row r="99" ht="12" customHeight="1" spans="1:29" x14ac:dyDescent="0.25">
      <c r="A99" s="3" t="s">
        <v>244</v>
      </c>
      <c r="B99" s="4" t="s">
        <v>30</v>
      </c>
      <c r="C99" s="3" t="s">
        <v>31</v>
      </c>
      <c r="D99" s="3" t="s">
        <v>32</v>
      </c>
      <c r="E99" s="3" t="s">
        <v>33</v>
      </c>
      <c r="F99" s="3" t="s">
        <v>34</v>
      </c>
      <c r="G99" s="3" t="s">
        <v>35</v>
      </c>
      <c r="H99" s="3" t="s">
        <v>35</v>
      </c>
      <c r="I99" s="3" t="s">
        <v>36</v>
      </c>
      <c r="J99" s="3" t="s">
        <v>36</v>
      </c>
      <c r="K99" s="3" t="s">
        <v>37</v>
      </c>
      <c r="L99" s="3" t="s">
        <v>108</v>
      </c>
      <c r="M99" s="3" t="s">
        <v>39</v>
      </c>
      <c r="N99" s="3" t="s">
        <v>40</v>
      </c>
      <c r="O99" s="3" t="s">
        <v>41</v>
      </c>
      <c r="P99" s="3" t="s">
        <v>42</v>
      </c>
      <c r="Q99" s="3" t="s">
        <v>125</v>
      </c>
      <c r="R99" s="3" t="s">
        <v>44</v>
      </c>
      <c r="S99" s="3" t="s">
        <v>44</v>
      </c>
      <c r="T99" s="3" t="s">
        <v>45</v>
      </c>
      <c r="U99" s="5"/>
      <c r="V99" s="3" t="s">
        <v>110</v>
      </c>
      <c r="W99" s="3" t="s">
        <v>126</v>
      </c>
      <c r="X99" s="3" t="s">
        <v>48</v>
      </c>
      <c r="Y99" s="3" t="s">
        <v>127</v>
      </c>
      <c r="Z99" s="3" t="s">
        <v>127</v>
      </c>
      <c r="AA99" s="5">
        <v>1820</v>
      </c>
      <c r="AB99" s="3" t="s">
        <v>40</v>
      </c>
      <c r="AC99" s="3" t="s">
        <v>50</v>
      </c>
    </row>
    <row r="100" ht="12" customHeight="1" spans="1:29" x14ac:dyDescent="0.25">
      <c r="A100" s="3" t="s">
        <v>245</v>
      </c>
      <c r="B100" s="4" t="s">
        <v>30</v>
      </c>
      <c r="C100" s="3" t="s">
        <v>31</v>
      </c>
      <c r="D100" s="3" t="s">
        <v>32</v>
      </c>
      <c r="E100" s="3" t="s">
        <v>33</v>
      </c>
      <c r="F100" s="3" t="s">
        <v>34</v>
      </c>
      <c r="G100" s="3" t="s">
        <v>35</v>
      </c>
      <c r="H100" s="3" t="s">
        <v>35</v>
      </c>
      <c r="I100" s="3" t="s">
        <v>36</v>
      </c>
      <c r="J100" s="3" t="s">
        <v>36</v>
      </c>
      <c r="K100" s="3" t="s">
        <v>37</v>
      </c>
      <c r="L100" s="3" t="s">
        <v>108</v>
      </c>
      <c r="M100" s="3" t="s">
        <v>39</v>
      </c>
      <c r="N100" s="3" t="s">
        <v>40</v>
      </c>
      <c r="O100" s="3" t="s">
        <v>41</v>
      </c>
      <c r="P100" s="3" t="s">
        <v>42</v>
      </c>
      <c r="Q100" s="3" t="s">
        <v>125</v>
      </c>
      <c r="R100" s="3" t="s">
        <v>44</v>
      </c>
      <c r="S100" s="3" t="s">
        <v>44</v>
      </c>
      <c r="T100" s="3" t="s">
        <v>45</v>
      </c>
      <c r="U100" s="5"/>
      <c r="V100" s="3" t="s">
        <v>110</v>
      </c>
      <c r="W100" s="3" t="s">
        <v>126</v>
      </c>
      <c r="X100" s="3" t="s">
        <v>48</v>
      </c>
      <c r="Y100" s="3" t="s">
        <v>127</v>
      </c>
      <c r="Z100" s="3" t="s">
        <v>127</v>
      </c>
      <c r="AA100" s="5">
        <v>1820</v>
      </c>
      <c r="AB100" s="3" t="s">
        <v>40</v>
      </c>
      <c r="AC100" s="3" t="s">
        <v>50</v>
      </c>
    </row>
    <row r="101" ht="12" customHeight="1" spans="1:29" x14ac:dyDescent="0.25">
      <c r="A101" s="3" t="s">
        <v>246</v>
      </c>
      <c r="B101" s="4" t="s">
        <v>30</v>
      </c>
      <c r="C101" s="3" t="s">
        <v>31</v>
      </c>
      <c r="D101" s="3" t="s">
        <v>32</v>
      </c>
      <c r="E101" s="3" t="s">
        <v>33</v>
      </c>
      <c r="F101" s="3" t="s">
        <v>34</v>
      </c>
      <c r="G101" s="3" t="s">
        <v>52</v>
      </c>
      <c r="H101" s="3" t="s">
        <v>35</v>
      </c>
      <c r="I101" s="3" t="s">
        <v>36</v>
      </c>
      <c r="J101" s="3" t="s">
        <v>36</v>
      </c>
      <c r="K101" s="3" t="s">
        <v>37</v>
      </c>
      <c r="L101" s="3" t="s">
        <v>108</v>
      </c>
      <c r="M101" s="3" t="s">
        <v>39</v>
      </c>
      <c r="N101" s="3" t="s">
        <v>40</v>
      </c>
      <c r="O101" s="3" t="s">
        <v>41</v>
      </c>
      <c r="P101" s="3" t="s">
        <v>42</v>
      </c>
      <c r="Q101" s="3" t="s">
        <v>136</v>
      </c>
      <c r="R101" s="3" t="s">
        <v>44</v>
      </c>
      <c r="S101" s="3" t="s">
        <v>44</v>
      </c>
      <c r="T101" s="3" t="s">
        <v>45</v>
      </c>
      <c r="U101" s="5"/>
      <c r="V101" s="3" t="s">
        <v>110</v>
      </c>
      <c r="W101" s="3" t="s">
        <v>55</v>
      </c>
      <c r="X101" s="3" t="s">
        <v>48</v>
      </c>
      <c r="Y101" s="3" t="s">
        <v>56</v>
      </c>
      <c r="Z101" s="3" t="s">
        <v>56</v>
      </c>
      <c r="AA101" s="5">
        <v>15600</v>
      </c>
      <c r="AB101" s="3" t="s">
        <v>40</v>
      </c>
      <c r="AC101" s="3" t="s">
        <v>50</v>
      </c>
    </row>
    <row r="102" ht="12" customHeight="1" spans="1:29" x14ac:dyDescent="0.25">
      <c r="A102" s="3" t="s">
        <v>247</v>
      </c>
      <c r="B102" s="4" t="s">
        <v>30</v>
      </c>
      <c r="C102" s="3" t="s">
        <v>31</v>
      </c>
      <c r="D102" s="3" t="s">
        <v>32</v>
      </c>
      <c r="E102" s="3" t="s">
        <v>33</v>
      </c>
      <c r="F102" s="3" t="s">
        <v>34</v>
      </c>
      <c r="G102" s="3" t="s">
        <v>52</v>
      </c>
      <c r="H102" s="3" t="s">
        <v>35</v>
      </c>
      <c r="I102" s="3" t="s">
        <v>36</v>
      </c>
      <c r="J102" s="3" t="s">
        <v>36</v>
      </c>
      <c r="K102" s="3" t="s">
        <v>37</v>
      </c>
      <c r="L102" s="3" t="s">
        <v>108</v>
      </c>
      <c r="M102" s="3" t="s">
        <v>39</v>
      </c>
      <c r="N102" s="3" t="s">
        <v>40</v>
      </c>
      <c r="O102" s="3" t="s">
        <v>41</v>
      </c>
      <c r="P102" s="3" t="s">
        <v>42</v>
      </c>
      <c r="Q102" s="3" t="s">
        <v>136</v>
      </c>
      <c r="R102" s="3" t="s">
        <v>44</v>
      </c>
      <c r="S102" s="3" t="s">
        <v>44</v>
      </c>
      <c r="T102" s="3" t="s">
        <v>45</v>
      </c>
      <c r="U102" s="5"/>
      <c r="V102" s="3" t="s">
        <v>110</v>
      </c>
      <c r="W102" s="3" t="s">
        <v>55</v>
      </c>
      <c r="X102" s="3" t="s">
        <v>48</v>
      </c>
      <c r="Y102" s="3" t="s">
        <v>56</v>
      </c>
      <c r="Z102" s="3" t="s">
        <v>56</v>
      </c>
      <c r="AA102" s="5">
        <v>15600</v>
      </c>
      <c r="AB102" s="3" t="s">
        <v>40</v>
      </c>
      <c r="AC102" s="3" t="s">
        <v>50</v>
      </c>
    </row>
    <row r="103" ht="12" customHeight="1" spans="1:29" x14ac:dyDescent="0.25">
      <c r="A103" s="3" t="s">
        <v>248</v>
      </c>
      <c r="B103" s="4" t="s">
        <v>30</v>
      </c>
      <c r="C103" s="3" t="s">
        <v>31</v>
      </c>
      <c r="D103" s="3" t="s">
        <v>32</v>
      </c>
      <c r="E103" s="3" t="s">
        <v>33</v>
      </c>
      <c r="F103" s="3" t="s">
        <v>34</v>
      </c>
      <c r="G103" s="3" t="s">
        <v>35</v>
      </c>
      <c r="H103" s="3" t="s">
        <v>35</v>
      </c>
      <c r="I103" s="3" t="s">
        <v>36</v>
      </c>
      <c r="J103" s="3" t="s">
        <v>36</v>
      </c>
      <c r="K103" s="3" t="s">
        <v>37</v>
      </c>
      <c r="L103" s="3" t="s">
        <v>108</v>
      </c>
      <c r="M103" s="3" t="s">
        <v>39</v>
      </c>
      <c r="N103" s="3" t="s">
        <v>40</v>
      </c>
      <c r="O103" s="3" t="s">
        <v>41</v>
      </c>
      <c r="P103" s="3" t="s">
        <v>42</v>
      </c>
      <c r="Q103" s="3" t="s">
        <v>249</v>
      </c>
      <c r="R103" s="3" t="s">
        <v>44</v>
      </c>
      <c r="S103" s="3" t="s">
        <v>44</v>
      </c>
      <c r="T103" s="3" t="s">
        <v>45</v>
      </c>
      <c r="U103" s="5"/>
      <c r="V103" s="3" t="s">
        <v>110</v>
      </c>
      <c r="W103" s="3" t="s">
        <v>47</v>
      </c>
      <c r="X103" s="3" t="s">
        <v>48</v>
      </c>
      <c r="Y103" s="3" t="s">
        <v>250</v>
      </c>
      <c r="Z103" s="3" t="s">
        <v>250</v>
      </c>
      <c r="AA103" s="5">
        <v>20480</v>
      </c>
      <c r="AB103" s="3" t="s">
        <v>40</v>
      </c>
      <c r="AC103" s="3" t="s">
        <v>50</v>
      </c>
    </row>
    <row r="104" ht="12" customHeight="1" spans="1:29" x14ac:dyDescent="0.25">
      <c r="A104" s="3" t="s">
        <v>251</v>
      </c>
      <c r="B104" s="4" t="s">
        <v>30</v>
      </c>
      <c r="C104" s="3" t="s">
        <v>31</v>
      </c>
      <c r="D104" s="3" t="s">
        <v>32</v>
      </c>
      <c r="E104" s="3" t="s">
        <v>33</v>
      </c>
      <c r="F104" s="3" t="s">
        <v>34</v>
      </c>
      <c r="G104" s="3" t="s">
        <v>35</v>
      </c>
      <c r="H104" s="3" t="s">
        <v>35</v>
      </c>
      <c r="I104" s="3" t="s">
        <v>36</v>
      </c>
      <c r="J104" s="3" t="s">
        <v>36</v>
      </c>
      <c r="K104" s="3" t="s">
        <v>37</v>
      </c>
      <c r="L104" s="3" t="s">
        <v>108</v>
      </c>
      <c r="M104" s="3" t="s">
        <v>39</v>
      </c>
      <c r="N104" s="3" t="s">
        <v>40</v>
      </c>
      <c r="O104" s="3" t="s">
        <v>41</v>
      </c>
      <c r="P104" s="3" t="s">
        <v>42</v>
      </c>
      <c r="Q104" s="3" t="s">
        <v>252</v>
      </c>
      <c r="R104" s="3" t="s">
        <v>44</v>
      </c>
      <c r="S104" s="3" t="s">
        <v>44</v>
      </c>
      <c r="T104" s="3" t="s">
        <v>45</v>
      </c>
      <c r="U104" s="5"/>
      <c r="V104" s="3" t="s">
        <v>110</v>
      </c>
      <c r="W104" s="3" t="s">
        <v>253</v>
      </c>
      <c r="X104" s="3" t="s">
        <v>48</v>
      </c>
      <c r="Y104" s="3" t="s">
        <v>131</v>
      </c>
      <c r="Z104" s="3" t="s">
        <v>254</v>
      </c>
      <c r="AA104" s="5">
        <v>27140.4</v>
      </c>
      <c r="AB104" s="3" t="s">
        <v>40</v>
      </c>
      <c r="AC104" s="3" t="s">
        <v>50</v>
      </c>
    </row>
    <row r="105" ht="12" customHeight="1" spans="1:29" x14ac:dyDescent="0.25">
      <c r="A105" s="3" t="s">
        <v>255</v>
      </c>
      <c r="B105" s="4" t="s">
        <v>30</v>
      </c>
      <c r="C105" s="3" t="s">
        <v>31</v>
      </c>
      <c r="D105" s="3" t="s">
        <v>32</v>
      </c>
      <c r="E105" s="3" t="s">
        <v>33</v>
      </c>
      <c r="F105" s="3" t="s">
        <v>34</v>
      </c>
      <c r="G105" s="3" t="s">
        <v>35</v>
      </c>
      <c r="H105" s="3" t="s">
        <v>35</v>
      </c>
      <c r="I105" s="3" t="s">
        <v>36</v>
      </c>
      <c r="J105" s="3" t="s">
        <v>36</v>
      </c>
      <c r="K105" s="3" t="s">
        <v>37</v>
      </c>
      <c r="L105" s="3" t="s">
        <v>108</v>
      </c>
      <c r="M105" s="3" t="s">
        <v>39</v>
      </c>
      <c r="N105" s="3" t="s">
        <v>40</v>
      </c>
      <c r="O105" s="3" t="s">
        <v>41</v>
      </c>
      <c r="P105" s="3" t="s">
        <v>42</v>
      </c>
      <c r="Q105" s="3" t="s">
        <v>252</v>
      </c>
      <c r="R105" s="3" t="s">
        <v>44</v>
      </c>
      <c r="S105" s="3" t="s">
        <v>44</v>
      </c>
      <c r="T105" s="3" t="s">
        <v>45</v>
      </c>
      <c r="U105" s="5"/>
      <c r="V105" s="3" t="s">
        <v>110</v>
      </c>
      <c r="W105" s="3" t="s">
        <v>253</v>
      </c>
      <c r="X105" s="3" t="s">
        <v>118</v>
      </c>
      <c r="Y105" s="3" t="s">
        <v>131</v>
      </c>
      <c r="Z105" s="3" t="s">
        <v>254</v>
      </c>
      <c r="AA105" s="5">
        <v>27140.4</v>
      </c>
      <c r="AB105" s="3" t="s">
        <v>40</v>
      </c>
      <c r="AC105" s="3" t="s">
        <v>50</v>
      </c>
    </row>
    <row r="106" ht="12" customHeight="1" spans="1:29" x14ac:dyDescent="0.25">
      <c r="A106" s="3" t="s">
        <v>256</v>
      </c>
      <c r="B106" s="4" t="s">
        <v>30</v>
      </c>
      <c r="C106" s="3" t="s">
        <v>31</v>
      </c>
      <c r="D106" s="3" t="s">
        <v>32</v>
      </c>
      <c r="E106" s="3" t="s">
        <v>33</v>
      </c>
      <c r="F106" s="3" t="s">
        <v>34</v>
      </c>
      <c r="G106" s="3" t="s">
        <v>35</v>
      </c>
      <c r="H106" s="3" t="s">
        <v>35</v>
      </c>
      <c r="I106" s="3" t="s">
        <v>36</v>
      </c>
      <c r="J106" s="3" t="s">
        <v>36</v>
      </c>
      <c r="K106" s="3" t="s">
        <v>37</v>
      </c>
      <c r="L106" s="3" t="s">
        <v>108</v>
      </c>
      <c r="M106" s="3" t="s">
        <v>39</v>
      </c>
      <c r="N106" s="3" t="s">
        <v>40</v>
      </c>
      <c r="O106" s="3" t="s">
        <v>41</v>
      </c>
      <c r="P106" s="3" t="s">
        <v>42</v>
      </c>
      <c r="Q106" s="3" t="s">
        <v>257</v>
      </c>
      <c r="R106" s="3" t="s">
        <v>44</v>
      </c>
      <c r="S106" s="3" t="s">
        <v>44</v>
      </c>
      <c r="T106" s="3" t="s">
        <v>45</v>
      </c>
      <c r="U106" s="5"/>
      <c r="V106" s="3" t="s">
        <v>110</v>
      </c>
      <c r="W106" s="3" t="s">
        <v>74</v>
      </c>
      <c r="X106" s="3" t="s">
        <v>48</v>
      </c>
      <c r="Y106" s="3" t="s">
        <v>111</v>
      </c>
      <c r="Z106" s="3" t="s">
        <v>111</v>
      </c>
      <c r="AA106" s="5">
        <v>24240</v>
      </c>
      <c r="AB106" s="3" t="s">
        <v>40</v>
      </c>
      <c r="AC106" s="3" t="s">
        <v>50</v>
      </c>
    </row>
    <row r="107" ht="12" customHeight="1" spans="1:29" x14ac:dyDescent="0.25">
      <c r="A107" s="3" t="s">
        <v>258</v>
      </c>
      <c r="B107" s="4" t="s">
        <v>30</v>
      </c>
      <c r="C107" s="3" t="s">
        <v>31</v>
      </c>
      <c r="D107" s="3" t="s">
        <v>32</v>
      </c>
      <c r="E107" s="3" t="s">
        <v>33</v>
      </c>
      <c r="F107" s="3" t="s">
        <v>34</v>
      </c>
      <c r="G107" s="3" t="s">
        <v>35</v>
      </c>
      <c r="H107" s="3" t="s">
        <v>35</v>
      </c>
      <c r="I107" s="3" t="s">
        <v>36</v>
      </c>
      <c r="J107" s="3" t="s">
        <v>36</v>
      </c>
      <c r="K107" s="3" t="s">
        <v>37</v>
      </c>
      <c r="L107" s="3" t="s">
        <v>108</v>
      </c>
      <c r="M107" s="3" t="s">
        <v>39</v>
      </c>
      <c r="N107" s="3" t="s">
        <v>40</v>
      </c>
      <c r="O107" s="3" t="s">
        <v>41</v>
      </c>
      <c r="P107" s="3" t="s">
        <v>42</v>
      </c>
      <c r="Q107" s="3" t="s">
        <v>257</v>
      </c>
      <c r="R107" s="3" t="s">
        <v>44</v>
      </c>
      <c r="S107" s="3" t="s">
        <v>44</v>
      </c>
      <c r="T107" s="3" t="s">
        <v>45</v>
      </c>
      <c r="U107" s="5"/>
      <c r="V107" s="3" t="s">
        <v>110</v>
      </c>
      <c r="W107" s="3" t="s">
        <v>74</v>
      </c>
      <c r="X107" s="3" t="s">
        <v>48</v>
      </c>
      <c r="Y107" s="3" t="s">
        <v>111</v>
      </c>
      <c r="Z107" s="3" t="s">
        <v>111</v>
      </c>
      <c r="AA107" s="5">
        <v>24240</v>
      </c>
      <c r="AB107" s="3" t="s">
        <v>40</v>
      </c>
      <c r="AC107" s="3" t="s">
        <v>50</v>
      </c>
    </row>
    <row r="108" ht="12" customHeight="1" spans="1:29" x14ac:dyDescent="0.25">
      <c r="A108" s="3" t="s">
        <v>259</v>
      </c>
      <c r="B108" s="4" t="s">
        <v>30</v>
      </c>
      <c r="C108" s="3" t="s">
        <v>31</v>
      </c>
      <c r="D108" s="3" t="s">
        <v>32</v>
      </c>
      <c r="E108" s="3" t="s">
        <v>33</v>
      </c>
      <c r="F108" s="3" t="s">
        <v>34</v>
      </c>
      <c r="G108" s="3" t="s">
        <v>35</v>
      </c>
      <c r="H108" s="3" t="s">
        <v>35</v>
      </c>
      <c r="I108" s="3" t="s">
        <v>36</v>
      </c>
      <c r="J108" s="3" t="s">
        <v>36</v>
      </c>
      <c r="K108" s="3" t="s">
        <v>37</v>
      </c>
      <c r="L108" s="3" t="s">
        <v>108</v>
      </c>
      <c r="M108" s="3" t="s">
        <v>39</v>
      </c>
      <c r="N108" s="3" t="s">
        <v>40</v>
      </c>
      <c r="O108" s="3" t="s">
        <v>41</v>
      </c>
      <c r="P108" s="3" t="s">
        <v>42</v>
      </c>
      <c r="Q108" s="3" t="s">
        <v>257</v>
      </c>
      <c r="R108" s="3" t="s">
        <v>44</v>
      </c>
      <c r="S108" s="3" t="s">
        <v>44</v>
      </c>
      <c r="T108" s="3" t="s">
        <v>45</v>
      </c>
      <c r="U108" s="5"/>
      <c r="V108" s="3" t="s">
        <v>110</v>
      </c>
      <c r="W108" s="3" t="s">
        <v>74</v>
      </c>
      <c r="X108" s="3" t="s">
        <v>118</v>
      </c>
      <c r="Y108" s="3" t="s">
        <v>111</v>
      </c>
      <c r="Z108" s="3" t="s">
        <v>111</v>
      </c>
      <c r="AA108" s="5">
        <v>24240</v>
      </c>
      <c r="AB108" s="3" t="s">
        <v>40</v>
      </c>
      <c r="AC108" s="3" t="s">
        <v>50</v>
      </c>
    </row>
    <row r="109" ht="12" customHeight="1" spans="1:29" x14ac:dyDescent="0.25">
      <c r="A109" s="3" t="s">
        <v>260</v>
      </c>
      <c r="B109" s="4" t="s">
        <v>30</v>
      </c>
      <c r="C109" s="3" t="s">
        <v>31</v>
      </c>
      <c r="D109" s="3" t="s">
        <v>32</v>
      </c>
      <c r="E109" s="3" t="s">
        <v>33</v>
      </c>
      <c r="F109" s="3" t="s">
        <v>34</v>
      </c>
      <c r="G109" s="3" t="s">
        <v>35</v>
      </c>
      <c r="H109" s="3" t="s">
        <v>35</v>
      </c>
      <c r="I109" s="3" t="s">
        <v>36</v>
      </c>
      <c r="J109" s="3" t="s">
        <v>36</v>
      </c>
      <c r="K109" s="3" t="s">
        <v>37</v>
      </c>
      <c r="L109" s="3" t="s">
        <v>108</v>
      </c>
      <c r="M109" s="3" t="s">
        <v>39</v>
      </c>
      <c r="N109" s="3" t="s">
        <v>40</v>
      </c>
      <c r="O109" s="3" t="s">
        <v>41</v>
      </c>
      <c r="P109" s="3" t="s">
        <v>42</v>
      </c>
      <c r="Q109" s="3" t="s">
        <v>257</v>
      </c>
      <c r="R109" s="3" t="s">
        <v>44</v>
      </c>
      <c r="S109" s="3" t="s">
        <v>44</v>
      </c>
      <c r="T109" s="3" t="s">
        <v>45</v>
      </c>
      <c r="U109" s="5"/>
      <c r="V109" s="3" t="s">
        <v>110</v>
      </c>
      <c r="W109" s="3" t="s">
        <v>74</v>
      </c>
      <c r="X109" s="3" t="s">
        <v>118</v>
      </c>
      <c r="Y109" s="3" t="s">
        <v>111</v>
      </c>
      <c r="Z109" s="3" t="s">
        <v>111</v>
      </c>
      <c r="AA109" s="5">
        <v>24240</v>
      </c>
      <c r="AB109" s="3" t="s">
        <v>40</v>
      </c>
      <c r="AC109" s="3" t="s">
        <v>50</v>
      </c>
    </row>
    <row r="110" ht="12" customHeight="1" spans="1:29" x14ac:dyDescent="0.25">
      <c r="A110" s="3" t="s">
        <v>261</v>
      </c>
      <c r="B110" s="4" t="s">
        <v>30</v>
      </c>
      <c r="C110" s="3" t="s">
        <v>31</v>
      </c>
      <c r="D110" s="3" t="s">
        <v>32</v>
      </c>
      <c r="E110" s="3" t="s">
        <v>33</v>
      </c>
      <c r="F110" s="3" t="s">
        <v>34</v>
      </c>
      <c r="G110" s="3" t="s">
        <v>35</v>
      </c>
      <c r="H110" s="3" t="s">
        <v>35</v>
      </c>
      <c r="I110" s="3" t="s">
        <v>36</v>
      </c>
      <c r="J110" s="3" t="s">
        <v>36</v>
      </c>
      <c r="K110" s="3" t="s">
        <v>37</v>
      </c>
      <c r="L110" s="3" t="s">
        <v>108</v>
      </c>
      <c r="M110" s="3" t="s">
        <v>39</v>
      </c>
      <c r="N110" s="3" t="s">
        <v>40</v>
      </c>
      <c r="O110" s="3" t="s">
        <v>41</v>
      </c>
      <c r="P110" s="3" t="s">
        <v>42</v>
      </c>
      <c r="Q110" s="3" t="s">
        <v>257</v>
      </c>
      <c r="R110" s="3" t="s">
        <v>44</v>
      </c>
      <c r="S110" s="3" t="s">
        <v>44</v>
      </c>
      <c r="T110" s="3" t="s">
        <v>45</v>
      </c>
      <c r="U110" s="5"/>
      <c r="V110" s="3" t="s">
        <v>110</v>
      </c>
      <c r="W110" s="3" t="s">
        <v>74</v>
      </c>
      <c r="X110" s="3" t="s">
        <v>48</v>
      </c>
      <c r="Y110" s="3" t="s">
        <v>111</v>
      </c>
      <c r="Z110" s="3" t="s">
        <v>111</v>
      </c>
      <c r="AA110" s="5">
        <v>24240</v>
      </c>
      <c r="AB110" s="3" t="s">
        <v>40</v>
      </c>
      <c r="AC110" s="3" t="s">
        <v>50</v>
      </c>
    </row>
    <row r="111" ht="12" customHeight="1" spans="1:29" x14ac:dyDescent="0.25">
      <c r="A111" s="3" t="s">
        <v>262</v>
      </c>
      <c r="B111" s="4" t="s">
        <v>30</v>
      </c>
      <c r="C111" s="3" t="s">
        <v>31</v>
      </c>
      <c r="D111" s="3" t="s">
        <v>32</v>
      </c>
      <c r="E111" s="3" t="s">
        <v>33</v>
      </c>
      <c r="F111" s="3" t="s">
        <v>34</v>
      </c>
      <c r="G111" s="3" t="s">
        <v>35</v>
      </c>
      <c r="H111" s="3" t="s">
        <v>35</v>
      </c>
      <c r="I111" s="3" t="s">
        <v>36</v>
      </c>
      <c r="J111" s="3" t="s">
        <v>36</v>
      </c>
      <c r="K111" s="3" t="s">
        <v>37</v>
      </c>
      <c r="L111" s="3" t="s">
        <v>108</v>
      </c>
      <c r="M111" s="3" t="s">
        <v>39</v>
      </c>
      <c r="N111" s="3" t="s">
        <v>40</v>
      </c>
      <c r="O111" s="3" t="s">
        <v>41</v>
      </c>
      <c r="P111" s="3" t="s">
        <v>42</v>
      </c>
      <c r="Q111" s="3" t="s">
        <v>257</v>
      </c>
      <c r="R111" s="3" t="s">
        <v>44</v>
      </c>
      <c r="S111" s="3" t="s">
        <v>44</v>
      </c>
      <c r="T111" s="3" t="s">
        <v>45</v>
      </c>
      <c r="U111" s="5"/>
      <c r="V111" s="3" t="s">
        <v>110</v>
      </c>
      <c r="W111" s="3" t="s">
        <v>74</v>
      </c>
      <c r="X111" s="3" t="s">
        <v>48</v>
      </c>
      <c r="Y111" s="3" t="s">
        <v>111</v>
      </c>
      <c r="Z111" s="3" t="s">
        <v>111</v>
      </c>
      <c r="AA111" s="5">
        <v>24240</v>
      </c>
      <c r="AB111" s="3" t="s">
        <v>40</v>
      </c>
      <c r="AC111" s="3" t="s">
        <v>50</v>
      </c>
    </row>
    <row r="112" ht="12" customHeight="1" spans="1:29" x14ac:dyDescent="0.25">
      <c r="A112" s="3" t="s">
        <v>263</v>
      </c>
      <c r="B112" s="4" t="s">
        <v>30</v>
      </c>
      <c r="C112" s="3" t="s">
        <v>31</v>
      </c>
      <c r="D112" s="3" t="s">
        <v>32</v>
      </c>
      <c r="E112" s="3" t="s">
        <v>33</v>
      </c>
      <c r="F112" s="3" t="s">
        <v>34</v>
      </c>
      <c r="G112" s="3" t="s">
        <v>35</v>
      </c>
      <c r="H112" s="3" t="s">
        <v>35</v>
      </c>
      <c r="I112" s="3" t="s">
        <v>36</v>
      </c>
      <c r="J112" s="3" t="s">
        <v>36</v>
      </c>
      <c r="K112" s="3" t="s">
        <v>37</v>
      </c>
      <c r="L112" s="3" t="s">
        <v>108</v>
      </c>
      <c r="M112" s="3" t="s">
        <v>39</v>
      </c>
      <c r="N112" s="3" t="s">
        <v>40</v>
      </c>
      <c r="O112" s="3" t="s">
        <v>41</v>
      </c>
      <c r="P112" s="3" t="s">
        <v>42</v>
      </c>
      <c r="Q112" s="3" t="s">
        <v>257</v>
      </c>
      <c r="R112" s="3" t="s">
        <v>44</v>
      </c>
      <c r="S112" s="3" t="s">
        <v>44</v>
      </c>
      <c r="T112" s="3" t="s">
        <v>45</v>
      </c>
      <c r="U112" s="5"/>
      <c r="V112" s="3" t="s">
        <v>110</v>
      </c>
      <c r="W112" s="3" t="s">
        <v>74</v>
      </c>
      <c r="X112" s="3" t="s">
        <v>48</v>
      </c>
      <c r="Y112" s="3" t="s">
        <v>111</v>
      </c>
      <c r="Z112" s="3" t="s">
        <v>111</v>
      </c>
      <c r="AA112" s="5">
        <v>24240</v>
      </c>
      <c r="AB112" s="3" t="s">
        <v>40</v>
      </c>
      <c r="AC112" s="3" t="s">
        <v>50</v>
      </c>
    </row>
    <row r="113" ht="12" customHeight="1" spans="1:29" x14ac:dyDescent="0.25">
      <c r="A113" s="3" t="s">
        <v>264</v>
      </c>
      <c r="B113" s="4" t="s">
        <v>30</v>
      </c>
      <c r="C113" s="3" t="s">
        <v>31</v>
      </c>
      <c r="D113" s="3" t="s">
        <v>32</v>
      </c>
      <c r="E113" s="3" t="s">
        <v>33</v>
      </c>
      <c r="F113" s="3" t="s">
        <v>34</v>
      </c>
      <c r="G113" s="3" t="s">
        <v>35</v>
      </c>
      <c r="H113" s="3" t="s">
        <v>35</v>
      </c>
      <c r="I113" s="3" t="s">
        <v>36</v>
      </c>
      <c r="J113" s="3" t="s">
        <v>36</v>
      </c>
      <c r="K113" s="3" t="s">
        <v>37</v>
      </c>
      <c r="L113" s="3" t="s">
        <v>108</v>
      </c>
      <c r="M113" s="3" t="s">
        <v>39</v>
      </c>
      <c r="N113" s="3" t="s">
        <v>40</v>
      </c>
      <c r="O113" s="3" t="s">
        <v>41</v>
      </c>
      <c r="P113" s="3" t="s">
        <v>42</v>
      </c>
      <c r="Q113" s="3" t="s">
        <v>257</v>
      </c>
      <c r="R113" s="3" t="s">
        <v>44</v>
      </c>
      <c r="S113" s="3" t="s">
        <v>44</v>
      </c>
      <c r="T113" s="3" t="s">
        <v>45</v>
      </c>
      <c r="U113" s="5"/>
      <c r="V113" s="3" t="s">
        <v>110</v>
      </c>
      <c r="W113" s="3" t="s">
        <v>74</v>
      </c>
      <c r="X113" s="3" t="s">
        <v>118</v>
      </c>
      <c r="Y113" s="3" t="s">
        <v>111</v>
      </c>
      <c r="Z113" s="3" t="s">
        <v>111</v>
      </c>
      <c r="AA113" s="5">
        <v>24240</v>
      </c>
      <c r="AB113" s="3" t="s">
        <v>40</v>
      </c>
      <c r="AC113" s="3" t="s">
        <v>50</v>
      </c>
    </row>
    <row r="114" ht="12" customHeight="1" spans="1:29" x14ac:dyDescent="0.25">
      <c r="A114" s="3" t="s">
        <v>265</v>
      </c>
      <c r="B114" s="4" t="s">
        <v>30</v>
      </c>
      <c r="C114" s="3" t="s">
        <v>31</v>
      </c>
      <c r="D114" s="3" t="s">
        <v>32</v>
      </c>
      <c r="E114" s="3" t="s">
        <v>33</v>
      </c>
      <c r="F114" s="3" t="s">
        <v>34</v>
      </c>
      <c r="G114" s="3" t="s">
        <v>52</v>
      </c>
      <c r="H114" s="3" t="s">
        <v>35</v>
      </c>
      <c r="I114" s="3" t="s">
        <v>36</v>
      </c>
      <c r="J114" s="3" t="s">
        <v>36</v>
      </c>
      <c r="K114" s="3" t="s">
        <v>37</v>
      </c>
      <c r="L114" s="3" t="s">
        <v>108</v>
      </c>
      <c r="M114" s="3" t="s">
        <v>39</v>
      </c>
      <c r="N114" s="3" t="s">
        <v>40</v>
      </c>
      <c r="O114" s="3" t="s">
        <v>41</v>
      </c>
      <c r="P114" s="3" t="s">
        <v>42</v>
      </c>
      <c r="Q114" s="3" t="s">
        <v>266</v>
      </c>
      <c r="R114" s="3" t="s">
        <v>44</v>
      </c>
      <c r="S114" s="3" t="s">
        <v>44</v>
      </c>
      <c r="T114" s="3" t="s">
        <v>45</v>
      </c>
      <c r="U114" s="5"/>
      <c r="V114" s="3" t="s">
        <v>110</v>
      </c>
      <c r="W114" s="3" t="s">
        <v>195</v>
      </c>
      <c r="X114" s="3" t="s">
        <v>48</v>
      </c>
      <c r="Y114" s="3" t="s">
        <v>196</v>
      </c>
      <c r="Z114" s="3" t="s">
        <v>196</v>
      </c>
      <c r="AA114" s="5">
        <v>12946.04</v>
      </c>
      <c r="AB114" s="3" t="s">
        <v>40</v>
      </c>
      <c r="AC114" s="3" t="s">
        <v>50</v>
      </c>
    </row>
    <row r="115" ht="12" customHeight="1" spans="1:29" x14ac:dyDescent="0.25">
      <c r="A115" s="3" t="s">
        <v>267</v>
      </c>
      <c r="B115" s="4" t="s">
        <v>30</v>
      </c>
      <c r="C115" s="3" t="s">
        <v>31</v>
      </c>
      <c r="D115" s="3" t="s">
        <v>32</v>
      </c>
      <c r="E115" s="3" t="s">
        <v>268</v>
      </c>
      <c r="F115" s="3" t="s">
        <v>34</v>
      </c>
      <c r="G115" s="3" t="s">
        <v>35</v>
      </c>
      <c r="H115" s="3" t="s">
        <v>35</v>
      </c>
      <c r="I115" s="3" t="s">
        <v>69</v>
      </c>
      <c r="J115" s="3" t="s">
        <v>69</v>
      </c>
      <c r="K115" s="3" t="s">
        <v>37</v>
      </c>
      <c r="L115" s="3" t="s">
        <v>108</v>
      </c>
      <c r="M115" s="3" t="s">
        <v>39</v>
      </c>
      <c r="N115" s="3" t="s">
        <v>40</v>
      </c>
      <c r="O115" s="3" t="s">
        <v>41</v>
      </c>
      <c r="P115" s="3" t="s">
        <v>42</v>
      </c>
      <c r="Q115" s="3" t="s">
        <v>269</v>
      </c>
      <c r="R115" s="3" t="s">
        <v>44</v>
      </c>
      <c r="S115" s="3" t="s">
        <v>44</v>
      </c>
      <c r="T115" s="3" t="s">
        <v>45</v>
      </c>
      <c r="U115" s="5"/>
      <c r="V115" s="3" t="s">
        <v>270</v>
      </c>
      <c r="W115" s="3" t="s">
        <v>271</v>
      </c>
      <c r="X115" s="3" t="s">
        <v>48</v>
      </c>
      <c r="Y115" s="3" t="s">
        <v>272</v>
      </c>
      <c r="Z115" s="3" t="s">
        <v>273</v>
      </c>
      <c r="AA115" s="5">
        <v>24960</v>
      </c>
      <c r="AB115" s="3" t="s">
        <v>40</v>
      </c>
      <c r="AC115" s="3" t="s">
        <v>274</v>
      </c>
    </row>
    <row r="116" ht="12" customHeight="1" spans="1:29" x14ac:dyDescent="0.25">
      <c r="A116" s="3" t="s">
        <v>275</v>
      </c>
      <c r="B116" s="4" t="s">
        <v>30</v>
      </c>
      <c r="C116" s="3" t="s">
        <v>31</v>
      </c>
      <c r="D116" s="3" t="s">
        <v>32</v>
      </c>
      <c r="E116" s="3" t="s">
        <v>95</v>
      </c>
      <c r="F116" s="3" t="s">
        <v>34</v>
      </c>
      <c r="G116" s="3" t="s">
        <v>35</v>
      </c>
      <c r="H116" s="3" t="s">
        <v>35</v>
      </c>
      <c r="I116" s="3" t="s">
        <v>69</v>
      </c>
      <c r="J116" s="3" t="s">
        <v>96</v>
      </c>
      <c r="K116" s="3" t="s">
        <v>37</v>
      </c>
      <c r="L116" s="3" t="s">
        <v>108</v>
      </c>
      <c r="M116" s="3" t="s">
        <v>39</v>
      </c>
      <c r="N116" s="3" t="s">
        <v>40</v>
      </c>
      <c r="O116" s="3" t="s">
        <v>41</v>
      </c>
      <c r="P116" s="3" t="s">
        <v>42</v>
      </c>
      <c r="Q116" s="3" t="s">
        <v>97</v>
      </c>
      <c r="R116" s="3" t="s">
        <v>72</v>
      </c>
      <c r="S116" s="3" t="s">
        <v>44</v>
      </c>
      <c r="T116" s="3" t="s">
        <v>45</v>
      </c>
      <c r="U116" s="5"/>
      <c r="V116" s="3" t="s">
        <v>276</v>
      </c>
      <c r="W116" s="3" t="s">
        <v>99</v>
      </c>
      <c r="X116" s="3" t="s">
        <v>48</v>
      </c>
      <c r="Y116" s="3" t="s">
        <v>100</v>
      </c>
      <c r="Z116" s="3" t="s">
        <v>100</v>
      </c>
      <c r="AA116" s="5">
        <v>21545.1</v>
      </c>
      <c r="AB116" s="3" t="s">
        <v>40</v>
      </c>
      <c r="AC116" s="3" t="s">
        <v>101</v>
      </c>
    </row>
    <row r="117" ht="12" customHeight="1" spans="1:29" x14ac:dyDescent="0.25">
      <c r="A117" s="3" t="s">
        <v>277</v>
      </c>
      <c r="B117" s="4" t="s">
        <v>30</v>
      </c>
      <c r="C117" s="3" t="s">
        <v>31</v>
      </c>
      <c r="D117" s="3" t="s">
        <v>32</v>
      </c>
      <c r="E117" s="3" t="s">
        <v>95</v>
      </c>
      <c r="F117" s="3" t="s">
        <v>34</v>
      </c>
      <c r="G117" s="3" t="s">
        <v>35</v>
      </c>
      <c r="H117" s="3" t="s">
        <v>35</v>
      </c>
      <c r="I117" s="3" t="s">
        <v>69</v>
      </c>
      <c r="J117" s="3" t="s">
        <v>96</v>
      </c>
      <c r="K117" s="3" t="s">
        <v>37</v>
      </c>
      <c r="L117" s="3" t="s">
        <v>108</v>
      </c>
      <c r="M117" s="3" t="s">
        <v>39</v>
      </c>
      <c r="N117" s="3" t="s">
        <v>40</v>
      </c>
      <c r="O117" s="3" t="s">
        <v>41</v>
      </c>
      <c r="P117" s="3" t="s">
        <v>42</v>
      </c>
      <c r="Q117" s="3" t="s">
        <v>97</v>
      </c>
      <c r="R117" s="3" t="s">
        <v>72</v>
      </c>
      <c r="S117" s="3" t="s">
        <v>44</v>
      </c>
      <c r="T117" s="3" t="s">
        <v>45</v>
      </c>
      <c r="U117" s="5"/>
      <c r="V117" s="3" t="s">
        <v>276</v>
      </c>
      <c r="W117" s="3" t="s">
        <v>99</v>
      </c>
      <c r="X117" s="3" t="s">
        <v>48</v>
      </c>
      <c r="Y117" s="3" t="s">
        <v>100</v>
      </c>
      <c r="Z117" s="3" t="s">
        <v>100</v>
      </c>
      <c r="AA117" s="5">
        <v>21555.1</v>
      </c>
      <c r="AB117" s="3" t="s">
        <v>40</v>
      </c>
      <c r="AC117" s="3" t="s">
        <v>101</v>
      </c>
    </row>
    <row r="118" ht="12" customHeight="1" spans="1:29" x14ac:dyDescent="0.25">
      <c r="A118" s="3" t="s">
        <v>278</v>
      </c>
      <c r="B118" s="4" t="s">
        <v>30</v>
      </c>
      <c r="C118" s="3" t="s">
        <v>31</v>
      </c>
      <c r="D118" s="3" t="s">
        <v>32</v>
      </c>
      <c r="E118" s="3" t="s">
        <v>95</v>
      </c>
      <c r="F118" s="3" t="s">
        <v>34</v>
      </c>
      <c r="G118" s="3" t="s">
        <v>35</v>
      </c>
      <c r="H118" s="3" t="s">
        <v>35</v>
      </c>
      <c r="I118" s="3" t="s">
        <v>69</v>
      </c>
      <c r="J118" s="3" t="s">
        <v>279</v>
      </c>
      <c r="K118" s="3" t="s">
        <v>37</v>
      </c>
      <c r="L118" s="3" t="s">
        <v>108</v>
      </c>
      <c r="M118" s="3" t="s">
        <v>39</v>
      </c>
      <c r="N118" s="3" t="s">
        <v>40</v>
      </c>
      <c r="O118" s="3" t="s">
        <v>41</v>
      </c>
      <c r="P118" s="3" t="s">
        <v>42</v>
      </c>
      <c r="Q118" s="3" t="s">
        <v>280</v>
      </c>
      <c r="R118" s="3" t="s">
        <v>72</v>
      </c>
      <c r="S118" s="3" t="s">
        <v>44</v>
      </c>
      <c r="T118" s="3" t="s">
        <v>45</v>
      </c>
      <c r="U118" s="5"/>
      <c r="V118" s="3" t="s">
        <v>281</v>
      </c>
      <c r="W118" s="3" t="s">
        <v>74</v>
      </c>
      <c r="X118" s="3" t="s">
        <v>48</v>
      </c>
      <c r="Y118" s="3" t="s">
        <v>282</v>
      </c>
      <c r="Z118" s="3" t="s">
        <v>282</v>
      </c>
      <c r="AA118" s="5">
        <v>16160</v>
      </c>
      <c r="AB118" s="3" t="s">
        <v>40</v>
      </c>
      <c r="AC118" s="3" t="s">
        <v>283</v>
      </c>
    </row>
    <row r="119" ht="12" customHeight="1" spans="1:29" x14ac:dyDescent="0.25">
      <c r="A119" s="3" t="s">
        <v>284</v>
      </c>
      <c r="B119" s="4" t="s">
        <v>30</v>
      </c>
      <c r="C119" s="3" t="s">
        <v>31</v>
      </c>
      <c r="D119" s="3" t="s">
        <v>32</v>
      </c>
      <c r="E119" s="3" t="s">
        <v>95</v>
      </c>
      <c r="F119" s="3" t="s">
        <v>34</v>
      </c>
      <c r="G119" s="3" t="s">
        <v>35</v>
      </c>
      <c r="H119" s="3" t="s">
        <v>35</v>
      </c>
      <c r="I119" s="3" t="s">
        <v>69</v>
      </c>
      <c r="J119" s="3" t="s">
        <v>279</v>
      </c>
      <c r="K119" s="3" t="s">
        <v>37</v>
      </c>
      <c r="L119" s="3" t="s">
        <v>108</v>
      </c>
      <c r="M119" s="3" t="s">
        <v>39</v>
      </c>
      <c r="N119" s="3" t="s">
        <v>40</v>
      </c>
      <c r="O119" s="3" t="s">
        <v>41</v>
      </c>
      <c r="P119" s="3" t="s">
        <v>42</v>
      </c>
      <c r="Q119" s="3" t="s">
        <v>280</v>
      </c>
      <c r="R119" s="3" t="s">
        <v>72</v>
      </c>
      <c r="S119" s="3" t="s">
        <v>44</v>
      </c>
      <c r="T119" s="3" t="s">
        <v>45</v>
      </c>
      <c r="U119" s="5"/>
      <c r="V119" s="3" t="s">
        <v>281</v>
      </c>
      <c r="W119" s="3" t="s">
        <v>74</v>
      </c>
      <c r="X119" s="3" t="s">
        <v>48</v>
      </c>
      <c r="Y119" s="3" t="s">
        <v>282</v>
      </c>
      <c r="Z119" s="3" t="s">
        <v>282</v>
      </c>
      <c r="AA119" s="5">
        <v>16160</v>
      </c>
      <c r="AB119" s="3" t="s">
        <v>40</v>
      </c>
      <c r="AC119" s="3" t="s">
        <v>283</v>
      </c>
    </row>
    <row r="120" ht="12" customHeight="1" spans="1:29" x14ac:dyDescent="0.25">
      <c r="A120" s="3" t="s">
        <v>285</v>
      </c>
      <c r="B120" s="4" t="s">
        <v>30</v>
      </c>
      <c r="C120" s="3" t="s">
        <v>31</v>
      </c>
      <c r="D120" s="3" t="s">
        <v>32</v>
      </c>
      <c r="E120" s="3" t="s">
        <v>95</v>
      </c>
      <c r="F120" s="3" t="s">
        <v>34</v>
      </c>
      <c r="G120" s="3" t="s">
        <v>35</v>
      </c>
      <c r="H120" s="3" t="s">
        <v>35</v>
      </c>
      <c r="I120" s="3" t="s">
        <v>69</v>
      </c>
      <c r="J120" s="3" t="s">
        <v>279</v>
      </c>
      <c r="K120" s="3" t="s">
        <v>37</v>
      </c>
      <c r="L120" s="3" t="s">
        <v>108</v>
      </c>
      <c r="M120" s="3" t="s">
        <v>39</v>
      </c>
      <c r="N120" s="3" t="s">
        <v>40</v>
      </c>
      <c r="O120" s="3" t="s">
        <v>41</v>
      </c>
      <c r="P120" s="3" t="s">
        <v>42</v>
      </c>
      <c r="Q120" s="3" t="s">
        <v>280</v>
      </c>
      <c r="R120" s="3" t="s">
        <v>72</v>
      </c>
      <c r="S120" s="3" t="s">
        <v>44</v>
      </c>
      <c r="T120" s="3" t="s">
        <v>45</v>
      </c>
      <c r="U120" s="5"/>
      <c r="V120" s="3" t="s">
        <v>281</v>
      </c>
      <c r="W120" s="3" t="s">
        <v>74</v>
      </c>
      <c r="X120" s="3" t="s">
        <v>75</v>
      </c>
      <c r="Y120" s="3" t="s">
        <v>282</v>
      </c>
      <c r="Z120" s="3" t="s">
        <v>282</v>
      </c>
      <c r="AA120" s="5">
        <v>16160</v>
      </c>
      <c r="AB120" s="3" t="s">
        <v>40</v>
      </c>
      <c r="AC120" s="3" t="s">
        <v>283</v>
      </c>
    </row>
    <row r="121" ht="12" customHeight="1" spans="1:29" x14ac:dyDescent="0.25">
      <c r="A121" s="3" t="s">
        <v>286</v>
      </c>
      <c r="B121" s="4" t="s">
        <v>30</v>
      </c>
      <c r="C121" s="3" t="s">
        <v>31</v>
      </c>
      <c r="D121" s="3" t="s">
        <v>32</v>
      </c>
      <c r="E121" s="3" t="s">
        <v>95</v>
      </c>
      <c r="F121" s="3" t="s">
        <v>34</v>
      </c>
      <c r="G121" s="3" t="s">
        <v>35</v>
      </c>
      <c r="H121" s="3" t="s">
        <v>35</v>
      </c>
      <c r="I121" s="3" t="s">
        <v>69</v>
      </c>
      <c r="J121" s="3" t="s">
        <v>279</v>
      </c>
      <c r="K121" s="3" t="s">
        <v>37</v>
      </c>
      <c r="L121" s="3" t="s">
        <v>108</v>
      </c>
      <c r="M121" s="3" t="s">
        <v>39</v>
      </c>
      <c r="N121" s="3" t="s">
        <v>40</v>
      </c>
      <c r="O121" s="3" t="s">
        <v>41</v>
      </c>
      <c r="P121" s="3" t="s">
        <v>42</v>
      </c>
      <c r="Q121" s="3" t="s">
        <v>280</v>
      </c>
      <c r="R121" s="3" t="s">
        <v>72</v>
      </c>
      <c r="S121" s="3" t="s">
        <v>44</v>
      </c>
      <c r="T121" s="3" t="s">
        <v>45</v>
      </c>
      <c r="U121" s="5"/>
      <c r="V121" s="3" t="s">
        <v>281</v>
      </c>
      <c r="W121" s="3" t="s">
        <v>74</v>
      </c>
      <c r="X121" s="3" t="s">
        <v>48</v>
      </c>
      <c r="Y121" s="3" t="s">
        <v>282</v>
      </c>
      <c r="Z121" s="3" t="s">
        <v>282</v>
      </c>
      <c r="AA121" s="5">
        <v>16160</v>
      </c>
      <c r="AB121" s="3" t="s">
        <v>40</v>
      </c>
      <c r="AC121" s="3" t="s">
        <v>283</v>
      </c>
    </row>
    <row r="122" ht="12" customHeight="1" spans="1:29" x14ac:dyDescent="0.25">
      <c r="A122" s="3" t="s">
        <v>287</v>
      </c>
      <c r="B122" s="4" t="s">
        <v>30</v>
      </c>
      <c r="C122" s="3" t="s">
        <v>31</v>
      </c>
      <c r="D122" s="3" t="s">
        <v>32</v>
      </c>
      <c r="E122" s="3" t="s">
        <v>95</v>
      </c>
      <c r="F122" s="3" t="s">
        <v>34</v>
      </c>
      <c r="G122" s="3" t="s">
        <v>35</v>
      </c>
      <c r="H122" s="3" t="s">
        <v>35</v>
      </c>
      <c r="I122" s="3" t="s">
        <v>69</v>
      </c>
      <c r="J122" s="3" t="s">
        <v>279</v>
      </c>
      <c r="K122" s="3" t="s">
        <v>37</v>
      </c>
      <c r="L122" s="3" t="s">
        <v>108</v>
      </c>
      <c r="M122" s="3" t="s">
        <v>39</v>
      </c>
      <c r="N122" s="3" t="s">
        <v>40</v>
      </c>
      <c r="O122" s="3" t="s">
        <v>41</v>
      </c>
      <c r="P122" s="3" t="s">
        <v>42</v>
      </c>
      <c r="Q122" s="3" t="s">
        <v>280</v>
      </c>
      <c r="R122" s="3" t="s">
        <v>72</v>
      </c>
      <c r="S122" s="3" t="s">
        <v>44</v>
      </c>
      <c r="T122" s="3" t="s">
        <v>45</v>
      </c>
      <c r="U122" s="5"/>
      <c r="V122" s="3" t="s">
        <v>281</v>
      </c>
      <c r="W122" s="3" t="s">
        <v>74</v>
      </c>
      <c r="X122" s="3" t="s">
        <v>48</v>
      </c>
      <c r="Y122" s="3" t="s">
        <v>282</v>
      </c>
      <c r="Z122" s="3" t="s">
        <v>282</v>
      </c>
      <c r="AA122" s="5">
        <v>16160</v>
      </c>
      <c r="AB122" s="3" t="s">
        <v>40</v>
      </c>
      <c r="AC122" s="3" t="s">
        <v>283</v>
      </c>
    </row>
    <row r="123" ht="12" customHeight="1" spans="1:29" x14ac:dyDescent="0.25">
      <c r="A123" s="3" t="s">
        <v>288</v>
      </c>
      <c r="B123" s="4" t="s">
        <v>30</v>
      </c>
      <c r="C123" s="3" t="s">
        <v>31</v>
      </c>
      <c r="D123" s="3" t="s">
        <v>32</v>
      </c>
      <c r="E123" s="3" t="s">
        <v>95</v>
      </c>
      <c r="F123" s="3" t="s">
        <v>34</v>
      </c>
      <c r="G123" s="3" t="s">
        <v>35</v>
      </c>
      <c r="H123" s="3" t="s">
        <v>35</v>
      </c>
      <c r="I123" s="3" t="s">
        <v>69</v>
      </c>
      <c r="J123" s="3" t="s">
        <v>96</v>
      </c>
      <c r="K123" s="3" t="s">
        <v>37</v>
      </c>
      <c r="L123" s="3" t="s">
        <v>108</v>
      </c>
      <c r="M123" s="3" t="s">
        <v>39</v>
      </c>
      <c r="N123" s="3" t="s">
        <v>40</v>
      </c>
      <c r="O123" s="3" t="s">
        <v>41</v>
      </c>
      <c r="P123" s="3" t="s">
        <v>42</v>
      </c>
      <c r="Q123" s="3" t="s">
        <v>97</v>
      </c>
      <c r="R123" s="3" t="s">
        <v>72</v>
      </c>
      <c r="S123" s="3" t="s">
        <v>44</v>
      </c>
      <c r="T123" s="3" t="s">
        <v>45</v>
      </c>
      <c r="U123" s="5"/>
      <c r="V123" s="3" t="s">
        <v>281</v>
      </c>
      <c r="W123" s="3" t="s">
        <v>99</v>
      </c>
      <c r="X123" s="3" t="s">
        <v>48</v>
      </c>
      <c r="Y123" s="3" t="s">
        <v>100</v>
      </c>
      <c r="Z123" s="3" t="s">
        <v>100</v>
      </c>
      <c r="AA123" s="5">
        <v>21545.1</v>
      </c>
      <c r="AB123" s="3" t="s">
        <v>40</v>
      </c>
      <c r="AC123" s="3" t="s">
        <v>101</v>
      </c>
    </row>
    <row r="124" ht="12" customHeight="1" spans="1:29" x14ac:dyDescent="0.25">
      <c r="A124" s="3" t="s">
        <v>289</v>
      </c>
      <c r="B124" s="4" t="s">
        <v>30</v>
      </c>
      <c r="C124" s="3" t="s">
        <v>31</v>
      </c>
      <c r="D124" s="3" t="s">
        <v>32</v>
      </c>
      <c r="E124" s="3" t="s">
        <v>95</v>
      </c>
      <c r="F124" s="3" t="s">
        <v>34</v>
      </c>
      <c r="G124" s="3" t="s">
        <v>35</v>
      </c>
      <c r="H124" s="3" t="s">
        <v>35</v>
      </c>
      <c r="I124" s="3" t="s">
        <v>69</v>
      </c>
      <c r="J124" s="3" t="s">
        <v>96</v>
      </c>
      <c r="K124" s="3" t="s">
        <v>37</v>
      </c>
      <c r="L124" s="3" t="s">
        <v>108</v>
      </c>
      <c r="M124" s="3" t="s">
        <v>39</v>
      </c>
      <c r="N124" s="3" t="s">
        <v>40</v>
      </c>
      <c r="O124" s="3" t="s">
        <v>41</v>
      </c>
      <c r="P124" s="3" t="s">
        <v>42</v>
      </c>
      <c r="Q124" s="3" t="s">
        <v>97</v>
      </c>
      <c r="R124" s="3" t="s">
        <v>72</v>
      </c>
      <c r="S124" s="3" t="s">
        <v>44</v>
      </c>
      <c r="T124" s="3" t="s">
        <v>45</v>
      </c>
      <c r="U124" s="5"/>
      <c r="V124" s="3" t="s">
        <v>281</v>
      </c>
      <c r="W124" s="3" t="s">
        <v>99</v>
      </c>
      <c r="X124" s="3" t="s">
        <v>75</v>
      </c>
      <c r="Y124" s="3" t="s">
        <v>100</v>
      </c>
      <c r="Z124" s="3" t="s">
        <v>100</v>
      </c>
      <c r="AA124" s="5">
        <v>21545.1</v>
      </c>
      <c r="AB124" s="3" t="s">
        <v>40</v>
      </c>
      <c r="AC124" s="3" t="s">
        <v>101</v>
      </c>
    </row>
    <row r="125" ht="12" customHeight="1" spans="1:29" x14ac:dyDescent="0.25">
      <c r="A125" s="3" t="s">
        <v>290</v>
      </c>
      <c r="B125" s="4" t="s">
        <v>30</v>
      </c>
      <c r="C125" s="3" t="s">
        <v>31</v>
      </c>
      <c r="D125" s="3" t="s">
        <v>32</v>
      </c>
      <c r="E125" s="3" t="s">
        <v>95</v>
      </c>
      <c r="F125" s="3" t="s">
        <v>34</v>
      </c>
      <c r="G125" s="3" t="s">
        <v>35</v>
      </c>
      <c r="H125" s="3" t="s">
        <v>35</v>
      </c>
      <c r="I125" s="3" t="s">
        <v>69</v>
      </c>
      <c r="J125" s="3" t="s">
        <v>96</v>
      </c>
      <c r="K125" s="3" t="s">
        <v>37</v>
      </c>
      <c r="L125" s="3" t="s">
        <v>108</v>
      </c>
      <c r="M125" s="3" t="s">
        <v>39</v>
      </c>
      <c r="N125" s="3" t="s">
        <v>40</v>
      </c>
      <c r="O125" s="3" t="s">
        <v>41</v>
      </c>
      <c r="P125" s="3" t="s">
        <v>42</v>
      </c>
      <c r="Q125" s="3" t="s">
        <v>97</v>
      </c>
      <c r="R125" s="3" t="s">
        <v>72</v>
      </c>
      <c r="S125" s="3" t="s">
        <v>44</v>
      </c>
      <c r="T125" s="3" t="s">
        <v>45</v>
      </c>
      <c r="U125" s="5"/>
      <c r="V125" s="3" t="s">
        <v>281</v>
      </c>
      <c r="W125" s="3" t="s">
        <v>99</v>
      </c>
      <c r="X125" s="3" t="s">
        <v>48</v>
      </c>
      <c r="Y125" s="3" t="s">
        <v>100</v>
      </c>
      <c r="Z125" s="3" t="s">
        <v>100</v>
      </c>
      <c r="AA125" s="5">
        <v>21535.1</v>
      </c>
      <c r="AB125" s="3" t="s">
        <v>40</v>
      </c>
      <c r="AC125" s="3" t="s">
        <v>101</v>
      </c>
    </row>
    <row r="126" ht="12" customHeight="1" spans="1:29" x14ac:dyDescent="0.25">
      <c r="A126" s="3" t="s">
        <v>291</v>
      </c>
      <c r="B126" s="4" t="s">
        <v>30</v>
      </c>
      <c r="C126" s="3" t="s">
        <v>31</v>
      </c>
      <c r="D126" s="3" t="s">
        <v>32</v>
      </c>
      <c r="E126" s="3" t="s">
        <v>95</v>
      </c>
      <c r="F126" s="3" t="s">
        <v>34</v>
      </c>
      <c r="G126" s="3" t="s">
        <v>35</v>
      </c>
      <c r="H126" s="3" t="s">
        <v>35</v>
      </c>
      <c r="I126" s="3" t="s">
        <v>69</v>
      </c>
      <c r="J126" s="3" t="s">
        <v>96</v>
      </c>
      <c r="K126" s="3" t="s">
        <v>37</v>
      </c>
      <c r="L126" s="3" t="s">
        <v>108</v>
      </c>
      <c r="M126" s="3" t="s">
        <v>39</v>
      </c>
      <c r="N126" s="3" t="s">
        <v>40</v>
      </c>
      <c r="O126" s="3" t="s">
        <v>41</v>
      </c>
      <c r="P126" s="3" t="s">
        <v>42</v>
      </c>
      <c r="Q126" s="3" t="s">
        <v>97</v>
      </c>
      <c r="R126" s="3" t="s">
        <v>72</v>
      </c>
      <c r="S126" s="3" t="s">
        <v>44</v>
      </c>
      <c r="T126" s="3" t="s">
        <v>45</v>
      </c>
      <c r="U126" s="5"/>
      <c r="V126" s="3" t="s">
        <v>281</v>
      </c>
      <c r="W126" s="3" t="s">
        <v>99</v>
      </c>
      <c r="X126" s="3" t="s">
        <v>75</v>
      </c>
      <c r="Y126" s="3" t="s">
        <v>100</v>
      </c>
      <c r="Z126" s="3" t="s">
        <v>100</v>
      </c>
      <c r="AA126" s="5">
        <v>21555.1</v>
      </c>
      <c r="AB126" s="3" t="s">
        <v>40</v>
      </c>
      <c r="AC126" s="3" t="s">
        <v>101</v>
      </c>
    </row>
    <row r="127" ht="12" customHeight="1" spans="1:29" x14ac:dyDescent="0.25">
      <c r="A127" s="3" t="s">
        <v>292</v>
      </c>
      <c r="B127" s="4" t="s">
        <v>30</v>
      </c>
      <c r="C127" s="3" t="s">
        <v>31</v>
      </c>
      <c r="D127" s="3" t="s">
        <v>32</v>
      </c>
      <c r="E127" s="3" t="s">
        <v>95</v>
      </c>
      <c r="F127" s="3" t="s">
        <v>34</v>
      </c>
      <c r="G127" s="3" t="s">
        <v>35</v>
      </c>
      <c r="H127" s="3" t="s">
        <v>35</v>
      </c>
      <c r="I127" s="3" t="s">
        <v>69</v>
      </c>
      <c r="J127" s="3" t="s">
        <v>96</v>
      </c>
      <c r="K127" s="3" t="s">
        <v>37</v>
      </c>
      <c r="L127" s="3" t="s">
        <v>108</v>
      </c>
      <c r="M127" s="3" t="s">
        <v>39</v>
      </c>
      <c r="N127" s="3" t="s">
        <v>40</v>
      </c>
      <c r="O127" s="3" t="s">
        <v>41</v>
      </c>
      <c r="P127" s="3" t="s">
        <v>42</v>
      </c>
      <c r="Q127" s="3" t="s">
        <v>97</v>
      </c>
      <c r="R127" s="3" t="s">
        <v>72</v>
      </c>
      <c r="S127" s="3" t="s">
        <v>44</v>
      </c>
      <c r="T127" s="3" t="s">
        <v>45</v>
      </c>
      <c r="U127" s="5"/>
      <c r="V127" s="3" t="s">
        <v>281</v>
      </c>
      <c r="W127" s="3" t="s">
        <v>99</v>
      </c>
      <c r="X127" s="3" t="s">
        <v>48</v>
      </c>
      <c r="Y127" s="3" t="s">
        <v>100</v>
      </c>
      <c r="Z127" s="3" t="s">
        <v>100</v>
      </c>
      <c r="AA127" s="5">
        <v>21565.1</v>
      </c>
      <c r="AB127" s="3" t="s">
        <v>40</v>
      </c>
      <c r="AC127" s="3" t="s">
        <v>101</v>
      </c>
    </row>
    <row r="128" ht="12" customHeight="1" spans="1:29" x14ac:dyDescent="0.25">
      <c r="A128" s="3" t="s">
        <v>293</v>
      </c>
      <c r="B128" s="4" t="s">
        <v>30</v>
      </c>
      <c r="C128" s="3" t="s">
        <v>31</v>
      </c>
      <c r="D128" s="3" t="s">
        <v>32</v>
      </c>
      <c r="E128" s="3" t="s">
        <v>95</v>
      </c>
      <c r="F128" s="3" t="s">
        <v>34</v>
      </c>
      <c r="G128" s="3" t="s">
        <v>35</v>
      </c>
      <c r="H128" s="3" t="s">
        <v>35</v>
      </c>
      <c r="I128" s="3" t="s">
        <v>69</v>
      </c>
      <c r="J128" s="3" t="s">
        <v>96</v>
      </c>
      <c r="K128" s="3" t="s">
        <v>37</v>
      </c>
      <c r="L128" s="3" t="s">
        <v>108</v>
      </c>
      <c r="M128" s="3" t="s">
        <v>39</v>
      </c>
      <c r="N128" s="3" t="s">
        <v>40</v>
      </c>
      <c r="O128" s="3" t="s">
        <v>41</v>
      </c>
      <c r="P128" s="3" t="s">
        <v>42</v>
      </c>
      <c r="Q128" s="3" t="s">
        <v>97</v>
      </c>
      <c r="R128" s="3" t="s">
        <v>72</v>
      </c>
      <c r="S128" s="3" t="s">
        <v>44</v>
      </c>
      <c r="T128" s="3" t="s">
        <v>45</v>
      </c>
      <c r="U128" s="5"/>
      <c r="V128" s="3" t="s">
        <v>281</v>
      </c>
      <c r="W128" s="3" t="s">
        <v>99</v>
      </c>
      <c r="X128" s="3" t="s">
        <v>75</v>
      </c>
      <c r="Y128" s="3" t="s">
        <v>100</v>
      </c>
      <c r="Z128" s="3" t="s">
        <v>100</v>
      </c>
      <c r="AA128" s="5">
        <v>21565.1</v>
      </c>
      <c r="AB128" s="3" t="s">
        <v>40</v>
      </c>
      <c r="AC128" s="3" t="s">
        <v>101</v>
      </c>
    </row>
    <row r="129" ht="12" customHeight="1" spans="1:29" x14ac:dyDescent="0.25">
      <c r="A129" s="3" t="s">
        <v>294</v>
      </c>
      <c r="B129" s="4" t="s">
        <v>30</v>
      </c>
      <c r="C129" s="3" t="s">
        <v>31</v>
      </c>
      <c r="D129" s="3" t="s">
        <v>32</v>
      </c>
      <c r="E129" s="3" t="s">
        <v>95</v>
      </c>
      <c r="F129" s="3" t="s">
        <v>34</v>
      </c>
      <c r="G129" s="3" t="s">
        <v>35</v>
      </c>
      <c r="H129" s="3" t="s">
        <v>35</v>
      </c>
      <c r="I129" s="3" t="s">
        <v>69</v>
      </c>
      <c r="J129" s="3" t="s">
        <v>96</v>
      </c>
      <c r="K129" s="3" t="s">
        <v>37</v>
      </c>
      <c r="L129" s="3" t="s">
        <v>108</v>
      </c>
      <c r="M129" s="3" t="s">
        <v>39</v>
      </c>
      <c r="N129" s="3" t="s">
        <v>40</v>
      </c>
      <c r="O129" s="3" t="s">
        <v>41</v>
      </c>
      <c r="P129" s="3" t="s">
        <v>42</v>
      </c>
      <c r="Q129" s="3" t="s">
        <v>97</v>
      </c>
      <c r="R129" s="3" t="s">
        <v>72</v>
      </c>
      <c r="S129" s="3" t="s">
        <v>44</v>
      </c>
      <c r="T129" s="3" t="s">
        <v>45</v>
      </c>
      <c r="U129" s="5"/>
      <c r="V129" s="3" t="s">
        <v>281</v>
      </c>
      <c r="W129" s="3" t="s">
        <v>99</v>
      </c>
      <c r="X129" s="3" t="s">
        <v>75</v>
      </c>
      <c r="Y129" s="3" t="s">
        <v>100</v>
      </c>
      <c r="Z129" s="3" t="s">
        <v>100</v>
      </c>
      <c r="AA129" s="5">
        <v>21535.1</v>
      </c>
      <c r="AB129" s="3" t="s">
        <v>40</v>
      </c>
      <c r="AC129" s="3" t="s">
        <v>101</v>
      </c>
    </row>
    <row r="130" ht="12" customHeight="1" spans="1:29" x14ac:dyDescent="0.25">
      <c r="A130" s="3" t="s">
        <v>295</v>
      </c>
      <c r="B130" s="4" t="s">
        <v>30</v>
      </c>
      <c r="C130" s="3" t="s">
        <v>31</v>
      </c>
      <c r="D130" s="3" t="s">
        <v>32</v>
      </c>
      <c r="E130" s="3" t="s">
        <v>95</v>
      </c>
      <c r="F130" s="3" t="s">
        <v>34</v>
      </c>
      <c r="G130" s="3" t="s">
        <v>35</v>
      </c>
      <c r="H130" s="3" t="s">
        <v>35</v>
      </c>
      <c r="I130" s="3" t="s">
        <v>36</v>
      </c>
      <c r="J130" s="3" t="s">
        <v>36</v>
      </c>
      <c r="K130" s="3" t="s">
        <v>37</v>
      </c>
      <c r="L130" s="3" t="s">
        <v>108</v>
      </c>
      <c r="M130" s="3" t="s">
        <v>39</v>
      </c>
      <c r="N130" s="3" t="s">
        <v>40</v>
      </c>
      <c r="O130" s="3" t="s">
        <v>41</v>
      </c>
      <c r="P130" s="3" t="s">
        <v>42</v>
      </c>
      <c r="Q130" s="3" t="s">
        <v>296</v>
      </c>
      <c r="R130" s="3" t="s">
        <v>44</v>
      </c>
      <c r="S130" s="3" t="s">
        <v>44</v>
      </c>
      <c r="T130" s="3" t="s">
        <v>45</v>
      </c>
      <c r="U130" s="5"/>
      <c r="V130" s="3" t="s">
        <v>281</v>
      </c>
      <c r="W130" s="3" t="s">
        <v>47</v>
      </c>
      <c r="X130" s="3" t="s">
        <v>75</v>
      </c>
      <c r="Y130" s="3" t="s">
        <v>297</v>
      </c>
      <c r="Z130" s="3" t="s">
        <v>297</v>
      </c>
      <c r="AA130" s="5">
        <v>24960</v>
      </c>
      <c r="AB130" s="3" t="s">
        <v>40</v>
      </c>
      <c r="AC130" s="3" t="s">
        <v>50</v>
      </c>
    </row>
    <row r="131" ht="12" customHeight="1" spans="1:29" x14ac:dyDescent="0.25">
      <c r="A131" s="3" t="s">
        <v>298</v>
      </c>
      <c r="B131" s="4" t="s">
        <v>30</v>
      </c>
      <c r="C131" s="3" t="s">
        <v>31</v>
      </c>
      <c r="D131" s="3" t="s">
        <v>32</v>
      </c>
      <c r="E131" s="3" t="s">
        <v>95</v>
      </c>
      <c r="F131" s="3" t="s">
        <v>34</v>
      </c>
      <c r="G131" s="3" t="s">
        <v>35</v>
      </c>
      <c r="H131" s="3" t="s">
        <v>35</v>
      </c>
      <c r="I131" s="3" t="s">
        <v>69</v>
      </c>
      <c r="J131" s="3" t="s">
        <v>96</v>
      </c>
      <c r="K131" s="3" t="s">
        <v>37</v>
      </c>
      <c r="L131" s="3" t="s">
        <v>108</v>
      </c>
      <c r="M131" s="3" t="s">
        <v>39</v>
      </c>
      <c r="N131" s="3" t="s">
        <v>40</v>
      </c>
      <c r="O131" s="3" t="s">
        <v>41</v>
      </c>
      <c r="P131" s="3" t="s">
        <v>42</v>
      </c>
      <c r="Q131" s="3" t="s">
        <v>97</v>
      </c>
      <c r="R131" s="3" t="s">
        <v>72</v>
      </c>
      <c r="S131" s="3" t="s">
        <v>44</v>
      </c>
      <c r="T131" s="3" t="s">
        <v>45</v>
      </c>
      <c r="U131" s="5"/>
      <c r="V131" s="3" t="s">
        <v>281</v>
      </c>
      <c r="W131" s="3" t="s">
        <v>99</v>
      </c>
      <c r="X131" s="3" t="s">
        <v>48</v>
      </c>
      <c r="Y131" s="3" t="s">
        <v>100</v>
      </c>
      <c r="Z131" s="3" t="s">
        <v>100</v>
      </c>
      <c r="AA131" s="5">
        <v>21565.1</v>
      </c>
      <c r="AB131" s="3" t="s">
        <v>40</v>
      </c>
      <c r="AC131" s="3" t="s">
        <v>101</v>
      </c>
    </row>
    <row r="132" ht="12" customHeight="1" spans="1:29" x14ac:dyDescent="0.25">
      <c r="A132" s="3" t="s">
        <v>299</v>
      </c>
      <c r="B132" s="4" t="s">
        <v>30</v>
      </c>
      <c r="C132" s="3" t="s">
        <v>31</v>
      </c>
      <c r="D132" s="3" t="s">
        <v>32</v>
      </c>
      <c r="E132" s="3" t="s">
        <v>95</v>
      </c>
      <c r="F132" s="3" t="s">
        <v>34</v>
      </c>
      <c r="G132" s="3" t="s">
        <v>35</v>
      </c>
      <c r="H132" s="3" t="s">
        <v>35</v>
      </c>
      <c r="I132" s="3" t="s">
        <v>69</v>
      </c>
      <c r="J132" s="3" t="s">
        <v>96</v>
      </c>
      <c r="K132" s="3" t="s">
        <v>37</v>
      </c>
      <c r="L132" s="3" t="s">
        <v>108</v>
      </c>
      <c r="M132" s="3" t="s">
        <v>39</v>
      </c>
      <c r="N132" s="3" t="s">
        <v>40</v>
      </c>
      <c r="O132" s="3" t="s">
        <v>41</v>
      </c>
      <c r="P132" s="3" t="s">
        <v>42</v>
      </c>
      <c r="Q132" s="3" t="s">
        <v>97</v>
      </c>
      <c r="R132" s="3" t="s">
        <v>72</v>
      </c>
      <c r="S132" s="3" t="s">
        <v>44</v>
      </c>
      <c r="T132" s="3" t="s">
        <v>45</v>
      </c>
      <c r="U132" s="5"/>
      <c r="V132" s="3" t="s">
        <v>281</v>
      </c>
      <c r="W132" s="3" t="s">
        <v>99</v>
      </c>
      <c r="X132" s="3" t="s">
        <v>75</v>
      </c>
      <c r="Y132" s="3" t="s">
        <v>100</v>
      </c>
      <c r="Z132" s="3" t="s">
        <v>100</v>
      </c>
      <c r="AA132" s="5">
        <v>21545.1</v>
      </c>
      <c r="AB132" s="3" t="s">
        <v>40</v>
      </c>
      <c r="AC132" s="3" t="s">
        <v>101</v>
      </c>
    </row>
    <row r="133" ht="12" customHeight="1" spans="1:29" x14ac:dyDescent="0.25">
      <c r="A133" s="3" t="s">
        <v>300</v>
      </c>
      <c r="B133" s="4" t="s">
        <v>30</v>
      </c>
      <c r="C133" s="3" t="s">
        <v>31</v>
      </c>
      <c r="D133" s="3" t="s">
        <v>32</v>
      </c>
      <c r="E133" s="3" t="s">
        <v>95</v>
      </c>
      <c r="F133" s="3" t="s">
        <v>34</v>
      </c>
      <c r="G133" s="3" t="s">
        <v>35</v>
      </c>
      <c r="H133" s="3" t="s">
        <v>35</v>
      </c>
      <c r="I133" s="3" t="s">
        <v>69</v>
      </c>
      <c r="J133" s="3" t="s">
        <v>96</v>
      </c>
      <c r="K133" s="3" t="s">
        <v>37</v>
      </c>
      <c r="L133" s="3" t="s">
        <v>108</v>
      </c>
      <c r="M133" s="3" t="s">
        <v>39</v>
      </c>
      <c r="N133" s="3" t="s">
        <v>40</v>
      </c>
      <c r="O133" s="3" t="s">
        <v>41</v>
      </c>
      <c r="P133" s="3" t="s">
        <v>42</v>
      </c>
      <c r="Q133" s="3" t="s">
        <v>97</v>
      </c>
      <c r="R133" s="3" t="s">
        <v>72</v>
      </c>
      <c r="S133" s="3" t="s">
        <v>44</v>
      </c>
      <c r="T133" s="3" t="s">
        <v>45</v>
      </c>
      <c r="U133" s="5"/>
      <c r="V133" s="3" t="s">
        <v>281</v>
      </c>
      <c r="W133" s="3" t="s">
        <v>99</v>
      </c>
      <c r="X133" s="3" t="s">
        <v>48</v>
      </c>
      <c r="Y133" s="3" t="s">
        <v>100</v>
      </c>
      <c r="Z133" s="3" t="s">
        <v>100</v>
      </c>
      <c r="AA133" s="5">
        <v>21545.1</v>
      </c>
      <c r="AB133" s="3" t="s">
        <v>40</v>
      </c>
      <c r="AC133" s="3" t="s">
        <v>101</v>
      </c>
    </row>
    <row r="134" ht="12" customHeight="1" spans="1:29" x14ac:dyDescent="0.25">
      <c r="A134" s="3" t="s">
        <v>301</v>
      </c>
      <c r="B134" s="4" t="s">
        <v>30</v>
      </c>
      <c r="C134" s="3" t="s">
        <v>31</v>
      </c>
      <c r="D134" s="3" t="s">
        <v>32</v>
      </c>
      <c r="E134" s="3" t="s">
        <v>95</v>
      </c>
      <c r="F134" s="3" t="s">
        <v>34</v>
      </c>
      <c r="G134" s="3" t="s">
        <v>35</v>
      </c>
      <c r="H134" s="3" t="s">
        <v>35</v>
      </c>
      <c r="I134" s="3" t="s">
        <v>69</v>
      </c>
      <c r="J134" s="3" t="s">
        <v>96</v>
      </c>
      <c r="K134" s="3" t="s">
        <v>37</v>
      </c>
      <c r="L134" s="3" t="s">
        <v>108</v>
      </c>
      <c r="M134" s="3" t="s">
        <v>39</v>
      </c>
      <c r="N134" s="3" t="s">
        <v>40</v>
      </c>
      <c r="O134" s="3" t="s">
        <v>41</v>
      </c>
      <c r="P134" s="3" t="s">
        <v>42</v>
      </c>
      <c r="Q134" s="3" t="s">
        <v>97</v>
      </c>
      <c r="R134" s="3" t="s">
        <v>72</v>
      </c>
      <c r="S134" s="3" t="s">
        <v>44</v>
      </c>
      <c r="T134" s="3" t="s">
        <v>45</v>
      </c>
      <c r="U134" s="5"/>
      <c r="V134" s="3" t="s">
        <v>281</v>
      </c>
      <c r="W134" s="3" t="s">
        <v>99</v>
      </c>
      <c r="X134" s="3" t="s">
        <v>48</v>
      </c>
      <c r="Y134" s="3" t="s">
        <v>100</v>
      </c>
      <c r="Z134" s="3" t="s">
        <v>100</v>
      </c>
      <c r="AA134" s="5">
        <v>21555.1</v>
      </c>
      <c r="AB134" s="3" t="s">
        <v>40</v>
      </c>
      <c r="AC134" s="3" t="s">
        <v>101</v>
      </c>
    </row>
    <row r="135" ht="12" customHeight="1" spans="1:29" x14ac:dyDescent="0.25">
      <c r="A135" s="3" t="s">
        <v>302</v>
      </c>
      <c r="B135" s="4" t="s">
        <v>30</v>
      </c>
      <c r="C135" s="3" t="s">
        <v>31</v>
      </c>
      <c r="D135" s="3" t="s">
        <v>32</v>
      </c>
      <c r="E135" s="3" t="s">
        <v>95</v>
      </c>
      <c r="F135" s="3" t="s">
        <v>34</v>
      </c>
      <c r="G135" s="3" t="s">
        <v>35</v>
      </c>
      <c r="H135" s="3" t="s">
        <v>35</v>
      </c>
      <c r="I135" s="3" t="s">
        <v>69</v>
      </c>
      <c r="J135" s="3" t="s">
        <v>96</v>
      </c>
      <c r="K135" s="3" t="s">
        <v>37</v>
      </c>
      <c r="L135" s="3" t="s">
        <v>108</v>
      </c>
      <c r="M135" s="3" t="s">
        <v>39</v>
      </c>
      <c r="N135" s="3" t="s">
        <v>40</v>
      </c>
      <c r="O135" s="3" t="s">
        <v>41</v>
      </c>
      <c r="P135" s="3" t="s">
        <v>42</v>
      </c>
      <c r="Q135" s="3" t="s">
        <v>97</v>
      </c>
      <c r="R135" s="3" t="s">
        <v>72</v>
      </c>
      <c r="S135" s="3" t="s">
        <v>44</v>
      </c>
      <c r="T135" s="3" t="s">
        <v>45</v>
      </c>
      <c r="U135" s="5"/>
      <c r="V135" s="3" t="s">
        <v>281</v>
      </c>
      <c r="W135" s="3" t="s">
        <v>99</v>
      </c>
      <c r="X135" s="3" t="s">
        <v>75</v>
      </c>
      <c r="Y135" s="3" t="s">
        <v>100</v>
      </c>
      <c r="Z135" s="3" t="s">
        <v>100</v>
      </c>
      <c r="AA135" s="5">
        <v>21545.1</v>
      </c>
      <c r="AB135" s="3" t="s">
        <v>40</v>
      </c>
      <c r="AC135" s="3" t="s">
        <v>101</v>
      </c>
    </row>
    <row r="136" ht="12" customHeight="1" spans="1:29" x14ac:dyDescent="0.25">
      <c r="A136" s="3" t="s">
        <v>303</v>
      </c>
      <c r="B136" s="4" t="s">
        <v>30</v>
      </c>
      <c r="C136" s="3" t="s">
        <v>31</v>
      </c>
      <c r="D136" s="3" t="s">
        <v>32</v>
      </c>
      <c r="E136" s="3" t="s">
        <v>95</v>
      </c>
      <c r="F136" s="3" t="s">
        <v>34</v>
      </c>
      <c r="G136" s="3" t="s">
        <v>35</v>
      </c>
      <c r="H136" s="3" t="s">
        <v>35</v>
      </c>
      <c r="I136" s="3" t="s">
        <v>69</v>
      </c>
      <c r="J136" s="3" t="s">
        <v>96</v>
      </c>
      <c r="K136" s="3" t="s">
        <v>37</v>
      </c>
      <c r="L136" s="3" t="s">
        <v>108</v>
      </c>
      <c r="M136" s="3" t="s">
        <v>39</v>
      </c>
      <c r="N136" s="3" t="s">
        <v>40</v>
      </c>
      <c r="O136" s="3" t="s">
        <v>41</v>
      </c>
      <c r="P136" s="3" t="s">
        <v>42</v>
      </c>
      <c r="Q136" s="3" t="s">
        <v>97</v>
      </c>
      <c r="R136" s="3" t="s">
        <v>72</v>
      </c>
      <c r="S136" s="3" t="s">
        <v>44</v>
      </c>
      <c r="T136" s="3" t="s">
        <v>45</v>
      </c>
      <c r="U136" s="5"/>
      <c r="V136" s="3" t="s">
        <v>281</v>
      </c>
      <c r="W136" s="3" t="s">
        <v>99</v>
      </c>
      <c r="X136" s="3" t="s">
        <v>75</v>
      </c>
      <c r="Y136" s="3" t="s">
        <v>100</v>
      </c>
      <c r="Z136" s="3" t="s">
        <v>100</v>
      </c>
      <c r="AA136" s="5">
        <v>21535.1</v>
      </c>
      <c r="AB136" s="3" t="s">
        <v>40</v>
      </c>
      <c r="AC136" s="3" t="s">
        <v>101</v>
      </c>
    </row>
    <row r="137" ht="12" customHeight="1" spans="1:29" x14ac:dyDescent="0.25">
      <c r="A137" s="3" t="s">
        <v>304</v>
      </c>
      <c r="B137" s="4" t="s">
        <v>30</v>
      </c>
      <c r="C137" s="3" t="s">
        <v>31</v>
      </c>
      <c r="D137" s="3" t="s">
        <v>32</v>
      </c>
      <c r="E137" s="3" t="s">
        <v>95</v>
      </c>
      <c r="F137" s="3" t="s">
        <v>34</v>
      </c>
      <c r="G137" s="3" t="s">
        <v>35</v>
      </c>
      <c r="H137" s="3" t="s">
        <v>35</v>
      </c>
      <c r="I137" s="3" t="s">
        <v>69</v>
      </c>
      <c r="J137" s="3" t="s">
        <v>69</v>
      </c>
      <c r="K137" s="3" t="s">
        <v>37</v>
      </c>
      <c r="L137" s="3" t="s">
        <v>108</v>
      </c>
      <c r="M137" s="3" t="s">
        <v>39</v>
      </c>
      <c r="N137" s="3" t="s">
        <v>40</v>
      </c>
      <c r="O137" s="3" t="s">
        <v>41</v>
      </c>
      <c r="P137" s="3" t="s">
        <v>42</v>
      </c>
      <c r="Q137" s="3" t="s">
        <v>305</v>
      </c>
      <c r="R137" s="3" t="s">
        <v>44</v>
      </c>
      <c r="S137" s="3" t="s">
        <v>44</v>
      </c>
      <c r="T137" s="3" t="s">
        <v>45</v>
      </c>
      <c r="U137" s="5"/>
      <c r="V137" s="3" t="s">
        <v>281</v>
      </c>
      <c r="W137" s="3" t="s">
        <v>306</v>
      </c>
      <c r="X137" s="3" t="s">
        <v>75</v>
      </c>
      <c r="Y137" s="3" t="s">
        <v>307</v>
      </c>
      <c r="Z137" s="3" t="s">
        <v>307</v>
      </c>
      <c r="AA137" s="5">
        <v>16370</v>
      </c>
      <c r="AB137" s="3" t="s">
        <v>40</v>
      </c>
      <c r="AC137" s="3" t="s">
        <v>274</v>
      </c>
    </row>
    <row r="138" ht="12" customHeight="1" spans="1:29" x14ac:dyDescent="0.25">
      <c r="A138" s="3" t="s">
        <v>308</v>
      </c>
      <c r="B138" s="4" t="s">
        <v>30</v>
      </c>
      <c r="C138" s="3" t="s">
        <v>31</v>
      </c>
      <c r="D138" s="3" t="s">
        <v>32</v>
      </c>
      <c r="E138" s="3" t="s">
        <v>95</v>
      </c>
      <c r="F138" s="3" t="s">
        <v>34</v>
      </c>
      <c r="G138" s="3" t="s">
        <v>35</v>
      </c>
      <c r="H138" s="3" t="s">
        <v>35</v>
      </c>
      <c r="I138" s="3" t="s">
        <v>36</v>
      </c>
      <c r="J138" s="3" t="s">
        <v>36</v>
      </c>
      <c r="K138" s="3" t="s">
        <v>37</v>
      </c>
      <c r="L138" s="3" t="s">
        <v>108</v>
      </c>
      <c r="M138" s="3" t="s">
        <v>39</v>
      </c>
      <c r="N138" s="3" t="s">
        <v>40</v>
      </c>
      <c r="O138" s="3" t="s">
        <v>41</v>
      </c>
      <c r="P138" s="3" t="s">
        <v>42</v>
      </c>
      <c r="Q138" s="3" t="s">
        <v>309</v>
      </c>
      <c r="R138" s="3" t="s">
        <v>44</v>
      </c>
      <c r="S138" s="3" t="s">
        <v>44</v>
      </c>
      <c r="T138" s="3" t="s">
        <v>45</v>
      </c>
      <c r="U138" s="5"/>
      <c r="V138" s="3" t="s">
        <v>281</v>
      </c>
      <c r="W138" s="3" t="s">
        <v>86</v>
      </c>
      <c r="X138" s="3" t="s">
        <v>75</v>
      </c>
      <c r="Y138" s="3" t="s">
        <v>87</v>
      </c>
      <c r="Z138" s="3" t="s">
        <v>87</v>
      </c>
      <c r="AA138" s="5">
        <v>10152</v>
      </c>
      <c r="AB138" s="3" t="s">
        <v>40</v>
      </c>
      <c r="AC138" s="3" t="s">
        <v>50</v>
      </c>
    </row>
    <row r="139" ht="12" customHeight="1" spans="1:29" x14ac:dyDescent="0.25">
      <c r="A139" s="3" t="s">
        <v>310</v>
      </c>
      <c r="B139" s="4" t="s">
        <v>30</v>
      </c>
      <c r="C139" s="3" t="s">
        <v>31</v>
      </c>
      <c r="D139" s="3" t="s">
        <v>32</v>
      </c>
      <c r="E139" s="3" t="s">
        <v>95</v>
      </c>
      <c r="F139" s="3" t="s">
        <v>34</v>
      </c>
      <c r="G139" s="3" t="s">
        <v>35</v>
      </c>
      <c r="H139" s="3" t="s">
        <v>35</v>
      </c>
      <c r="I139" s="3" t="s">
        <v>69</v>
      </c>
      <c r="J139" s="3" t="s">
        <v>311</v>
      </c>
      <c r="K139" s="3" t="s">
        <v>37</v>
      </c>
      <c r="L139" s="3" t="s">
        <v>108</v>
      </c>
      <c r="M139" s="3" t="s">
        <v>39</v>
      </c>
      <c r="N139" s="3" t="s">
        <v>40</v>
      </c>
      <c r="O139" s="3" t="s">
        <v>41</v>
      </c>
      <c r="P139" s="3" t="s">
        <v>42</v>
      </c>
      <c r="Q139" s="3" t="s">
        <v>312</v>
      </c>
      <c r="R139" s="3" t="s">
        <v>72</v>
      </c>
      <c r="S139" s="3" t="s">
        <v>44</v>
      </c>
      <c r="T139" s="3" t="s">
        <v>45</v>
      </c>
      <c r="U139" s="5"/>
      <c r="V139" s="3" t="s">
        <v>281</v>
      </c>
      <c r="W139" s="3" t="s">
        <v>74</v>
      </c>
      <c r="X139" s="3" t="s">
        <v>48</v>
      </c>
      <c r="Y139" s="3" t="s">
        <v>282</v>
      </c>
      <c r="Z139" s="3" t="s">
        <v>282</v>
      </c>
      <c r="AA139" s="5">
        <v>15150</v>
      </c>
      <c r="AB139" s="3" t="s">
        <v>40</v>
      </c>
      <c r="AC139" s="3" t="s">
        <v>313</v>
      </c>
    </row>
    <row r="140" ht="12" customHeight="1" spans="1:29" x14ac:dyDescent="0.25">
      <c r="A140" s="3" t="s">
        <v>314</v>
      </c>
      <c r="B140" s="4" t="s">
        <v>30</v>
      </c>
      <c r="C140" s="3" t="s">
        <v>31</v>
      </c>
      <c r="D140" s="3" t="s">
        <v>32</v>
      </c>
      <c r="E140" s="3" t="s">
        <v>95</v>
      </c>
      <c r="F140" s="3" t="s">
        <v>34</v>
      </c>
      <c r="G140" s="3" t="s">
        <v>35</v>
      </c>
      <c r="H140" s="3" t="s">
        <v>35</v>
      </c>
      <c r="I140" s="3" t="s">
        <v>36</v>
      </c>
      <c r="J140" s="3" t="s">
        <v>36</v>
      </c>
      <c r="K140" s="3" t="s">
        <v>37</v>
      </c>
      <c r="L140" s="3" t="s">
        <v>108</v>
      </c>
      <c r="M140" s="3" t="s">
        <v>39</v>
      </c>
      <c r="N140" s="3" t="s">
        <v>40</v>
      </c>
      <c r="O140" s="3" t="s">
        <v>41</v>
      </c>
      <c r="P140" s="3" t="s">
        <v>42</v>
      </c>
      <c r="Q140" s="3" t="s">
        <v>315</v>
      </c>
      <c r="R140" s="3" t="s">
        <v>44</v>
      </c>
      <c r="S140" s="3" t="s">
        <v>44</v>
      </c>
      <c r="T140" s="3" t="s">
        <v>45</v>
      </c>
      <c r="U140" s="5"/>
      <c r="V140" s="3" t="s">
        <v>281</v>
      </c>
      <c r="W140" s="3" t="s">
        <v>316</v>
      </c>
      <c r="X140" s="3" t="s">
        <v>75</v>
      </c>
      <c r="Y140" s="3" t="s">
        <v>317</v>
      </c>
      <c r="Z140" s="3" t="s">
        <v>317</v>
      </c>
      <c r="AA140" s="5">
        <v>21088</v>
      </c>
      <c r="AB140" s="3" t="s">
        <v>40</v>
      </c>
      <c r="AC140" s="3" t="s">
        <v>50</v>
      </c>
    </row>
    <row r="141" ht="12" customHeight="1" spans="1:29" x14ac:dyDescent="0.25">
      <c r="A141" s="3" t="s">
        <v>318</v>
      </c>
      <c r="B141" s="4" t="s">
        <v>30</v>
      </c>
      <c r="C141" s="3" t="s">
        <v>31</v>
      </c>
      <c r="D141" s="3" t="s">
        <v>32</v>
      </c>
      <c r="E141" s="3" t="s">
        <v>95</v>
      </c>
      <c r="F141" s="3" t="s">
        <v>34</v>
      </c>
      <c r="G141" s="3" t="s">
        <v>35</v>
      </c>
      <c r="H141" s="3" t="s">
        <v>35</v>
      </c>
      <c r="I141" s="3" t="s">
        <v>69</v>
      </c>
      <c r="J141" s="3" t="s">
        <v>319</v>
      </c>
      <c r="K141" s="3" t="s">
        <v>37</v>
      </c>
      <c r="L141" s="3" t="s">
        <v>108</v>
      </c>
      <c r="M141" s="3" t="s">
        <v>39</v>
      </c>
      <c r="N141" s="3" t="s">
        <v>40</v>
      </c>
      <c r="O141" s="3" t="s">
        <v>41</v>
      </c>
      <c r="P141" s="3" t="s">
        <v>42</v>
      </c>
      <c r="Q141" s="3" t="s">
        <v>320</v>
      </c>
      <c r="R141" s="3" t="s">
        <v>72</v>
      </c>
      <c r="S141" s="3" t="s">
        <v>44</v>
      </c>
      <c r="T141" s="3" t="s">
        <v>45</v>
      </c>
      <c r="U141" s="5"/>
      <c r="V141" s="3" t="s">
        <v>281</v>
      </c>
      <c r="W141" s="3" t="s">
        <v>74</v>
      </c>
      <c r="X141" s="3" t="s">
        <v>48</v>
      </c>
      <c r="Y141" s="3" t="s">
        <v>282</v>
      </c>
      <c r="Z141" s="3" t="s">
        <v>282</v>
      </c>
      <c r="AA141" s="5">
        <v>16160</v>
      </c>
      <c r="AB141" s="3" t="s">
        <v>40</v>
      </c>
      <c r="AC141" s="3" t="s">
        <v>321</v>
      </c>
    </row>
    <row r="142" ht="12" customHeight="1" spans="1:29" x14ac:dyDescent="0.25">
      <c r="A142" s="3" t="s">
        <v>322</v>
      </c>
      <c r="B142" s="4" t="s">
        <v>30</v>
      </c>
      <c r="C142" s="3" t="s">
        <v>31</v>
      </c>
      <c r="D142" s="3" t="s">
        <v>32</v>
      </c>
      <c r="E142" s="3" t="s">
        <v>95</v>
      </c>
      <c r="F142" s="3" t="s">
        <v>34</v>
      </c>
      <c r="G142" s="3" t="s">
        <v>35</v>
      </c>
      <c r="H142" s="3" t="s">
        <v>35</v>
      </c>
      <c r="I142" s="3" t="s">
        <v>69</v>
      </c>
      <c r="J142" s="3" t="s">
        <v>319</v>
      </c>
      <c r="K142" s="3" t="s">
        <v>37</v>
      </c>
      <c r="L142" s="3" t="s">
        <v>108</v>
      </c>
      <c r="M142" s="3" t="s">
        <v>39</v>
      </c>
      <c r="N142" s="3" t="s">
        <v>40</v>
      </c>
      <c r="O142" s="3" t="s">
        <v>41</v>
      </c>
      <c r="P142" s="3" t="s">
        <v>42</v>
      </c>
      <c r="Q142" s="3" t="s">
        <v>320</v>
      </c>
      <c r="R142" s="3" t="s">
        <v>72</v>
      </c>
      <c r="S142" s="3" t="s">
        <v>44</v>
      </c>
      <c r="T142" s="3" t="s">
        <v>45</v>
      </c>
      <c r="U142" s="5"/>
      <c r="V142" s="3" t="s">
        <v>281</v>
      </c>
      <c r="W142" s="3" t="s">
        <v>74</v>
      </c>
      <c r="X142" s="3" t="s">
        <v>48</v>
      </c>
      <c r="Y142" s="3" t="s">
        <v>282</v>
      </c>
      <c r="Z142" s="3" t="s">
        <v>282</v>
      </c>
      <c r="AA142" s="5">
        <v>16160</v>
      </c>
      <c r="AB142" s="3" t="s">
        <v>40</v>
      </c>
      <c r="AC142" s="3" t="s">
        <v>321</v>
      </c>
    </row>
    <row r="143" ht="12" customHeight="1" spans="1:29" x14ac:dyDescent="0.25">
      <c r="A143" s="3" t="s">
        <v>323</v>
      </c>
      <c r="B143" s="4" t="s">
        <v>30</v>
      </c>
      <c r="C143" s="3" t="s">
        <v>31</v>
      </c>
      <c r="D143" s="3" t="s">
        <v>32</v>
      </c>
      <c r="E143" s="3" t="s">
        <v>95</v>
      </c>
      <c r="F143" s="3" t="s">
        <v>34</v>
      </c>
      <c r="G143" s="3" t="s">
        <v>35</v>
      </c>
      <c r="H143" s="3" t="s">
        <v>35</v>
      </c>
      <c r="I143" s="3" t="s">
        <v>69</v>
      </c>
      <c r="J143" s="3" t="s">
        <v>324</v>
      </c>
      <c r="K143" s="3" t="s">
        <v>37</v>
      </c>
      <c r="L143" s="3" t="s">
        <v>108</v>
      </c>
      <c r="M143" s="3" t="s">
        <v>39</v>
      </c>
      <c r="N143" s="3" t="s">
        <v>40</v>
      </c>
      <c r="O143" s="3" t="s">
        <v>41</v>
      </c>
      <c r="P143" s="3" t="s">
        <v>42</v>
      </c>
      <c r="Q143" s="3" t="s">
        <v>325</v>
      </c>
      <c r="R143" s="3" t="s">
        <v>72</v>
      </c>
      <c r="S143" s="3" t="s">
        <v>44</v>
      </c>
      <c r="T143" s="3" t="s">
        <v>45</v>
      </c>
      <c r="U143" s="5"/>
      <c r="V143" s="3" t="s">
        <v>281</v>
      </c>
      <c r="W143" s="3" t="s">
        <v>74</v>
      </c>
      <c r="X143" s="3" t="s">
        <v>48</v>
      </c>
      <c r="Y143" s="3" t="s">
        <v>282</v>
      </c>
      <c r="Z143" s="3" t="s">
        <v>282</v>
      </c>
      <c r="AA143" s="5">
        <v>16160</v>
      </c>
      <c r="AB143" s="3" t="s">
        <v>40</v>
      </c>
      <c r="AC143" s="3" t="s">
        <v>326</v>
      </c>
    </row>
    <row r="144" ht="12" customHeight="1" spans="1:29" x14ac:dyDescent="0.25">
      <c r="A144" s="3" t="s">
        <v>327</v>
      </c>
      <c r="B144" s="4" t="s">
        <v>30</v>
      </c>
      <c r="C144" s="3" t="s">
        <v>31</v>
      </c>
      <c r="D144" s="3" t="s">
        <v>32</v>
      </c>
      <c r="E144" s="3" t="s">
        <v>95</v>
      </c>
      <c r="F144" s="3" t="s">
        <v>34</v>
      </c>
      <c r="G144" s="3" t="s">
        <v>35</v>
      </c>
      <c r="H144" s="3" t="s">
        <v>35</v>
      </c>
      <c r="I144" s="3" t="s">
        <v>69</v>
      </c>
      <c r="J144" s="3" t="s">
        <v>328</v>
      </c>
      <c r="K144" s="3" t="s">
        <v>37</v>
      </c>
      <c r="L144" s="3" t="s">
        <v>108</v>
      </c>
      <c r="M144" s="3" t="s">
        <v>39</v>
      </c>
      <c r="N144" s="3" t="s">
        <v>40</v>
      </c>
      <c r="O144" s="3" t="s">
        <v>41</v>
      </c>
      <c r="P144" s="3" t="s">
        <v>42</v>
      </c>
      <c r="Q144" s="3" t="s">
        <v>329</v>
      </c>
      <c r="R144" s="3" t="s">
        <v>72</v>
      </c>
      <c r="S144" s="3" t="s">
        <v>44</v>
      </c>
      <c r="T144" s="3" t="s">
        <v>45</v>
      </c>
      <c r="U144" s="5"/>
      <c r="V144" s="3" t="s">
        <v>281</v>
      </c>
      <c r="W144" s="3" t="s">
        <v>74</v>
      </c>
      <c r="X144" s="3" t="s">
        <v>48</v>
      </c>
      <c r="Y144" s="3" t="s">
        <v>330</v>
      </c>
      <c r="Z144" s="3" t="s">
        <v>330</v>
      </c>
      <c r="AA144" s="5">
        <v>19266.8</v>
      </c>
      <c r="AB144" s="3" t="s">
        <v>40</v>
      </c>
      <c r="AC144" s="3" t="s">
        <v>331</v>
      </c>
    </row>
    <row r="145" ht="12" customHeight="1" spans="1:29" x14ac:dyDescent="0.25">
      <c r="A145" s="3" t="s">
        <v>332</v>
      </c>
      <c r="B145" s="4" t="s">
        <v>30</v>
      </c>
      <c r="C145" s="3" t="s">
        <v>31</v>
      </c>
      <c r="D145" s="3" t="s">
        <v>32</v>
      </c>
      <c r="E145" s="3" t="s">
        <v>95</v>
      </c>
      <c r="F145" s="3" t="s">
        <v>34</v>
      </c>
      <c r="G145" s="3" t="s">
        <v>35</v>
      </c>
      <c r="H145" s="3" t="s">
        <v>35</v>
      </c>
      <c r="I145" s="3" t="s">
        <v>69</v>
      </c>
      <c r="J145" s="3" t="s">
        <v>328</v>
      </c>
      <c r="K145" s="3" t="s">
        <v>37</v>
      </c>
      <c r="L145" s="3" t="s">
        <v>108</v>
      </c>
      <c r="M145" s="3" t="s">
        <v>39</v>
      </c>
      <c r="N145" s="3" t="s">
        <v>40</v>
      </c>
      <c r="O145" s="3" t="s">
        <v>41</v>
      </c>
      <c r="P145" s="3" t="s">
        <v>42</v>
      </c>
      <c r="Q145" s="3" t="s">
        <v>329</v>
      </c>
      <c r="R145" s="3" t="s">
        <v>72</v>
      </c>
      <c r="S145" s="3" t="s">
        <v>44</v>
      </c>
      <c r="T145" s="3" t="s">
        <v>45</v>
      </c>
      <c r="U145" s="5"/>
      <c r="V145" s="3" t="s">
        <v>281</v>
      </c>
      <c r="W145" s="3" t="s">
        <v>74</v>
      </c>
      <c r="X145" s="3" t="s">
        <v>48</v>
      </c>
      <c r="Y145" s="3" t="s">
        <v>330</v>
      </c>
      <c r="Z145" s="3" t="s">
        <v>330</v>
      </c>
      <c r="AA145" s="5">
        <v>19266.8</v>
      </c>
      <c r="AB145" s="3" t="s">
        <v>40</v>
      </c>
      <c r="AC145" s="3" t="s">
        <v>331</v>
      </c>
    </row>
    <row r="146" ht="12" customHeight="1" spans="1:29" x14ac:dyDescent="0.25">
      <c r="A146" s="3" t="s">
        <v>333</v>
      </c>
      <c r="B146" s="4" t="s">
        <v>30</v>
      </c>
      <c r="C146" s="3" t="s">
        <v>31</v>
      </c>
      <c r="D146" s="3" t="s">
        <v>32</v>
      </c>
      <c r="E146" s="3" t="s">
        <v>95</v>
      </c>
      <c r="F146" s="3" t="s">
        <v>34</v>
      </c>
      <c r="G146" s="3" t="s">
        <v>35</v>
      </c>
      <c r="H146" s="3" t="s">
        <v>35</v>
      </c>
      <c r="I146" s="3" t="s">
        <v>69</v>
      </c>
      <c r="J146" s="3" t="s">
        <v>328</v>
      </c>
      <c r="K146" s="3" t="s">
        <v>37</v>
      </c>
      <c r="L146" s="3" t="s">
        <v>108</v>
      </c>
      <c r="M146" s="3" t="s">
        <v>39</v>
      </c>
      <c r="N146" s="3" t="s">
        <v>40</v>
      </c>
      <c r="O146" s="3" t="s">
        <v>41</v>
      </c>
      <c r="P146" s="3" t="s">
        <v>42</v>
      </c>
      <c r="Q146" s="3" t="s">
        <v>329</v>
      </c>
      <c r="R146" s="3" t="s">
        <v>72</v>
      </c>
      <c r="S146" s="3" t="s">
        <v>44</v>
      </c>
      <c r="T146" s="3" t="s">
        <v>45</v>
      </c>
      <c r="U146" s="5"/>
      <c r="V146" s="3" t="s">
        <v>281</v>
      </c>
      <c r="W146" s="3" t="s">
        <v>74</v>
      </c>
      <c r="X146" s="3" t="s">
        <v>75</v>
      </c>
      <c r="Y146" s="3" t="s">
        <v>330</v>
      </c>
      <c r="Z146" s="3" t="s">
        <v>330</v>
      </c>
      <c r="AA146" s="5">
        <v>19266.8</v>
      </c>
      <c r="AB146" s="3" t="s">
        <v>40</v>
      </c>
      <c r="AC146" s="3" t="s">
        <v>331</v>
      </c>
    </row>
    <row r="147" ht="12" customHeight="1" spans="1:29" x14ac:dyDescent="0.25">
      <c r="A147" s="3" t="s">
        <v>334</v>
      </c>
      <c r="B147" s="4" t="s">
        <v>30</v>
      </c>
      <c r="C147" s="3" t="s">
        <v>31</v>
      </c>
      <c r="D147" s="3" t="s">
        <v>32</v>
      </c>
      <c r="E147" s="3" t="s">
        <v>95</v>
      </c>
      <c r="F147" s="3" t="s">
        <v>34</v>
      </c>
      <c r="G147" s="3" t="s">
        <v>35</v>
      </c>
      <c r="H147" s="3" t="s">
        <v>35</v>
      </c>
      <c r="I147" s="3" t="s">
        <v>69</v>
      </c>
      <c r="J147" s="3" t="s">
        <v>324</v>
      </c>
      <c r="K147" s="3" t="s">
        <v>37</v>
      </c>
      <c r="L147" s="3" t="s">
        <v>108</v>
      </c>
      <c r="M147" s="3" t="s">
        <v>39</v>
      </c>
      <c r="N147" s="3" t="s">
        <v>40</v>
      </c>
      <c r="O147" s="3" t="s">
        <v>41</v>
      </c>
      <c r="P147" s="3" t="s">
        <v>42</v>
      </c>
      <c r="Q147" s="3" t="s">
        <v>335</v>
      </c>
      <c r="R147" s="3" t="s">
        <v>72</v>
      </c>
      <c r="S147" s="3" t="s">
        <v>44</v>
      </c>
      <c r="T147" s="3" t="s">
        <v>45</v>
      </c>
      <c r="U147" s="5"/>
      <c r="V147" s="3" t="s">
        <v>281</v>
      </c>
      <c r="W147" s="3" t="s">
        <v>74</v>
      </c>
      <c r="X147" s="3" t="s">
        <v>48</v>
      </c>
      <c r="Y147" s="3" t="s">
        <v>282</v>
      </c>
      <c r="Z147" s="3" t="s">
        <v>282</v>
      </c>
      <c r="AA147" s="5">
        <v>16160</v>
      </c>
      <c r="AB147" s="3" t="s">
        <v>40</v>
      </c>
      <c r="AC147" s="3" t="s">
        <v>326</v>
      </c>
    </row>
    <row r="148" ht="12" customHeight="1" spans="1:29" x14ac:dyDescent="0.25">
      <c r="A148" s="3" t="s">
        <v>336</v>
      </c>
      <c r="B148" s="4" t="s">
        <v>30</v>
      </c>
      <c r="C148" s="3" t="s">
        <v>31</v>
      </c>
      <c r="D148" s="3" t="s">
        <v>32</v>
      </c>
      <c r="E148" s="3" t="s">
        <v>95</v>
      </c>
      <c r="F148" s="3" t="s">
        <v>34</v>
      </c>
      <c r="G148" s="3" t="s">
        <v>35</v>
      </c>
      <c r="H148" s="3" t="s">
        <v>35</v>
      </c>
      <c r="I148" s="3" t="s">
        <v>69</v>
      </c>
      <c r="J148" s="3" t="s">
        <v>324</v>
      </c>
      <c r="K148" s="3" t="s">
        <v>37</v>
      </c>
      <c r="L148" s="3" t="s">
        <v>108</v>
      </c>
      <c r="M148" s="3" t="s">
        <v>39</v>
      </c>
      <c r="N148" s="3" t="s">
        <v>40</v>
      </c>
      <c r="O148" s="3" t="s">
        <v>41</v>
      </c>
      <c r="P148" s="3" t="s">
        <v>42</v>
      </c>
      <c r="Q148" s="3" t="s">
        <v>335</v>
      </c>
      <c r="R148" s="3" t="s">
        <v>72</v>
      </c>
      <c r="S148" s="3" t="s">
        <v>44</v>
      </c>
      <c r="T148" s="3" t="s">
        <v>45</v>
      </c>
      <c r="U148" s="5"/>
      <c r="V148" s="3" t="s">
        <v>281</v>
      </c>
      <c r="W148" s="3" t="s">
        <v>74</v>
      </c>
      <c r="X148" s="3" t="s">
        <v>48</v>
      </c>
      <c r="Y148" s="3" t="s">
        <v>282</v>
      </c>
      <c r="Z148" s="3" t="s">
        <v>282</v>
      </c>
      <c r="AA148" s="5">
        <v>16160</v>
      </c>
      <c r="AB148" s="3" t="s">
        <v>40</v>
      </c>
      <c r="AC148" s="3" t="s">
        <v>326</v>
      </c>
    </row>
    <row r="149" ht="12" customHeight="1" spans="1:29" x14ac:dyDescent="0.25">
      <c r="A149" s="3" t="s">
        <v>337</v>
      </c>
      <c r="B149" s="4" t="s">
        <v>30</v>
      </c>
      <c r="C149" s="3" t="s">
        <v>31</v>
      </c>
      <c r="D149" s="3" t="s">
        <v>32</v>
      </c>
      <c r="E149" s="3" t="s">
        <v>95</v>
      </c>
      <c r="F149" s="3" t="s">
        <v>34</v>
      </c>
      <c r="G149" s="3" t="s">
        <v>35</v>
      </c>
      <c r="H149" s="3" t="s">
        <v>35</v>
      </c>
      <c r="I149" s="3" t="s">
        <v>69</v>
      </c>
      <c r="J149" s="3" t="s">
        <v>324</v>
      </c>
      <c r="K149" s="3" t="s">
        <v>37</v>
      </c>
      <c r="L149" s="3" t="s">
        <v>108</v>
      </c>
      <c r="M149" s="3" t="s">
        <v>39</v>
      </c>
      <c r="N149" s="3" t="s">
        <v>40</v>
      </c>
      <c r="O149" s="3" t="s">
        <v>41</v>
      </c>
      <c r="P149" s="3" t="s">
        <v>42</v>
      </c>
      <c r="Q149" s="3" t="s">
        <v>335</v>
      </c>
      <c r="R149" s="3" t="s">
        <v>72</v>
      </c>
      <c r="S149" s="3" t="s">
        <v>44</v>
      </c>
      <c r="T149" s="3" t="s">
        <v>45</v>
      </c>
      <c r="U149" s="5"/>
      <c r="V149" s="3" t="s">
        <v>281</v>
      </c>
      <c r="W149" s="3" t="s">
        <v>74</v>
      </c>
      <c r="X149" s="3" t="s">
        <v>48</v>
      </c>
      <c r="Y149" s="3" t="s">
        <v>282</v>
      </c>
      <c r="Z149" s="3" t="s">
        <v>282</v>
      </c>
      <c r="AA149" s="5">
        <v>16160</v>
      </c>
      <c r="AB149" s="3" t="s">
        <v>40</v>
      </c>
      <c r="AC149" s="3" t="s">
        <v>326</v>
      </c>
    </row>
    <row r="150" ht="12" customHeight="1" spans="1:29" x14ac:dyDescent="0.25">
      <c r="A150" s="3" t="s">
        <v>338</v>
      </c>
      <c r="B150" s="4" t="s">
        <v>30</v>
      </c>
      <c r="C150" s="3" t="s">
        <v>31</v>
      </c>
      <c r="D150" s="3" t="s">
        <v>32</v>
      </c>
      <c r="E150" s="3" t="s">
        <v>95</v>
      </c>
      <c r="F150" s="3" t="s">
        <v>34</v>
      </c>
      <c r="G150" s="3" t="s">
        <v>35</v>
      </c>
      <c r="H150" s="3" t="s">
        <v>35</v>
      </c>
      <c r="I150" s="3" t="s">
        <v>36</v>
      </c>
      <c r="J150" s="3" t="s">
        <v>36</v>
      </c>
      <c r="K150" s="3" t="s">
        <v>37</v>
      </c>
      <c r="L150" s="3" t="s">
        <v>108</v>
      </c>
      <c r="M150" s="3" t="s">
        <v>39</v>
      </c>
      <c r="N150" s="3" t="s">
        <v>40</v>
      </c>
      <c r="O150" s="3" t="s">
        <v>41</v>
      </c>
      <c r="P150" s="3" t="s">
        <v>42</v>
      </c>
      <c r="Q150" s="3" t="s">
        <v>339</v>
      </c>
      <c r="R150" s="3" t="s">
        <v>44</v>
      </c>
      <c r="S150" s="3" t="s">
        <v>44</v>
      </c>
      <c r="T150" s="3" t="s">
        <v>45</v>
      </c>
      <c r="U150" s="5"/>
      <c r="V150" s="3" t="s">
        <v>281</v>
      </c>
      <c r="W150" s="3" t="s">
        <v>340</v>
      </c>
      <c r="X150" s="3" t="s">
        <v>75</v>
      </c>
      <c r="Y150" s="3" t="s">
        <v>341</v>
      </c>
      <c r="Z150" s="3" t="s">
        <v>341</v>
      </c>
      <c r="AA150" s="5">
        <v>4162.98</v>
      </c>
      <c r="AB150" s="3" t="s">
        <v>40</v>
      </c>
      <c r="AC150" s="3" t="s">
        <v>50</v>
      </c>
    </row>
    <row r="151" ht="12" customHeight="1" spans="1:29" x14ac:dyDescent="0.25">
      <c r="A151" s="3" t="s">
        <v>342</v>
      </c>
      <c r="B151" s="4" t="s">
        <v>30</v>
      </c>
      <c r="C151" s="3" t="s">
        <v>31</v>
      </c>
      <c r="D151" s="3" t="s">
        <v>32</v>
      </c>
      <c r="E151" s="3" t="s">
        <v>95</v>
      </c>
      <c r="F151" s="3" t="s">
        <v>34</v>
      </c>
      <c r="G151" s="3" t="s">
        <v>35</v>
      </c>
      <c r="H151" s="3" t="s">
        <v>35</v>
      </c>
      <c r="I151" s="3" t="s">
        <v>36</v>
      </c>
      <c r="J151" s="3" t="s">
        <v>36</v>
      </c>
      <c r="K151" s="3" t="s">
        <v>37</v>
      </c>
      <c r="L151" s="3" t="s">
        <v>108</v>
      </c>
      <c r="M151" s="3" t="s">
        <v>39</v>
      </c>
      <c r="N151" s="3" t="s">
        <v>40</v>
      </c>
      <c r="O151" s="3" t="s">
        <v>41</v>
      </c>
      <c r="P151" s="3" t="s">
        <v>42</v>
      </c>
      <c r="Q151" s="3" t="s">
        <v>343</v>
      </c>
      <c r="R151" s="3" t="s">
        <v>44</v>
      </c>
      <c r="S151" s="3" t="s">
        <v>44</v>
      </c>
      <c r="T151" s="3" t="s">
        <v>45</v>
      </c>
      <c r="U151" s="5"/>
      <c r="V151" s="3" t="s">
        <v>281</v>
      </c>
      <c r="W151" s="3" t="s">
        <v>344</v>
      </c>
      <c r="X151" s="3" t="s">
        <v>48</v>
      </c>
      <c r="Y151" s="3" t="s">
        <v>345</v>
      </c>
      <c r="Z151" s="3" t="s">
        <v>346</v>
      </c>
      <c r="AA151" s="5">
        <v>27150</v>
      </c>
      <c r="AB151" s="3" t="s">
        <v>40</v>
      </c>
      <c r="AC151" s="3" t="s">
        <v>50</v>
      </c>
    </row>
    <row r="152" ht="12" customHeight="1" spans="1:29" x14ac:dyDescent="0.25">
      <c r="A152" s="3" t="s">
        <v>347</v>
      </c>
      <c r="B152" s="4" t="s">
        <v>30</v>
      </c>
      <c r="C152" s="3" t="s">
        <v>31</v>
      </c>
      <c r="D152" s="3" t="s">
        <v>32</v>
      </c>
      <c r="E152" s="3" t="s">
        <v>95</v>
      </c>
      <c r="F152" s="3" t="s">
        <v>34</v>
      </c>
      <c r="G152" s="3" t="s">
        <v>35</v>
      </c>
      <c r="H152" s="3" t="s">
        <v>35</v>
      </c>
      <c r="I152" s="3" t="s">
        <v>69</v>
      </c>
      <c r="J152" s="3" t="s">
        <v>319</v>
      </c>
      <c r="K152" s="3" t="s">
        <v>37</v>
      </c>
      <c r="L152" s="3" t="s">
        <v>108</v>
      </c>
      <c r="M152" s="3" t="s">
        <v>39</v>
      </c>
      <c r="N152" s="3" t="s">
        <v>40</v>
      </c>
      <c r="O152" s="3" t="s">
        <v>41</v>
      </c>
      <c r="P152" s="3" t="s">
        <v>42</v>
      </c>
      <c r="Q152" s="3" t="s">
        <v>348</v>
      </c>
      <c r="R152" s="3" t="s">
        <v>72</v>
      </c>
      <c r="S152" s="3" t="s">
        <v>44</v>
      </c>
      <c r="T152" s="3" t="s">
        <v>45</v>
      </c>
      <c r="U152" s="5"/>
      <c r="V152" s="3" t="s">
        <v>281</v>
      </c>
      <c r="W152" s="3" t="s">
        <v>349</v>
      </c>
      <c r="X152" s="3" t="s">
        <v>48</v>
      </c>
      <c r="Y152" s="3" t="s">
        <v>350</v>
      </c>
      <c r="Z152" s="3" t="s">
        <v>350</v>
      </c>
      <c r="AA152" s="5">
        <v>21218</v>
      </c>
      <c r="AB152" s="3" t="s">
        <v>40</v>
      </c>
      <c r="AC152" s="3" t="s">
        <v>321</v>
      </c>
    </row>
    <row r="153" ht="12" customHeight="1" spans="1:29" x14ac:dyDescent="0.25">
      <c r="A153" s="3" t="s">
        <v>351</v>
      </c>
      <c r="B153" s="4" t="s">
        <v>30</v>
      </c>
      <c r="C153" s="3" t="s">
        <v>31</v>
      </c>
      <c r="D153" s="3" t="s">
        <v>32</v>
      </c>
      <c r="E153" s="3" t="s">
        <v>95</v>
      </c>
      <c r="F153" s="3" t="s">
        <v>34</v>
      </c>
      <c r="G153" s="3" t="s">
        <v>35</v>
      </c>
      <c r="H153" s="3" t="s">
        <v>35</v>
      </c>
      <c r="I153" s="3" t="s">
        <v>36</v>
      </c>
      <c r="J153" s="3" t="s">
        <v>36</v>
      </c>
      <c r="K153" s="3" t="s">
        <v>37</v>
      </c>
      <c r="L153" s="3" t="s">
        <v>108</v>
      </c>
      <c r="M153" s="3" t="s">
        <v>39</v>
      </c>
      <c r="N153" s="3" t="s">
        <v>40</v>
      </c>
      <c r="O153" s="3" t="s">
        <v>41</v>
      </c>
      <c r="P153" s="3" t="s">
        <v>42</v>
      </c>
      <c r="Q153" s="3" t="s">
        <v>189</v>
      </c>
      <c r="R153" s="3" t="s">
        <v>44</v>
      </c>
      <c r="S153" s="3" t="s">
        <v>44</v>
      </c>
      <c r="T153" s="3" t="s">
        <v>45</v>
      </c>
      <c r="U153" s="5"/>
      <c r="V153" s="3" t="s">
        <v>281</v>
      </c>
      <c r="W153" s="3" t="s">
        <v>190</v>
      </c>
      <c r="X153" s="3" t="s">
        <v>48</v>
      </c>
      <c r="Y153" s="3" t="s">
        <v>191</v>
      </c>
      <c r="Z153" s="3" t="s">
        <v>191</v>
      </c>
      <c r="AA153" s="5">
        <v>16444</v>
      </c>
      <c r="AB153" s="3" t="s">
        <v>40</v>
      </c>
      <c r="AC153" s="3" t="s">
        <v>50</v>
      </c>
    </row>
    <row r="154" ht="12" customHeight="1" spans="1:29" x14ac:dyDescent="0.25">
      <c r="A154" s="3" t="s">
        <v>352</v>
      </c>
      <c r="B154" s="4" t="s">
        <v>30</v>
      </c>
      <c r="C154" s="3" t="s">
        <v>31</v>
      </c>
      <c r="D154" s="3" t="s">
        <v>32</v>
      </c>
      <c r="E154" s="3" t="s">
        <v>95</v>
      </c>
      <c r="F154" s="3" t="s">
        <v>34</v>
      </c>
      <c r="G154" s="3" t="s">
        <v>35</v>
      </c>
      <c r="H154" s="3" t="s">
        <v>35</v>
      </c>
      <c r="I154" s="3" t="s">
        <v>36</v>
      </c>
      <c r="J154" s="3" t="s">
        <v>36</v>
      </c>
      <c r="K154" s="3" t="s">
        <v>37</v>
      </c>
      <c r="L154" s="3" t="s">
        <v>108</v>
      </c>
      <c r="M154" s="3" t="s">
        <v>39</v>
      </c>
      <c r="N154" s="3" t="s">
        <v>40</v>
      </c>
      <c r="O154" s="3" t="s">
        <v>41</v>
      </c>
      <c r="P154" s="3" t="s">
        <v>42</v>
      </c>
      <c r="Q154" s="3" t="s">
        <v>189</v>
      </c>
      <c r="R154" s="3" t="s">
        <v>44</v>
      </c>
      <c r="S154" s="3" t="s">
        <v>44</v>
      </c>
      <c r="T154" s="3" t="s">
        <v>45</v>
      </c>
      <c r="U154" s="5"/>
      <c r="V154" s="3" t="s">
        <v>281</v>
      </c>
      <c r="W154" s="3" t="s">
        <v>190</v>
      </c>
      <c r="X154" s="3" t="s">
        <v>48</v>
      </c>
      <c r="Y154" s="3" t="s">
        <v>191</v>
      </c>
      <c r="Z154" s="3" t="s">
        <v>191</v>
      </c>
      <c r="AA154" s="5">
        <v>16631</v>
      </c>
      <c r="AB154" s="3" t="s">
        <v>40</v>
      </c>
      <c r="AC154" s="3" t="s">
        <v>50</v>
      </c>
    </row>
    <row r="155" ht="12" customHeight="1" spans="1:29" x14ac:dyDescent="0.25">
      <c r="A155" s="3" t="s">
        <v>353</v>
      </c>
      <c r="B155" s="4" t="s">
        <v>30</v>
      </c>
      <c r="C155" s="3" t="s">
        <v>31</v>
      </c>
      <c r="D155" s="3" t="s">
        <v>32</v>
      </c>
      <c r="E155" s="3" t="s">
        <v>95</v>
      </c>
      <c r="F155" s="3" t="s">
        <v>34</v>
      </c>
      <c r="G155" s="3" t="s">
        <v>35</v>
      </c>
      <c r="H155" s="3" t="s">
        <v>35</v>
      </c>
      <c r="I155" s="3" t="s">
        <v>36</v>
      </c>
      <c r="J155" s="3" t="s">
        <v>36</v>
      </c>
      <c r="K155" s="3" t="s">
        <v>37</v>
      </c>
      <c r="L155" s="3" t="s">
        <v>108</v>
      </c>
      <c r="M155" s="3" t="s">
        <v>39</v>
      </c>
      <c r="N155" s="3" t="s">
        <v>40</v>
      </c>
      <c r="O155" s="3" t="s">
        <v>41</v>
      </c>
      <c r="P155" s="3" t="s">
        <v>42</v>
      </c>
      <c r="Q155" s="3" t="s">
        <v>354</v>
      </c>
      <c r="R155" s="3" t="s">
        <v>44</v>
      </c>
      <c r="S155" s="3" t="s">
        <v>44</v>
      </c>
      <c r="T155" s="3" t="s">
        <v>45</v>
      </c>
      <c r="U155" s="5"/>
      <c r="V155" s="3" t="s">
        <v>281</v>
      </c>
      <c r="W155" s="3" t="s">
        <v>190</v>
      </c>
      <c r="X155" s="3" t="s">
        <v>48</v>
      </c>
      <c r="Y155" s="3" t="s">
        <v>191</v>
      </c>
      <c r="Z155" s="3" t="s">
        <v>191</v>
      </c>
      <c r="AA155" s="5">
        <v>16726</v>
      </c>
      <c r="AB155" s="3" t="s">
        <v>40</v>
      </c>
      <c r="AC155" s="3" t="s">
        <v>50</v>
      </c>
    </row>
    <row r="156" ht="12" customHeight="1" spans="1:29" x14ac:dyDescent="0.25">
      <c r="A156" s="3" t="s">
        <v>355</v>
      </c>
      <c r="B156" s="4" t="s">
        <v>30</v>
      </c>
      <c r="C156" s="3" t="s">
        <v>31</v>
      </c>
      <c r="D156" s="3" t="s">
        <v>32</v>
      </c>
      <c r="E156" s="3" t="s">
        <v>95</v>
      </c>
      <c r="F156" s="3" t="s">
        <v>34</v>
      </c>
      <c r="G156" s="3" t="s">
        <v>35</v>
      </c>
      <c r="H156" s="3" t="s">
        <v>35</v>
      </c>
      <c r="I156" s="3" t="s">
        <v>36</v>
      </c>
      <c r="J156" s="3" t="s">
        <v>36</v>
      </c>
      <c r="K156" s="3" t="s">
        <v>37</v>
      </c>
      <c r="L156" s="3" t="s">
        <v>108</v>
      </c>
      <c r="M156" s="3" t="s">
        <v>39</v>
      </c>
      <c r="N156" s="3" t="s">
        <v>40</v>
      </c>
      <c r="O156" s="3" t="s">
        <v>41</v>
      </c>
      <c r="P156" s="3" t="s">
        <v>42</v>
      </c>
      <c r="Q156" s="3" t="s">
        <v>356</v>
      </c>
      <c r="R156" s="3" t="s">
        <v>44</v>
      </c>
      <c r="S156" s="3" t="s">
        <v>44</v>
      </c>
      <c r="T156" s="3" t="s">
        <v>45</v>
      </c>
      <c r="U156" s="5"/>
      <c r="V156" s="3" t="s">
        <v>281</v>
      </c>
      <c r="W156" s="3" t="s">
        <v>357</v>
      </c>
      <c r="X156" s="3" t="s">
        <v>75</v>
      </c>
      <c r="Y156" s="3" t="s">
        <v>358</v>
      </c>
      <c r="Z156" s="3" t="s">
        <v>359</v>
      </c>
      <c r="AA156" s="5">
        <v>21100</v>
      </c>
      <c r="AB156" s="3" t="s">
        <v>40</v>
      </c>
      <c r="AC156" s="3" t="s">
        <v>50</v>
      </c>
    </row>
    <row r="157" ht="12" customHeight="1" spans="1:29" x14ac:dyDescent="0.25">
      <c r="A157" s="3" t="s">
        <v>360</v>
      </c>
      <c r="B157" s="4" t="s">
        <v>30</v>
      </c>
      <c r="C157" s="3" t="s">
        <v>31</v>
      </c>
      <c r="D157" s="3" t="s">
        <v>32</v>
      </c>
      <c r="E157" s="3" t="s">
        <v>95</v>
      </c>
      <c r="F157" s="3" t="s">
        <v>34</v>
      </c>
      <c r="G157" s="3" t="s">
        <v>52</v>
      </c>
      <c r="H157" s="3" t="s">
        <v>35</v>
      </c>
      <c r="I157" s="3" t="s">
        <v>36</v>
      </c>
      <c r="J157" s="3" t="s">
        <v>36</v>
      </c>
      <c r="K157" s="3" t="s">
        <v>37</v>
      </c>
      <c r="L157" s="3" t="s">
        <v>108</v>
      </c>
      <c r="M157" s="3" t="s">
        <v>39</v>
      </c>
      <c r="N157" s="3" t="s">
        <v>40</v>
      </c>
      <c r="O157" s="3" t="s">
        <v>41</v>
      </c>
      <c r="P157" s="3" t="s">
        <v>42</v>
      </c>
      <c r="Q157" s="3" t="s">
        <v>361</v>
      </c>
      <c r="R157" s="3" t="s">
        <v>44</v>
      </c>
      <c r="S157" s="3" t="s">
        <v>44</v>
      </c>
      <c r="T157" s="3" t="s">
        <v>45</v>
      </c>
      <c r="U157" s="5"/>
      <c r="V157" s="3" t="s">
        <v>281</v>
      </c>
      <c r="W157" s="3" t="s">
        <v>362</v>
      </c>
      <c r="X157" s="3" t="s">
        <v>48</v>
      </c>
      <c r="Y157" s="3" t="s">
        <v>363</v>
      </c>
      <c r="Z157" s="3" t="s">
        <v>363</v>
      </c>
      <c r="AA157" s="5">
        <v>14168</v>
      </c>
      <c r="AB157" s="3" t="s">
        <v>40</v>
      </c>
      <c r="AC157" s="3" t="s">
        <v>50</v>
      </c>
    </row>
    <row r="158" ht="12" customHeight="1" spans="1:29" x14ac:dyDescent="0.25">
      <c r="A158" s="3" t="s">
        <v>364</v>
      </c>
      <c r="B158" s="4" t="s">
        <v>30</v>
      </c>
      <c r="C158" s="3" t="s">
        <v>31</v>
      </c>
      <c r="D158" s="3" t="s">
        <v>32</v>
      </c>
      <c r="E158" s="3" t="s">
        <v>95</v>
      </c>
      <c r="F158" s="3" t="s">
        <v>34</v>
      </c>
      <c r="G158" s="3" t="s">
        <v>52</v>
      </c>
      <c r="H158" s="3" t="s">
        <v>35</v>
      </c>
      <c r="I158" s="3" t="s">
        <v>36</v>
      </c>
      <c r="J158" s="3" t="s">
        <v>36</v>
      </c>
      <c r="K158" s="3" t="s">
        <v>37</v>
      </c>
      <c r="L158" s="3" t="s">
        <v>108</v>
      </c>
      <c r="M158" s="3" t="s">
        <v>39</v>
      </c>
      <c r="N158" s="3" t="s">
        <v>40</v>
      </c>
      <c r="O158" s="3" t="s">
        <v>41</v>
      </c>
      <c r="P158" s="3" t="s">
        <v>42</v>
      </c>
      <c r="Q158" s="3" t="s">
        <v>361</v>
      </c>
      <c r="R158" s="3" t="s">
        <v>44</v>
      </c>
      <c r="S158" s="3" t="s">
        <v>44</v>
      </c>
      <c r="T158" s="3" t="s">
        <v>45</v>
      </c>
      <c r="U158" s="5"/>
      <c r="V158" s="3" t="s">
        <v>281</v>
      </c>
      <c r="W158" s="3" t="s">
        <v>362</v>
      </c>
      <c r="X158" s="3" t="s">
        <v>48</v>
      </c>
      <c r="Y158" s="3" t="s">
        <v>363</v>
      </c>
      <c r="Z158" s="3" t="s">
        <v>363</v>
      </c>
      <c r="AA158" s="5">
        <v>16192</v>
      </c>
      <c r="AB158" s="3" t="s">
        <v>40</v>
      </c>
      <c r="AC158" s="3" t="s">
        <v>50</v>
      </c>
    </row>
    <row r="159" ht="12" customHeight="1" spans="1:29" x14ac:dyDescent="0.25">
      <c r="A159" s="3" t="s">
        <v>365</v>
      </c>
      <c r="B159" s="4" t="s">
        <v>30</v>
      </c>
      <c r="C159" s="3" t="s">
        <v>31</v>
      </c>
      <c r="D159" s="3" t="s">
        <v>32</v>
      </c>
      <c r="E159" s="3" t="s">
        <v>95</v>
      </c>
      <c r="F159" s="3" t="s">
        <v>34</v>
      </c>
      <c r="G159" s="3" t="s">
        <v>35</v>
      </c>
      <c r="H159" s="3" t="s">
        <v>35</v>
      </c>
      <c r="I159" s="3" t="s">
        <v>69</v>
      </c>
      <c r="J159" s="3" t="s">
        <v>96</v>
      </c>
      <c r="K159" s="3" t="s">
        <v>37</v>
      </c>
      <c r="L159" s="3" t="s">
        <v>108</v>
      </c>
      <c r="M159" s="3" t="s">
        <v>39</v>
      </c>
      <c r="N159" s="3" t="s">
        <v>40</v>
      </c>
      <c r="O159" s="3" t="s">
        <v>41</v>
      </c>
      <c r="P159" s="3" t="s">
        <v>42</v>
      </c>
      <c r="Q159" s="3" t="s">
        <v>97</v>
      </c>
      <c r="R159" s="3" t="s">
        <v>72</v>
      </c>
      <c r="S159" s="3" t="s">
        <v>44</v>
      </c>
      <c r="T159" s="3" t="s">
        <v>45</v>
      </c>
      <c r="U159" s="5"/>
      <c r="V159" s="3" t="s">
        <v>281</v>
      </c>
      <c r="W159" s="3" t="s">
        <v>99</v>
      </c>
      <c r="X159" s="3" t="s">
        <v>75</v>
      </c>
      <c r="Y159" s="3" t="s">
        <v>100</v>
      </c>
      <c r="Z159" s="3" t="s">
        <v>100</v>
      </c>
      <c r="AA159" s="5">
        <v>21555.1</v>
      </c>
      <c r="AB159" s="3" t="s">
        <v>40</v>
      </c>
      <c r="AC159" s="3" t="s">
        <v>101</v>
      </c>
    </row>
    <row r="160" ht="12" customHeight="1" spans="1:29" x14ac:dyDescent="0.25">
      <c r="A160" s="3" t="s">
        <v>366</v>
      </c>
      <c r="B160" s="4" t="s">
        <v>30</v>
      </c>
      <c r="C160" s="3" t="s">
        <v>31</v>
      </c>
      <c r="D160" s="3" t="s">
        <v>32</v>
      </c>
      <c r="E160" s="3" t="s">
        <v>95</v>
      </c>
      <c r="F160" s="3" t="s">
        <v>34</v>
      </c>
      <c r="G160" s="3" t="s">
        <v>35</v>
      </c>
      <c r="H160" s="3" t="s">
        <v>35</v>
      </c>
      <c r="I160" s="3" t="s">
        <v>69</v>
      </c>
      <c r="J160" s="3" t="s">
        <v>96</v>
      </c>
      <c r="K160" s="3" t="s">
        <v>37</v>
      </c>
      <c r="L160" s="3" t="s">
        <v>108</v>
      </c>
      <c r="M160" s="3" t="s">
        <v>39</v>
      </c>
      <c r="N160" s="3" t="s">
        <v>40</v>
      </c>
      <c r="O160" s="3" t="s">
        <v>41</v>
      </c>
      <c r="P160" s="3" t="s">
        <v>42</v>
      </c>
      <c r="Q160" s="3" t="s">
        <v>97</v>
      </c>
      <c r="R160" s="3" t="s">
        <v>72</v>
      </c>
      <c r="S160" s="3" t="s">
        <v>44</v>
      </c>
      <c r="T160" s="3" t="s">
        <v>45</v>
      </c>
      <c r="U160" s="5"/>
      <c r="V160" s="3" t="s">
        <v>281</v>
      </c>
      <c r="W160" s="3" t="s">
        <v>99</v>
      </c>
      <c r="X160" s="3" t="s">
        <v>75</v>
      </c>
      <c r="Y160" s="3" t="s">
        <v>100</v>
      </c>
      <c r="Z160" s="3" t="s">
        <v>100</v>
      </c>
      <c r="AA160" s="5">
        <v>21545.1</v>
      </c>
      <c r="AB160" s="3" t="s">
        <v>40</v>
      </c>
      <c r="AC160" s="3" t="s">
        <v>101</v>
      </c>
    </row>
    <row r="161" ht="12" customHeight="1" spans="1:29" x14ac:dyDescent="0.25">
      <c r="A161" s="3" t="s">
        <v>367</v>
      </c>
      <c r="B161" s="4" t="s">
        <v>30</v>
      </c>
      <c r="C161" s="3" t="s">
        <v>31</v>
      </c>
      <c r="D161" s="3" t="s">
        <v>32</v>
      </c>
      <c r="E161" s="3" t="s">
        <v>95</v>
      </c>
      <c r="F161" s="3" t="s">
        <v>34</v>
      </c>
      <c r="G161" s="3" t="s">
        <v>35</v>
      </c>
      <c r="H161" s="3" t="s">
        <v>35</v>
      </c>
      <c r="I161" s="3" t="s">
        <v>69</v>
      </c>
      <c r="J161" s="3" t="s">
        <v>96</v>
      </c>
      <c r="K161" s="3" t="s">
        <v>37</v>
      </c>
      <c r="L161" s="3" t="s">
        <v>108</v>
      </c>
      <c r="M161" s="3" t="s">
        <v>39</v>
      </c>
      <c r="N161" s="3" t="s">
        <v>40</v>
      </c>
      <c r="O161" s="3" t="s">
        <v>41</v>
      </c>
      <c r="P161" s="3" t="s">
        <v>42</v>
      </c>
      <c r="Q161" s="3" t="s">
        <v>97</v>
      </c>
      <c r="R161" s="3" t="s">
        <v>72</v>
      </c>
      <c r="S161" s="3" t="s">
        <v>44</v>
      </c>
      <c r="T161" s="3" t="s">
        <v>45</v>
      </c>
      <c r="U161" s="5"/>
      <c r="V161" s="3" t="s">
        <v>281</v>
      </c>
      <c r="W161" s="3" t="s">
        <v>99</v>
      </c>
      <c r="X161" s="3" t="s">
        <v>48</v>
      </c>
      <c r="Y161" s="3" t="s">
        <v>100</v>
      </c>
      <c r="Z161" s="3" t="s">
        <v>100</v>
      </c>
      <c r="AA161" s="5">
        <v>21565.1</v>
      </c>
      <c r="AB161" s="3" t="s">
        <v>40</v>
      </c>
      <c r="AC161" s="3" t="s">
        <v>101</v>
      </c>
    </row>
    <row r="162" ht="12" customHeight="1" spans="1:29" x14ac:dyDescent="0.25">
      <c r="A162" s="3" t="s">
        <v>368</v>
      </c>
      <c r="B162" s="4" t="s">
        <v>30</v>
      </c>
      <c r="C162" s="3" t="s">
        <v>31</v>
      </c>
      <c r="D162" s="3" t="s">
        <v>32</v>
      </c>
      <c r="E162" s="3" t="s">
        <v>95</v>
      </c>
      <c r="F162" s="3" t="s">
        <v>34</v>
      </c>
      <c r="G162" s="3" t="s">
        <v>35</v>
      </c>
      <c r="H162" s="3" t="s">
        <v>35</v>
      </c>
      <c r="I162" s="3" t="s">
        <v>69</v>
      </c>
      <c r="J162" s="3" t="s">
        <v>96</v>
      </c>
      <c r="K162" s="3" t="s">
        <v>37</v>
      </c>
      <c r="L162" s="3" t="s">
        <v>108</v>
      </c>
      <c r="M162" s="3" t="s">
        <v>39</v>
      </c>
      <c r="N162" s="3" t="s">
        <v>40</v>
      </c>
      <c r="O162" s="3" t="s">
        <v>41</v>
      </c>
      <c r="P162" s="3" t="s">
        <v>42</v>
      </c>
      <c r="Q162" s="3" t="s">
        <v>97</v>
      </c>
      <c r="R162" s="3" t="s">
        <v>72</v>
      </c>
      <c r="S162" s="3" t="s">
        <v>44</v>
      </c>
      <c r="T162" s="3" t="s">
        <v>45</v>
      </c>
      <c r="U162" s="5"/>
      <c r="V162" s="3" t="s">
        <v>281</v>
      </c>
      <c r="W162" s="3" t="s">
        <v>99</v>
      </c>
      <c r="X162" s="3" t="s">
        <v>48</v>
      </c>
      <c r="Y162" s="3" t="s">
        <v>100</v>
      </c>
      <c r="Z162" s="3" t="s">
        <v>100</v>
      </c>
      <c r="AA162" s="5">
        <v>21535.1</v>
      </c>
      <c r="AB162" s="3" t="s">
        <v>40</v>
      </c>
      <c r="AC162" s="3" t="s">
        <v>101</v>
      </c>
    </row>
    <row r="163" ht="12" customHeight="1" spans="1:29" x14ac:dyDescent="0.25">
      <c r="A163" s="3" t="s">
        <v>369</v>
      </c>
      <c r="B163" s="4" t="s">
        <v>30</v>
      </c>
      <c r="C163" s="3" t="s">
        <v>31</v>
      </c>
      <c r="D163" s="3" t="s">
        <v>32</v>
      </c>
      <c r="E163" s="3" t="s">
        <v>95</v>
      </c>
      <c r="F163" s="3" t="s">
        <v>34</v>
      </c>
      <c r="G163" s="3" t="s">
        <v>52</v>
      </c>
      <c r="H163" s="3" t="s">
        <v>35</v>
      </c>
      <c r="I163" s="3" t="s">
        <v>36</v>
      </c>
      <c r="J163" s="3" t="s">
        <v>36</v>
      </c>
      <c r="K163" s="3" t="s">
        <v>37</v>
      </c>
      <c r="L163" s="3" t="s">
        <v>108</v>
      </c>
      <c r="M163" s="3" t="s">
        <v>39</v>
      </c>
      <c r="N163" s="3" t="s">
        <v>40</v>
      </c>
      <c r="O163" s="3" t="s">
        <v>41</v>
      </c>
      <c r="P163" s="3" t="s">
        <v>42</v>
      </c>
      <c r="Q163" s="3" t="s">
        <v>370</v>
      </c>
      <c r="R163" s="3" t="s">
        <v>44</v>
      </c>
      <c r="S163" s="3" t="s">
        <v>44</v>
      </c>
      <c r="T163" s="3" t="s">
        <v>45</v>
      </c>
      <c r="U163" s="5"/>
      <c r="V163" s="3" t="s">
        <v>281</v>
      </c>
      <c r="W163" s="3" t="s">
        <v>362</v>
      </c>
      <c r="X163" s="3" t="s">
        <v>48</v>
      </c>
      <c r="Y163" s="3" t="s">
        <v>371</v>
      </c>
      <c r="Z163" s="3" t="s">
        <v>371</v>
      </c>
      <c r="AA163" s="5">
        <v>19734</v>
      </c>
      <c r="AB163" s="3" t="s">
        <v>40</v>
      </c>
      <c r="AC163" s="3" t="s">
        <v>50</v>
      </c>
    </row>
    <row r="164" ht="12" customHeight="1" spans="1:29" x14ac:dyDescent="0.25">
      <c r="A164" s="3" t="s">
        <v>372</v>
      </c>
      <c r="B164" s="4" t="s">
        <v>30</v>
      </c>
      <c r="C164" s="3" t="s">
        <v>31</v>
      </c>
      <c r="D164" s="3" t="s">
        <v>32</v>
      </c>
      <c r="E164" s="3" t="s">
        <v>95</v>
      </c>
      <c r="F164" s="3" t="s">
        <v>34</v>
      </c>
      <c r="G164" s="3" t="s">
        <v>52</v>
      </c>
      <c r="H164" s="3" t="s">
        <v>35</v>
      </c>
      <c r="I164" s="3" t="s">
        <v>36</v>
      </c>
      <c r="J164" s="3" t="s">
        <v>36</v>
      </c>
      <c r="K164" s="3" t="s">
        <v>37</v>
      </c>
      <c r="L164" s="3" t="s">
        <v>108</v>
      </c>
      <c r="M164" s="3" t="s">
        <v>39</v>
      </c>
      <c r="N164" s="3" t="s">
        <v>40</v>
      </c>
      <c r="O164" s="3" t="s">
        <v>41</v>
      </c>
      <c r="P164" s="3" t="s">
        <v>42</v>
      </c>
      <c r="Q164" s="3" t="s">
        <v>370</v>
      </c>
      <c r="R164" s="3" t="s">
        <v>44</v>
      </c>
      <c r="S164" s="3" t="s">
        <v>44</v>
      </c>
      <c r="T164" s="3" t="s">
        <v>45</v>
      </c>
      <c r="U164" s="5"/>
      <c r="V164" s="3" t="s">
        <v>281</v>
      </c>
      <c r="W164" s="3" t="s">
        <v>362</v>
      </c>
      <c r="X164" s="3" t="s">
        <v>48</v>
      </c>
      <c r="Y164" s="3" t="s">
        <v>371</v>
      </c>
      <c r="Z164" s="3" t="s">
        <v>371</v>
      </c>
      <c r="AA164" s="5">
        <v>19734</v>
      </c>
      <c r="AB164" s="3" t="s">
        <v>40</v>
      </c>
      <c r="AC164" s="3" t="s">
        <v>50</v>
      </c>
    </row>
    <row r="165" ht="12" customHeight="1" spans="1:29" x14ac:dyDescent="0.25">
      <c r="A165" s="3" t="s">
        <v>373</v>
      </c>
      <c r="B165" s="4" t="s">
        <v>30</v>
      </c>
      <c r="C165" s="3" t="s">
        <v>31</v>
      </c>
      <c r="D165" s="3" t="s">
        <v>32</v>
      </c>
      <c r="E165" s="3" t="s">
        <v>95</v>
      </c>
      <c r="F165" s="3" t="s">
        <v>34</v>
      </c>
      <c r="G165" s="3" t="s">
        <v>35</v>
      </c>
      <c r="H165" s="3" t="s">
        <v>35</v>
      </c>
      <c r="I165" s="3" t="s">
        <v>69</v>
      </c>
      <c r="J165" s="3" t="s">
        <v>96</v>
      </c>
      <c r="K165" s="3" t="s">
        <v>37</v>
      </c>
      <c r="L165" s="3" t="s">
        <v>108</v>
      </c>
      <c r="M165" s="3" t="s">
        <v>39</v>
      </c>
      <c r="N165" s="3" t="s">
        <v>40</v>
      </c>
      <c r="O165" s="3" t="s">
        <v>41</v>
      </c>
      <c r="P165" s="3" t="s">
        <v>42</v>
      </c>
      <c r="Q165" s="3" t="s">
        <v>97</v>
      </c>
      <c r="R165" s="3" t="s">
        <v>72</v>
      </c>
      <c r="S165" s="3" t="s">
        <v>44</v>
      </c>
      <c r="T165" s="3" t="s">
        <v>45</v>
      </c>
      <c r="U165" s="5"/>
      <c r="V165" s="3" t="s">
        <v>281</v>
      </c>
      <c r="W165" s="3" t="s">
        <v>99</v>
      </c>
      <c r="X165" s="3" t="s">
        <v>75</v>
      </c>
      <c r="Y165" s="3" t="s">
        <v>100</v>
      </c>
      <c r="Z165" s="3" t="s">
        <v>100</v>
      </c>
      <c r="AA165" s="5">
        <v>21545.1</v>
      </c>
      <c r="AB165" s="3" t="s">
        <v>40</v>
      </c>
      <c r="AC165" s="3" t="s">
        <v>101</v>
      </c>
    </row>
    <row r="166" ht="12" customHeight="1" spans="1:29" x14ac:dyDescent="0.25">
      <c r="A166" s="3" t="s">
        <v>374</v>
      </c>
      <c r="B166" s="4" t="s">
        <v>30</v>
      </c>
      <c r="C166" s="3" t="s">
        <v>31</v>
      </c>
      <c r="D166" s="3" t="s">
        <v>32</v>
      </c>
      <c r="E166" s="3" t="s">
        <v>95</v>
      </c>
      <c r="F166" s="3" t="s">
        <v>34</v>
      </c>
      <c r="G166" s="3" t="s">
        <v>35</v>
      </c>
      <c r="H166" s="3" t="s">
        <v>35</v>
      </c>
      <c r="I166" s="3" t="s">
        <v>69</v>
      </c>
      <c r="J166" s="3" t="s">
        <v>96</v>
      </c>
      <c r="K166" s="3" t="s">
        <v>37</v>
      </c>
      <c r="L166" s="3" t="s">
        <v>108</v>
      </c>
      <c r="M166" s="3" t="s">
        <v>39</v>
      </c>
      <c r="N166" s="3" t="s">
        <v>40</v>
      </c>
      <c r="O166" s="3" t="s">
        <v>41</v>
      </c>
      <c r="P166" s="3" t="s">
        <v>42</v>
      </c>
      <c r="Q166" s="3" t="s">
        <v>97</v>
      </c>
      <c r="R166" s="3" t="s">
        <v>72</v>
      </c>
      <c r="S166" s="3" t="s">
        <v>44</v>
      </c>
      <c r="T166" s="3" t="s">
        <v>45</v>
      </c>
      <c r="U166" s="5"/>
      <c r="V166" s="3" t="s">
        <v>281</v>
      </c>
      <c r="W166" s="3" t="s">
        <v>99</v>
      </c>
      <c r="X166" s="3" t="s">
        <v>75</v>
      </c>
      <c r="Y166" s="3" t="s">
        <v>100</v>
      </c>
      <c r="Z166" s="3" t="s">
        <v>100</v>
      </c>
      <c r="AA166" s="5">
        <v>21535.1</v>
      </c>
      <c r="AB166" s="3" t="s">
        <v>40</v>
      </c>
      <c r="AC166" s="3" t="s">
        <v>101</v>
      </c>
    </row>
    <row r="167" ht="12" customHeight="1" spans="1:29" x14ac:dyDescent="0.25">
      <c r="A167" s="3" t="s">
        <v>375</v>
      </c>
      <c r="B167" s="4" t="s">
        <v>30</v>
      </c>
      <c r="C167" s="3" t="s">
        <v>31</v>
      </c>
      <c r="D167" s="3" t="s">
        <v>32</v>
      </c>
      <c r="E167" s="3" t="s">
        <v>95</v>
      </c>
      <c r="F167" s="3" t="s">
        <v>34</v>
      </c>
      <c r="G167" s="3" t="s">
        <v>35</v>
      </c>
      <c r="H167" s="3" t="s">
        <v>35</v>
      </c>
      <c r="I167" s="3" t="s">
        <v>69</v>
      </c>
      <c r="J167" s="3" t="s">
        <v>96</v>
      </c>
      <c r="K167" s="3" t="s">
        <v>37</v>
      </c>
      <c r="L167" s="3" t="s">
        <v>108</v>
      </c>
      <c r="M167" s="3" t="s">
        <v>39</v>
      </c>
      <c r="N167" s="3" t="s">
        <v>40</v>
      </c>
      <c r="O167" s="3" t="s">
        <v>41</v>
      </c>
      <c r="P167" s="3" t="s">
        <v>42</v>
      </c>
      <c r="Q167" s="3" t="s">
        <v>97</v>
      </c>
      <c r="R167" s="3" t="s">
        <v>72</v>
      </c>
      <c r="S167" s="3" t="s">
        <v>44</v>
      </c>
      <c r="T167" s="3" t="s">
        <v>45</v>
      </c>
      <c r="U167" s="5"/>
      <c r="V167" s="3" t="s">
        <v>281</v>
      </c>
      <c r="W167" s="3" t="s">
        <v>99</v>
      </c>
      <c r="X167" s="3" t="s">
        <v>75</v>
      </c>
      <c r="Y167" s="3" t="s">
        <v>100</v>
      </c>
      <c r="Z167" s="3" t="s">
        <v>100</v>
      </c>
      <c r="AA167" s="5">
        <v>21545.1</v>
      </c>
      <c r="AB167" s="3" t="s">
        <v>40</v>
      </c>
      <c r="AC167" s="3" t="s">
        <v>101</v>
      </c>
    </row>
    <row r="168" ht="12" customHeight="1" spans="1:29" x14ac:dyDescent="0.25">
      <c r="A168" s="3" t="s">
        <v>376</v>
      </c>
      <c r="B168" s="4" t="s">
        <v>30</v>
      </c>
      <c r="C168" s="3" t="s">
        <v>31</v>
      </c>
      <c r="D168" s="3" t="s">
        <v>32</v>
      </c>
      <c r="E168" s="3" t="s">
        <v>95</v>
      </c>
      <c r="F168" s="3" t="s">
        <v>34</v>
      </c>
      <c r="G168" s="3" t="s">
        <v>35</v>
      </c>
      <c r="H168" s="3" t="s">
        <v>35</v>
      </c>
      <c r="I168" s="3" t="s">
        <v>69</v>
      </c>
      <c r="J168" s="3" t="s">
        <v>96</v>
      </c>
      <c r="K168" s="3" t="s">
        <v>37</v>
      </c>
      <c r="L168" s="3" t="s">
        <v>108</v>
      </c>
      <c r="M168" s="3" t="s">
        <v>39</v>
      </c>
      <c r="N168" s="3" t="s">
        <v>40</v>
      </c>
      <c r="O168" s="3" t="s">
        <v>41</v>
      </c>
      <c r="P168" s="3" t="s">
        <v>42</v>
      </c>
      <c r="Q168" s="3" t="s">
        <v>97</v>
      </c>
      <c r="R168" s="3" t="s">
        <v>72</v>
      </c>
      <c r="S168" s="3" t="s">
        <v>44</v>
      </c>
      <c r="T168" s="3" t="s">
        <v>45</v>
      </c>
      <c r="U168" s="5"/>
      <c r="V168" s="3" t="s">
        <v>281</v>
      </c>
      <c r="W168" s="3" t="s">
        <v>99</v>
      </c>
      <c r="X168" s="3" t="s">
        <v>75</v>
      </c>
      <c r="Y168" s="3" t="s">
        <v>100</v>
      </c>
      <c r="Z168" s="3" t="s">
        <v>100</v>
      </c>
      <c r="AA168" s="5">
        <v>21535.1</v>
      </c>
      <c r="AB168" s="3" t="s">
        <v>40</v>
      </c>
      <c r="AC168" s="3" t="s">
        <v>101</v>
      </c>
    </row>
    <row r="169" ht="12" customHeight="1" spans="1:29" x14ac:dyDescent="0.25">
      <c r="A169" s="3" t="s">
        <v>377</v>
      </c>
      <c r="B169" s="4" t="s">
        <v>30</v>
      </c>
      <c r="C169" s="3" t="s">
        <v>31</v>
      </c>
      <c r="D169" s="3" t="s">
        <v>32</v>
      </c>
      <c r="E169" s="3" t="s">
        <v>95</v>
      </c>
      <c r="F169" s="3" t="s">
        <v>34</v>
      </c>
      <c r="G169" s="3" t="s">
        <v>35</v>
      </c>
      <c r="H169" s="3" t="s">
        <v>35</v>
      </c>
      <c r="I169" s="3" t="s">
        <v>69</v>
      </c>
      <c r="J169" s="3" t="s">
        <v>96</v>
      </c>
      <c r="K169" s="3" t="s">
        <v>37</v>
      </c>
      <c r="L169" s="3" t="s">
        <v>108</v>
      </c>
      <c r="M169" s="3" t="s">
        <v>39</v>
      </c>
      <c r="N169" s="3" t="s">
        <v>40</v>
      </c>
      <c r="O169" s="3" t="s">
        <v>41</v>
      </c>
      <c r="P169" s="3" t="s">
        <v>42</v>
      </c>
      <c r="Q169" s="3" t="s">
        <v>97</v>
      </c>
      <c r="R169" s="3" t="s">
        <v>72</v>
      </c>
      <c r="S169" s="3" t="s">
        <v>44</v>
      </c>
      <c r="T169" s="3" t="s">
        <v>45</v>
      </c>
      <c r="U169" s="5"/>
      <c r="V169" s="3" t="s">
        <v>281</v>
      </c>
      <c r="W169" s="3" t="s">
        <v>99</v>
      </c>
      <c r="X169" s="3" t="s">
        <v>48</v>
      </c>
      <c r="Y169" s="3" t="s">
        <v>100</v>
      </c>
      <c r="Z169" s="3" t="s">
        <v>100</v>
      </c>
      <c r="AA169" s="5">
        <v>21545.1</v>
      </c>
      <c r="AB169" s="3" t="s">
        <v>40</v>
      </c>
      <c r="AC169" s="3" t="s">
        <v>101</v>
      </c>
    </row>
    <row r="170" ht="12" customHeight="1" spans="1:29" x14ac:dyDescent="0.25">
      <c r="A170" s="3" t="s">
        <v>378</v>
      </c>
      <c r="B170" s="4" t="s">
        <v>30</v>
      </c>
      <c r="C170" s="3" t="s">
        <v>31</v>
      </c>
      <c r="D170" s="3" t="s">
        <v>32</v>
      </c>
      <c r="E170" s="3" t="s">
        <v>95</v>
      </c>
      <c r="F170" s="3" t="s">
        <v>34</v>
      </c>
      <c r="G170" s="3" t="s">
        <v>52</v>
      </c>
      <c r="H170" s="3" t="s">
        <v>35</v>
      </c>
      <c r="I170" s="3" t="s">
        <v>36</v>
      </c>
      <c r="J170" s="3" t="s">
        <v>36</v>
      </c>
      <c r="K170" s="3" t="s">
        <v>37</v>
      </c>
      <c r="L170" s="3" t="s">
        <v>108</v>
      </c>
      <c r="M170" s="3" t="s">
        <v>39</v>
      </c>
      <c r="N170" s="3" t="s">
        <v>40</v>
      </c>
      <c r="O170" s="3" t="s">
        <v>41</v>
      </c>
      <c r="P170" s="3" t="s">
        <v>42</v>
      </c>
      <c r="Q170" s="3" t="s">
        <v>379</v>
      </c>
      <c r="R170" s="3" t="s">
        <v>44</v>
      </c>
      <c r="S170" s="3" t="s">
        <v>44</v>
      </c>
      <c r="T170" s="3" t="s">
        <v>45</v>
      </c>
      <c r="U170" s="5"/>
      <c r="V170" s="3" t="s">
        <v>281</v>
      </c>
      <c r="W170" s="3" t="s">
        <v>86</v>
      </c>
      <c r="X170" s="3" t="s">
        <v>48</v>
      </c>
      <c r="Y170" s="3" t="s">
        <v>87</v>
      </c>
      <c r="Z170" s="3" t="s">
        <v>87</v>
      </c>
      <c r="AA170" s="5">
        <v>1050.14</v>
      </c>
      <c r="AB170" s="3" t="s">
        <v>40</v>
      </c>
      <c r="AC170" s="3" t="s">
        <v>50</v>
      </c>
    </row>
    <row r="171" ht="12" customHeight="1" spans="1:29" x14ac:dyDescent="0.25">
      <c r="A171" s="3" t="s">
        <v>380</v>
      </c>
      <c r="B171" s="4" t="s">
        <v>30</v>
      </c>
      <c r="C171" s="3" t="s">
        <v>31</v>
      </c>
      <c r="D171" s="3" t="s">
        <v>32</v>
      </c>
      <c r="E171" s="3" t="s">
        <v>95</v>
      </c>
      <c r="F171" s="3" t="s">
        <v>34</v>
      </c>
      <c r="G171" s="3" t="s">
        <v>35</v>
      </c>
      <c r="H171" s="3" t="s">
        <v>35</v>
      </c>
      <c r="I171" s="3" t="s">
        <v>36</v>
      </c>
      <c r="J171" s="3" t="s">
        <v>36</v>
      </c>
      <c r="K171" s="3" t="s">
        <v>37</v>
      </c>
      <c r="L171" s="3" t="s">
        <v>108</v>
      </c>
      <c r="M171" s="3" t="s">
        <v>39</v>
      </c>
      <c r="N171" s="3" t="s">
        <v>40</v>
      </c>
      <c r="O171" s="3" t="s">
        <v>41</v>
      </c>
      <c r="P171" s="3" t="s">
        <v>42</v>
      </c>
      <c r="Q171" s="3" t="s">
        <v>381</v>
      </c>
      <c r="R171" s="3" t="s">
        <v>44</v>
      </c>
      <c r="S171" s="3" t="s">
        <v>44</v>
      </c>
      <c r="T171" s="3" t="s">
        <v>45</v>
      </c>
      <c r="U171" s="5"/>
      <c r="V171" s="3" t="s">
        <v>281</v>
      </c>
      <c r="W171" s="3" t="s">
        <v>382</v>
      </c>
      <c r="X171" s="3" t="s">
        <v>48</v>
      </c>
      <c r="Y171" s="3" t="s">
        <v>383</v>
      </c>
      <c r="Z171" s="3" t="s">
        <v>383</v>
      </c>
      <c r="AA171" s="5">
        <v>5634.56</v>
      </c>
      <c r="AB171" s="3" t="s">
        <v>40</v>
      </c>
      <c r="AC171" s="3" t="s">
        <v>50</v>
      </c>
    </row>
    <row r="172" ht="12" customHeight="1" spans="1:29" x14ac:dyDescent="0.25">
      <c r="A172" s="3" t="s">
        <v>384</v>
      </c>
      <c r="B172" s="4" t="s">
        <v>30</v>
      </c>
      <c r="C172" s="3" t="s">
        <v>31</v>
      </c>
      <c r="D172" s="3" t="s">
        <v>32</v>
      </c>
      <c r="E172" s="3" t="s">
        <v>95</v>
      </c>
      <c r="F172" s="3" t="s">
        <v>34</v>
      </c>
      <c r="G172" s="3" t="s">
        <v>35</v>
      </c>
      <c r="H172" s="3" t="s">
        <v>35</v>
      </c>
      <c r="I172" s="3" t="s">
        <v>69</v>
      </c>
      <c r="J172" s="3" t="s">
        <v>96</v>
      </c>
      <c r="K172" s="3" t="s">
        <v>37</v>
      </c>
      <c r="L172" s="3" t="s">
        <v>108</v>
      </c>
      <c r="M172" s="3" t="s">
        <v>39</v>
      </c>
      <c r="N172" s="3" t="s">
        <v>40</v>
      </c>
      <c r="O172" s="3" t="s">
        <v>41</v>
      </c>
      <c r="P172" s="3" t="s">
        <v>42</v>
      </c>
      <c r="Q172" s="3" t="s">
        <v>97</v>
      </c>
      <c r="R172" s="3" t="s">
        <v>72</v>
      </c>
      <c r="S172" s="3" t="s">
        <v>44</v>
      </c>
      <c r="T172" s="3" t="s">
        <v>45</v>
      </c>
      <c r="U172" s="5"/>
      <c r="V172" s="3" t="s">
        <v>281</v>
      </c>
      <c r="W172" s="3" t="s">
        <v>99</v>
      </c>
      <c r="X172" s="3" t="s">
        <v>75</v>
      </c>
      <c r="Y172" s="3" t="s">
        <v>100</v>
      </c>
      <c r="Z172" s="3" t="s">
        <v>100</v>
      </c>
      <c r="AA172" s="5">
        <v>21535.1</v>
      </c>
      <c r="AB172" s="3" t="s">
        <v>40</v>
      </c>
      <c r="AC172" s="3" t="s">
        <v>101</v>
      </c>
    </row>
    <row r="173" ht="12" customHeight="1" spans="1:29" x14ac:dyDescent="0.25">
      <c r="A173" s="3" t="s">
        <v>385</v>
      </c>
      <c r="B173" s="4" t="s">
        <v>30</v>
      </c>
      <c r="C173" s="3" t="s">
        <v>31</v>
      </c>
      <c r="D173" s="3" t="s">
        <v>32</v>
      </c>
      <c r="E173" s="3" t="s">
        <v>95</v>
      </c>
      <c r="F173" s="3" t="s">
        <v>34</v>
      </c>
      <c r="G173" s="3" t="s">
        <v>35</v>
      </c>
      <c r="H173" s="3" t="s">
        <v>35</v>
      </c>
      <c r="I173" s="3" t="s">
        <v>69</v>
      </c>
      <c r="J173" s="3" t="s">
        <v>96</v>
      </c>
      <c r="K173" s="3" t="s">
        <v>37</v>
      </c>
      <c r="L173" s="3" t="s">
        <v>108</v>
      </c>
      <c r="M173" s="3" t="s">
        <v>39</v>
      </c>
      <c r="N173" s="3" t="s">
        <v>40</v>
      </c>
      <c r="O173" s="3" t="s">
        <v>41</v>
      </c>
      <c r="P173" s="3" t="s">
        <v>42</v>
      </c>
      <c r="Q173" s="3" t="s">
        <v>97</v>
      </c>
      <c r="R173" s="3" t="s">
        <v>72</v>
      </c>
      <c r="S173" s="3" t="s">
        <v>44</v>
      </c>
      <c r="T173" s="3" t="s">
        <v>45</v>
      </c>
      <c r="U173" s="5"/>
      <c r="V173" s="3" t="s">
        <v>281</v>
      </c>
      <c r="W173" s="3" t="s">
        <v>99</v>
      </c>
      <c r="X173" s="3" t="s">
        <v>75</v>
      </c>
      <c r="Y173" s="3" t="s">
        <v>100</v>
      </c>
      <c r="Z173" s="3" t="s">
        <v>100</v>
      </c>
      <c r="AA173" s="5">
        <v>21535.1</v>
      </c>
      <c r="AB173" s="3" t="s">
        <v>40</v>
      </c>
      <c r="AC173" s="3" t="s">
        <v>101</v>
      </c>
    </row>
    <row r="174" ht="12" customHeight="1" spans="1:29" x14ac:dyDescent="0.25">
      <c r="A174" s="3" t="s">
        <v>386</v>
      </c>
      <c r="B174" s="4" t="s">
        <v>30</v>
      </c>
      <c r="C174" s="3" t="s">
        <v>31</v>
      </c>
      <c r="D174" s="3" t="s">
        <v>32</v>
      </c>
      <c r="E174" s="3" t="s">
        <v>95</v>
      </c>
      <c r="F174" s="3" t="s">
        <v>34</v>
      </c>
      <c r="G174" s="3" t="s">
        <v>35</v>
      </c>
      <c r="H174" s="3" t="s">
        <v>35</v>
      </c>
      <c r="I174" s="3" t="s">
        <v>69</v>
      </c>
      <c r="J174" s="3" t="s">
        <v>387</v>
      </c>
      <c r="K174" s="3" t="s">
        <v>37</v>
      </c>
      <c r="L174" s="3" t="s">
        <v>108</v>
      </c>
      <c r="M174" s="3" t="s">
        <v>39</v>
      </c>
      <c r="N174" s="3" t="s">
        <v>40</v>
      </c>
      <c r="O174" s="3" t="s">
        <v>41</v>
      </c>
      <c r="P174" s="3" t="s">
        <v>42</v>
      </c>
      <c r="Q174" s="3" t="s">
        <v>388</v>
      </c>
      <c r="R174" s="3" t="s">
        <v>72</v>
      </c>
      <c r="S174" s="3" t="s">
        <v>44</v>
      </c>
      <c r="T174" s="3" t="s">
        <v>45</v>
      </c>
      <c r="U174" s="5"/>
      <c r="V174" s="3" t="s">
        <v>281</v>
      </c>
      <c r="W174" s="3" t="s">
        <v>74</v>
      </c>
      <c r="X174" s="3" t="s">
        <v>48</v>
      </c>
      <c r="Y174" s="3" t="s">
        <v>330</v>
      </c>
      <c r="Z174" s="3" t="s">
        <v>330</v>
      </c>
      <c r="AA174" s="5">
        <v>16096</v>
      </c>
      <c r="AB174" s="3" t="s">
        <v>40</v>
      </c>
      <c r="AC174" s="3" t="s">
        <v>389</v>
      </c>
    </row>
    <row r="175" ht="12" customHeight="1" spans="1:29" x14ac:dyDescent="0.25">
      <c r="A175" s="3" t="s">
        <v>390</v>
      </c>
      <c r="B175" s="4" t="s">
        <v>30</v>
      </c>
      <c r="C175" s="3" t="s">
        <v>31</v>
      </c>
      <c r="D175" s="3" t="s">
        <v>32</v>
      </c>
      <c r="E175" s="3" t="s">
        <v>95</v>
      </c>
      <c r="F175" s="3" t="s">
        <v>34</v>
      </c>
      <c r="G175" s="3" t="s">
        <v>52</v>
      </c>
      <c r="H175" s="3" t="s">
        <v>35</v>
      </c>
      <c r="I175" s="3" t="s">
        <v>36</v>
      </c>
      <c r="J175" s="3" t="s">
        <v>36</v>
      </c>
      <c r="K175" s="3" t="s">
        <v>37</v>
      </c>
      <c r="L175" s="3" t="s">
        <v>108</v>
      </c>
      <c r="M175" s="3" t="s">
        <v>39</v>
      </c>
      <c r="N175" s="3" t="s">
        <v>40</v>
      </c>
      <c r="O175" s="3" t="s">
        <v>41</v>
      </c>
      <c r="P175" s="3" t="s">
        <v>42</v>
      </c>
      <c r="Q175" s="3" t="s">
        <v>391</v>
      </c>
      <c r="R175" s="3" t="s">
        <v>44</v>
      </c>
      <c r="S175" s="3" t="s">
        <v>44</v>
      </c>
      <c r="T175" s="3" t="s">
        <v>45</v>
      </c>
      <c r="U175" s="5"/>
      <c r="V175" s="3" t="s">
        <v>281</v>
      </c>
      <c r="W175" s="3" t="s">
        <v>392</v>
      </c>
      <c r="X175" s="3" t="s">
        <v>48</v>
      </c>
      <c r="Y175" s="3" t="s">
        <v>393</v>
      </c>
      <c r="Z175" s="3" t="s">
        <v>393</v>
      </c>
      <c r="AA175" s="5">
        <v>2448</v>
      </c>
      <c r="AB175" s="3" t="s">
        <v>40</v>
      </c>
      <c r="AC175" s="3" t="s">
        <v>50</v>
      </c>
    </row>
    <row r="176" ht="12" customHeight="1" spans="1:29" x14ac:dyDescent="0.25">
      <c r="A176" s="3" t="s">
        <v>394</v>
      </c>
      <c r="B176" s="4" t="s">
        <v>30</v>
      </c>
      <c r="C176" s="3" t="s">
        <v>31</v>
      </c>
      <c r="D176" s="3" t="s">
        <v>32</v>
      </c>
      <c r="E176" s="3" t="s">
        <v>95</v>
      </c>
      <c r="F176" s="3" t="s">
        <v>34</v>
      </c>
      <c r="G176" s="3" t="s">
        <v>35</v>
      </c>
      <c r="H176" s="3" t="s">
        <v>35</v>
      </c>
      <c r="I176" s="3" t="s">
        <v>36</v>
      </c>
      <c r="J176" s="3" t="s">
        <v>36</v>
      </c>
      <c r="K176" s="3" t="s">
        <v>37</v>
      </c>
      <c r="L176" s="3" t="s">
        <v>108</v>
      </c>
      <c r="M176" s="3" t="s">
        <v>39</v>
      </c>
      <c r="N176" s="3" t="s">
        <v>40</v>
      </c>
      <c r="O176" s="3" t="s">
        <v>41</v>
      </c>
      <c r="P176" s="3" t="s">
        <v>42</v>
      </c>
      <c r="Q176" s="3" t="s">
        <v>395</v>
      </c>
      <c r="R176" s="3" t="s">
        <v>44</v>
      </c>
      <c r="S176" s="3" t="s">
        <v>44</v>
      </c>
      <c r="T176" s="3" t="s">
        <v>45</v>
      </c>
      <c r="U176" s="5"/>
      <c r="V176" s="3" t="s">
        <v>281</v>
      </c>
      <c r="W176" s="3" t="s">
        <v>396</v>
      </c>
      <c r="X176" s="3" t="s">
        <v>48</v>
      </c>
      <c r="Y176" s="3" t="s">
        <v>397</v>
      </c>
      <c r="Z176" s="3" t="s">
        <v>397</v>
      </c>
      <c r="AA176" s="5">
        <v>1877.47</v>
      </c>
      <c r="AB176" s="3" t="s">
        <v>40</v>
      </c>
      <c r="AC176" s="3" t="s">
        <v>50</v>
      </c>
    </row>
    <row r="177" ht="12" customHeight="1" spans="1:29" x14ac:dyDescent="0.25">
      <c r="A177" s="3" t="s">
        <v>398</v>
      </c>
      <c r="B177" s="4" t="s">
        <v>30</v>
      </c>
      <c r="C177" s="3" t="s">
        <v>31</v>
      </c>
      <c r="D177" s="3" t="s">
        <v>32</v>
      </c>
      <c r="E177" s="3" t="s">
        <v>95</v>
      </c>
      <c r="F177" s="3" t="s">
        <v>34</v>
      </c>
      <c r="G177" s="3" t="s">
        <v>52</v>
      </c>
      <c r="H177" s="3" t="s">
        <v>35</v>
      </c>
      <c r="I177" s="3" t="s">
        <v>36</v>
      </c>
      <c r="J177" s="3" t="s">
        <v>36</v>
      </c>
      <c r="K177" s="3" t="s">
        <v>37</v>
      </c>
      <c r="L177" s="3" t="s">
        <v>108</v>
      </c>
      <c r="M177" s="3" t="s">
        <v>39</v>
      </c>
      <c r="N177" s="3" t="s">
        <v>40</v>
      </c>
      <c r="O177" s="3" t="s">
        <v>41</v>
      </c>
      <c r="P177" s="3" t="s">
        <v>42</v>
      </c>
      <c r="Q177" s="3" t="s">
        <v>399</v>
      </c>
      <c r="R177" s="3" t="s">
        <v>44</v>
      </c>
      <c r="S177" s="3" t="s">
        <v>44</v>
      </c>
      <c r="T177" s="3" t="s">
        <v>45</v>
      </c>
      <c r="U177" s="5"/>
      <c r="V177" s="3" t="s">
        <v>281</v>
      </c>
      <c r="W177" s="3" t="s">
        <v>400</v>
      </c>
      <c r="X177" s="3" t="s">
        <v>48</v>
      </c>
      <c r="Y177" s="3" t="s">
        <v>401</v>
      </c>
      <c r="Z177" s="3" t="s">
        <v>401</v>
      </c>
      <c r="AA177" s="5">
        <v>16578.8</v>
      </c>
      <c r="AB177" s="3" t="s">
        <v>40</v>
      </c>
      <c r="AC177" s="3" t="s">
        <v>50</v>
      </c>
    </row>
    <row r="178" ht="12" customHeight="1" spans="1:29" x14ac:dyDescent="0.25">
      <c r="A178" s="3" t="s">
        <v>402</v>
      </c>
      <c r="B178" s="4" t="s">
        <v>30</v>
      </c>
      <c r="C178" s="3" t="s">
        <v>31</v>
      </c>
      <c r="D178" s="3" t="s">
        <v>32</v>
      </c>
      <c r="E178" s="3" t="s">
        <v>95</v>
      </c>
      <c r="F178" s="3" t="s">
        <v>34</v>
      </c>
      <c r="G178" s="3" t="s">
        <v>35</v>
      </c>
      <c r="H178" s="3" t="s">
        <v>35</v>
      </c>
      <c r="I178" s="3" t="s">
        <v>36</v>
      </c>
      <c r="J178" s="3" t="s">
        <v>36</v>
      </c>
      <c r="K178" s="3" t="s">
        <v>37</v>
      </c>
      <c r="L178" s="3" t="s">
        <v>108</v>
      </c>
      <c r="M178" s="3" t="s">
        <v>39</v>
      </c>
      <c r="N178" s="3" t="s">
        <v>40</v>
      </c>
      <c r="O178" s="3" t="s">
        <v>41</v>
      </c>
      <c r="P178" s="3" t="s">
        <v>42</v>
      </c>
      <c r="Q178" s="3" t="s">
        <v>403</v>
      </c>
      <c r="R178" s="3" t="s">
        <v>44</v>
      </c>
      <c r="S178" s="3" t="s">
        <v>44</v>
      </c>
      <c r="T178" s="3" t="s">
        <v>45</v>
      </c>
      <c r="U178" s="5"/>
      <c r="V178" s="3" t="s">
        <v>281</v>
      </c>
      <c r="W178" s="3" t="s">
        <v>74</v>
      </c>
      <c r="X178" s="3" t="s">
        <v>48</v>
      </c>
      <c r="Y178" s="3" t="s">
        <v>404</v>
      </c>
      <c r="Z178" s="3" t="s">
        <v>404</v>
      </c>
      <c r="AA178" s="5">
        <v>16096</v>
      </c>
      <c r="AB178" s="3" t="s">
        <v>40</v>
      </c>
      <c r="AC178" s="3" t="s">
        <v>50</v>
      </c>
    </row>
    <row r="179" ht="12" customHeight="1" spans="1:29" x14ac:dyDescent="0.25">
      <c r="A179" s="3" t="s">
        <v>405</v>
      </c>
      <c r="B179" s="4" t="s">
        <v>30</v>
      </c>
      <c r="C179" s="3" t="s">
        <v>31</v>
      </c>
      <c r="D179" s="3" t="s">
        <v>32</v>
      </c>
      <c r="E179" s="3" t="s">
        <v>95</v>
      </c>
      <c r="F179" s="3" t="s">
        <v>34</v>
      </c>
      <c r="G179" s="3" t="s">
        <v>35</v>
      </c>
      <c r="H179" s="3" t="s">
        <v>35</v>
      </c>
      <c r="I179" s="3" t="s">
        <v>36</v>
      </c>
      <c r="J179" s="3" t="s">
        <v>36</v>
      </c>
      <c r="K179" s="3" t="s">
        <v>37</v>
      </c>
      <c r="L179" s="3" t="s">
        <v>108</v>
      </c>
      <c r="M179" s="3" t="s">
        <v>39</v>
      </c>
      <c r="N179" s="3" t="s">
        <v>40</v>
      </c>
      <c r="O179" s="3" t="s">
        <v>41</v>
      </c>
      <c r="P179" s="3" t="s">
        <v>42</v>
      </c>
      <c r="Q179" s="3" t="s">
        <v>403</v>
      </c>
      <c r="R179" s="3" t="s">
        <v>44</v>
      </c>
      <c r="S179" s="3" t="s">
        <v>44</v>
      </c>
      <c r="T179" s="3" t="s">
        <v>45</v>
      </c>
      <c r="U179" s="5"/>
      <c r="V179" s="3" t="s">
        <v>281</v>
      </c>
      <c r="W179" s="3" t="s">
        <v>74</v>
      </c>
      <c r="X179" s="3" t="s">
        <v>75</v>
      </c>
      <c r="Y179" s="3" t="s">
        <v>404</v>
      </c>
      <c r="Z179" s="3" t="s">
        <v>404</v>
      </c>
      <c r="AA179" s="5">
        <v>16096</v>
      </c>
      <c r="AB179" s="3" t="s">
        <v>40</v>
      </c>
      <c r="AC179" s="3" t="s">
        <v>50</v>
      </c>
    </row>
    <row r="180" ht="12" customHeight="1" spans="1:29" x14ac:dyDescent="0.25">
      <c r="A180" s="3" t="s">
        <v>406</v>
      </c>
      <c r="B180" s="4" t="s">
        <v>30</v>
      </c>
      <c r="C180" s="3" t="s">
        <v>31</v>
      </c>
      <c r="D180" s="3" t="s">
        <v>32</v>
      </c>
      <c r="E180" s="3" t="s">
        <v>95</v>
      </c>
      <c r="F180" s="3" t="s">
        <v>34</v>
      </c>
      <c r="G180" s="3" t="s">
        <v>35</v>
      </c>
      <c r="H180" s="3" t="s">
        <v>35</v>
      </c>
      <c r="I180" s="3" t="s">
        <v>36</v>
      </c>
      <c r="J180" s="3" t="s">
        <v>36</v>
      </c>
      <c r="K180" s="3" t="s">
        <v>37</v>
      </c>
      <c r="L180" s="3" t="s">
        <v>108</v>
      </c>
      <c r="M180" s="3" t="s">
        <v>39</v>
      </c>
      <c r="N180" s="3" t="s">
        <v>40</v>
      </c>
      <c r="O180" s="3" t="s">
        <v>41</v>
      </c>
      <c r="P180" s="3" t="s">
        <v>42</v>
      </c>
      <c r="Q180" s="3" t="s">
        <v>407</v>
      </c>
      <c r="R180" s="3" t="s">
        <v>44</v>
      </c>
      <c r="S180" s="3" t="s">
        <v>44</v>
      </c>
      <c r="T180" s="3" t="s">
        <v>45</v>
      </c>
      <c r="U180" s="5"/>
      <c r="V180" s="3" t="s">
        <v>281</v>
      </c>
      <c r="W180" s="3" t="s">
        <v>408</v>
      </c>
      <c r="X180" s="3" t="s">
        <v>48</v>
      </c>
      <c r="Y180" s="3" t="s">
        <v>409</v>
      </c>
      <c r="Z180" s="3" t="s">
        <v>409</v>
      </c>
      <c r="AA180" s="5">
        <v>18125</v>
      </c>
      <c r="AB180" s="3" t="s">
        <v>40</v>
      </c>
      <c r="AC180" s="3" t="s">
        <v>50</v>
      </c>
    </row>
    <row r="181" ht="12" customHeight="1" spans="1:29" x14ac:dyDescent="0.25">
      <c r="A181" s="3" t="s">
        <v>410</v>
      </c>
      <c r="B181" s="4" t="s">
        <v>30</v>
      </c>
      <c r="C181" s="3" t="s">
        <v>31</v>
      </c>
      <c r="D181" s="3" t="s">
        <v>32</v>
      </c>
      <c r="E181" s="3" t="s">
        <v>95</v>
      </c>
      <c r="F181" s="3" t="s">
        <v>34</v>
      </c>
      <c r="G181" s="3" t="s">
        <v>52</v>
      </c>
      <c r="H181" s="3" t="s">
        <v>35</v>
      </c>
      <c r="I181" s="3" t="s">
        <v>36</v>
      </c>
      <c r="J181" s="3" t="s">
        <v>36</v>
      </c>
      <c r="K181" s="3" t="s">
        <v>37</v>
      </c>
      <c r="L181" s="3" t="s">
        <v>108</v>
      </c>
      <c r="M181" s="3" t="s">
        <v>39</v>
      </c>
      <c r="N181" s="3" t="s">
        <v>40</v>
      </c>
      <c r="O181" s="3" t="s">
        <v>41</v>
      </c>
      <c r="P181" s="3" t="s">
        <v>42</v>
      </c>
      <c r="Q181" s="3" t="s">
        <v>399</v>
      </c>
      <c r="R181" s="3" t="s">
        <v>44</v>
      </c>
      <c r="S181" s="3" t="s">
        <v>44</v>
      </c>
      <c r="T181" s="3" t="s">
        <v>45</v>
      </c>
      <c r="U181" s="5"/>
      <c r="V181" s="3" t="s">
        <v>281</v>
      </c>
      <c r="W181" s="3" t="s">
        <v>400</v>
      </c>
      <c r="X181" s="3" t="s">
        <v>48</v>
      </c>
      <c r="Y181" s="3" t="s">
        <v>401</v>
      </c>
      <c r="Z181" s="3" t="s">
        <v>401</v>
      </c>
      <c r="AA181" s="5">
        <v>16578.8</v>
      </c>
      <c r="AB181" s="3" t="s">
        <v>40</v>
      </c>
      <c r="AC181" s="3" t="s">
        <v>50</v>
      </c>
    </row>
    <row r="182" ht="12" customHeight="1" spans="1:29" x14ac:dyDescent="0.25">
      <c r="A182" s="3" t="s">
        <v>411</v>
      </c>
      <c r="B182" s="4" t="s">
        <v>30</v>
      </c>
      <c r="C182" s="3" t="s">
        <v>31</v>
      </c>
      <c r="D182" s="3" t="s">
        <v>32</v>
      </c>
      <c r="E182" s="3" t="s">
        <v>95</v>
      </c>
      <c r="F182" s="3" t="s">
        <v>34</v>
      </c>
      <c r="G182" s="3" t="s">
        <v>412</v>
      </c>
      <c r="H182" s="3" t="s">
        <v>35</v>
      </c>
      <c r="I182" s="3" t="s">
        <v>36</v>
      </c>
      <c r="J182" s="3" t="s">
        <v>36</v>
      </c>
      <c r="K182" s="3" t="s">
        <v>37</v>
      </c>
      <c r="L182" s="3" t="s">
        <v>108</v>
      </c>
      <c r="M182" s="3" t="s">
        <v>39</v>
      </c>
      <c r="N182" s="3" t="s">
        <v>40</v>
      </c>
      <c r="O182" s="3" t="s">
        <v>41</v>
      </c>
      <c r="P182" s="3" t="s">
        <v>42</v>
      </c>
      <c r="Q182" s="3" t="s">
        <v>413</v>
      </c>
      <c r="R182" s="3" t="s">
        <v>44</v>
      </c>
      <c r="S182" s="3" t="s">
        <v>44</v>
      </c>
      <c r="T182" s="3" t="s">
        <v>45</v>
      </c>
      <c r="U182" s="5"/>
      <c r="V182" s="3" t="s">
        <v>281</v>
      </c>
      <c r="W182" s="3" t="s">
        <v>414</v>
      </c>
      <c r="X182" s="3" t="s">
        <v>48</v>
      </c>
      <c r="Y182" s="3" t="s">
        <v>131</v>
      </c>
      <c r="Z182" s="3" t="s">
        <v>415</v>
      </c>
      <c r="AA182" s="5">
        <v>19045.6</v>
      </c>
      <c r="AB182" s="3" t="s">
        <v>40</v>
      </c>
      <c r="AC182" s="3" t="s">
        <v>50</v>
      </c>
    </row>
    <row r="183" ht="12" customHeight="1" spans="1:29" x14ac:dyDescent="0.25">
      <c r="A183" s="3" t="s">
        <v>416</v>
      </c>
      <c r="B183" s="4" t="s">
        <v>30</v>
      </c>
      <c r="C183" s="3" t="s">
        <v>31</v>
      </c>
      <c r="D183" s="3" t="s">
        <v>32</v>
      </c>
      <c r="E183" s="3" t="s">
        <v>95</v>
      </c>
      <c r="F183" s="3" t="s">
        <v>34</v>
      </c>
      <c r="G183" s="3" t="s">
        <v>412</v>
      </c>
      <c r="H183" s="3" t="s">
        <v>35</v>
      </c>
      <c r="I183" s="3" t="s">
        <v>36</v>
      </c>
      <c r="J183" s="3" t="s">
        <v>36</v>
      </c>
      <c r="K183" s="3" t="s">
        <v>37</v>
      </c>
      <c r="L183" s="3" t="s">
        <v>108</v>
      </c>
      <c r="M183" s="3" t="s">
        <v>39</v>
      </c>
      <c r="N183" s="3" t="s">
        <v>40</v>
      </c>
      <c r="O183" s="3" t="s">
        <v>41</v>
      </c>
      <c r="P183" s="3" t="s">
        <v>42</v>
      </c>
      <c r="Q183" s="3" t="s">
        <v>413</v>
      </c>
      <c r="R183" s="3" t="s">
        <v>44</v>
      </c>
      <c r="S183" s="3" t="s">
        <v>44</v>
      </c>
      <c r="T183" s="3" t="s">
        <v>45</v>
      </c>
      <c r="U183" s="5"/>
      <c r="V183" s="3" t="s">
        <v>281</v>
      </c>
      <c r="W183" s="3" t="s">
        <v>414</v>
      </c>
      <c r="X183" s="3" t="s">
        <v>48</v>
      </c>
      <c r="Y183" s="3" t="s">
        <v>131</v>
      </c>
      <c r="Z183" s="3" t="s">
        <v>415</v>
      </c>
      <c r="AA183" s="5">
        <v>19045.6</v>
      </c>
      <c r="AB183" s="3" t="s">
        <v>40</v>
      </c>
      <c r="AC183" s="3" t="s">
        <v>50</v>
      </c>
    </row>
    <row r="184" ht="12" customHeight="1" spans="1:29" x14ac:dyDescent="0.25">
      <c r="A184" s="3" t="s">
        <v>417</v>
      </c>
      <c r="B184" s="4" t="s">
        <v>30</v>
      </c>
      <c r="C184" s="3" t="s">
        <v>31</v>
      </c>
      <c r="D184" s="3" t="s">
        <v>32</v>
      </c>
      <c r="E184" s="3" t="s">
        <v>95</v>
      </c>
      <c r="F184" s="3" t="s">
        <v>34</v>
      </c>
      <c r="G184" s="3" t="s">
        <v>412</v>
      </c>
      <c r="H184" s="3" t="s">
        <v>35</v>
      </c>
      <c r="I184" s="3" t="s">
        <v>36</v>
      </c>
      <c r="J184" s="3" t="s">
        <v>36</v>
      </c>
      <c r="K184" s="3" t="s">
        <v>37</v>
      </c>
      <c r="L184" s="3" t="s">
        <v>108</v>
      </c>
      <c r="M184" s="3" t="s">
        <v>39</v>
      </c>
      <c r="N184" s="3" t="s">
        <v>40</v>
      </c>
      <c r="O184" s="3" t="s">
        <v>41</v>
      </c>
      <c r="P184" s="3" t="s">
        <v>42</v>
      </c>
      <c r="Q184" s="3" t="s">
        <v>413</v>
      </c>
      <c r="R184" s="3" t="s">
        <v>44</v>
      </c>
      <c r="S184" s="3" t="s">
        <v>44</v>
      </c>
      <c r="T184" s="3" t="s">
        <v>45</v>
      </c>
      <c r="U184" s="5"/>
      <c r="V184" s="3" t="s">
        <v>281</v>
      </c>
      <c r="W184" s="3" t="s">
        <v>414</v>
      </c>
      <c r="X184" s="3" t="s">
        <v>48</v>
      </c>
      <c r="Y184" s="3" t="s">
        <v>131</v>
      </c>
      <c r="Z184" s="3" t="s">
        <v>415</v>
      </c>
      <c r="AA184" s="5">
        <v>19045.6</v>
      </c>
      <c r="AB184" s="3" t="s">
        <v>40</v>
      </c>
      <c r="AC184" s="3" t="s">
        <v>50</v>
      </c>
    </row>
    <row r="185" ht="12" customHeight="1" spans="1:29" x14ac:dyDescent="0.25">
      <c r="A185" s="3" t="s">
        <v>418</v>
      </c>
      <c r="B185" s="4" t="s">
        <v>30</v>
      </c>
      <c r="C185" s="3" t="s">
        <v>31</v>
      </c>
      <c r="D185" s="3" t="s">
        <v>32</v>
      </c>
      <c r="E185" s="3" t="s">
        <v>95</v>
      </c>
      <c r="F185" s="3" t="s">
        <v>34</v>
      </c>
      <c r="G185" s="3" t="s">
        <v>412</v>
      </c>
      <c r="H185" s="3" t="s">
        <v>35</v>
      </c>
      <c r="I185" s="3" t="s">
        <v>36</v>
      </c>
      <c r="J185" s="3" t="s">
        <v>36</v>
      </c>
      <c r="K185" s="3" t="s">
        <v>37</v>
      </c>
      <c r="L185" s="3" t="s">
        <v>108</v>
      </c>
      <c r="M185" s="3" t="s">
        <v>39</v>
      </c>
      <c r="N185" s="3" t="s">
        <v>40</v>
      </c>
      <c r="O185" s="3" t="s">
        <v>41</v>
      </c>
      <c r="P185" s="3" t="s">
        <v>42</v>
      </c>
      <c r="Q185" s="3" t="s">
        <v>413</v>
      </c>
      <c r="R185" s="3" t="s">
        <v>44</v>
      </c>
      <c r="S185" s="3" t="s">
        <v>44</v>
      </c>
      <c r="T185" s="3" t="s">
        <v>45</v>
      </c>
      <c r="U185" s="5"/>
      <c r="V185" s="3" t="s">
        <v>281</v>
      </c>
      <c r="W185" s="3" t="s">
        <v>414</v>
      </c>
      <c r="X185" s="3" t="s">
        <v>48</v>
      </c>
      <c r="Y185" s="3" t="s">
        <v>131</v>
      </c>
      <c r="Z185" s="3" t="s">
        <v>415</v>
      </c>
      <c r="AA185" s="5">
        <v>19045.6</v>
      </c>
      <c r="AB185" s="3" t="s">
        <v>40</v>
      </c>
      <c r="AC185" s="3" t="s">
        <v>50</v>
      </c>
    </row>
    <row r="186" ht="12" customHeight="1" spans="1:29" x14ac:dyDescent="0.25">
      <c r="A186" s="3" t="s">
        <v>419</v>
      </c>
      <c r="B186" s="4" t="s">
        <v>30</v>
      </c>
      <c r="C186" s="3" t="s">
        <v>31</v>
      </c>
      <c r="D186" s="3" t="s">
        <v>32</v>
      </c>
      <c r="E186" s="3" t="s">
        <v>95</v>
      </c>
      <c r="F186" s="3" t="s">
        <v>34</v>
      </c>
      <c r="G186" s="3" t="s">
        <v>412</v>
      </c>
      <c r="H186" s="3" t="s">
        <v>35</v>
      </c>
      <c r="I186" s="3" t="s">
        <v>36</v>
      </c>
      <c r="J186" s="3" t="s">
        <v>36</v>
      </c>
      <c r="K186" s="3" t="s">
        <v>37</v>
      </c>
      <c r="L186" s="3" t="s">
        <v>108</v>
      </c>
      <c r="M186" s="3" t="s">
        <v>39</v>
      </c>
      <c r="N186" s="3" t="s">
        <v>40</v>
      </c>
      <c r="O186" s="3" t="s">
        <v>41</v>
      </c>
      <c r="P186" s="3" t="s">
        <v>42</v>
      </c>
      <c r="Q186" s="3" t="s">
        <v>413</v>
      </c>
      <c r="R186" s="3" t="s">
        <v>44</v>
      </c>
      <c r="S186" s="3" t="s">
        <v>44</v>
      </c>
      <c r="T186" s="3" t="s">
        <v>45</v>
      </c>
      <c r="U186" s="5"/>
      <c r="V186" s="3" t="s">
        <v>281</v>
      </c>
      <c r="W186" s="3" t="s">
        <v>414</v>
      </c>
      <c r="X186" s="3" t="s">
        <v>48</v>
      </c>
      <c r="Y186" s="3" t="s">
        <v>131</v>
      </c>
      <c r="Z186" s="3" t="s">
        <v>415</v>
      </c>
      <c r="AA186" s="5">
        <v>19045.6</v>
      </c>
      <c r="AB186" s="3" t="s">
        <v>40</v>
      </c>
      <c r="AC186" s="3" t="s">
        <v>50</v>
      </c>
    </row>
    <row r="187" ht="12" customHeight="1" spans="1:29" x14ac:dyDescent="0.25">
      <c r="A187" s="3" t="s">
        <v>420</v>
      </c>
      <c r="B187" s="4" t="s">
        <v>30</v>
      </c>
      <c r="C187" s="3" t="s">
        <v>31</v>
      </c>
      <c r="D187" s="3" t="s">
        <v>32</v>
      </c>
      <c r="E187" s="3" t="s">
        <v>95</v>
      </c>
      <c r="F187" s="3" t="s">
        <v>34</v>
      </c>
      <c r="G187" s="3" t="s">
        <v>412</v>
      </c>
      <c r="H187" s="3" t="s">
        <v>35</v>
      </c>
      <c r="I187" s="3" t="s">
        <v>36</v>
      </c>
      <c r="J187" s="3" t="s">
        <v>36</v>
      </c>
      <c r="K187" s="3" t="s">
        <v>37</v>
      </c>
      <c r="L187" s="3" t="s">
        <v>108</v>
      </c>
      <c r="M187" s="3" t="s">
        <v>39</v>
      </c>
      <c r="N187" s="3" t="s">
        <v>40</v>
      </c>
      <c r="O187" s="3" t="s">
        <v>41</v>
      </c>
      <c r="P187" s="3" t="s">
        <v>42</v>
      </c>
      <c r="Q187" s="3" t="s">
        <v>413</v>
      </c>
      <c r="R187" s="3" t="s">
        <v>44</v>
      </c>
      <c r="S187" s="3" t="s">
        <v>44</v>
      </c>
      <c r="T187" s="3" t="s">
        <v>45</v>
      </c>
      <c r="U187" s="5"/>
      <c r="V187" s="3" t="s">
        <v>281</v>
      </c>
      <c r="W187" s="3" t="s">
        <v>414</v>
      </c>
      <c r="X187" s="3" t="s">
        <v>48</v>
      </c>
      <c r="Y187" s="3" t="s">
        <v>131</v>
      </c>
      <c r="Z187" s="3" t="s">
        <v>415</v>
      </c>
      <c r="AA187" s="5">
        <v>19045.6</v>
      </c>
      <c r="AB187" s="3" t="s">
        <v>40</v>
      </c>
      <c r="AC187" s="3" t="s">
        <v>50</v>
      </c>
    </row>
    <row r="188" ht="12" customHeight="1" spans="1:29" x14ac:dyDescent="0.25">
      <c r="A188" s="3" t="s">
        <v>421</v>
      </c>
      <c r="B188" s="4" t="s">
        <v>30</v>
      </c>
      <c r="C188" s="3" t="s">
        <v>31</v>
      </c>
      <c r="D188" s="3" t="s">
        <v>32</v>
      </c>
      <c r="E188" s="3" t="s">
        <v>95</v>
      </c>
      <c r="F188" s="3" t="s">
        <v>34</v>
      </c>
      <c r="G188" s="3" t="s">
        <v>412</v>
      </c>
      <c r="H188" s="3" t="s">
        <v>35</v>
      </c>
      <c r="I188" s="3" t="s">
        <v>36</v>
      </c>
      <c r="J188" s="3" t="s">
        <v>36</v>
      </c>
      <c r="K188" s="3" t="s">
        <v>37</v>
      </c>
      <c r="L188" s="3" t="s">
        <v>108</v>
      </c>
      <c r="M188" s="3" t="s">
        <v>39</v>
      </c>
      <c r="N188" s="3" t="s">
        <v>40</v>
      </c>
      <c r="O188" s="3" t="s">
        <v>41</v>
      </c>
      <c r="P188" s="3" t="s">
        <v>42</v>
      </c>
      <c r="Q188" s="3" t="s">
        <v>413</v>
      </c>
      <c r="R188" s="3" t="s">
        <v>44</v>
      </c>
      <c r="S188" s="3" t="s">
        <v>44</v>
      </c>
      <c r="T188" s="3" t="s">
        <v>45</v>
      </c>
      <c r="U188" s="5"/>
      <c r="V188" s="3" t="s">
        <v>281</v>
      </c>
      <c r="W188" s="3" t="s">
        <v>414</v>
      </c>
      <c r="X188" s="3" t="s">
        <v>48</v>
      </c>
      <c r="Y188" s="3" t="s">
        <v>131</v>
      </c>
      <c r="Z188" s="3" t="s">
        <v>415</v>
      </c>
      <c r="AA188" s="5">
        <v>19045.6</v>
      </c>
      <c r="AB188" s="3" t="s">
        <v>40</v>
      </c>
      <c r="AC188" s="3" t="s">
        <v>50</v>
      </c>
    </row>
    <row r="189" ht="12" customHeight="1" spans="1:29" x14ac:dyDescent="0.25">
      <c r="A189" s="3" t="s">
        <v>422</v>
      </c>
      <c r="B189" s="4" t="s">
        <v>30</v>
      </c>
      <c r="C189" s="3" t="s">
        <v>31</v>
      </c>
      <c r="D189" s="3" t="s">
        <v>32</v>
      </c>
      <c r="E189" s="3" t="s">
        <v>95</v>
      </c>
      <c r="F189" s="3" t="s">
        <v>34</v>
      </c>
      <c r="G189" s="3" t="s">
        <v>412</v>
      </c>
      <c r="H189" s="3" t="s">
        <v>35</v>
      </c>
      <c r="I189" s="3" t="s">
        <v>36</v>
      </c>
      <c r="J189" s="3" t="s">
        <v>36</v>
      </c>
      <c r="K189" s="3" t="s">
        <v>37</v>
      </c>
      <c r="L189" s="3" t="s">
        <v>108</v>
      </c>
      <c r="M189" s="3" t="s">
        <v>39</v>
      </c>
      <c r="N189" s="3" t="s">
        <v>40</v>
      </c>
      <c r="O189" s="3" t="s">
        <v>41</v>
      </c>
      <c r="P189" s="3" t="s">
        <v>42</v>
      </c>
      <c r="Q189" s="3" t="s">
        <v>413</v>
      </c>
      <c r="R189" s="3" t="s">
        <v>44</v>
      </c>
      <c r="S189" s="3" t="s">
        <v>44</v>
      </c>
      <c r="T189" s="3" t="s">
        <v>45</v>
      </c>
      <c r="U189" s="5"/>
      <c r="V189" s="3" t="s">
        <v>281</v>
      </c>
      <c r="W189" s="3" t="s">
        <v>414</v>
      </c>
      <c r="X189" s="3" t="s">
        <v>48</v>
      </c>
      <c r="Y189" s="3" t="s">
        <v>131</v>
      </c>
      <c r="Z189" s="3" t="s">
        <v>415</v>
      </c>
      <c r="AA189" s="5">
        <v>19045.6</v>
      </c>
      <c r="AB189" s="3" t="s">
        <v>40</v>
      </c>
      <c r="AC189" s="3" t="s">
        <v>50</v>
      </c>
    </row>
    <row r="190" ht="12" customHeight="1" spans="1:29" x14ac:dyDescent="0.25">
      <c r="A190" s="3" t="s">
        <v>423</v>
      </c>
      <c r="B190" s="4" t="s">
        <v>30</v>
      </c>
      <c r="C190" s="3" t="s">
        <v>31</v>
      </c>
      <c r="D190" s="3" t="s">
        <v>32</v>
      </c>
      <c r="E190" s="3" t="s">
        <v>95</v>
      </c>
      <c r="F190" s="3" t="s">
        <v>34</v>
      </c>
      <c r="G190" s="3" t="s">
        <v>412</v>
      </c>
      <c r="H190" s="3" t="s">
        <v>35</v>
      </c>
      <c r="I190" s="3" t="s">
        <v>36</v>
      </c>
      <c r="J190" s="3" t="s">
        <v>36</v>
      </c>
      <c r="K190" s="3" t="s">
        <v>37</v>
      </c>
      <c r="L190" s="3" t="s">
        <v>108</v>
      </c>
      <c r="M190" s="3" t="s">
        <v>39</v>
      </c>
      <c r="N190" s="3" t="s">
        <v>40</v>
      </c>
      <c r="O190" s="3" t="s">
        <v>41</v>
      </c>
      <c r="P190" s="3" t="s">
        <v>42</v>
      </c>
      <c r="Q190" s="3" t="s">
        <v>413</v>
      </c>
      <c r="R190" s="3" t="s">
        <v>44</v>
      </c>
      <c r="S190" s="3" t="s">
        <v>44</v>
      </c>
      <c r="T190" s="3" t="s">
        <v>45</v>
      </c>
      <c r="U190" s="5"/>
      <c r="V190" s="3" t="s">
        <v>281</v>
      </c>
      <c r="W190" s="3" t="s">
        <v>414</v>
      </c>
      <c r="X190" s="3" t="s">
        <v>48</v>
      </c>
      <c r="Y190" s="3" t="s">
        <v>131</v>
      </c>
      <c r="Z190" s="3" t="s">
        <v>415</v>
      </c>
      <c r="AA190" s="5">
        <v>19045.6</v>
      </c>
      <c r="AB190" s="3" t="s">
        <v>40</v>
      </c>
      <c r="AC190" s="3" t="s">
        <v>50</v>
      </c>
    </row>
    <row r="191" ht="12" customHeight="1" spans="1:29" x14ac:dyDescent="0.25">
      <c r="A191" s="3" t="s">
        <v>424</v>
      </c>
      <c r="B191" s="4" t="s">
        <v>30</v>
      </c>
      <c r="C191" s="3" t="s">
        <v>31</v>
      </c>
      <c r="D191" s="3" t="s">
        <v>32</v>
      </c>
      <c r="E191" s="3" t="s">
        <v>95</v>
      </c>
      <c r="F191" s="3" t="s">
        <v>34</v>
      </c>
      <c r="G191" s="3" t="s">
        <v>35</v>
      </c>
      <c r="H191" s="3" t="s">
        <v>35</v>
      </c>
      <c r="I191" s="3" t="s">
        <v>36</v>
      </c>
      <c r="J191" s="3" t="s">
        <v>36</v>
      </c>
      <c r="K191" s="3" t="s">
        <v>37</v>
      </c>
      <c r="L191" s="3" t="s">
        <v>108</v>
      </c>
      <c r="M191" s="3" t="s">
        <v>39</v>
      </c>
      <c r="N191" s="3" t="s">
        <v>40</v>
      </c>
      <c r="O191" s="3" t="s">
        <v>41</v>
      </c>
      <c r="P191" s="3" t="s">
        <v>42</v>
      </c>
      <c r="Q191" s="3" t="s">
        <v>425</v>
      </c>
      <c r="R191" s="3" t="s">
        <v>44</v>
      </c>
      <c r="S191" s="3" t="s">
        <v>44</v>
      </c>
      <c r="T191" s="3" t="s">
        <v>45</v>
      </c>
      <c r="U191" s="5"/>
      <c r="V191" s="3" t="s">
        <v>281</v>
      </c>
      <c r="W191" s="3" t="s">
        <v>426</v>
      </c>
      <c r="X191" s="3" t="s">
        <v>48</v>
      </c>
      <c r="Y191" s="3" t="s">
        <v>427</v>
      </c>
      <c r="Z191" s="3" t="s">
        <v>427</v>
      </c>
      <c r="AA191" s="5">
        <v>17680</v>
      </c>
      <c r="AB191" s="3" t="s">
        <v>40</v>
      </c>
      <c r="AC191" s="3" t="s">
        <v>50</v>
      </c>
    </row>
    <row r="192" ht="12" customHeight="1" spans="1:29" x14ac:dyDescent="0.25">
      <c r="A192" s="3" t="s">
        <v>428</v>
      </c>
      <c r="B192" s="4" t="s">
        <v>30</v>
      </c>
      <c r="C192" s="3" t="s">
        <v>31</v>
      </c>
      <c r="D192" s="3" t="s">
        <v>32</v>
      </c>
      <c r="E192" s="3" t="s">
        <v>95</v>
      </c>
      <c r="F192" s="3" t="s">
        <v>34</v>
      </c>
      <c r="G192" s="3" t="s">
        <v>35</v>
      </c>
      <c r="H192" s="3" t="s">
        <v>35</v>
      </c>
      <c r="I192" s="3" t="s">
        <v>36</v>
      </c>
      <c r="J192" s="3" t="s">
        <v>36</v>
      </c>
      <c r="K192" s="3" t="s">
        <v>37</v>
      </c>
      <c r="L192" s="3" t="s">
        <v>108</v>
      </c>
      <c r="M192" s="3" t="s">
        <v>39</v>
      </c>
      <c r="N192" s="3" t="s">
        <v>40</v>
      </c>
      <c r="O192" s="3" t="s">
        <v>41</v>
      </c>
      <c r="P192" s="3" t="s">
        <v>42</v>
      </c>
      <c r="Q192" s="3" t="s">
        <v>425</v>
      </c>
      <c r="R192" s="3" t="s">
        <v>44</v>
      </c>
      <c r="S192" s="3" t="s">
        <v>44</v>
      </c>
      <c r="T192" s="3" t="s">
        <v>45</v>
      </c>
      <c r="U192" s="5"/>
      <c r="V192" s="3" t="s">
        <v>281</v>
      </c>
      <c r="W192" s="3" t="s">
        <v>426</v>
      </c>
      <c r="X192" s="3" t="s">
        <v>48</v>
      </c>
      <c r="Y192" s="3" t="s">
        <v>427</v>
      </c>
      <c r="Z192" s="3" t="s">
        <v>427</v>
      </c>
      <c r="AA192" s="5">
        <v>17680</v>
      </c>
      <c r="AB192" s="3" t="s">
        <v>40</v>
      </c>
      <c r="AC192" s="3" t="s">
        <v>50</v>
      </c>
    </row>
    <row r="193" ht="12" customHeight="1" spans="1:29" x14ac:dyDescent="0.25">
      <c r="A193" s="3" t="s">
        <v>429</v>
      </c>
      <c r="B193" s="4" t="s">
        <v>30</v>
      </c>
      <c r="C193" s="3" t="s">
        <v>31</v>
      </c>
      <c r="D193" s="3" t="s">
        <v>32</v>
      </c>
      <c r="E193" s="3" t="s">
        <v>95</v>
      </c>
      <c r="F193" s="3" t="s">
        <v>34</v>
      </c>
      <c r="G193" s="3" t="s">
        <v>35</v>
      </c>
      <c r="H193" s="3" t="s">
        <v>35</v>
      </c>
      <c r="I193" s="3" t="s">
        <v>36</v>
      </c>
      <c r="J193" s="3" t="s">
        <v>36</v>
      </c>
      <c r="K193" s="3" t="s">
        <v>37</v>
      </c>
      <c r="L193" s="3" t="s">
        <v>108</v>
      </c>
      <c r="M193" s="3" t="s">
        <v>39</v>
      </c>
      <c r="N193" s="3" t="s">
        <v>40</v>
      </c>
      <c r="O193" s="3" t="s">
        <v>41</v>
      </c>
      <c r="P193" s="3" t="s">
        <v>42</v>
      </c>
      <c r="Q193" s="3" t="s">
        <v>430</v>
      </c>
      <c r="R193" s="3" t="s">
        <v>44</v>
      </c>
      <c r="S193" s="3" t="s">
        <v>44</v>
      </c>
      <c r="T193" s="3" t="s">
        <v>45</v>
      </c>
      <c r="U193" s="5"/>
      <c r="V193" s="3" t="s">
        <v>281</v>
      </c>
      <c r="W193" s="3" t="s">
        <v>431</v>
      </c>
      <c r="X193" s="3" t="s">
        <v>75</v>
      </c>
      <c r="Y193" s="3" t="s">
        <v>432</v>
      </c>
      <c r="Z193" s="3" t="s">
        <v>432</v>
      </c>
      <c r="AA193" s="5">
        <v>12099.9</v>
      </c>
      <c r="AB193" s="3" t="s">
        <v>40</v>
      </c>
      <c r="AC193" s="3" t="s">
        <v>50</v>
      </c>
    </row>
    <row r="194" ht="12" customHeight="1" spans="1:29" x14ac:dyDescent="0.25">
      <c r="A194" s="3" t="s">
        <v>433</v>
      </c>
      <c r="B194" s="4" t="s">
        <v>30</v>
      </c>
      <c r="C194" s="3" t="s">
        <v>31</v>
      </c>
      <c r="D194" s="3" t="s">
        <v>32</v>
      </c>
      <c r="E194" s="3" t="s">
        <v>95</v>
      </c>
      <c r="F194" s="3" t="s">
        <v>34</v>
      </c>
      <c r="G194" s="3" t="s">
        <v>35</v>
      </c>
      <c r="H194" s="3" t="s">
        <v>35</v>
      </c>
      <c r="I194" s="3" t="s">
        <v>69</v>
      </c>
      <c r="J194" s="3" t="s">
        <v>69</v>
      </c>
      <c r="K194" s="3" t="s">
        <v>37</v>
      </c>
      <c r="L194" s="3" t="s">
        <v>108</v>
      </c>
      <c r="M194" s="3" t="s">
        <v>39</v>
      </c>
      <c r="N194" s="3" t="s">
        <v>40</v>
      </c>
      <c r="O194" s="3" t="s">
        <v>41</v>
      </c>
      <c r="P194" s="3" t="s">
        <v>42</v>
      </c>
      <c r="Q194" s="3" t="s">
        <v>434</v>
      </c>
      <c r="R194" s="3" t="s">
        <v>44</v>
      </c>
      <c r="S194" s="3" t="s">
        <v>44</v>
      </c>
      <c r="T194" s="3" t="s">
        <v>45</v>
      </c>
      <c r="U194" s="5"/>
      <c r="V194" s="3" t="s">
        <v>281</v>
      </c>
      <c r="W194" s="3" t="s">
        <v>435</v>
      </c>
      <c r="X194" s="3" t="s">
        <v>75</v>
      </c>
      <c r="Y194" s="3" t="s">
        <v>436</v>
      </c>
      <c r="Z194" s="3" t="s">
        <v>437</v>
      </c>
      <c r="AA194" s="5">
        <v>16370</v>
      </c>
      <c r="AB194" s="3" t="s">
        <v>40</v>
      </c>
      <c r="AC194" s="3" t="s">
        <v>274</v>
      </c>
    </row>
    <row r="195" ht="12" customHeight="1" spans="1:29" x14ac:dyDescent="0.25">
      <c r="A195" s="3" t="s">
        <v>438</v>
      </c>
      <c r="B195" s="4" t="s">
        <v>30</v>
      </c>
      <c r="C195" s="3" t="s">
        <v>31</v>
      </c>
      <c r="D195" s="3" t="s">
        <v>32</v>
      </c>
      <c r="E195" s="3" t="s">
        <v>95</v>
      </c>
      <c r="F195" s="3" t="s">
        <v>34</v>
      </c>
      <c r="G195" s="3" t="s">
        <v>35</v>
      </c>
      <c r="H195" s="3" t="s">
        <v>35</v>
      </c>
      <c r="I195" s="3" t="s">
        <v>69</v>
      </c>
      <c r="J195" s="3" t="s">
        <v>328</v>
      </c>
      <c r="K195" s="3" t="s">
        <v>37</v>
      </c>
      <c r="L195" s="3" t="s">
        <v>108</v>
      </c>
      <c r="M195" s="3" t="s">
        <v>39</v>
      </c>
      <c r="N195" s="3" t="s">
        <v>40</v>
      </c>
      <c r="O195" s="3" t="s">
        <v>41</v>
      </c>
      <c r="P195" s="3" t="s">
        <v>42</v>
      </c>
      <c r="Q195" s="3" t="s">
        <v>439</v>
      </c>
      <c r="R195" s="3" t="s">
        <v>72</v>
      </c>
      <c r="S195" s="3" t="s">
        <v>44</v>
      </c>
      <c r="T195" s="3" t="s">
        <v>45</v>
      </c>
      <c r="U195" s="5"/>
      <c r="V195" s="3" t="s">
        <v>281</v>
      </c>
      <c r="W195" s="3" t="s">
        <v>74</v>
      </c>
      <c r="X195" s="3" t="s">
        <v>48</v>
      </c>
      <c r="Y195" s="3" t="s">
        <v>440</v>
      </c>
      <c r="Z195" s="3" t="s">
        <v>330</v>
      </c>
      <c r="AA195" s="5">
        <v>19276.8</v>
      </c>
      <c r="AB195" s="3" t="s">
        <v>40</v>
      </c>
      <c r="AC195" s="3" t="s">
        <v>331</v>
      </c>
    </row>
    <row r="196" ht="12" customHeight="1" spans="1:29" x14ac:dyDescent="0.25">
      <c r="A196" s="3" t="s">
        <v>441</v>
      </c>
      <c r="B196" s="4" t="s">
        <v>30</v>
      </c>
      <c r="C196" s="3" t="s">
        <v>31</v>
      </c>
      <c r="D196" s="3" t="s">
        <v>32</v>
      </c>
      <c r="E196" s="3" t="s">
        <v>95</v>
      </c>
      <c r="F196" s="3" t="s">
        <v>34</v>
      </c>
      <c r="G196" s="3" t="s">
        <v>35</v>
      </c>
      <c r="H196" s="3" t="s">
        <v>35</v>
      </c>
      <c r="I196" s="3" t="s">
        <v>69</v>
      </c>
      <c r="J196" s="3" t="s">
        <v>328</v>
      </c>
      <c r="K196" s="3" t="s">
        <v>37</v>
      </c>
      <c r="L196" s="3" t="s">
        <v>108</v>
      </c>
      <c r="M196" s="3" t="s">
        <v>39</v>
      </c>
      <c r="N196" s="3" t="s">
        <v>40</v>
      </c>
      <c r="O196" s="3" t="s">
        <v>41</v>
      </c>
      <c r="P196" s="3" t="s">
        <v>42</v>
      </c>
      <c r="Q196" s="3" t="s">
        <v>439</v>
      </c>
      <c r="R196" s="3" t="s">
        <v>72</v>
      </c>
      <c r="S196" s="3" t="s">
        <v>44</v>
      </c>
      <c r="T196" s="3" t="s">
        <v>45</v>
      </c>
      <c r="U196" s="5"/>
      <c r="V196" s="3" t="s">
        <v>281</v>
      </c>
      <c r="W196" s="3" t="s">
        <v>74</v>
      </c>
      <c r="X196" s="3" t="s">
        <v>48</v>
      </c>
      <c r="Y196" s="3" t="s">
        <v>440</v>
      </c>
      <c r="Z196" s="3" t="s">
        <v>330</v>
      </c>
      <c r="AA196" s="5">
        <v>19276.8</v>
      </c>
      <c r="AB196" s="3" t="s">
        <v>40</v>
      </c>
      <c r="AC196" s="3" t="s">
        <v>331</v>
      </c>
    </row>
    <row r="197" ht="12" customHeight="1" spans="1:29" x14ac:dyDescent="0.25">
      <c r="A197" s="3" t="s">
        <v>442</v>
      </c>
      <c r="B197" s="4" t="s">
        <v>30</v>
      </c>
      <c r="C197" s="3" t="s">
        <v>31</v>
      </c>
      <c r="D197" s="3" t="s">
        <v>32</v>
      </c>
      <c r="E197" s="3" t="s">
        <v>95</v>
      </c>
      <c r="F197" s="3" t="s">
        <v>34</v>
      </c>
      <c r="G197" s="3" t="s">
        <v>35</v>
      </c>
      <c r="H197" s="3" t="s">
        <v>35</v>
      </c>
      <c r="I197" s="3" t="s">
        <v>69</v>
      </c>
      <c r="J197" s="3" t="s">
        <v>328</v>
      </c>
      <c r="K197" s="3" t="s">
        <v>37</v>
      </c>
      <c r="L197" s="3" t="s">
        <v>108</v>
      </c>
      <c r="M197" s="3" t="s">
        <v>39</v>
      </c>
      <c r="N197" s="3" t="s">
        <v>40</v>
      </c>
      <c r="O197" s="3" t="s">
        <v>41</v>
      </c>
      <c r="P197" s="3" t="s">
        <v>42</v>
      </c>
      <c r="Q197" s="3" t="s">
        <v>439</v>
      </c>
      <c r="R197" s="3" t="s">
        <v>72</v>
      </c>
      <c r="S197" s="3" t="s">
        <v>44</v>
      </c>
      <c r="T197" s="3" t="s">
        <v>45</v>
      </c>
      <c r="U197" s="5"/>
      <c r="V197" s="3" t="s">
        <v>281</v>
      </c>
      <c r="W197" s="3" t="s">
        <v>74</v>
      </c>
      <c r="X197" s="3" t="s">
        <v>75</v>
      </c>
      <c r="Y197" s="3" t="s">
        <v>440</v>
      </c>
      <c r="Z197" s="3" t="s">
        <v>330</v>
      </c>
      <c r="AA197" s="5">
        <v>19276.8</v>
      </c>
      <c r="AB197" s="3" t="s">
        <v>40</v>
      </c>
      <c r="AC197" s="3" t="s">
        <v>331</v>
      </c>
    </row>
    <row r="198" ht="12" customHeight="1" spans="1:29" x14ac:dyDescent="0.25">
      <c r="A198" s="3" t="s">
        <v>443</v>
      </c>
      <c r="B198" s="4" t="s">
        <v>30</v>
      </c>
      <c r="C198" s="3" t="s">
        <v>31</v>
      </c>
      <c r="D198" s="3" t="s">
        <v>32</v>
      </c>
      <c r="E198" s="3" t="s">
        <v>95</v>
      </c>
      <c r="F198" s="3" t="s">
        <v>34</v>
      </c>
      <c r="G198" s="3" t="s">
        <v>35</v>
      </c>
      <c r="H198" s="3" t="s">
        <v>35</v>
      </c>
      <c r="I198" s="3" t="s">
        <v>69</v>
      </c>
      <c r="J198" s="3" t="s">
        <v>328</v>
      </c>
      <c r="K198" s="3" t="s">
        <v>37</v>
      </c>
      <c r="L198" s="3" t="s">
        <v>108</v>
      </c>
      <c r="M198" s="3" t="s">
        <v>39</v>
      </c>
      <c r="N198" s="3" t="s">
        <v>40</v>
      </c>
      <c r="O198" s="3" t="s">
        <v>41</v>
      </c>
      <c r="P198" s="3" t="s">
        <v>42</v>
      </c>
      <c r="Q198" s="3" t="s">
        <v>439</v>
      </c>
      <c r="R198" s="3" t="s">
        <v>72</v>
      </c>
      <c r="S198" s="3" t="s">
        <v>44</v>
      </c>
      <c r="T198" s="3" t="s">
        <v>45</v>
      </c>
      <c r="U198" s="5"/>
      <c r="V198" s="3" t="s">
        <v>281</v>
      </c>
      <c r="W198" s="3" t="s">
        <v>74</v>
      </c>
      <c r="X198" s="3" t="s">
        <v>75</v>
      </c>
      <c r="Y198" s="3" t="s">
        <v>440</v>
      </c>
      <c r="Z198" s="3" t="s">
        <v>330</v>
      </c>
      <c r="AA198" s="5">
        <v>19276.8</v>
      </c>
      <c r="AB198" s="3" t="s">
        <v>40</v>
      </c>
      <c r="AC198" s="3" t="s">
        <v>331</v>
      </c>
    </row>
    <row r="199" ht="12" customHeight="1" spans="1:29" x14ac:dyDescent="0.25">
      <c r="A199" s="3" t="s">
        <v>444</v>
      </c>
      <c r="B199" s="4" t="s">
        <v>30</v>
      </c>
      <c r="C199" s="3" t="s">
        <v>31</v>
      </c>
      <c r="D199" s="3" t="s">
        <v>32</v>
      </c>
      <c r="E199" s="3" t="s">
        <v>95</v>
      </c>
      <c r="F199" s="3" t="s">
        <v>34</v>
      </c>
      <c r="G199" s="3" t="s">
        <v>35</v>
      </c>
      <c r="H199" s="3" t="s">
        <v>35</v>
      </c>
      <c r="I199" s="3" t="s">
        <v>69</v>
      </c>
      <c r="J199" s="3" t="s">
        <v>69</v>
      </c>
      <c r="K199" s="3" t="s">
        <v>37</v>
      </c>
      <c r="L199" s="3" t="s">
        <v>108</v>
      </c>
      <c r="M199" s="3" t="s">
        <v>39</v>
      </c>
      <c r="N199" s="3" t="s">
        <v>40</v>
      </c>
      <c r="O199" s="3" t="s">
        <v>41</v>
      </c>
      <c r="P199" s="3" t="s">
        <v>42</v>
      </c>
      <c r="Q199" s="3" t="s">
        <v>445</v>
      </c>
      <c r="R199" s="3" t="s">
        <v>44</v>
      </c>
      <c r="S199" s="3" t="s">
        <v>44</v>
      </c>
      <c r="T199" s="3" t="s">
        <v>45</v>
      </c>
      <c r="U199" s="5"/>
      <c r="V199" s="3" t="s">
        <v>281</v>
      </c>
      <c r="W199" s="3" t="s">
        <v>446</v>
      </c>
      <c r="X199" s="3" t="s">
        <v>75</v>
      </c>
      <c r="Y199" s="3" t="s">
        <v>447</v>
      </c>
      <c r="Z199" s="3" t="s">
        <v>447</v>
      </c>
      <c r="AA199" s="5">
        <v>20500</v>
      </c>
      <c r="AB199" s="3" t="s">
        <v>40</v>
      </c>
      <c r="AC199" s="3" t="s">
        <v>274</v>
      </c>
    </row>
    <row r="200" ht="12" customHeight="1" spans="1:29" x14ac:dyDescent="0.25">
      <c r="A200" s="3" t="s">
        <v>448</v>
      </c>
      <c r="B200" s="4" t="s">
        <v>30</v>
      </c>
      <c r="C200" s="3" t="s">
        <v>31</v>
      </c>
      <c r="D200" s="3" t="s">
        <v>32</v>
      </c>
      <c r="E200" s="3" t="s">
        <v>95</v>
      </c>
      <c r="F200" s="3" t="s">
        <v>34</v>
      </c>
      <c r="G200" s="3" t="s">
        <v>35</v>
      </c>
      <c r="H200" s="3" t="s">
        <v>35</v>
      </c>
      <c r="I200" s="3" t="s">
        <v>36</v>
      </c>
      <c r="J200" s="3" t="s">
        <v>36</v>
      </c>
      <c r="K200" s="3" t="s">
        <v>37</v>
      </c>
      <c r="L200" s="3" t="s">
        <v>108</v>
      </c>
      <c r="M200" s="3" t="s">
        <v>39</v>
      </c>
      <c r="N200" s="3" t="s">
        <v>40</v>
      </c>
      <c r="O200" s="3" t="s">
        <v>41</v>
      </c>
      <c r="P200" s="3" t="s">
        <v>42</v>
      </c>
      <c r="Q200" s="3" t="s">
        <v>449</v>
      </c>
      <c r="R200" s="3" t="s">
        <v>44</v>
      </c>
      <c r="S200" s="3" t="s">
        <v>44</v>
      </c>
      <c r="T200" s="3" t="s">
        <v>45</v>
      </c>
      <c r="U200" s="5"/>
      <c r="V200" s="3" t="s">
        <v>281</v>
      </c>
      <c r="W200" s="3" t="s">
        <v>74</v>
      </c>
      <c r="X200" s="3" t="s">
        <v>48</v>
      </c>
      <c r="Y200" s="3" t="s">
        <v>404</v>
      </c>
      <c r="Z200" s="3" t="s">
        <v>404</v>
      </c>
      <c r="AA200" s="5">
        <v>16096</v>
      </c>
      <c r="AB200" s="3" t="s">
        <v>40</v>
      </c>
      <c r="AC200" s="3" t="s">
        <v>50</v>
      </c>
    </row>
    <row r="201" ht="12" customHeight="1" spans="1:29" x14ac:dyDescent="0.25">
      <c r="A201" s="3" t="s">
        <v>450</v>
      </c>
      <c r="B201" s="4" t="s">
        <v>30</v>
      </c>
      <c r="C201" s="3" t="s">
        <v>31</v>
      </c>
      <c r="D201" s="3" t="s">
        <v>32</v>
      </c>
      <c r="E201" s="3" t="s">
        <v>95</v>
      </c>
      <c r="F201" s="3" t="s">
        <v>34</v>
      </c>
      <c r="G201" s="3" t="s">
        <v>35</v>
      </c>
      <c r="H201" s="3" t="s">
        <v>35</v>
      </c>
      <c r="I201" s="3" t="s">
        <v>69</v>
      </c>
      <c r="J201" s="3" t="s">
        <v>328</v>
      </c>
      <c r="K201" s="3" t="s">
        <v>37</v>
      </c>
      <c r="L201" s="3" t="s">
        <v>108</v>
      </c>
      <c r="M201" s="3" t="s">
        <v>39</v>
      </c>
      <c r="N201" s="3" t="s">
        <v>40</v>
      </c>
      <c r="O201" s="3" t="s">
        <v>41</v>
      </c>
      <c r="P201" s="3" t="s">
        <v>42</v>
      </c>
      <c r="Q201" s="3" t="s">
        <v>451</v>
      </c>
      <c r="R201" s="3" t="s">
        <v>72</v>
      </c>
      <c r="S201" s="3" t="s">
        <v>44</v>
      </c>
      <c r="T201" s="3" t="s">
        <v>45</v>
      </c>
      <c r="U201" s="5"/>
      <c r="V201" s="3" t="s">
        <v>281</v>
      </c>
      <c r="W201" s="3" t="s">
        <v>452</v>
      </c>
      <c r="X201" s="3" t="s">
        <v>118</v>
      </c>
      <c r="Y201" s="3" t="s">
        <v>453</v>
      </c>
      <c r="Z201" s="3" t="s">
        <v>454</v>
      </c>
      <c r="AA201" s="5">
        <v>16950</v>
      </c>
      <c r="AB201" s="3" t="s">
        <v>40</v>
      </c>
      <c r="AC201" s="3" t="s">
        <v>331</v>
      </c>
    </row>
    <row r="202" ht="12" customHeight="1" spans="1:29" x14ac:dyDescent="0.25">
      <c r="A202" s="3" t="s">
        <v>455</v>
      </c>
      <c r="B202" s="4" t="s">
        <v>30</v>
      </c>
      <c r="C202" s="3" t="s">
        <v>31</v>
      </c>
      <c r="D202" s="3" t="s">
        <v>32</v>
      </c>
      <c r="E202" s="3" t="s">
        <v>95</v>
      </c>
      <c r="F202" s="3" t="s">
        <v>34</v>
      </c>
      <c r="G202" s="3" t="s">
        <v>35</v>
      </c>
      <c r="H202" s="3" t="s">
        <v>35</v>
      </c>
      <c r="I202" s="3" t="s">
        <v>69</v>
      </c>
      <c r="J202" s="3" t="s">
        <v>328</v>
      </c>
      <c r="K202" s="3" t="s">
        <v>37</v>
      </c>
      <c r="L202" s="3" t="s">
        <v>108</v>
      </c>
      <c r="M202" s="3" t="s">
        <v>39</v>
      </c>
      <c r="N202" s="3" t="s">
        <v>40</v>
      </c>
      <c r="O202" s="3" t="s">
        <v>41</v>
      </c>
      <c r="P202" s="3" t="s">
        <v>42</v>
      </c>
      <c r="Q202" s="3" t="s">
        <v>456</v>
      </c>
      <c r="R202" s="3" t="s">
        <v>72</v>
      </c>
      <c r="S202" s="3" t="s">
        <v>44</v>
      </c>
      <c r="T202" s="3" t="s">
        <v>45</v>
      </c>
      <c r="U202" s="5"/>
      <c r="V202" s="3" t="s">
        <v>281</v>
      </c>
      <c r="W202" s="3" t="s">
        <v>452</v>
      </c>
      <c r="X202" s="3" t="s">
        <v>118</v>
      </c>
      <c r="Y202" s="3" t="s">
        <v>453</v>
      </c>
      <c r="Z202" s="3" t="s">
        <v>454</v>
      </c>
      <c r="AA202" s="5">
        <v>16720</v>
      </c>
      <c r="AB202" s="3" t="s">
        <v>40</v>
      </c>
      <c r="AC202" s="3" t="s">
        <v>331</v>
      </c>
    </row>
    <row r="203" ht="12" customHeight="1" spans="1:29" x14ac:dyDescent="0.25">
      <c r="A203" s="3" t="s">
        <v>457</v>
      </c>
      <c r="B203" s="4" t="s">
        <v>30</v>
      </c>
      <c r="C203" s="3" t="s">
        <v>31</v>
      </c>
      <c r="D203" s="3" t="s">
        <v>32</v>
      </c>
      <c r="E203" s="3" t="s">
        <v>95</v>
      </c>
      <c r="F203" s="3" t="s">
        <v>34</v>
      </c>
      <c r="G203" s="3" t="s">
        <v>35</v>
      </c>
      <c r="H203" s="3" t="s">
        <v>35</v>
      </c>
      <c r="I203" s="3" t="s">
        <v>69</v>
      </c>
      <c r="J203" s="3" t="s">
        <v>96</v>
      </c>
      <c r="K203" s="3" t="s">
        <v>37</v>
      </c>
      <c r="L203" s="3" t="s">
        <v>108</v>
      </c>
      <c r="M203" s="3" t="s">
        <v>39</v>
      </c>
      <c r="N203" s="3" t="s">
        <v>40</v>
      </c>
      <c r="O203" s="3" t="s">
        <v>41</v>
      </c>
      <c r="P203" s="3" t="s">
        <v>42</v>
      </c>
      <c r="Q203" s="3" t="s">
        <v>97</v>
      </c>
      <c r="R203" s="3" t="s">
        <v>72</v>
      </c>
      <c r="S203" s="3" t="s">
        <v>44</v>
      </c>
      <c r="T203" s="3" t="s">
        <v>45</v>
      </c>
      <c r="U203" s="5"/>
      <c r="V203" s="3" t="s">
        <v>458</v>
      </c>
      <c r="W203" s="3" t="s">
        <v>99</v>
      </c>
      <c r="X203" s="3" t="s">
        <v>48</v>
      </c>
      <c r="Y203" s="3" t="s">
        <v>100</v>
      </c>
      <c r="Z203" s="3" t="s">
        <v>100</v>
      </c>
      <c r="AA203" s="5">
        <v>21555.1</v>
      </c>
      <c r="AB203" s="3" t="s">
        <v>40</v>
      </c>
      <c r="AC203" s="3" t="s">
        <v>101</v>
      </c>
    </row>
    <row r="204" ht="12" customHeight="1" spans="1:29" x14ac:dyDescent="0.25">
      <c r="A204" s="3" t="s">
        <v>459</v>
      </c>
      <c r="B204" s="4" t="s">
        <v>30</v>
      </c>
      <c r="C204" s="3" t="s">
        <v>31</v>
      </c>
      <c r="D204" s="3" t="s">
        <v>32</v>
      </c>
      <c r="E204" s="3" t="s">
        <v>33</v>
      </c>
      <c r="F204" s="3" t="s">
        <v>34</v>
      </c>
      <c r="G204" s="3" t="s">
        <v>35</v>
      </c>
      <c r="H204" s="3" t="s">
        <v>35</v>
      </c>
      <c r="I204" s="3" t="s">
        <v>36</v>
      </c>
      <c r="J204" s="3" t="s">
        <v>36</v>
      </c>
      <c r="K204" s="3" t="s">
        <v>37</v>
      </c>
      <c r="L204" s="3" t="s">
        <v>61</v>
      </c>
      <c r="M204" s="3" t="s">
        <v>39</v>
      </c>
      <c r="N204" s="3" t="s">
        <v>40</v>
      </c>
      <c r="O204" s="3" t="s">
        <v>41</v>
      </c>
      <c r="P204" s="3" t="s">
        <v>42</v>
      </c>
      <c r="Q204" s="3" t="s">
        <v>43</v>
      </c>
      <c r="R204" s="3" t="s">
        <v>44</v>
      </c>
      <c r="S204" s="3" t="s">
        <v>44</v>
      </c>
      <c r="T204" s="3" t="s">
        <v>45</v>
      </c>
      <c r="U204" s="5"/>
      <c r="V204" s="3" t="s">
        <v>460</v>
      </c>
      <c r="W204" s="3" t="s">
        <v>47</v>
      </c>
      <c r="X204" s="3" t="s">
        <v>48</v>
      </c>
      <c r="Y204" s="3" t="s">
        <v>49</v>
      </c>
      <c r="Z204" s="3" t="s">
        <v>49</v>
      </c>
      <c r="AA204" s="5">
        <v>22484</v>
      </c>
      <c r="AB204" s="3" t="s">
        <v>40</v>
      </c>
      <c r="AC204" s="3" t="s">
        <v>50</v>
      </c>
    </row>
    <row r="205" ht="12" customHeight="1" spans="1:29" x14ac:dyDescent="0.25">
      <c r="A205" s="3" t="s">
        <v>461</v>
      </c>
      <c r="B205" s="4" t="s">
        <v>30</v>
      </c>
      <c r="C205" s="3" t="s">
        <v>31</v>
      </c>
      <c r="D205" s="3" t="s">
        <v>32</v>
      </c>
      <c r="E205" s="3" t="s">
        <v>33</v>
      </c>
      <c r="F205" s="3" t="s">
        <v>34</v>
      </c>
      <c r="G205" s="3" t="s">
        <v>52</v>
      </c>
      <c r="H205" s="3" t="s">
        <v>35</v>
      </c>
      <c r="I205" s="3" t="s">
        <v>36</v>
      </c>
      <c r="J205" s="3" t="s">
        <v>36</v>
      </c>
      <c r="K205" s="3" t="s">
        <v>37</v>
      </c>
      <c r="L205" s="3" t="s">
        <v>61</v>
      </c>
      <c r="M205" s="3" t="s">
        <v>39</v>
      </c>
      <c r="N205" s="3" t="s">
        <v>40</v>
      </c>
      <c r="O205" s="3" t="s">
        <v>41</v>
      </c>
      <c r="P205" s="3" t="s">
        <v>42</v>
      </c>
      <c r="Q205" s="3" t="s">
        <v>136</v>
      </c>
      <c r="R205" s="3" t="s">
        <v>44</v>
      </c>
      <c r="S205" s="3" t="s">
        <v>44</v>
      </c>
      <c r="T205" s="3" t="s">
        <v>45</v>
      </c>
      <c r="U205" s="5"/>
      <c r="V205" s="3" t="s">
        <v>460</v>
      </c>
      <c r="W205" s="3" t="s">
        <v>55</v>
      </c>
      <c r="X205" s="3" t="s">
        <v>48</v>
      </c>
      <c r="Y205" s="3" t="s">
        <v>56</v>
      </c>
      <c r="Z205" s="3" t="s">
        <v>56</v>
      </c>
      <c r="AA205" s="5">
        <v>15600</v>
      </c>
      <c r="AB205" s="3" t="s">
        <v>40</v>
      </c>
      <c r="AC205" s="3" t="s">
        <v>50</v>
      </c>
    </row>
    <row r="206" ht="12" customHeight="1" spans="1:29" x14ac:dyDescent="0.25">
      <c r="A206" s="3" t="s">
        <v>462</v>
      </c>
      <c r="B206" s="4" t="s">
        <v>30</v>
      </c>
      <c r="C206" s="3" t="s">
        <v>31</v>
      </c>
      <c r="D206" s="3" t="s">
        <v>32</v>
      </c>
      <c r="E206" s="3" t="s">
        <v>33</v>
      </c>
      <c r="F206" s="3" t="s">
        <v>34</v>
      </c>
      <c r="G206" s="3" t="s">
        <v>52</v>
      </c>
      <c r="H206" s="3" t="s">
        <v>35</v>
      </c>
      <c r="I206" s="3" t="s">
        <v>36</v>
      </c>
      <c r="J206" s="3" t="s">
        <v>36</v>
      </c>
      <c r="K206" s="3" t="s">
        <v>37</v>
      </c>
      <c r="L206" s="3" t="s">
        <v>38</v>
      </c>
      <c r="M206" s="3" t="s">
        <v>39</v>
      </c>
      <c r="N206" s="3" t="s">
        <v>40</v>
      </c>
      <c r="O206" s="3" t="s">
        <v>41</v>
      </c>
      <c r="P206" s="3" t="s">
        <v>42</v>
      </c>
      <c r="Q206" s="3" t="s">
        <v>463</v>
      </c>
      <c r="R206" s="3" t="s">
        <v>44</v>
      </c>
      <c r="S206" s="3" t="s">
        <v>44</v>
      </c>
      <c r="T206" s="3" t="s">
        <v>45</v>
      </c>
      <c r="U206" s="5"/>
      <c r="V206" s="3" t="s">
        <v>464</v>
      </c>
      <c r="W206" s="3" t="s">
        <v>465</v>
      </c>
      <c r="X206" s="3" t="s">
        <v>48</v>
      </c>
      <c r="Y206" s="3" t="s">
        <v>466</v>
      </c>
      <c r="Z206" s="3" t="s">
        <v>466</v>
      </c>
      <c r="AA206" s="5">
        <v>16952.3</v>
      </c>
      <c r="AB206" s="3" t="s">
        <v>40</v>
      </c>
      <c r="AC206" s="3" t="s">
        <v>50</v>
      </c>
    </row>
    <row r="207" ht="12" customHeight="1" spans="1:29" x14ac:dyDescent="0.25">
      <c r="A207" s="3" t="s">
        <v>467</v>
      </c>
      <c r="B207" s="4" t="s">
        <v>30</v>
      </c>
      <c r="C207" s="3" t="s">
        <v>31</v>
      </c>
      <c r="D207" s="3" t="s">
        <v>32</v>
      </c>
      <c r="E207" s="3" t="s">
        <v>33</v>
      </c>
      <c r="F207" s="3" t="s">
        <v>34</v>
      </c>
      <c r="G207" s="3" t="s">
        <v>35</v>
      </c>
      <c r="H207" s="3" t="s">
        <v>35</v>
      </c>
      <c r="I207" s="3" t="s">
        <v>36</v>
      </c>
      <c r="J207" s="3" t="s">
        <v>36</v>
      </c>
      <c r="K207" s="3" t="s">
        <v>37</v>
      </c>
      <c r="L207" s="3" t="s">
        <v>38</v>
      </c>
      <c r="M207" s="3" t="s">
        <v>39</v>
      </c>
      <c r="N207" s="3" t="s">
        <v>40</v>
      </c>
      <c r="O207" s="3" t="s">
        <v>41</v>
      </c>
      <c r="P207" s="3" t="s">
        <v>42</v>
      </c>
      <c r="Q207" s="3" t="s">
        <v>79</v>
      </c>
      <c r="R207" s="3" t="s">
        <v>44</v>
      </c>
      <c r="S207" s="3" t="s">
        <v>44</v>
      </c>
      <c r="T207" s="3" t="s">
        <v>45</v>
      </c>
      <c r="U207" s="5"/>
      <c r="V207" s="3" t="s">
        <v>464</v>
      </c>
      <c r="W207" s="3" t="s">
        <v>81</v>
      </c>
      <c r="X207" s="3" t="s">
        <v>48</v>
      </c>
      <c r="Y207" s="3" t="s">
        <v>83</v>
      </c>
      <c r="Z207" s="3" t="s">
        <v>83</v>
      </c>
      <c r="AA207" s="5">
        <v>24020</v>
      </c>
      <c r="AB207" s="3" t="s">
        <v>40</v>
      </c>
      <c r="AC207" s="3" t="s">
        <v>50</v>
      </c>
    </row>
    <row r="208" ht="12" customHeight="1" spans="1:29" x14ac:dyDescent="0.25">
      <c r="A208" s="3" t="s">
        <v>468</v>
      </c>
      <c r="B208" s="4" t="s">
        <v>30</v>
      </c>
      <c r="C208" s="3" t="s">
        <v>31</v>
      </c>
      <c r="D208" s="3" t="s">
        <v>32</v>
      </c>
      <c r="E208" s="3" t="s">
        <v>95</v>
      </c>
      <c r="F208" s="3" t="s">
        <v>34</v>
      </c>
      <c r="G208" s="3" t="s">
        <v>52</v>
      </c>
      <c r="H208" s="3" t="s">
        <v>35</v>
      </c>
      <c r="I208" s="3" t="s">
        <v>36</v>
      </c>
      <c r="J208" s="3" t="s">
        <v>36</v>
      </c>
      <c r="K208" s="3" t="s">
        <v>37</v>
      </c>
      <c r="L208" s="3" t="s">
        <v>38</v>
      </c>
      <c r="M208" s="3" t="s">
        <v>39</v>
      </c>
      <c r="N208" s="3" t="s">
        <v>40</v>
      </c>
      <c r="O208" s="3" t="s">
        <v>41</v>
      </c>
      <c r="P208" s="3" t="s">
        <v>42</v>
      </c>
      <c r="Q208" s="3" t="s">
        <v>370</v>
      </c>
      <c r="R208" s="3" t="s">
        <v>44</v>
      </c>
      <c r="S208" s="3" t="s">
        <v>44</v>
      </c>
      <c r="T208" s="3" t="s">
        <v>45</v>
      </c>
      <c r="U208" s="5"/>
      <c r="V208" s="3" t="s">
        <v>469</v>
      </c>
      <c r="W208" s="3" t="s">
        <v>362</v>
      </c>
      <c r="X208" s="3" t="s">
        <v>48</v>
      </c>
      <c r="Y208" s="3" t="s">
        <v>371</v>
      </c>
      <c r="Z208" s="3" t="s">
        <v>371</v>
      </c>
      <c r="AA208" s="5">
        <v>19734</v>
      </c>
      <c r="AB208" s="3" t="s">
        <v>40</v>
      </c>
      <c r="AC208" s="3" t="s">
        <v>50</v>
      </c>
    </row>
    <row r="209" ht="12" customHeight="1" spans="1:29" x14ac:dyDescent="0.25">
      <c r="A209" s="3" t="s">
        <v>470</v>
      </c>
      <c r="B209" s="4" t="s">
        <v>30</v>
      </c>
      <c r="C209" s="3" t="s">
        <v>31</v>
      </c>
      <c r="D209" s="3" t="s">
        <v>32</v>
      </c>
      <c r="E209" s="3" t="s">
        <v>95</v>
      </c>
      <c r="F209" s="3" t="s">
        <v>34</v>
      </c>
      <c r="G209" s="3" t="s">
        <v>35</v>
      </c>
      <c r="H209" s="3" t="s">
        <v>35</v>
      </c>
      <c r="I209" s="3" t="s">
        <v>69</v>
      </c>
      <c r="J209" s="3" t="s">
        <v>96</v>
      </c>
      <c r="K209" s="3" t="s">
        <v>37</v>
      </c>
      <c r="L209" s="3" t="s">
        <v>38</v>
      </c>
      <c r="M209" s="3" t="s">
        <v>39</v>
      </c>
      <c r="N209" s="3" t="s">
        <v>40</v>
      </c>
      <c r="O209" s="3" t="s">
        <v>41</v>
      </c>
      <c r="P209" s="3" t="s">
        <v>42</v>
      </c>
      <c r="Q209" s="3" t="s">
        <v>97</v>
      </c>
      <c r="R209" s="3" t="s">
        <v>72</v>
      </c>
      <c r="S209" s="3" t="s">
        <v>44</v>
      </c>
      <c r="T209" s="3" t="s">
        <v>45</v>
      </c>
      <c r="U209" s="5"/>
      <c r="V209" s="3" t="s">
        <v>471</v>
      </c>
      <c r="W209" s="3" t="s">
        <v>99</v>
      </c>
      <c r="X209" s="3" t="s">
        <v>75</v>
      </c>
      <c r="Y209" s="3" t="s">
        <v>100</v>
      </c>
      <c r="Z209" s="3" t="s">
        <v>100</v>
      </c>
      <c r="AA209" s="5">
        <v>21535.1</v>
      </c>
      <c r="AB209" s="3" t="s">
        <v>40</v>
      </c>
      <c r="AC209" s="3" t="s">
        <v>101</v>
      </c>
    </row>
    <row r="210" ht="12" customHeight="1" spans="1:29" x14ac:dyDescent="0.25">
      <c r="A210" s="3" t="s">
        <v>472</v>
      </c>
      <c r="B210" s="4" t="s">
        <v>30</v>
      </c>
      <c r="C210" s="3" t="s">
        <v>31</v>
      </c>
      <c r="D210" s="3" t="s">
        <v>32</v>
      </c>
      <c r="E210" s="3" t="s">
        <v>95</v>
      </c>
      <c r="F210" s="3" t="s">
        <v>34</v>
      </c>
      <c r="G210" s="3" t="s">
        <v>412</v>
      </c>
      <c r="H210" s="3" t="s">
        <v>35</v>
      </c>
      <c r="I210" s="3" t="s">
        <v>36</v>
      </c>
      <c r="J210" s="3" t="s">
        <v>36</v>
      </c>
      <c r="K210" s="3" t="s">
        <v>37</v>
      </c>
      <c r="L210" s="3" t="s">
        <v>38</v>
      </c>
      <c r="M210" s="3" t="s">
        <v>39</v>
      </c>
      <c r="N210" s="3" t="s">
        <v>40</v>
      </c>
      <c r="O210" s="3" t="s">
        <v>41</v>
      </c>
      <c r="P210" s="3" t="s">
        <v>42</v>
      </c>
      <c r="Q210" s="3" t="s">
        <v>413</v>
      </c>
      <c r="R210" s="3" t="s">
        <v>44</v>
      </c>
      <c r="S210" s="3" t="s">
        <v>44</v>
      </c>
      <c r="T210" s="3" t="s">
        <v>45</v>
      </c>
      <c r="U210" s="5"/>
      <c r="V210" s="3" t="s">
        <v>471</v>
      </c>
      <c r="W210" s="3" t="s">
        <v>414</v>
      </c>
      <c r="X210" s="3" t="s">
        <v>48</v>
      </c>
      <c r="Y210" s="3" t="s">
        <v>131</v>
      </c>
      <c r="Z210" s="3" t="s">
        <v>415</v>
      </c>
      <c r="AA210" s="5">
        <v>19045.6</v>
      </c>
      <c r="AB210" s="3" t="s">
        <v>40</v>
      </c>
      <c r="AC210" s="3" t="s">
        <v>50</v>
      </c>
    </row>
    <row r="211" ht="12" customHeight="1" spans="1:29" x14ac:dyDescent="0.25">
      <c r="A211" s="3" t="s">
        <v>473</v>
      </c>
      <c r="B211" s="4" t="s">
        <v>30</v>
      </c>
      <c r="C211" s="3" t="s">
        <v>31</v>
      </c>
      <c r="D211" s="3" t="s">
        <v>32</v>
      </c>
      <c r="E211" s="3" t="s">
        <v>33</v>
      </c>
      <c r="F211" s="3" t="s">
        <v>34</v>
      </c>
      <c r="G211" s="3" t="s">
        <v>52</v>
      </c>
      <c r="H211" s="3" t="s">
        <v>35</v>
      </c>
      <c r="I211" s="3" t="s">
        <v>36</v>
      </c>
      <c r="J211" s="3" t="s">
        <v>36</v>
      </c>
      <c r="K211" s="3" t="s">
        <v>37</v>
      </c>
      <c r="L211" s="3" t="s">
        <v>38</v>
      </c>
      <c r="M211" s="3" t="s">
        <v>39</v>
      </c>
      <c r="N211" s="3" t="s">
        <v>40</v>
      </c>
      <c r="O211" s="3" t="s">
        <v>41</v>
      </c>
      <c r="P211" s="3" t="s">
        <v>42</v>
      </c>
      <c r="Q211" s="3" t="s">
        <v>232</v>
      </c>
      <c r="R211" s="3" t="s">
        <v>44</v>
      </c>
      <c r="S211" s="3" t="s">
        <v>44</v>
      </c>
      <c r="T211" s="3" t="s">
        <v>45</v>
      </c>
      <c r="U211" s="5"/>
      <c r="V211" s="3" t="s">
        <v>474</v>
      </c>
      <c r="W211" s="3" t="s">
        <v>233</v>
      </c>
      <c r="X211" s="3" t="s">
        <v>48</v>
      </c>
      <c r="Y211" s="3" t="s">
        <v>234</v>
      </c>
      <c r="Z211" s="3" t="s">
        <v>235</v>
      </c>
      <c r="AA211" s="5">
        <v>2107.87</v>
      </c>
      <c r="AB211" s="3" t="s">
        <v>40</v>
      </c>
      <c r="AC211" s="3" t="s">
        <v>50</v>
      </c>
    </row>
    <row r="212" ht="12" customHeight="1" spans="1:29" x14ac:dyDescent="0.25">
      <c r="A212" s="3" t="s">
        <v>475</v>
      </c>
      <c r="B212" s="4" t="s">
        <v>30</v>
      </c>
      <c r="C212" s="3" t="s">
        <v>31</v>
      </c>
      <c r="D212" s="3" t="s">
        <v>32</v>
      </c>
      <c r="E212" s="3" t="s">
        <v>33</v>
      </c>
      <c r="F212" s="3" t="s">
        <v>34</v>
      </c>
      <c r="G212" s="3" t="s">
        <v>52</v>
      </c>
      <c r="H212" s="3" t="s">
        <v>35</v>
      </c>
      <c r="I212" s="3" t="s">
        <v>36</v>
      </c>
      <c r="J212" s="3" t="s">
        <v>36</v>
      </c>
      <c r="K212" s="3" t="s">
        <v>37</v>
      </c>
      <c r="L212" s="3" t="s">
        <v>38</v>
      </c>
      <c r="M212" s="3" t="s">
        <v>39</v>
      </c>
      <c r="N212" s="3" t="s">
        <v>40</v>
      </c>
      <c r="O212" s="3" t="s">
        <v>41</v>
      </c>
      <c r="P212" s="3" t="s">
        <v>42</v>
      </c>
      <c r="Q212" s="3" t="s">
        <v>136</v>
      </c>
      <c r="R212" s="3" t="s">
        <v>44</v>
      </c>
      <c r="S212" s="3" t="s">
        <v>44</v>
      </c>
      <c r="T212" s="3" t="s">
        <v>45</v>
      </c>
      <c r="U212" s="5"/>
      <c r="V212" s="3" t="s">
        <v>474</v>
      </c>
      <c r="W212" s="3" t="s">
        <v>55</v>
      </c>
      <c r="X212" s="3" t="s">
        <v>48</v>
      </c>
      <c r="Y212" s="3" t="s">
        <v>56</v>
      </c>
      <c r="Z212" s="3" t="s">
        <v>56</v>
      </c>
      <c r="AA212" s="5">
        <v>15600</v>
      </c>
      <c r="AB212" s="3" t="s">
        <v>40</v>
      </c>
      <c r="AC212" s="3" t="s">
        <v>50</v>
      </c>
    </row>
    <row r="213" ht="12" customHeight="1" spans="1:29" x14ac:dyDescent="0.25">
      <c r="A213" s="3" t="s">
        <v>476</v>
      </c>
      <c r="B213" s="4" t="s">
        <v>30</v>
      </c>
      <c r="C213" s="3" t="s">
        <v>31</v>
      </c>
      <c r="D213" s="3" t="s">
        <v>32</v>
      </c>
      <c r="E213" s="3" t="s">
        <v>95</v>
      </c>
      <c r="F213" s="3" t="s">
        <v>34</v>
      </c>
      <c r="G213" s="3" t="s">
        <v>35</v>
      </c>
      <c r="H213" s="3" t="s">
        <v>35</v>
      </c>
      <c r="I213" s="3" t="s">
        <v>69</v>
      </c>
      <c r="J213" s="3" t="s">
        <v>96</v>
      </c>
      <c r="K213" s="3" t="s">
        <v>37</v>
      </c>
      <c r="L213" s="3" t="s">
        <v>38</v>
      </c>
      <c r="M213" s="3" t="s">
        <v>39</v>
      </c>
      <c r="N213" s="3" t="s">
        <v>40</v>
      </c>
      <c r="O213" s="3" t="s">
        <v>41</v>
      </c>
      <c r="P213" s="3" t="s">
        <v>42</v>
      </c>
      <c r="Q213" s="3" t="s">
        <v>97</v>
      </c>
      <c r="R213" s="3" t="s">
        <v>72</v>
      </c>
      <c r="S213" s="3" t="s">
        <v>44</v>
      </c>
      <c r="T213" s="3" t="s">
        <v>45</v>
      </c>
      <c r="U213" s="5"/>
      <c r="V213" s="3" t="s">
        <v>477</v>
      </c>
      <c r="W213" s="3" t="s">
        <v>99</v>
      </c>
      <c r="X213" s="3" t="s">
        <v>75</v>
      </c>
      <c r="Y213" s="3" t="s">
        <v>100</v>
      </c>
      <c r="Z213" s="3" t="s">
        <v>100</v>
      </c>
      <c r="AA213" s="5">
        <v>21545.1</v>
      </c>
      <c r="AB213" s="3" t="s">
        <v>40</v>
      </c>
      <c r="AC213" s="3" t="s">
        <v>101</v>
      </c>
    </row>
    <row r="214" ht="12" customHeight="1" spans="1:29" x14ac:dyDescent="0.25">
      <c r="A214" s="3" t="s">
        <v>478</v>
      </c>
      <c r="B214" s="4" t="s">
        <v>30</v>
      </c>
      <c r="C214" s="3" t="s">
        <v>31</v>
      </c>
      <c r="D214" s="3" t="s">
        <v>32</v>
      </c>
      <c r="E214" s="3" t="s">
        <v>95</v>
      </c>
      <c r="F214" s="3" t="s">
        <v>34</v>
      </c>
      <c r="G214" s="3" t="s">
        <v>412</v>
      </c>
      <c r="H214" s="3" t="s">
        <v>35</v>
      </c>
      <c r="I214" s="3" t="s">
        <v>36</v>
      </c>
      <c r="J214" s="3" t="s">
        <v>36</v>
      </c>
      <c r="K214" s="3" t="s">
        <v>37</v>
      </c>
      <c r="L214" s="3" t="s">
        <v>38</v>
      </c>
      <c r="M214" s="3" t="s">
        <v>39</v>
      </c>
      <c r="N214" s="3" t="s">
        <v>40</v>
      </c>
      <c r="O214" s="3" t="s">
        <v>41</v>
      </c>
      <c r="P214" s="3" t="s">
        <v>42</v>
      </c>
      <c r="Q214" s="3" t="s">
        <v>413</v>
      </c>
      <c r="R214" s="3" t="s">
        <v>44</v>
      </c>
      <c r="S214" s="3" t="s">
        <v>44</v>
      </c>
      <c r="T214" s="3" t="s">
        <v>45</v>
      </c>
      <c r="U214" s="5"/>
      <c r="V214" s="3" t="s">
        <v>477</v>
      </c>
      <c r="W214" s="3" t="s">
        <v>414</v>
      </c>
      <c r="X214" s="3" t="s">
        <v>48</v>
      </c>
      <c r="Y214" s="3" t="s">
        <v>131</v>
      </c>
      <c r="Z214" s="3" t="s">
        <v>415</v>
      </c>
      <c r="AA214" s="5">
        <v>19045.6</v>
      </c>
      <c r="AB214" s="3" t="s">
        <v>40</v>
      </c>
      <c r="AC214" s="3" t="s">
        <v>50</v>
      </c>
    </row>
    <row r="215" ht="12" customHeight="1" spans="1:29" x14ac:dyDescent="0.25">
      <c r="A215" s="3" t="s">
        <v>479</v>
      </c>
      <c r="B215" s="4" t="s">
        <v>30</v>
      </c>
      <c r="C215" s="3" t="s">
        <v>31</v>
      </c>
      <c r="D215" s="3" t="s">
        <v>32</v>
      </c>
      <c r="E215" s="3" t="s">
        <v>33</v>
      </c>
      <c r="F215" s="3" t="s">
        <v>34</v>
      </c>
      <c r="G215" s="3" t="s">
        <v>35</v>
      </c>
      <c r="H215" s="3" t="s">
        <v>35</v>
      </c>
      <c r="I215" s="3" t="s">
        <v>69</v>
      </c>
      <c r="J215" s="3" t="s">
        <v>70</v>
      </c>
      <c r="K215" s="3" t="s">
        <v>37</v>
      </c>
      <c r="L215" s="3" t="s">
        <v>38</v>
      </c>
      <c r="M215" s="3" t="s">
        <v>39</v>
      </c>
      <c r="N215" s="3" t="s">
        <v>40</v>
      </c>
      <c r="O215" s="3" t="s">
        <v>41</v>
      </c>
      <c r="P215" s="3" t="s">
        <v>42</v>
      </c>
      <c r="Q215" s="3" t="s">
        <v>71</v>
      </c>
      <c r="R215" s="3" t="s">
        <v>72</v>
      </c>
      <c r="S215" s="3" t="s">
        <v>44</v>
      </c>
      <c r="T215" s="3" t="s">
        <v>45</v>
      </c>
      <c r="U215" s="5"/>
      <c r="V215" s="3" t="s">
        <v>480</v>
      </c>
      <c r="W215" s="3" t="s">
        <v>74</v>
      </c>
      <c r="X215" s="3" t="s">
        <v>82</v>
      </c>
      <c r="Y215" s="3" t="s">
        <v>76</v>
      </c>
      <c r="Z215" s="3" t="s">
        <v>76</v>
      </c>
      <c r="AA215" s="5">
        <v>24240</v>
      </c>
      <c r="AB215" s="3" t="s">
        <v>40</v>
      </c>
      <c r="AC215" s="3" t="s">
        <v>77</v>
      </c>
    </row>
    <row r="216" ht="12" customHeight="1" spans="1:29" x14ac:dyDescent="0.25">
      <c r="A216" s="3" t="s">
        <v>481</v>
      </c>
      <c r="B216" s="4" t="s">
        <v>30</v>
      </c>
      <c r="C216" s="3" t="s">
        <v>31</v>
      </c>
      <c r="D216" s="3" t="s">
        <v>32</v>
      </c>
      <c r="E216" s="3" t="s">
        <v>33</v>
      </c>
      <c r="F216" s="3" t="s">
        <v>34</v>
      </c>
      <c r="G216" s="3" t="s">
        <v>35</v>
      </c>
      <c r="H216" s="3" t="s">
        <v>35</v>
      </c>
      <c r="I216" s="3" t="s">
        <v>36</v>
      </c>
      <c r="J216" s="3" t="s">
        <v>36</v>
      </c>
      <c r="K216" s="3" t="s">
        <v>37</v>
      </c>
      <c r="L216" s="3" t="s">
        <v>38</v>
      </c>
      <c r="M216" s="3" t="s">
        <v>39</v>
      </c>
      <c r="N216" s="3" t="s">
        <v>40</v>
      </c>
      <c r="O216" s="3" t="s">
        <v>41</v>
      </c>
      <c r="P216" s="3" t="s">
        <v>42</v>
      </c>
      <c r="Q216" s="3" t="s">
        <v>79</v>
      </c>
      <c r="R216" s="3" t="s">
        <v>44</v>
      </c>
      <c r="S216" s="3" t="s">
        <v>44</v>
      </c>
      <c r="T216" s="3" t="s">
        <v>45</v>
      </c>
      <c r="U216" s="5"/>
      <c r="V216" s="3" t="s">
        <v>480</v>
      </c>
      <c r="W216" s="3" t="s">
        <v>81</v>
      </c>
      <c r="X216" s="3" t="s">
        <v>82</v>
      </c>
      <c r="Y216" s="3" t="s">
        <v>83</v>
      </c>
      <c r="Z216" s="3" t="s">
        <v>83</v>
      </c>
      <c r="AA216" s="5">
        <v>24180</v>
      </c>
      <c r="AB216" s="3" t="s">
        <v>40</v>
      </c>
      <c r="AC216" s="3" t="s">
        <v>50</v>
      </c>
    </row>
    <row r="217" ht="12" customHeight="1" spans="1:29" x14ac:dyDescent="0.25">
      <c r="A217" s="3" t="s">
        <v>482</v>
      </c>
      <c r="B217" s="4" t="s">
        <v>30</v>
      </c>
      <c r="C217" s="3" t="s">
        <v>31</v>
      </c>
      <c r="D217" s="3" t="s">
        <v>32</v>
      </c>
      <c r="E217" s="3" t="s">
        <v>95</v>
      </c>
      <c r="F217" s="3" t="s">
        <v>34</v>
      </c>
      <c r="G217" s="3" t="s">
        <v>52</v>
      </c>
      <c r="H217" s="3" t="s">
        <v>35</v>
      </c>
      <c r="I217" s="3" t="s">
        <v>36</v>
      </c>
      <c r="J217" s="3" t="s">
        <v>36</v>
      </c>
      <c r="K217" s="3" t="s">
        <v>37</v>
      </c>
      <c r="L217" s="3" t="s">
        <v>38</v>
      </c>
      <c r="M217" s="3" t="s">
        <v>39</v>
      </c>
      <c r="N217" s="3" t="s">
        <v>40</v>
      </c>
      <c r="O217" s="3" t="s">
        <v>41</v>
      </c>
      <c r="P217" s="3" t="s">
        <v>42</v>
      </c>
      <c r="Q217" s="3" t="s">
        <v>370</v>
      </c>
      <c r="R217" s="3" t="s">
        <v>44</v>
      </c>
      <c r="S217" s="3" t="s">
        <v>44</v>
      </c>
      <c r="T217" s="3" t="s">
        <v>45</v>
      </c>
      <c r="U217" s="5"/>
      <c r="V217" s="3" t="s">
        <v>483</v>
      </c>
      <c r="W217" s="3" t="s">
        <v>362</v>
      </c>
      <c r="X217" s="3" t="s">
        <v>48</v>
      </c>
      <c r="Y217" s="3" t="s">
        <v>371</v>
      </c>
      <c r="Z217" s="3" t="s">
        <v>371</v>
      </c>
      <c r="AA217" s="5">
        <v>19734</v>
      </c>
      <c r="AB217" s="3" t="s">
        <v>40</v>
      </c>
      <c r="AC217" s="3" t="s">
        <v>50</v>
      </c>
    </row>
    <row r="218" ht="12" customHeight="1" spans="1:29" x14ac:dyDescent="0.25">
      <c r="A218" s="3" t="s">
        <v>484</v>
      </c>
      <c r="B218" s="4" t="s">
        <v>30</v>
      </c>
      <c r="C218" s="3" t="s">
        <v>31</v>
      </c>
      <c r="D218" s="3" t="s">
        <v>32</v>
      </c>
      <c r="E218" s="3" t="s">
        <v>95</v>
      </c>
      <c r="F218" s="3" t="s">
        <v>34</v>
      </c>
      <c r="G218" s="3" t="s">
        <v>412</v>
      </c>
      <c r="H218" s="3" t="s">
        <v>35</v>
      </c>
      <c r="I218" s="3" t="s">
        <v>36</v>
      </c>
      <c r="J218" s="3" t="s">
        <v>36</v>
      </c>
      <c r="K218" s="3" t="s">
        <v>37</v>
      </c>
      <c r="L218" s="3" t="s">
        <v>38</v>
      </c>
      <c r="M218" s="3" t="s">
        <v>39</v>
      </c>
      <c r="N218" s="3" t="s">
        <v>40</v>
      </c>
      <c r="O218" s="3" t="s">
        <v>41</v>
      </c>
      <c r="P218" s="3" t="s">
        <v>42</v>
      </c>
      <c r="Q218" s="3" t="s">
        <v>413</v>
      </c>
      <c r="R218" s="3" t="s">
        <v>44</v>
      </c>
      <c r="S218" s="3" t="s">
        <v>44</v>
      </c>
      <c r="T218" s="3" t="s">
        <v>45</v>
      </c>
      <c r="U218" s="5"/>
      <c r="V218" s="3" t="s">
        <v>483</v>
      </c>
      <c r="W218" s="3" t="s">
        <v>414</v>
      </c>
      <c r="X218" s="3" t="s">
        <v>48</v>
      </c>
      <c r="Y218" s="3" t="s">
        <v>131</v>
      </c>
      <c r="Z218" s="3" t="s">
        <v>415</v>
      </c>
      <c r="AA218" s="5">
        <v>19045.6</v>
      </c>
      <c r="AB218" s="3" t="s">
        <v>40</v>
      </c>
      <c r="AC218" s="3" t="s">
        <v>50</v>
      </c>
    </row>
    <row r="219" ht="12" customHeight="1" spans="1:29" x14ac:dyDescent="0.25">
      <c r="A219" s="3" t="s">
        <v>485</v>
      </c>
      <c r="B219" s="4" t="s">
        <v>30</v>
      </c>
      <c r="C219" s="3" t="s">
        <v>31</v>
      </c>
      <c r="D219" s="3" t="s">
        <v>32</v>
      </c>
      <c r="E219" s="3" t="s">
        <v>33</v>
      </c>
      <c r="F219" s="3" t="s">
        <v>34</v>
      </c>
      <c r="G219" s="3" t="s">
        <v>35</v>
      </c>
      <c r="H219" s="3" t="s">
        <v>35</v>
      </c>
      <c r="I219" s="3" t="s">
        <v>36</v>
      </c>
      <c r="J219" s="3" t="s">
        <v>36</v>
      </c>
      <c r="K219" s="3" t="s">
        <v>37</v>
      </c>
      <c r="L219" s="3" t="s">
        <v>38</v>
      </c>
      <c r="M219" s="3" t="s">
        <v>39</v>
      </c>
      <c r="N219" s="3" t="s">
        <v>40</v>
      </c>
      <c r="O219" s="3" t="s">
        <v>41</v>
      </c>
      <c r="P219" s="3" t="s">
        <v>42</v>
      </c>
      <c r="Q219" s="3" t="s">
        <v>43</v>
      </c>
      <c r="R219" s="3" t="s">
        <v>44</v>
      </c>
      <c r="S219" s="3" t="s">
        <v>44</v>
      </c>
      <c r="T219" s="3" t="s">
        <v>45</v>
      </c>
      <c r="U219" s="5"/>
      <c r="V219" s="3" t="s">
        <v>486</v>
      </c>
      <c r="W219" s="3" t="s">
        <v>47</v>
      </c>
      <c r="X219" s="3" t="s">
        <v>48</v>
      </c>
      <c r="Y219" s="3" t="s">
        <v>49</v>
      </c>
      <c r="Z219" s="3" t="s">
        <v>49</v>
      </c>
      <c r="AA219" s="5">
        <v>22440</v>
      </c>
      <c r="AB219" s="3" t="s">
        <v>40</v>
      </c>
      <c r="AC219" s="3" t="s">
        <v>50</v>
      </c>
    </row>
    <row r="220" ht="12" customHeight="1" spans="1:29" x14ac:dyDescent="0.25">
      <c r="A220" s="3" t="s">
        <v>487</v>
      </c>
      <c r="B220" s="4" t="s">
        <v>30</v>
      </c>
      <c r="C220" s="3" t="s">
        <v>31</v>
      </c>
      <c r="D220" s="3" t="s">
        <v>32</v>
      </c>
      <c r="E220" s="3" t="s">
        <v>95</v>
      </c>
      <c r="F220" s="3" t="s">
        <v>34</v>
      </c>
      <c r="G220" s="3" t="s">
        <v>52</v>
      </c>
      <c r="H220" s="3" t="s">
        <v>35</v>
      </c>
      <c r="I220" s="3" t="s">
        <v>36</v>
      </c>
      <c r="J220" s="3" t="s">
        <v>36</v>
      </c>
      <c r="K220" s="3" t="s">
        <v>37</v>
      </c>
      <c r="L220" s="3" t="s">
        <v>38</v>
      </c>
      <c r="M220" s="3" t="s">
        <v>39</v>
      </c>
      <c r="N220" s="3" t="s">
        <v>40</v>
      </c>
      <c r="O220" s="3" t="s">
        <v>41</v>
      </c>
      <c r="P220" s="3" t="s">
        <v>42</v>
      </c>
      <c r="Q220" s="3" t="s">
        <v>488</v>
      </c>
      <c r="R220" s="3" t="s">
        <v>44</v>
      </c>
      <c r="S220" s="3" t="s">
        <v>44</v>
      </c>
      <c r="T220" s="3" t="s">
        <v>45</v>
      </c>
      <c r="U220" s="5"/>
      <c r="V220" s="3" t="s">
        <v>489</v>
      </c>
      <c r="W220" s="3" t="s">
        <v>490</v>
      </c>
      <c r="X220" s="3" t="s">
        <v>48</v>
      </c>
      <c r="Y220" s="3" t="s">
        <v>491</v>
      </c>
      <c r="Z220" s="3" t="s">
        <v>492</v>
      </c>
      <c r="AA220" s="5">
        <v>4583.67</v>
      </c>
      <c r="AB220" s="3" t="s">
        <v>40</v>
      </c>
      <c r="AC220" s="3" t="s">
        <v>50</v>
      </c>
    </row>
    <row r="221" ht="12" customHeight="1" spans="1:29" x14ac:dyDescent="0.25">
      <c r="A221" s="3" t="s">
        <v>493</v>
      </c>
      <c r="B221" s="4" t="s">
        <v>30</v>
      </c>
      <c r="C221" s="3" t="s">
        <v>31</v>
      </c>
      <c r="D221" s="3" t="s">
        <v>32</v>
      </c>
      <c r="E221" s="3" t="s">
        <v>95</v>
      </c>
      <c r="F221" s="3" t="s">
        <v>34</v>
      </c>
      <c r="G221" s="3" t="s">
        <v>35</v>
      </c>
      <c r="H221" s="3" t="s">
        <v>35</v>
      </c>
      <c r="I221" s="3" t="s">
        <v>69</v>
      </c>
      <c r="J221" s="3" t="s">
        <v>96</v>
      </c>
      <c r="K221" s="3" t="s">
        <v>37</v>
      </c>
      <c r="L221" s="3" t="s">
        <v>38</v>
      </c>
      <c r="M221" s="3" t="s">
        <v>39</v>
      </c>
      <c r="N221" s="3" t="s">
        <v>40</v>
      </c>
      <c r="O221" s="3" t="s">
        <v>41</v>
      </c>
      <c r="P221" s="3" t="s">
        <v>42</v>
      </c>
      <c r="Q221" s="3" t="s">
        <v>97</v>
      </c>
      <c r="R221" s="3" t="s">
        <v>72</v>
      </c>
      <c r="S221" s="3" t="s">
        <v>44</v>
      </c>
      <c r="T221" s="3" t="s">
        <v>45</v>
      </c>
      <c r="U221" s="5"/>
      <c r="V221" s="3" t="s">
        <v>489</v>
      </c>
      <c r="W221" s="3" t="s">
        <v>99</v>
      </c>
      <c r="X221" s="3" t="s">
        <v>48</v>
      </c>
      <c r="Y221" s="3" t="s">
        <v>100</v>
      </c>
      <c r="Z221" s="3" t="s">
        <v>100</v>
      </c>
      <c r="AA221" s="5">
        <v>21555.1</v>
      </c>
      <c r="AB221" s="3" t="s">
        <v>40</v>
      </c>
      <c r="AC221" s="3" t="s">
        <v>101</v>
      </c>
    </row>
    <row r="222" ht="12" customHeight="1" spans="1:29" x14ac:dyDescent="0.25">
      <c r="A222" s="3" t="s">
        <v>494</v>
      </c>
      <c r="B222" s="4" t="s">
        <v>30</v>
      </c>
      <c r="C222" s="3" t="s">
        <v>31</v>
      </c>
      <c r="D222" s="3" t="s">
        <v>32</v>
      </c>
      <c r="E222" s="3" t="s">
        <v>95</v>
      </c>
      <c r="F222" s="3" t="s">
        <v>34</v>
      </c>
      <c r="G222" s="3" t="s">
        <v>412</v>
      </c>
      <c r="H222" s="3" t="s">
        <v>35</v>
      </c>
      <c r="I222" s="3" t="s">
        <v>36</v>
      </c>
      <c r="J222" s="3" t="s">
        <v>36</v>
      </c>
      <c r="K222" s="3" t="s">
        <v>37</v>
      </c>
      <c r="L222" s="3" t="s">
        <v>38</v>
      </c>
      <c r="M222" s="3" t="s">
        <v>39</v>
      </c>
      <c r="N222" s="3" t="s">
        <v>40</v>
      </c>
      <c r="O222" s="3" t="s">
        <v>41</v>
      </c>
      <c r="P222" s="3" t="s">
        <v>42</v>
      </c>
      <c r="Q222" s="3" t="s">
        <v>413</v>
      </c>
      <c r="R222" s="3" t="s">
        <v>44</v>
      </c>
      <c r="S222" s="3" t="s">
        <v>44</v>
      </c>
      <c r="T222" s="3" t="s">
        <v>45</v>
      </c>
      <c r="U222" s="5"/>
      <c r="V222" s="3" t="s">
        <v>495</v>
      </c>
      <c r="W222" s="3" t="s">
        <v>414</v>
      </c>
      <c r="X222" s="3" t="s">
        <v>48</v>
      </c>
      <c r="Y222" s="3" t="s">
        <v>131</v>
      </c>
      <c r="Z222" s="3" t="s">
        <v>415</v>
      </c>
      <c r="AA222" s="5">
        <v>19045.6</v>
      </c>
      <c r="AB222" s="3" t="s">
        <v>40</v>
      </c>
      <c r="AC222" s="3" t="s">
        <v>50</v>
      </c>
    </row>
    <row r="223" ht="12" customHeight="1" spans="1:29" x14ac:dyDescent="0.25">
      <c r="A223" s="3" t="s">
        <v>496</v>
      </c>
      <c r="B223" s="4" t="s">
        <v>30</v>
      </c>
      <c r="C223" s="3" t="s">
        <v>31</v>
      </c>
      <c r="D223" s="3" t="s">
        <v>32</v>
      </c>
      <c r="E223" s="3" t="s">
        <v>95</v>
      </c>
      <c r="F223" s="3" t="s">
        <v>34</v>
      </c>
      <c r="G223" s="3" t="s">
        <v>412</v>
      </c>
      <c r="H223" s="3" t="s">
        <v>35</v>
      </c>
      <c r="I223" s="3" t="s">
        <v>36</v>
      </c>
      <c r="J223" s="3" t="s">
        <v>36</v>
      </c>
      <c r="K223" s="3" t="s">
        <v>37</v>
      </c>
      <c r="L223" s="3" t="s">
        <v>38</v>
      </c>
      <c r="M223" s="3" t="s">
        <v>39</v>
      </c>
      <c r="N223" s="3" t="s">
        <v>40</v>
      </c>
      <c r="O223" s="3" t="s">
        <v>41</v>
      </c>
      <c r="P223" s="3" t="s">
        <v>42</v>
      </c>
      <c r="Q223" s="3" t="s">
        <v>413</v>
      </c>
      <c r="R223" s="3" t="s">
        <v>44</v>
      </c>
      <c r="S223" s="3" t="s">
        <v>44</v>
      </c>
      <c r="T223" s="3" t="s">
        <v>45</v>
      </c>
      <c r="U223" s="5"/>
      <c r="V223" s="3" t="s">
        <v>495</v>
      </c>
      <c r="W223" s="3" t="s">
        <v>414</v>
      </c>
      <c r="X223" s="3" t="s">
        <v>48</v>
      </c>
      <c r="Y223" s="3" t="s">
        <v>131</v>
      </c>
      <c r="Z223" s="3" t="s">
        <v>415</v>
      </c>
      <c r="AA223" s="5">
        <v>19045.6</v>
      </c>
      <c r="AB223" s="3" t="s">
        <v>40</v>
      </c>
      <c r="AC223" s="3" t="s">
        <v>50</v>
      </c>
    </row>
    <row r="224" ht="12" customHeight="1" spans="1:29" x14ac:dyDescent="0.25">
      <c r="A224" s="3" t="s">
        <v>497</v>
      </c>
      <c r="B224" s="4" t="s">
        <v>30</v>
      </c>
      <c r="C224" s="3" t="s">
        <v>31</v>
      </c>
      <c r="D224" s="3" t="s">
        <v>32</v>
      </c>
      <c r="E224" s="3" t="s">
        <v>95</v>
      </c>
      <c r="F224" s="3" t="s">
        <v>34</v>
      </c>
      <c r="G224" s="3" t="s">
        <v>52</v>
      </c>
      <c r="H224" s="3" t="s">
        <v>35</v>
      </c>
      <c r="I224" s="3" t="s">
        <v>36</v>
      </c>
      <c r="J224" s="3" t="s">
        <v>36</v>
      </c>
      <c r="K224" s="3" t="s">
        <v>37</v>
      </c>
      <c r="L224" s="3" t="s">
        <v>38</v>
      </c>
      <c r="M224" s="3" t="s">
        <v>39</v>
      </c>
      <c r="N224" s="3" t="s">
        <v>40</v>
      </c>
      <c r="O224" s="3" t="s">
        <v>41</v>
      </c>
      <c r="P224" s="3" t="s">
        <v>42</v>
      </c>
      <c r="Q224" s="3" t="s">
        <v>266</v>
      </c>
      <c r="R224" s="3" t="s">
        <v>44</v>
      </c>
      <c r="S224" s="3" t="s">
        <v>44</v>
      </c>
      <c r="T224" s="3" t="s">
        <v>45</v>
      </c>
      <c r="U224" s="5"/>
      <c r="V224" s="3" t="s">
        <v>495</v>
      </c>
      <c r="W224" s="3" t="s">
        <v>195</v>
      </c>
      <c r="X224" s="3" t="s">
        <v>48</v>
      </c>
      <c r="Y224" s="3" t="s">
        <v>196</v>
      </c>
      <c r="Z224" s="3" t="s">
        <v>196</v>
      </c>
      <c r="AA224" s="5">
        <v>7911.46</v>
      </c>
      <c r="AB224" s="3" t="s">
        <v>40</v>
      </c>
      <c r="AC224" s="3" t="s">
        <v>50</v>
      </c>
    </row>
    <row r="225" ht="12" customHeight="1" spans="1:29" x14ac:dyDescent="0.25">
      <c r="A225" s="3" t="s">
        <v>498</v>
      </c>
      <c r="B225" s="4" t="s">
        <v>30</v>
      </c>
      <c r="C225" s="3" t="s">
        <v>31</v>
      </c>
      <c r="D225" s="3" t="s">
        <v>32</v>
      </c>
      <c r="E225" s="3" t="s">
        <v>33</v>
      </c>
      <c r="F225" s="3" t="s">
        <v>34</v>
      </c>
      <c r="G225" s="3" t="s">
        <v>35</v>
      </c>
      <c r="H225" s="3" t="s">
        <v>35</v>
      </c>
      <c r="I225" s="3" t="s">
        <v>36</v>
      </c>
      <c r="J225" s="3" t="s">
        <v>36</v>
      </c>
      <c r="K225" s="3" t="s">
        <v>37</v>
      </c>
      <c r="L225" s="3" t="s">
        <v>38</v>
      </c>
      <c r="M225" s="3" t="s">
        <v>39</v>
      </c>
      <c r="N225" s="3" t="s">
        <v>40</v>
      </c>
      <c r="O225" s="3" t="s">
        <v>41</v>
      </c>
      <c r="P225" s="3" t="s">
        <v>42</v>
      </c>
      <c r="Q225" s="3" t="s">
        <v>79</v>
      </c>
      <c r="R225" s="3" t="s">
        <v>44</v>
      </c>
      <c r="S225" s="3" t="s">
        <v>44</v>
      </c>
      <c r="T225" s="3" t="s">
        <v>45</v>
      </c>
      <c r="U225" s="5"/>
      <c r="V225" s="3" t="s">
        <v>499</v>
      </c>
      <c r="W225" s="3" t="s">
        <v>81</v>
      </c>
      <c r="X225" s="3" t="s">
        <v>48</v>
      </c>
      <c r="Y225" s="3" t="s">
        <v>83</v>
      </c>
      <c r="Z225" s="3" t="s">
        <v>83</v>
      </c>
      <c r="AA225" s="5">
        <v>24480</v>
      </c>
      <c r="AB225" s="3" t="s">
        <v>40</v>
      </c>
      <c r="AC225" s="3" t="s">
        <v>50</v>
      </c>
    </row>
    <row r="226" ht="12" customHeight="1" spans="1:29" x14ac:dyDescent="0.25">
      <c r="A226" s="3" t="s">
        <v>500</v>
      </c>
      <c r="B226" s="4" t="s">
        <v>30</v>
      </c>
      <c r="C226" s="3" t="s">
        <v>31</v>
      </c>
      <c r="D226" s="3" t="s">
        <v>32</v>
      </c>
      <c r="E226" s="3" t="s">
        <v>95</v>
      </c>
      <c r="F226" s="3" t="s">
        <v>34</v>
      </c>
      <c r="G226" s="3" t="s">
        <v>35</v>
      </c>
      <c r="H226" s="3" t="s">
        <v>35</v>
      </c>
      <c r="I226" s="3" t="s">
        <v>69</v>
      </c>
      <c r="J226" s="3" t="s">
        <v>279</v>
      </c>
      <c r="K226" s="3" t="s">
        <v>37</v>
      </c>
      <c r="L226" s="3" t="s">
        <v>38</v>
      </c>
      <c r="M226" s="3" t="s">
        <v>39</v>
      </c>
      <c r="N226" s="3" t="s">
        <v>40</v>
      </c>
      <c r="O226" s="3" t="s">
        <v>41</v>
      </c>
      <c r="P226" s="3" t="s">
        <v>42</v>
      </c>
      <c r="Q226" s="3" t="s">
        <v>280</v>
      </c>
      <c r="R226" s="3" t="s">
        <v>72</v>
      </c>
      <c r="S226" s="3" t="s">
        <v>44</v>
      </c>
      <c r="T226" s="3" t="s">
        <v>45</v>
      </c>
      <c r="U226" s="5"/>
      <c r="V226" s="3" t="s">
        <v>501</v>
      </c>
      <c r="W226" s="3" t="s">
        <v>74</v>
      </c>
      <c r="X226" s="3" t="s">
        <v>48</v>
      </c>
      <c r="Y226" s="3" t="s">
        <v>282</v>
      </c>
      <c r="Z226" s="3" t="s">
        <v>282</v>
      </c>
      <c r="AA226" s="5">
        <v>16160</v>
      </c>
      <c r="AB226" s="3" t="s">
        <v>40</v>
      </c>
      <c r="AC226" s="3" t="s">
        <v>283</v>
      </c>
    </row>
    <row r="227" ht="12" customHeight="1" spans="1:29" x14ac:dyDescent="0.25">
      <c r="A227" s="3" t="s">
        <v>502</v>
      </c>
      <c r="B227" s="4" t="s">
        <v>30</v>
      </c>
      <c r="C227" s="3" t="s">
        <v>31</v>
      </c>
      <c r="D227" s="3" t="s">
        <v>32</v>
      </c>
      <c r="E227" s="3" t="s">
        <v>33</v>
      </c>
      <c r="F227" s="3" t="s">
        <v>34</v>
      </c>
      <c r="G227" s="3" t="s">
        <v>52</v>
      </c>
      <c r="H227" s="3" t="s">
        <v>35</v>
      </c>
      <c r="I227" s="3" t="s">
        <v>36</v>
      </c>
      <c r="J227" s="3" t="s">
        <v>36</v>
      </c>
      <c r="K227" s="3" t="s">
        <v>37</v>
      </c>
      <c r="L227" s="3" t="s">
        <v>38</v>
      </c>
      <c r="M227" s="3" t="s">
        <v>39</v>
      </c>
      <c r="N227" s="3" t="s">
        <v>40</v>
      </c>
      <c r="O227" s="3" t="s">
        <v>41</v>
      </c>
      <c r="P227" s="3" t="s">
        <v>42</v>
      </c>
      <c r="Q227" s="3" t="s">
        <v>165</v>
      </c>
      <c r="R227" s="3" t="s">
        <v>44</v>
      </c>
      <c r="S227" s="3" t="s">
        <v>44</v>
      </c>
      <c r="T227" s="3" t="s">
        <v>45</v>
      </c>
      <c r="U227" s="5"/>
      <c r="V227" s="3" t="s">
        <v>503</v>
      </c>
      <c r="W227" s="3" t="s">
        <v>166</v>
      </c>
      <c r="X227" s="3" t="s">
        <v>48</v>
      </c>
      <c r="Y227" s="3" t="s">
        <v>167</v>
      </c>
      <c r="Z227" s="3" t="s">
        <v>167</v>
      </c>
      <c r="AA227" s="5">
        <v>26340</v>
      </c>
      <c r="AB227" s="3" t="s">
        <v>40</v>
      </c>
      <c r="AC227" s="3" t="s">
        <v>50</v>
      </c>
    </row>
    <row r="228" ht="12" customHeight="1" spans="1:29" x14ac:dyDescent="0.25">
      <c r="A228" s="3" t="s">
        <v>504</v>
      </c>
      <c r="B228" s="4" t="s">
        <v>30</v>
      </c>
      <c r="C228" s="3" t="s">
        <v>31</v>
      </c>
      <c r="D228" s="3" t="s">
        <v>32</v>
      </c>
      <c r="E228" s="3" t="s">
        <v>33</v>
      </c>
      <c r="F228" s="3" t="s">
        <v>34</v>
      </c>
      <c r="G228" s="3" t="s">
        <v>35</v>
      </c>
      <c r="H228" s="3" t="s">
        <v>35</v>
      </c>
      <c r="I228" s="3" t="s">
        <v>36</v>
      </c>
      <c r="J228" s="3" t="s">
        <v>36</v>
      </c>
      <c r="K228" s="3" t="s">
        <v>37</v>
      </c>
      <c r="L228" s="3" t="s">
        <v>38</v>
      </c>
      <c r="M228" s="3" t="s">
        <v>39</v>
      </c>
      <c r="N228" s="3" t="s">
        <v>40</v>
      </c>
      <c r="O228" s="3" t="s">
        <v>41</v>
      </c>
      <c r="P228" s="3" t="s">
        <v>42</v>
      </c>
      <c r="Q228" s="3" t="s">
        <v>79</v>
      </c>
      <c r="R228" s="3" t="s">
        <v>44</v>
      </c>
      <c r="S228" s="3" t="s">
        <v>44</v>
      </c>
      <c r="T228" s="3" t="s">
        <v>45</v>
      </c>
      <c r="U228" s="5"/>
      <c r="V228" s="3" t="s">
        <v>505</v>
      </c>
      <c r="W228" s="3" t="s">
        <v>81</v>
      </c>
      <c r="X228" s="3" t="s">
        <v>48</v>
      </c>
      <c r="Y228" s="3" t="s">
        <v>83</v>
      </c>
      <c r="Z228" s="3" t="s">
        <v>83</v>
      </c>
      <c r="AA228" s="5">
        <v>23880</v>
      </c>
      <c r="AB228" s="3" t="s">
        <v>40</v>
      </c>
      <c r="AC228" s="3" t="s">
        <v>50</v>
      </c>
    </row>
    <row r="229" ht="12" customHeight="1" spans="1:29" x14ac:dyDescent="0.25">
      <c r="A229" s="3" t="s">
        <v>506</v>
      </c>
      <c r="B229" s="4" t="s">
        <v>30</v>
      </c>
      <c r="C229" s="3" t="s">
        <v>31</v>
      </c>
      <c r="D229" s="3" t="s">
        <v>32</v>
      </c>
      <c r="E229" s="3" t="s">
        <v>33</v>
      </c>
      <c r="F229" s="3" t="s">
        <v>34</v>
      </c>
      <c r="G229" s="3" t="s">
        <v>35</v>
      </c>
      <c r="H229" s="3" t="s">
        <v>35</v>
      </c>
      <c r="I229" s="3" t="s">
        <v>36</v>
      </c>
      <c r="J229" s="3" t="s">
        <v>36</v>
      </c>
      <c r="K229" s="3" t="s">
        <v>37</v>
      </c>
      <c r="L229" s="3" t="s">
        <v>38</v>
      </c>
      <c r="M229" s="3" t="s">
        <v>39</v>
      </c>
      <c r="N229" s="3" t="s">
        <v>40</v>
      </c>
      <c r="O229" s="3" t="s">
        <v>41</v>
      </c>
      <c r="P229" s="3" t="s">
        <v>42</v>
      </c>
      <c r="Q229" s="3" t="s">
        <v>117</v>
      </c>
      <c r="R229" s="3" t="s">
        <v>44</v>
      </c>
      <c r="S229" s="3" t="s">
        <v>44</v>
      </c>
      <c r="T229" s="3" t="s">
        <v>45</v>
      </c>
      <c r="U229" s="5"/>
      <c r="V229" s="3" t="s">
        <v>507</v>
      </c>
      <c r="W229" s="3" t="s">
        <v>74</v>
      </c>
      <c r="X229" s="3" t="s">
        <v>48</v>
      </c>
      <c r="Y229" s="3" t="s">
        <v>111</v>
      </c>
      <c r="Z229" s="3" t="s">
        <v>111</v>
      </c>
      <c r="AA229" s="5">
        <v>24240</v>
      </c>
      <c r="AB229" s="3" t="s">
        <v>40</v>
      </c>
      <c r="AC229" s="3" t="s">
        <v>50</v>
      </c>
    </row>
    <row r="230" ht="12" customHeight="1" spans="1:29" x14ac:dyDescent="0.25">
      <c r="A230" s="3" t="s">
        <v>508</v>
      </c>
      <c r="B230" s="4" t="s">
        <v>30</v>
      </c>
      <c r="C230" s="3" t="s">
        <v>31</v>
      </c>
      <c r="D230" s="3" t="s">
        <v>32</v>
      </c>
      <c r="E230" s="3" t="s">
        <v>95</v>
      </c>
      <c r="F230" s="3" t="s">
        <v>34</v>
      </c>
      <c r="G230" s="3" t="s">
        <v>52</v>
      </c>
      <c r="H230" s="3" t="s">
        <v>35</v>
      </c>
      <c r="I230" s="3" t="s">
        <v>36</v>
      </c>
      <c r="J230" s="3" t="s">
        <v>36</v>
      </c>
      <c r="K230" s="3" t="s">
        <v>37</v>
      </c>
      <c r="L230" s="3" t="s">
        <v>38</v>
      </c>
      <c r="M230" s="3" t="s">
        <v>39</v>
      </c>
      <c r="N230" s="3" t="s">
        <v>40</v>
      </c>
      <c r="O230" s="3" t="s">
        <v>41</v>
      </c>
      <c r="P230" s="3" t="s">
        <v>42</v>
      </c>
      <c r="Q230" s="3" t="s">
        <v>509</v>
      </c>
      <c r="R230" s="3" t="s">
        <v>44</v>
      </c>
      <c r="S230" s="3" t="s">
        <v>44</v>
      </c>
      <c r="T230" s="3" t="s">
        <v>45</v>
      </c>
      <c r="U230" s="5"/>
      <c r="V230" s="3" t="s">
        <v>510</v>
      </c>
      <c r="W230" s="3" t="s">
        <v>511</v>
      </c>
      <c r="X230" s="3" t="s">
        <v>48</v>
      </c>
      <c r="Y230" s="3" t="s">
        <v>512</v>
      </c>
      <c r="Z230" s="3" t="s">
        <v>512</v>
      </c>
      <c r="AA230" s="5">
        <v>20988</v>
      </c>
      <c r="AB230" s="3" t="s">
        <v>40</v>
      </c>
      <c r="AC230" s="3" t="s">
        <v>50</v>
      </c>
    </row>
    <row r="231" ht="12" customHeight="1" spans="1:29" x14ac:dyDescent="0.25">
      <c r="A231" s="3" t="s">
        <v>513</v>
      </c>
      <c r="B231" s="4" t="s">
        <v>30</v>
      </c>
      <c r="C231" s="3" t="s">
        <v>31</v>
      </c>
      <c r="D231" s="3" t="s">
        <v>32</v>
      </c>
      <c r="E231" s="3" t="s">
        <v>33</v>
      </c>
      <c r="F231" s="3" t="s">
        <v>34</v>
      </c>
      <c r="G231" s="3" t="s">
        <v>35</v>
      </c>
      <c r="H231" s="3" t="s">
        <v>35</v>
      </c>
      <c r="I231" s="3" t="s">
        <v>36</v>
      </c>
      <c r="J231" s="3" t="s">
        <v>36</v>
      </c>
      <c r="K231" s="3" t="s">
        <v>37</v>
      </c>
      <c r="L231" s="3" t="s">
        <v>38</v>
      </c>
      <c r="M231" s="3" t="s">
        <v>39</v>
      </c>
      <c r="N231" s="3" t="s">
        <v>40</v>
      </c>
      <c r="O231" s="3" t="s">
        <v>41</v>
      </c>
      <c r="P231" s="3" t="s">
        <v>42</v>
      </c>
      <c r="Q231" s="3" t="s">
        <v>43</v>
      </c>
      <c r="R231" s="3" t="s">
        <v>44</v>
      </c>
      <c r="S231" s="3" t="s">
        <v>44</v>
      </c>
      <c r="T231" s="3" t="s">
        <v>45</v>
      </c>
      <c r="U231" s="5"/>
      <c r="V231" s="3" t="s">
        <v>514</v>
      </c>
      <c r="W231" s="3" t="s">
        <v>47</v>
      </c>
      <c r="X231" s="3" t="s">
        <v>48</v>
      </c>
      <c r="Y231" s="3" t="s">
        <v>49</v>
      </c>
      <c r="Z231" s="3" t="s">
        <v>49</v>
      </c>
      <c r="AA231" s="5">
        <v>22462</v>
      </c>
      <c r="AB231" s="3" t="s">
        <v>40</v>
      </c>
      <c r="AC231" s="3" t="s">
        <v>50</v>
      </c>
    </row>
    <row r="232" ht="12" customHeight="1" spans="1:29" x14ac:dyDescent="0.25">
      <c r="A232" s="3" t="s">
        <v>515</v>
      </c>
      <c r="B232" s="4" t="s">
        <v>30</v>
      </c>
      <c r="C232" s="3" t="s">
        <v>31</v>
      </c>
      <c r="D232" s="3" t="s">
        <v>32</v>
      </c>
      <c r="E232" s="3" t="s">
        <v>33</v>
      </c>
      <c r="F232" s="3" t="s">
        <v>34</v>
      </c>
      <c r="G232" s="3" t="s">
        <v>35</v>
      </c>
      <c r="H232" s="3" t="s">
        <v>35</v>
      </c>
      <c r="I232" s="3" t="s">
        <v>36</v>
      </c>
      <c r="J232" s="3" t="s">
        <v>36</v>
      </c>
      <c r="K232" s="3" t="s">
        <v>37</v>
      </c>
      <c r="L232" s="3" t="s">
        <v>38</v>
      </c>
      <c r="M232" s="3" t="s">
        <v>39</v>
      </c>
      <c r="N232" s="3" t="s">
        <v>40</v>
      </c>
      <c r="O232" s="3" t="s">
        <v>41</v>
      </c>
      <c r="P232" s="3" t="s">
        <v>42</v>
      </c>
      <c r="Q232" s="3" t="s">
        <v>79</v>
      </c>
      <c r="R232" s="3" t="s">
        <v>44</v>
      </c>
      <c r="S232" s="3" t="s">
        <v>44</v>
      </c>
      <c r="T232" s="3" t="s">
        <v>45</v>
      </c>
      <c r="U232" s="5"/>
      <c r="V232" s="3" t="s">
        <v>514</v>
      </c>
      <c r="W232" s="3" t="s">
        <v>81</v>
      </c>
      <c r="X232" s="3" t="s">
        <v>48</v>
      </c>
      <c r="Y232" s="3" t="s">
        <v>83</v>
      </c>
      <c r="Z232" s="3" t="s">
        <v>83</v>
      </c>
      <c r="AA232" s="5">
        <v>25360</v>
      </c>
      <c r="AB232" s="3" t="s">
        <v>40</v>
      </c>
      <c r="AC232" s="3" t="s">
        <v>50</v>
      </c>
    </row>
    <row r="233" ht="12" customHeight="1" spans="1:29" x14ac:dyDescent="0.25">
      <c r="A233" s="3" t="s">
        <v>516</v>
      </c>
      <c r="B233" s="4" t="s">
        <v>30</v>
      </c>
      <c r="C233" s="3" t="s">
        <v>31</v>
      </c>
      <c r="D233" s="3" t="s">
        <v>32</v>
      </c>
      <c r="E233" s="3" t="s">
        <v>33</v>
      </c>
      <c r="F233" s="3" t="s">
        <v>34</v>
      </c>
      <c r="G233" s="3" t="s">
        <v>35</v>
      </c>
      <c r="H233" s="3" t="s">
        <v>35</v>
      </c>
      <c r="I233" s="3" t="s">
        <v>36</v>
      </c>
      <c r="J233" s="3" t="s">
        <v>36</v>
      </c>
      <c r="K233" s="3" t="s">
        <v>37</v>
      </c>
      <c r="L233" s="3" t="s">
        <v>38</v>
      </c>
      <c r="M233" s="3" t="s">
        <v>39</v>
      </c>
      <c r="N233" s="3" t="s">
        <v>40</v>
      </c>
      <c r="O233" s="3" t="s">
        <v>41</v>
      </c>
      <c r="P233" s="3" t="s">
        <v>42</v>
      </c>
      <c r="Q233" s="3" t="s">
        <v>117</v>
      </c>
      <c r="R233" s="3" t="s">
        <v>44</v>
      </c>
      <c r="S233" s="3" t="s">
        <v>44</v>
      </c>
      <c r="T233" s="3" t="s">
        <v>45</v>
      </c>
      <c r="U233" s="5"/>
      <c r="V233" s="3" t="s">
        <v>517</v>
      </c>
      <c r="W233" s="3" t="s">
        <v>74</v>
      </c>
      <c r="X233" s="3" t="s">
        <v>48</v>
      </c>
      <c r="Y233" s="3" t="s">
        <v>111</v>
      </c>
      <c r="Z233" s="3" t="s">
        <v>111</v>
      </c>
      <c r="AA233" s="5">
        <v>24240</v>
      </c>
      <c r="AB233" s="3" t="s">
        <v>40</v>
      </c>
      <c r="AC233" s="3" t="s">
        <v>50</v>
      </c>
    </row>
    <row r="234" ht="12" customHeight="1" spans="1:29" x14ac:dyDescent="0.25">
      <c r="A234" s="3" t="s">
        <v>518</v>
      </c>
      <c r="B234" s="4" t="s">
        <v>30</v>
      </c>
      <c r="C234" s="3" t="s">
        <v>31</v>
      </c>
      <c r="D234" s="3" t="s">
        <v>32</v>
      </c>
      <c r="E234" s="3" t="s">
        <v>33</v>
      </c>
      <c r="F234" s="3" t="s">
        <v>34</v>
      </c>
      <c r="G234" s="3" t="s">
        <v>52</v>
      </c>
      <c r="H234" s="3" t="s">
        <v>35</v>
      </c>
      <c r="I234" s="3" t="s">
        <v>36</v>
      </c>
      <c r="J234" s="3" t="s">
        <v>36</v>
      </c>
      <c r="K234" s="3" t="s">
        <v>37</v>
      </c>
      <c r="L234" s="3" t="s">
        <v>38</v>
      </c>
      <c r="M234" s="3" t="s">
        <v>39</v>
      </c>
      <c r="N234" s="3" t="s">
        <v>40</v>
      </c>
      <c r="O234" s="3" t="s">
        <v>41</v>
      </c>
      <c r="P234" s="3" t="s">
        <v>42</v>
      </c>
      <c r="Q234" s="3" t="s">
        <v>519</v>
      </c>
      <c r="R234" s="3" t="s">
        <v>44</v>
      </c>
      <c r="S234" s="3" t="s">
        <v>44</v>
      </c>
      <c r="T234" s="3" t="s">
        <v>45</v>
      </c>
      <c r="U234" s="5"/>
      <c r="V234" s="3" t="s">
        <v>517</v>
      </c>
      <c r="W234" s="3" t="s">
        <v>520</v>
      </c>
      <c r="X234" s="3" t="s">
        <v>48</v>
      </c>
      <c r="Y234" s="3" t="s">
        <v>521</v>
      </c>
      <c r="Z234" s="3" t="s">
        <v>521</v>
      </c>
      <c r="AA234" s="5">
        <v>26000</v>
      </c>
      <c r="AB234" s="3" t="s">
        <v>40</v>
      </c>
      <c r="AC234" s="3" t="s">
        <v>50</v>
      </c>
    </row>
    <row r="235" ht="12" customHeight="1" spans="1:29" x14ac:dyDescent="0.25">
      <c r="A235" s="3" t="s">
        <v>522</v>
      </c>
      <c r="B235" s="4" t="s">
        <v>30</v>
      </c>
      <c r="C235" s="3" t="s">
        <v>31</v>
      </c>
      <c r="D235" s="3" t="s">
        <v>32</v>
      </c>
      <c r="E235" s="3" t="s">
        <v>33</v>
      </c>
      <c r="F235" s="3" t="s">
        <v>34</v>
      </c>
      <c r="G235" s="3" t="s">
        <v>35</v>
      </c>
      <c r="H235" s="3" t="s">
        <v>35</v>
      </c>
      <c r="I235" s="3" t="s">
        <v>36</v>
      </c>
      <c r="J235" s="3" t="s">
        <v>36</v>
      </c>
      <c r="K235" s="3" t="s">
        <v>37</v>
      </c>
      <c r="L235" s="3" t="s">
        <v>38</v>
      </c>
      <c r="M235" s="3" t="s">
        <v>39</v>
      </c>
      <c r="N235" s="3" t="s">
        <v>40</v>
      </c>
      <c r="O235" s="3" t="s">
        <v>41</v>
      </c>
      <c r="P235" s="3" t="s">
        <v>42</v>
      </c>
      <c r="Q235" s="3" t="s">
        <v>43</v>
      </c>
      <c r="R235" s="3" t="s">
        <v>44</v>
      </c>
      <c r="S235" s="3" t="s">
        <v>44</v>
      </c>
      <c r="T235" s="3" t="s">
        <v>45</v>
      </c>
      <c r="U235" s="5"/>
      <c r="V235" s="3" t="s">
        <v>517</v>
      </c>
      <c r="W235" s="3" t="s">
        <v>47</v>
      </c>
      <c r="X235" s="3" t="s">
        <v>48</v>
      </c>
      <c r="Y235" s="3" t="s">
        <v>49</v>
      </c>
      <c r="Z235" s="3" t="s">
        <v>49</v>
      </c>
      <c r="AA235" s="5">
        <v>22462</v>
      </c>
      <c r="AB235" s="3" t="s">
        <v>40</v>
      </c>
      <c r="AC235" s="3" t="s">
        <v>50</v>
      </c>
    </row>
    <row r="236" ht="12" customHeight="1" spans="1:29" x14ac:dyDescent="0.25">
      <c r="A236" s="3" t="s">
        <v>523</v>
      </c>
      <c r="B236" s="4" t="s">
        <v>30</v>
      </c>
      <c r="C236" s="3" t="s">
        <v>31</v>
      </c>
      <c r="D236" s="3" t="s">
        <v>32</v>
      </c>
      <c r="E236" s="3" t="s">
        <v>33</v>
      </c>
      <c r="F236" s="3" t="s">
        <v>34</v>
      </c>
      <c r="G236" s="3" t="s">
        <v>52</v>
      </c>
      <c r="H236" s="3" t="s">
        <v>35</v>
      </c>
      <c r="I236" s="3" t="s">
        <v>36</v>
      </c>
      <c r="J236" s="3" t="s">
        <v>36</v>
      </c>
      <c r="K236" s="3" t="s">
        <v>37</v>
      </c>
      <c r="L236" s="3" t="s">
        <v>38</v>
      </c>
      <c r="M236" s="3" t="s">
        <v>39</v>
      </c>
      <c r="N236" s="3" t="s">
        <v>40</v>
      </c>
      <c r="O236" s="3" t="s">
        <v>41</v>
      </c>
      <c r="P236" s="3" t="s">
        <v>42</v>
      </c>
      <c r="Q236" s="3" t="s">
        <v>182</v>
      </c>
      <c r="R236" s="3" t="s">
        <v>44</v>
      </c>
      <c r="S236" s="3" t="s">
        <v>44</v>
      </c>
      <c r="T236" s="3" t="s">
        <v>45</v>
      </c>
      <c r="U236" s="5"/>
      <c r="V236" s="3" t="s">
        <v>517</v>
      </c>
      <c r="W236" s="3" t="s">
        <v>183</v>
      </c>
      <c r="X236" s="3" t="s">
        <v>48</v>
      </c>
      <c r="Y236" s="3" t="s">
        <v>184</v>
      </c>
      <c r="Z236" s="3" t="s">
        <v>184</v>
      </c>
      <c r="AA236" s="5">
        <v>27100</v>
      </c>
      <c r="AB236" s="3" t="s">
        <v>40</v>
      </c>
      <c r="AC236" s="3" t="s">
        <v>50</v>
      </c>
    </row>
    <row r="237" ht="12" customHeight="1" spans="1:29" x14ac:dyDescent="0.25">
      <c r="A237" s="3" t="s">
        <v>524</v>
      </c>
      <c r="B237" s="4" t="s">
        <v>30</v>
      </c>
      <c r="C237" s="3" t="s">
        <v>31</v>
      </c>
      <c r="D237" s="3" t="s">
        <v>32</v>
      </c>
      <c r="E237" s="3" t="s">
        <v>33</v>
      </c>
      <c r="F237" s="3" t="s">
        <v>34</v>
      </c>
      <c r="G237" s="3" t="s">
        <v>35</v>
      </c>
      <c r="H237" s="3" t="s">
        <v>35</v>
      </c>
      <c r="I237" s="3" t="s">
        <v>36</v>
      </c>
      <c r="J237" s="3" t="s">
        <v>36</v>
      </c>
      <c r="K237" s="3" t="s">
        <v>37</v>
      </c>
      <c r="L237" s="3" t="s">
        <v>38</v>
      </c>
      <c r="M237" s="3" t="s">
        <v>39</v>
      </c>
      <c r="N237" s="3" t="s">
        <v>40</v>
      </c>
      <c r="O237" s="3" t="s">
        <v>41</v>
      </c>
      <c r="P237" s="3" t="s">
        <v>42</v>
      </c>
      <c r="Q237" s="3" t="s">
        <v>79</v>
      </c>
      <c r="R237" s="3" t="s">
        <v>44</v>
      </c>
      <c r="S237" s="3" t="s">
        <v>44</v>
      </c>
      <c r="T237" s="3" t="s">
        <v>45</v>
      </c>
      <c r="U237" s="5"/>
      <c r="V237" s="3" t="s">
        <v>517</v>
      </c>
      <c r="W237" s="3" t="s">
        <v>81</v>
      </c>
      <c r="X237" s="3" t="s">
        <v>48</v>
      </c>
      <c r="Y237" s="3" t="s">
        <v>83</v>
      </c>
      <c r="Z237" s="3" t="s">
        <v>83</v>
      </c>
      <c r="AA237" s="5">
        <v>24340</v>
      </c>
      <c r="AB237" s="3" t="s">
        <v>40</v>
      </c>
      <c r="AC237" s="3" t="s">
        <v>50</v>
      </c>
    </row>
    <row r="238" ht="12" customHeight="1" spans="1:29" x14ac:dyDescent="0.25">
      <c r="A238" s="3" t="s">
        <v>525</v>
      </c>
      <c r="B238" s="4" t="s">
        <v>30</v>
      </c>
      <c r="C238" s="3" t="s">
        <v>31</v>
      </c>
      <c r="D238" s="3" t="s">
        <v>32</v>
      </c>
      <c r="E238" s="3" t="s">
        <v>33</v>
      </c>
      <c r="F238" s="3" t="s">
        <v>34</v>
      </c>
      <c r="G238" s="3" t="s">
        <v>35</v>
      </c>
      <c r="H238" s="3" t="s">
        <v>35</v>
      </c>
      <c r="I238" s="3" t="s">
        <v>36</v>
      </c>
      <c r="J238" s="3" t="s">
        <v>36</v>
      </c>
      <c r="K238" s="3" t="s">
        <v>37</v>
      </c>
      <c r="L238" s="3" t="s">
        <v>38</v>
      </c>
      <c r="M238" s="3" t="s">
        <v>39</v>
      </c>
      <c r="N238" s="3" t="s">
        <v>40</v>
      </c>
      <c r="O238" s="3" t="s">
        <v>41</v>
      </c>
      <c r="P238" s="3" t="s">
        <v>42</v>
      </c>
      <c r="Q238" s="3" t="s">
        <v>79</v>
      </c>
      <c r="R238" s="3" t="s">
        <v>44</v>
      </c>
      <c r="S238" s="3" t="s">
        <v>44</v>
      </c>
      <c r="T238" s="3" t="s">
        <v>45</v>
      </c>
      <c r="U238" s="5"/>
      <c r="V238" s="3" t="s">
        <v>517</v>
      </c>
      <c r="W238" s="3" t="s">
        <v>81</v>
      </c>
      <c r="X238" s="3" t="s">
        <v>48</v>
      </c>
      <c r="Y238" s="3" t="s">
        <v>83</v>
      </c>
      <c r="Z238" s="3" t="s">
        <v>83</v>
      </c>
      <c r="AA238" s="5">
        <v>25040</v>
      </c>
      <c r="AB238" s="3" t="s">
        <v>40</v>
      </c>
      <c r="AC238" s="3" t="s">
        <v>50</v>
      </c>
    </row>
    <row r="239" ht="12" customHeight="1" spans="1:29" x14ac:dyDescent="0.25">
      <c r="A239" s="3" t="s">
        <v>526</v>
      </c>
      <c r="B239" s="4" t="s">
        <v>30</v>
      </c>
      <c r="C239" s="3" t="s">
        <v>31</v>
      </c>
      <c r="D239" s="3" t="s">
        <v>32</v>
      </c>
      <c r="E239" s="3" t="s">
        <v>33</v>
      </c>
      <c r="F239" s="3" t="s">
        <v>34</v>
      </c>
      <c r="G239" s="3" t="s">
        <v>35</v>
      </c>
      <c r="H239" s="3" t="s">
        <v>35</v>
      </c>
      <c r="I239" s="3" t="s">
        <v>36</v>
      </c>
      <c r="J239" s="3" t="s">
        <v>36</v>
      </c>
      <c r="K239" s="3" t="s">
        <v>37</v>
      </c>
      <c r="L239" s="3" t="s">
        <v>38</v>
      </c>
      <c r="M239" s="3" t="s">
        <v>39</v>
      </c>
      <c r="N239" s="3" t="s">
        <v>40</v>
      </c>
      <c r="O239" s="3" t="s">
        <v>41</v>
      </c>
      <c r="P239" s="3" t="s">
        <v>42</v>
      </c>
      <c r="Q239" s="3" t="s">
        <v>79</v>
      </c>
      <c r="R239" s="3" t="s">
        <v>44</v>
      </c>
      <c r="S239" s="3" t="s">
        <v>44</v>
      </c>
      <c r="T239" s="3" t="s">
        <v>45</v>
      </c>
      <c r="U239" s="5"/>
      <c r="V239" s="3" t="s">
        <v>517</v>
      </c>
      <c r="W239" s="3" t="s">
        <v>81</v>
      </c>
      <c r="X239" s="3" t="s">
        <v>48</v>
      </c>
      <c r="Y239" s="3" t="s">
        <v>83</v>
      </c>
      <c r="Z239" s="3" t="s">
        <v>83</v>
      </c>
      <c r="AA239" s="5">
        <v>25140</v>
      </c>
      <c r="AB239" s="3" t="s">
        <v>40</v>
      </c>
      <c r="AC239" s="3" t="s">
        <v>50</v>
      </c>
    </row>
    <row r="240" ht="12" customHeight="1" spans="1:29" x14ac:dyDescent="0.25">
      <c r="A240" s="3" t="s">
        <v>527</v>
      </c>
      <c r="B240" s="4" t="s">
        <v>30</v>
      </c>
      <c r="C240" s="3" t="s">
        <v>31</v>
      </c>
      <c r="D240" s="3" t="s">
        <v>32</v>
      </c>
      <c r="E240" s="3" t="s">
        <v>33</v>
      </c>
      <c r="F240" s="3" t="s">
        <v>34</v>
      </c>
      <c r="G240" s="3" t="s">
        <v>35</v>
      </c>
      <c r="H240" s="3" t="s">
        <v>35</v>
      </c>
      <c r="I240" s="3" t="s">
        <v>36</v>
      </c>
      <c r="J240" s="3" t="s">
        <v>36</v>
      </c>
      <c r="K240" s="3" t="s">
        <v>37</v>
      </c>
      <c r="L240" s="3" t="s">
        <v>38</v>
      </c>
      <c r="M240" s="3" t="s">
        <v>39</v>
      </c>
      <c r="N240" s="3" t="s">
        <v>40</v>
      </c>
      <c r="O240" s="3" t="s">
        <v>41</v>
      </c>
      <c r="P240" s="3" t="s">
        <v>42</v>
      </c>
      <c r="Q240" s="3" t="s">
        <v>79</v>
      </c>
      <c r="R240" s="3" t="s">
        <v>44</v>
      </c>
      <c r="S240" s="3" t="s">
        <v>44</v>
      </c>
      <c r="T240" s="3" t="s">
        <v>45</v>
      </c>
      <c r="U240" s="5"/>
      <c r="V240" s="3" t="s">
        <v>517</v>
      </c>
      <c r="W240" s="3" t="s">
        <v>81</v>
      </c>
      <c r="X240" s="3" t="s">
        <v>48</v>
      </c>
      <c r="Y240" s="3" t="s">
        <v>83</v>
      </c>
      <c r="Z240" s="3" t="s">
        <v>83</v>
      </c>
      <c r="AA240" s="5">
        <v>25700</v>
      </c>
      <c r="AB240" s="3" t="s">
        <v>40</v>
      </c>
      <c r="AC240" s="3" t="s">
        <v>50</v>
      </c>
    </row>
    <row r="241" ht="12" customHeight="1" spans="1:29" x14ac:dyDescent="0.25">
      <c r="A241" s="3" t="s">
        <v>528</v>
      </c>
      <c r="B241" s="4" t="s">
        <v>30</v>
      </c>
      <c r="C241" s="3" t="s">
        <v>31</v>
      </c>
      <c r="D241" s="3" t="s">
        <v>32</v>
      </c>
      <c r="E241" s="3" t="s">
        <v>33</v>
      </c>
      <c r="F241" s="3" t="s">
        <v>34</v>
      </c>
      <c r="G241" s="3" t="s">
        <v>52</v>
      </c>
      <c r="H241" s="3" t="s">
        <v>35</v>
      </c>
      <c r="I241" s="3" t="s">
        <v>36</v>
      </c>
      <c r="J241" s="3" t="s">
        <v>36</v>
      </c>
      <c r="K241" s="3" t="s">
        <v>37</v>
      </c>
      <c r="L241" s="3" t="s">
        <v>38</v>
      </c>
      <c r="M241" s="3" t="s">
        <v>39</v>
      </c>
      <c r="N241" s="3" t="s">
        <v>40</v>
      </c>
      <c r="O241" s="3" t="s">
        <v>41</v>
      </c>
      <c r="P241" s="3" t="s">
        <v>42</v>
      </c>
      <c r="Q241" s="3" t="s">
        <v>53</v>
      </c>
      <c r="R241" s="3" t="s">
        <v>44</v>
      </c>
      <c r="S241" s="3" t="s">
        <v>44</v>
      </c>
      <c r="T241" s="3" t="s">
        <v>45</v>
      </c>
      <c r="U241" s="5"/>
      <c r="V241" s="3" t="s">
        <v>517</v>
      </c>
      <c r="W241" s="3" t="s">
        <v>55</v>
      </c>
      <c r="X241" s="3" t="s">
        <v>48</v>
      </c>
      <c r="Y241" s="3" t="s">
        <v>56</v>
      </c>
      <c r="Z241" s="3" t="s">
        <v>56</v>
      </c>
      <c r="AA241" s="5">
        <v>14851.2</v>
      </c>
      <c r="AB241" s="3" t="s">
        <v>40</v>
      </c>
      <c r="AC241" s="3" t="s">
        <v>50</v>
      </c>
    </row>
    <row r="242" ht="12" customHeight="1" spans="1:29" x14ac:dyDescent="0.25">
      <c r="A242" s="3" t="s">
        <v>529</v>
      </c>
      <c r="B242" s="4" t="s">
        <v>30</v>
      </c>
      <c r="C242" s="3" t="s">
        <v>31</v>
      </c>
      <c r="D242" s="3" t="s">
        <v>32</v>
      </c>
      <c r="E242" s="3" t="s">
        <v>33</v>
      </c>
      <c r="F242" s="3" t="s">
        <v>34</v>
      </c>
      <c r="G242" s="3" t="s">
        <v>52</v>
      </c>
      <c r="H242" s="3" t="s">
        <v>35</v>
      </c>
      <c r="I242" s="3" t="s">
        <v>36</v>
      </c>
      <c r="J242" s="3" t="s">
        <v>36</v>
      </c>
      <c r="K242" s="3" t="s">
        <v>37</v>
      </c>
      <c r="L242" s="3" t="s">
        <v>38</v>
      </c>
      <c r="M242" s="3" t="s">
        <v>39</v>
      </c>
      <c r="N242" s="3" t="s">
        <v>40</v>
      </c>
      <c r="O242" s="3" t="s">
        <v>41</v>
      </c>
      <c r="P242" s="3" t="s">
        <v>42</v>
      </c>
      <c r="Q242" s="3" t="s">
        <v>136</v>
      </c>
      <c r="R242" s="3" t="s">
        <v>44</v>
      </c>
      <c r="S242" s="3" t="s">
        <v>44</v>
      </c>
      <c r="T242" s="3" t="s">
        <v>45</v>
      </c>
      <c r="U242" s="5"/>
      <c r="V242" s="3" t="s">
        <v>517</v>
      </c>
      <c r="W242" s="3" t="s">
        <v>55</v>
      </c>
      <c r="X242" s="3" t="s">
        <v>48</v>
      </c>
      <c r="Y242" s="3" t="s">
        <v>56</v>
      </c>
      <c r="Z242" s="3" t="s">
        <v>56</v>
      </c>
      <c r="AA242" s="5">
        <v>15600</v>
      </c>
      <c r="AB242" s="3" t="s">
        <v>40</v>
      </c>
      <c r="AC242" s="3" t="s">
        <v>50</v>
      </c>
    </row>
    <row r="243" ht="12" customHeight="1" spans="1:29" x14ac:dyDescent="0.25">
      <c r="A243" s="3" t="s">
        <v>530</v>
      </c>
      <c r="B243" s="4" t="s">
        <v>30</v>
      </c>
      <c r="C243" s="3" t="s">
        <v>31</v>
      </c>
      <c r="D243" s="3" t="s">
        <v>32</v>
      </c>
      <c r="E243" s="3" t="s">
        <v>33</v>
      </c>
      <c r="F243" s="3" t="s">
        <v>34</v>
      </c>
      <c r="G243" s="3" t="s">
        <v>35</v>
      </c>
      <c r="H243" s="3" t="s">
        <v>35</v>
      </c>
      <c r="I243" s="3" t="s">
        <v>36</v>
      </c>
      <c r="J243" s="3" t="s">
        <v>36</v>
      </c>
      <c r="K243" s="3" t="s">
        <v>37</v>
      </c>
      <c r="L243" s="3" t="s">
        <v>38</v>
      </c>
      <c r="M243" s="3" t="s">
        <v>39</v>
      </c>
      <c r="N243" s="3" t="s">
        <v>40</v>
      </c>
      <c r="O243" s="3" t="s">
        <v>41</v>
      </c>
      <c r="P243" s="3" t="s">
        <v>42</v>
      </c>
      <c r="Q243" s="3" t="s">
        <v>257</v>
      </c>
      <c r="R243" s="3" t="s">
        <v>44</v>
      </c>
      <c r="S243" s="3" t="s">
        <v>44</v>
      </c>
      <c r="T243" s="3" t="s">
        <v>45</v>
      </c>
      <c r="U243" s="5"/>
      <c r="V243" s="3" t="s">
        <v>517</v>
      </c>
      <c r="W243" s="3" t="s">
        <v>74</v>
      </c>
      <c r="X243" s="3" t="s">
        <v>48</v>
      </c>
      <c r="Y243" s="3" t="s">
        <v>111</v>
      </c>
      <c r="Z243" s="3" t="s">
        <v>111</v>
      </c>
      <c r="AA243" s="5">
        <v>24240</v>
      </c>
      <c r="AB243" s="3" t="s">
        <v>40</v>
      </c>
      <c r="AC243" s="3" t="s">
        <v>50</v>
      </c>
    </row>
    <row r="244" ht="12" customHeight="1" spans="1:29" x14ac:dyDescent="0.25">
      <c r="A244" s="3" t="s">
        <v>531</v>
      </c>
      <c r="B244" s="4" t="s">
        <v>30</v>
      </c>
      <c r="C244" s="3" t="s">
        <v>31</v>
      </c>
      <c r="D244" s="3" t="s">
        <v>32</v>
      </c>
      <c r="E244" s="3" t="s">
        <v>33</v>
      </c>
      <c r="F244" s="3" t="s">
        <v>34</v>
      </c>
      <c r="G244" s="3" t="s">
        <v>35</v>
      </c>
      <c r="H244" s="3" t="s">
        <v>35</v>
      </c>
      <c r="I244" s="3" t="s">
        <v>36</v>
      </c>
      <c r="J244" s="3" t="s">
        <v>36</v>
      </c>
      <c r="K244" s="3" t="s">
        <v>37</v>
      </c>
      <c r="L244" s="3" t="s">
        <v>38</v>
      </c>
      <c r="M244" s="3" t="s">
        <v>39</v>
      </c>
      <c r="N244" s="3" t="s">
        <v>40</v>
      </c>
      <c r="O244" s="3" t="s">
        <v>41</v>
      </c>
      <c r="P244" s="3" t="s">
        <v>42</v>
      </c>
      <c r="Q244" s="3" t="s">
        <v>257</v>
      </c>
      <c r="R244" s="3" t="s">
        <v>44</v>
      </c>
      <c r="S244" s="3" t="s">
        <v>44</v>
      </c>
      <c r="T244" s="3" t="s">
        <v>45</v>
      </c>
      <c r="U244" s="5"/>
      <c r="V244" s="3" t="s">
        <v>517</v>
      </c>
      <c r="W244" s="3" t="s">
        <v>74</v>
      </c>
      <c r="X244" s="3" t="s">
        <v>82</v>
      </c>
      <c r="Y244" s="3" t="s">
        <v>111</v>
      </c>
      <c r="Z244" s="3" t="s">
        <v>111</v>
      </c>
      <c r="AA244" s="5">
        <v>24240</v>
      </c>
      <c r="AB244" s="3" t="s">
        <v>40</v>
      </c>
      <c r="AC244" s="3" t="s">
        <v>50</v>
      </c>
    </row>
    <row r="245" ht="12" customHeight="1" spans="1:29" x14ac:dyDescent="0.25">
      <c r="A245" s="3" t="s">
        <v>532</v>
      </c>
      <c r="B245" s="4" t="s">
        <v>30</v>
      </c>
      <c r="C245" s="3" t="s">
        <v>31</v>
      </c>
      <c r="D245" s="3" t="s">
        <v>32</v>
      </c>
      <c r="E245" s="3" t="s">
        <v>95</v>
      </c>
      <c r="F245" s="3" t="s">
        <v>34</v>
      </c>
      <c r="G245" s="3" t="s">
        <v>35</v>
      </c>
      <c r="H245" s="3" t="s">
        <v>35</v>
      </c>
      <c r="I245" s="3" t="s">
        <v>69</v>
      </c>
      <c r="J245" s="3" t="s">
        <v>279</v>
      </c>
      <c r="K245" s="3" t="s">
        <v>37</v>
      </c>
      <c r="L245" s="3" t="s">
        <v>38</v>
      </c>
      <c r="M245" s="3" t="s">
        <v>39</v>
      </c>
      <c r="N245" s="3" t="s">
        <v>40</v>
      </c>
      <c r="O245" s="3" t="s">
        <v>41</v>
      </c>
      <c r="P245" s="3" t="s">
        <v>42</v>
      </c>
      <c r="Q245" s="3" t="s">
        <v>280</v>
      </c>
      <c r="R245" s="3" t="s">
        <v>72</v>
      </c>
      <c r="S245" s="3" t="s">
        <v>44</v>
      </c>
      <c r="T245" s="3" t="s">
        <v>45</v>
      </c>
      <c r="U245" s="5"/>
      <c r="V245" s="3" t="s">
        <v>533</v>
      </c>
      <c r="W245" s="3" t="s">
        <v>74</v>
      </c>
      <c r="X245" s="3" t="s">
        <v>75</v>
      </c>
      <c r="Y245" s="3" t="s">
        <v>282</v>
      </c>
      <c r="Z245" s="3" t="s">
        <v>282</v>
      </c>
      <c r="AA245" s="5">
        <v>16160</v>
      </c>
      <c r="AB245" s="3" t="s">
        <v>40</v>
      </c>
      <c r="AC245" s="3" t="s">
        <v>283</v>
      </c>
    </row>
    <row r="246" ht="12" customHeight="1" spans="1:29" x14ac:dyDescent="0.25">
      <c r="A246" s="3" t="s">
        <v>534</v>
      </c>
      <c r="B246" s="4" t="s">
        <v>30</v>
      </c>
      <c r="C246" s="3" t="s">
        <v>31</v>
      </c>
      <c r="D246" s="3" t="s">
        <v>32</v>
      </c>
      <c r="E246" s="3" t="s">
        <v>95</v>
      </c>
      <c r="F246" s="3" t="s">
        <v>34</v>
      </c>
      <c r="G246" s="3" t="s">
        <v>35</v>
      </c>
      <c r="H246" s="3" t="s">
        <v>35</v>
      </c>
      <c r="I246" s="3" t="s">
        <v>69</v>
      </c>
      <c r="J246" s="3" t="s">
        <v>319</v>
      </c>
      <c r="K246" s="3" t="s">
        <v>37</v>
      </c>
      <c r="L246" s="3" t="s">
        <v>38</v>
      </c>
      <c r="M246" s="3" t="s">
        <v>39</v>
      </c>
      <c r="N246" s="3" t="s">
        <v>40</v>
      </c>
      <c r="O246" s="3" t="s">
        <v>41</v>
      </c>
      <c r="P246" s="3" t="s">
        <v>42</v>
      </c>
      <c r="Q246" s="3" t="s">
        <v>348</v>
      </c>
      <c r="R246" s="3" t="s">
        <v>72</v>
      </c>
      <c r="S246" s="3" t="s">
        <v>44</v>
      </c>
      <c r="T246" s="3" t="s">
        <v>45</v>
      </c>
      <c r="U246" s="5"/>
      <c r="V246" s="3" t="s">
        <v>535</v>
      </c>
      <c r="W246" s="3" t="s">
        <v>349</v>
      </c>
      <c r="X246" s="3" t="s">
        <v>48</v>
      </c>
      <c r="Y246" s="3" t="s">
        <v>350</v>
      </c>
      <c r="Z246" s="3" t="s">
        <v>350</v>
      </c>
      <c r="AA246" s="5">
        <v>21218</v>
      </c>
      <c r="AB246" s="3" t="s">
        <v>40</v>
      </c>
      <c r="AC246" s="3" t="s">
        <v>321</v>
      </c>
    </row>
    <row r="247" ht="12" customHeight="1" spans="1:29" x14ac:dyDescent="0.25">
      <c r="A247" s="3" t="s">
        <v>536</v>
      </c>
      <c r="B247" s="4" t="s">
        <v>30</v>
      </c>
      <c r="C247" s="3" t="s">
        <v>31</v>
      </c>
      <c r="D247" s="3" t="s">
        <v>32</v>
      </c>
      <c r="E247" s="3" t="s">
        <v>33</v>
      </c>
      <c r="F247" s="3" t="s">
        <v>34</v>
      </c>
      <c r="G247" s="3" t="s">
        <v>35</v>
      </c>
      <c r="H247" s="3" t="s">
        <v>35</v>
      </c>
      <c r="I247" s="3" t="s">
        <v>69</v>
      </c>
      <c r="J247" s="3" t="s">
        <v>70</v>
      </c>
      <c r="K247" s="3" t="s">
        <v>37</v>
      </c>
      <c r="L247" s="3" t="s">
        <v>38</v>
      </c>
      <c r="M247" s="3" t="s">
        <v>39</v>
      </c>
      <c r="N247" s="3" t="s">
        <v>40</v>
      </c>
      <c r="O247" s="3" t="s">
        <v>41</v>
      </c>
      <c r="P247" s="3" t="s">
        <v>42</v>
      </c>
      <c r="Q247" s="3" t="s">
        <v>71</v>
      </c>
      <c r="R247" s="3" t="s">
        <v>72</v>
      </c>
      <c r="S247" s="3" t="s">
        <v>44</v>
      </c>
      <c r="T247" s="3" t="s">
        <v>45</v>
      </c>
      <c r="U247" s="5"/>
      <c r="V247" s="3" t="s">
        <v>537</v>
      </c>
      <c r="W247" s="3" t="s">
        <v>74</v>
      </c>
      <c r="X247" s="3" t="s">
        <v>48</v>
      </c>
      <c r="Y247" s="3" t="s">
        <v>76</v>
      </c>
      <c r="Z247" s="3" t="s">
        <v>76</v>
      </c>
      <c r="AA247" s="5">
        <v>24240</v>
      </c>
      <c r="AB247" s="3" t="s">
        <v>40</v>
      </c>
      <c r="AC247" s="3" t="s">
        <v>77</v>
      </c>
    </row>
    <row r="248" ht="12" customHeight="1" spans="1:29" x14ac:dyDescent="0.25">
      <c r="A248" s="3" t="s">
        <v>538</v>
      </c>
      <c r="B248" s="4" t="s">
        <v>30</v>
      </c>
      <c r="C248" s="3" t="s">
        <v>31</v>
      </c>
      <c r="D248" s="3" t="s">
        <v>32</v>
      </c>
      <c r="E248" s="3" t="s">
        <v>33</v>
      </c>
      <c r="F248" s="3" t="s">
        <v>34</v>
      </c>
      <c r="G248" s="3" t="s">
        <v>35</v>
      </c>
      <c r="H248" s="3" t="s">
        <v>35</v>
      </c>
      <c r="I248" s="3" t="s">
        <v>36</v>
      </c>
      <c r="J248" s="3" t="s">
        <v>36</v>
      </c>
      <c r="K248" s="3" t="s">
        <v>37</v>
      </c>
      <c r="L248" s="3" t="s">
        <v>38</v>
      </c>
      <c r="M248" s="3" t="s">
        <v>39</v>
      </c>
      <c r="N248" s="3" t="s">
        <v>40</v>
      </c>
      <c r="O248" s="3" t="s">
        <v>41</v>
      </c>
      <c r="P248" s="3" t="s">
        <v>42</v>
      </c>
      <c r="Q248" s="3" t="s">
        <v>43</v>
      </c>
      <c r="R248" s="3" t="s">
        <v>44</v>
      </c>
      <c r="S248" s="3" t="s">
        <v>44</v>
      </c>
      <c r="T248" s="3" t="s">
        <v>45</v>
      </c>
      <c r="U248" s="5"/>
      <c r="V248" s="3" t="s">
        <v>537</v>
      </c>
      <c r="W248" s="3" t="s">
        <v>47</v>
      </c>
      <c r="X248" s="3" t="s">
        <v>48</v>
      </c>
      <c r="Y248" s="3" t="s">
        <v>49</v>
      </c>
      <c r="Z248" s="3" t="s">
        <v>49</v>
      </c>
      <c r="AA248" s="5">
        <v>22462</v>
      </c>
      <c r="AB248" s="3" t="s">
        <v>40</v>
      </c>
      <c r="AC248" s="3" t="s">
        <v>50</v>
      </c>
    </row>
    <row r="249" ht="12" customHeight="1" spans="1:29" x14ac:dyDescent="0.25">
      <c r="A249" s="3" t="s">
        <v>539</v>
      </c>
      <c r="B249" s="4" t="s">
        <v>30</v>
      </c>
      <c r="C249" s="3" t="s">
        <v>31</v>
      </c>
      <c r="D249" s="3" t="s">
        <v>32</v>
      </c>
      <c r="E249" s="3" t="s">
        <v>33</v>
      </c>
      <c r="F249" s="3" t="s">
        <v>34</v>
      </c>
      <c r="G249" s="3" t="s">
        <v>35</v>
      </c>
      <c r="H249" s="3" t="s">
        <v>35</v>
      </c>
      <c r="I249" s="3" t="s">
        <v>36</v>
      </c>
      <c r="J249" s="3" t="s">
        <v>36</v>
      </c>
      <c r="K249" s="3" t="s">
        <v>37</v>
      </c>
      <c r="L249" s="3" t="s">
        <v>38</v>
      </c>
      <c r="M249" s="3" t="s">
        <v>39</v>
      </c>
      <c r="N249" s="3" t="s">
        <v>40</v>
      </c>
      <c r="O249" s="3" t="s">
        <v>41</v>
      </c>
      <c r="P249" s="3" t="s">
        <v>42</v>
      </c>
      <c r="Q249" s="3" t="s">
        <v>79</v>
      </c>
      <c r="R249" s="3" t="s">
        <v>44</v>
      </c>
      <c r="S249" s="3" t="s">
        <v>44</v>
      </c>
      <c r="T249" s="3" t="s">
        <v>45</v>
      </c>
      <c r="U249" s="5"/>
      <c r="V249" s="3" t="s">
        <v>537</v>
      </c>
      <c r="W249" s="3" t="s">
        <v>81</v>
      </c>
      <c r="X249" s="3" t="s">
        <v>48</v>
      </c>
      <c r="Y249" s="3" t="s">
        <v>83</v>
      </c>
      <c r="Z249" s="3" t="s">
        <v>83</v>
      </c>
      <c r="AA249" s="5">
        <v>24010</v>
      </c>
      <c r="AB249" s="3" t="s">
        <v>40</v>
      </c>
      <c r="AC249" s="3" t="s">
        <v>50</v>
      </c>
    </row>
    <row r="250" ht="12" customHeight="1" spans="1:29" x14ac:dyDescent="0.25">
      <c r="A250" s="3" t="s">
        <v>540</v>
      </c>
      <c r="B250" s="4" t="s">
        <v>30</v>
      </c>
      <c r="C250" s="3" t="s">
        <v>31</v>
      </c>
      <c r="D250" s="3" t="s">
        <v>32</v>
      </c>
      <c r="E250" s="3" t="s">
        <v>33</v>
      </c>
      <c r="F250" s="3" t="s">
        <v>34</v>
      </c>
      <c r="G250" s="3" t="s">
        <v>35</v>
      </c>
      <c r="H250" s="3" t="s">
        <v>35</v>
      </c>
      <c r="I250" s="3" t="s">
        <v>36</v>
      </c>
      <c r="J250" s="3" t="s">
        <v>36</v>
      </c>
      <c r="K250" s="3" t="s">
        <v>37</v>
      </c>
      <c r="L250" s="3" t="s">
        <v>38</v>
      </c>
      <c r="M250" s="3" t="s">
        <v>39</v>
      </c>
      <c r="N250" s="3" t="s">
        <v>40</v>
      </c>
      <c r="O250" s="3" t="s">
        <v>41</v>
      </c>
      <c r="P250" s="3" t="s">
        <v>42</v>
      </c>
      <c r="Q250" s="3" t="s">
        <v>79</v>
      </c>
      <c r="R250" s="3" t="s">
        <v>44</v>
      </c>
      <c r="S250" s="3" t="s">
        <v>44</v>
      </c>
      <c r="T250" s="3" t="s">
        <v>45</v>
      </c>
      <c r="U250" s="5"/>
      <c r="V250" s="3" t="s">
        <v>537</v>
      </c>
      <c r="W250" s="3" t="s">
        <v>81</v>
      </c>
      <c r="X250" s="3" t="s">
        <v>48</v>
      </c>
      <c r="Y250" s="3" t="s">
        <v>83</v>
      </c>
      <c r="Z250" s="3" t="s">
        <v>83</v>
      </c>
      <c r="AA250" s="5">
        <v>24920</v>
      </c>
      <c r="AB250" s="3" t="s">
        <v>40</v>
      </c>
      <c r="AC250" s="3" t="s">
        <v>50</v>
      </c>
    </row>
    <row r="251" ht="12" customHeight="1" spans="1:29" x14ac:dyDescent="0.25">
      <c r="A251" s="3" t="s">
        <v>541</v>
      </c>
      <c r="B251" s="4" t="s">
        <v>30</v>
      </c>
      <c r="C251" s="3" t="s">
        <v>31</v>
      </c>
      <c r="D251" s="3" t="s">
        <v>32</v>
      </c>
      <c r="E251" s="3" t="s">
        <v>33</v>
      </c>
      <c r="F251" s="3" t="s">
        <v>34</v>
      </c>
      <c r="G251" s="3" t="s">
        <v>35</v>
      </c>
      <c r="H251" s="3" t="s">
        <v>35</v>
      </c>
      <c r="I251" s="3" t="s">
        <v>36</v>
      </c>
      <c r="J251" s="3" t="s">
        <v>36</v>
      </c>
      <c r="K251" s="3" t="s">
        <v>37</v>
      </c>
      <c r="L251" s="3" t="s">
        <v>38</v>
      </c>
      <c r="M251" s="3" t="s">
        <v>39</v>
      </c>
      <c r="N251" s="3" t="s">
        <v>40</v>
      </c>
      <c r="O251" s="3" t="s">
        <v>41</v>
      </c>
      <c r="P251" s="3" t="s">
        <v>42</v>
      </c>
      <c r="Q251" s="3" t="s">
        <v>252</v>
      </c>
      <c r="R251" s="3" t="s">
        <v>44</v>
      </c>
      <c r="S251" s="3" t="s">
        <v>44</v>
      </c>
      <c r="T251" s="3" t="s">
        <v>45</v>
      </c>
      <c r="U251" s="5"/>
      <c r="V251" s="3" t="s">
        <v>537</v>
      </c>
      <c r="W251" s="3" t="s">
        <v>253</v>
      </c>
      <c r="X251" s="3" t="s">
        <v>48</v>
      </c>
      <c r="Y251" s="3" t="s">
        <v>131</v>
      </c>
      <c r="Z251" s="3" t="s">
        <v>254</v>
      </c>
      <c r="AA251" s="5">
        <v>27140.4</v>
      </c>
      <c r="AB251" s="3" t="s">
        <v>40</v>
      </c>
      <c r="AC251" s="3" t="s">
        <v>50</v>
      </c>
    </row>
    <row r="252" ht="12" customHeight="1" spans="1:29" x14ac:dyDescent="0.25">
      <c r="A252" s="3" t="s">
        <v>542</v>
      </c>
      <c r="B252" s="4" t="s">
        <v>30</v>
      </c>
      <c r="C252" s="3" t="s">
        <v>31</v>
      </c>
      <c r="D252" s="3" t="s">
        <v>32</v>
      </c>
      <c r="E252" s="3" t="s">
        <v>33</v>
      </c>
      <c r="F252" s="3" t="s">
        <v>34</v>
      </c>
      <c r="G252" s="3" t="s">
        <v>35</v>
      </c>
      <c r="H252" s="3" t="s">
        <v>35</v>
      </c>
      <c r="I252" s="3" t="s">
        <v>36</v>
      </c>
      <c r="J252" s="3" t="s">
        <v>36</v>
      </c>
      <c r="K252" s="3" t="s">
        <v>37</v>
      </c>
      <c r="L252" s="3" t="s">
        <v>38</v>
      </c>
      <c r="M252" s="3" t="s">
        <v>39</v>
      </c>
      <c r="N252" s="3" t="s">
        <v>40</v>
      </c>
      <c r="O252" s="3" t="s">
        <v>41</v>
      </c>
      <c r="P252" s="3" t="s">
        <v>42</v>
      </c>
      <c r="Q252" s="3" t="s">
        <v>129</v>
      </c>
      <c r="R252" s="3" t="s">
        <v>44</v>
      </c>
      <c r="S252" s="3" t="s">
        <v>44</v>
      </c>
      <c r="T252" s="3" t="s">
        <v>45</v>
      </c>
      <c r="U252" s="5"/>
      <c r="V252" s="3" t="s">
        <v>543</v>
      </c>
      <c r="W252" s="3" t="s">
        <v>130</v>
      </c>
      <c r="X252" s="3" t="s">
        <v>48</v>
      </c>
      <c r="Y252" s="3" t="s">
        <v>131</v>
      </c>
      <c r="Z252" s="3" t="s">
        <v>132</v>
      </c>
      <c r="AA252" s="5">
        <v>24444.3</v>
      </c>
      <c r="AB252" s="3" t="s">
        <v>40</v>
      </c>
      <c r="AC252" s="3" t="s">
        <v>50</v>
      </c>
    </row>
    <row r="253" ht="12" customHeight="1" spans="1:29" x14ac:dyDescent="0.25">
      <c r="A253" s="3" t="s">
        <v>544</v>
      </c>
      <c r="B253" s="4" t="s">
        <v>30</v>
      </c>
      <c r="C253" s="3" t="s">
        <v>31</v>
      </c>
      <c r="D253" s="3" t="s">
        <v>32</v>
      </c>
      <c r="E253" s="3" t="s">
        <v>33</v>
      </c>
      <c r="F253" s="3" t="s">
        <v>34</v>
      </c>
      <c r="G253" s="3" t="s">
        <v>35</v>
      </c>
      <c r="H253" s="3" t="s">
        <v>35</v>
      </c>
      <c r="I253" s="3" t="s">
        <v>69</v>
      </c>
      <c r="J253" s="3" t="s">
        <v>70</v>
      </c>
      <c r="K253" s="3" t="s">
        <v>37</v>
      </c>
      <c r="L253" s="3" t="s">
        <v>38</v>
      </c>
      <c r="M253" s="3" t="s">
        <v>39</v>
      </c>
      <c r="N253" s="3" t="s">
        <v>40</v>
      </c>
      <c r="O253" s="3" t="s">
        <v>41</v>
      </c>
      <c r="P253" s="3" t="s">
        <v>42</v>
      </c>
      <c r="Q253" s="3" t="s">
        <v>177</v>
      </c>
      <c r="R253" s="3" t="s">
        <v>72</v>
      </c>
      <c r="S253" s="3" t="s">
        <v>44</v>
      </c>
      <c r="T253" s="3" t="s">
        <v>45</v>
      </c>
      <c r="U253" s="5"/>
      <c r="V253" s="3" t="s">
        <v>543</v>
      </c>
      <c r="W253" s="3" t="s">
        <v>74</v>
      </c>
      <c r="X253" s="3" t="s">
        <v>48</v>
      </c>
      <c r="Y253" s="3" t="s">
        <v>76</v>
      </c>
      <c r="Z253" s="3" t="s">
        <v>76</v>
      </c>
      <c r="AA253" s="5">
        <v>24240</v>
      </c>
      <c r="AB253" s="3" t="s">
        <v>40</v>
      </c>
      <c r="AC253" s="3" t="s">
        <v>77</v>
      </c>
    </row>
    <row r="254" ht="12" customHeight="1" spans="1:29" x14ac:dyDescent="0.25">
      <c r="A254" s="3" t="s">
        <v>545</v>
      </c>
      <c r="B254" s="4" t="s">
        <v>30</v>
      </c>
      <c r="C254" s="3" t="s">
        <v>31</v>
      </c>
      <c r="D254" s="3" t="s">
        <v>32</v>
      </c>
      <c r="E254" s="3" t="s">
        <v>33</v>
      </c>
      <c r="F254" s="3" t="s">
        <v>34</v>
      </c>
      <c r="G254" s="3" t="s">
        <v>52</v>
      </c>
      <c r="H254" s="3" t="s">
        <v>35</v>
      </c>
      <c r="I254" s="3" t="s">
        <v>36</v>
      </c>
      <c r="J254" s="3" t="s">
        <v>36</v>
      </c>
      <c r="K254" s="3" t="s">
        <v>37</v>
      </c>
      <c r="L254" s="3" t="s">
        <v>38</v>
      </c>
      <c r="M254" s="3" t="s">
        <v>39</v>
      </c>
      <c r="N254" s="3" t="s">
        <v>40</v>
      </c>
      <c r="O254" s="3" t="s">
        <v>41</v>
      </c>
      <c r="P254" s="3" t="s">
        <v>42</v>
      </c>
      <c r="Q254" s="3" t="s">
        <v>161</v>
      </c>
      <c r="R254" s="3" t="s">
        <v>44</v>
      </c>
      <c r="S254" s="3" t="s">
        <v>44</v>
      </c>
      <c r="T254" s="3" t="s">
        <v>45</v>
      </c>
      <c r="U254" s="5"/>
      <c r="V254" s="3" t="s">
        <v>543</v>
      </c>
      <c r="W254" s="3" t="s">
        <v>162</v>
      </c>
      <c r="X254" s="3" t="s">
        <v>48</v>
      </c>
      <c r="Y254" s="3" t="s">
        <v>163</v>
      </c>
      <c r="Z254" s="3" t="s">
        <v>163</v>
      </c>
      <c r="AA254" s="5">
        <v>4427.5</v>
      </c>
      <c r="AB254" s="3" t="s">
        <v>40</v>
      </c>
      <c r="AC254" s="3" t="s">
        <v>50</v>
      </c>
    </row>
    <row r="255" ht="12" customHeight="1" spans="1:29" x14ac:dyDescent="0.25">
      <c r="A255" s="3" t="s">
        <v>546</v>
      </c>
      <c r="B255" s="4" t="s">
        <v>30</v>
      </c>
      <c r="C255" s="3" t="s">
        <v>31</v>
      </c>
      <c r="D255" s="3" t="s">
        <v>32</v>
      </c>
      <c r="E255" s="3" t="s">
        <v>95</v>
      </c>
      <c r="F255" s="3" t="s">
        <v>34</v>
      </c>
      <c r="G255" s="3" t="s">
        <v>35</v>
      </c>
      <c r="H255" s="3" t="s">
        <v>35</v>
      </c>
      <c r="I255" s="3" t="s">
        <v>69</v>
      </c>
      <c r="J255" s="3" t="s">
        <v>328</v>
      </c>
      <c r="K255" s="3" t="s">
        <v>37</v>
      </c>
      <c r="L255" s="3" t="s">
        <v>38</v>
      </c>
      <c r="M255" s="3" t="s">
        <v>39</v>
      </c>
      <c r="N255" s="3" t="s">
        <v>40</v>
      </c>
      <c r="O255" s="3" t="s">
        <v>41</v>
      </c>
      <c r="P255" s="3" t="s">
        <v>42</v>
      </c>
      <c r="Q255" s="3" t="s">
        <v>329</v>
      </c>
      <c r="R255" s="3" t="s">
        <v>72</v>
      </c>
      <c r="S255" s="3" t="s">
        <v>44</v>
      </c>
      <c r="T255" s="3" t="s">
        <v>45</v>
      </c>
      <c r="U255" s="5"/>
      <c r="V255" s="3" t="s">
        <v>547</v>
      </c>
      <c r="W255" s="3" t="s">
        <v>74</v>
      </c>
      <c r="X255" s="3" t="s">
        <v>48</v>
      </c>
      <c r="Y255" s="3" t="s">
        <v>330</v>
      </c>
      <c r="Z255" s="3" t="s">
        <v>330</v>
      </c>
      <c r="AA255" s="5">
        <v>19266.8</v>
      </c>
      <c r="AB255" s="3" t="s">
        <v>40</v>
      </c>
      <c r="AC255" s="3" t="s">
        <v>331</v>
      </c>
    </row>
    <row r="256" ht="12" customHeight="1" spans="1:29" x14ac:dyDescent="0.25">
      <c r="A256" s="3" t="s">
        <v>548</v>
      </c>
      <c r="B256" s="4" t="s">
        <v>30</v>
      </c>
      <c r="C256" s="3" t="s">
        <v>31</v>
      </c>
      <c r="D256" s="3" t="s">
        <v>32</v>
      </c>
      <c r="E256" s="3" t="s">
        <v>95</v>
      </c>
      <c r="F256" s="3" t="s">
        <v>34</v>
      </c>
      <c r="G256" s="3" t="s">
        <v>35</v>
      </c>
      <c r="H256" s="3" t="s">
        <v>35</v>
      </c>
      <c r="I256" s="3" t="s">
        <v>69</v>
      </c>
      <c r="J256" s="3" t="s">
        <v>328</v>
      </c>
      <c r="K256" s="3" t="s">
        <v>37</v>
      </c>
      <c r="L256" s="3" t="s">
        <v>38</v>
      </c>
      <c r="M256" s="3" t="s">
        <v>39</v>
      </c>
      <c r="N256" s="3" t="s">
        <v>40</v>
      </c>
      <c r="O256" s="3" t="s">
        <v>41</v>
      </c>
      <c r="P256" s="3" t="s">
        <v>42</v>
      </c>
      <c r="Q256" s="3" t="s">
        <v>329</v>
      </c>
      <c r="R256" s="3" t="s">
        <v>72</v>
      </c>
      <c r="S256" s="3" t="s">
        <v>44</v>
      </c>
      <c r="T256" s="3" t="s">
        <v>45</v>
      </c>
      <c r="U256" s="5"/>
      <c r="V256" s="3" t="s">
        <v>547</v>
      </c>
      <c r="W256" s="3" t="s">
        <v>74</v>
      </c>
      <c r="X256" s="3" t="s">
        <v>48</v>
      </c>
      <c r="Y256" s="3" t="s">
        <v>330</v>
      </c>
      <c r="Z256" s="3" t="s">
        <v>330</v>
      </c>
      <c r="AA256" s="5">
        <v>19266.8</v>
      </c>
      <c r="AB256" s="3" t="s">
        <v>40</v>
      </c>
      <c r="AC256" s="3" t="s">
        <v>331</v>
      </c>
    </row>
    <row r="257" ht="12" customHeight="1" spans="1:29" x14ac:dyDescent="0.25">
      <c r="A257" s="3" t="s">
        <v>549</v>
      </c>
      <c r="B257" s="4" t="s">
        <v>30</v>
      </c>
      <c r="C257" s="3" t="s">
        <v>31</v>
      </c>
      <c r="D257" s="3" t="s">
        <v>32</v>
      </c>
      <c r="E257" s="3" t="s">
        <v>95</v>
      </c>
      <c r="F257" s="3" t="s">
        <v>34</v>
      </c>
      <c r="G257" s="3" t="s">
        <v>52</v>
      </c>
      <c r="H257" s="3" t="s">
        <v>35</v>
      </c>
      <c r="I257" s="3" t="s">
        <v>36</v>
      </c>
      <c r="J257" s="3" t="s">
        <v>36</v>
      </c>
      <c r="K257" s="3" t="s">
        <v>37</v>
      </c>
      <c r="L257" s="3" t="s">
        <v>38</v>
      </c>
      <c r="M257" s="3" t="s">
        <v>39</v>
      </c>
      <c r="N257" s="3" t="s">
        <v>40</v>
      </c>
      <c r="O257" s="3" t="s">
        <v>41</v>
      </c>
      <c r="P257" s="3" t="s">
        <v>42</v>
      </c>
      <c r="Q257" s="3" t="s">
        <v>370</v>
      </c>
      <c r="R257" s="3" t="s">
        <v>44</v>
      </c>
      <c r="S257" s="3" t="s">
        <v>44</v>
      </c>
      <c r="T257" s="3" t="s">
        <v>45</v>
      </c>
      <c r="U257" s="5"/>
      <c r="V257" s="3" t="s">
        <v>547</v>
      </c>
      <c r="W257" s="3" t="s">
        <v>362</v>
      </c>
      <c r="X257" s="3" t="s">
        <v>48</v>
      </c>
      <c r="Y257" s="3" t="s">
        <v>371</v>
      </c>
      <c r="Z257" s="3" t="s">
        <v>371</v>
      </c>
      <c r="AA257" s="5">
        <v>19734</v>
      </c>
      <c r="AB257" s="3" t="s">
        <v>40</v>
      </c>
      <c r="AC257" s="3" t="s">
        <v>50</v>
      </c>
    </row>
    <row r="258" ht="12" customHeight="1" spans="1:29" x14ac:dyDescent="0.25">
      <c r="A258" s="3" t="s">
        <v>550</v>
      </c>
      <c r="B258" s="4" t="s">
        <v>30</v>
      </c>
      <c r="C258" s="3" t="s">
        <v>31</v>
      </c>
      <c r="D258" s="3" t="s">
        <v>32</v>
      </c>
      <c r="E258" s="3" t="s">
        <v>95</v>
      </c>
      <c r="F258" s="3" t="s">
        <v>34</v>
      </c>
      <c r="G258" s="3" t="s">
        <v>35</v>
      </c>
      <c r="H258" s="3" t="s">
        <v>35</v>
      </c>
      <c r="I258" s="3" t="s">
        <v>69</v>
      </c>
      <c r="J258" s="3" t="s">
        <v>96</v>
      </c>
      <c r="K258" s="3" t="s">
        <v>37</v>
      </c>
      <c r="L258" s="3" t="s">
        <v>38</v>
      </c>
      <c r="M258" s="3" t="s">
        <v>39</v>
      </c>
      <c r="N258" s="3" t="s">
        <v>40</v>
      </c>
      <c r="O258" s="3" t="s">
        <v>41</v>
      </c>
      <c r="P258" s="3" t="s">
        <v>42</v>
      </c>
      <c r="Q258" s="3" t="s">
        <v>97</v>
      </c>
      <c r="R258" s="3" t="s">
        <v>72</v>
      </c>
      <c r="S258" s="3" t="s">
        <v>44</v>
      </c>
      <c r="T258" s="3" t="s">
        <v>45</v>
      </c>
      <c r="U258" s="5"/>
      <c r="V258" s="3" t="s">
        <v>547</v>
      </c>
      <c r="W258" s="3" t="s">
        <v>99</v>
      </c>
      <c r="X258" s="3" t="s">
        <v>48</v>
      </c>
      <c r="Y258" s="3" t="s">
        <v>100</v>
      </c>
      <c r="Z258" s="3" t="s">
        <v>100</v>
      </c>
      <c r="AA258" s="5">
        <v>21555.1</v>
      </c>
      <c r="AB258" s="3" t="s">
        <v>40</v>
      </c>
      <c r="AC258" s="3" t="s">
        <v>101</v>
      </c>
    </row>
    <row r="259" ht="12" customHeight="1" spans="1:29" x14ac:dyDescent="0.25">
      <c r="A259" s="3" t="s">
        <v>551</v>
      </c>
      <c r="B259" s="4" t="s">
        <v>30</v>
      </c>
      <c r="C259" s="3" t="s">
        <v>31</v>
      </c>
      <c r="D259" s="3" t="s">
        <v>32</v>
      </c>
      <c r="E259" s="3" t="s">
        <v>95</v>
      </c>
      <c r="F259" s="3" t="s">
        <v>34</v>
      </c>
      <c r="G259" s="3" t="s">
        <v>35</v>
      </c>
      <c r="H259" s="3" t="s">
        <v>35</v>
      </c>
      <c r="I259" s="3" t="s">
        <v>36</v>
      </c>
      <c r="J259" s="3" t="s">
        <v>36</v>
      </c>
      <c r="K259" s="3" t="s">
        <v>37</v>
      </c>
      <c r="L259" s="3" t="s">
        <v>38</v>
      </c>
      <c r="M259" s="3" t="s">
        <v>39</v>
      </c>
      <c r="N259" s="3" t="s">
        <v>40</v>
      </c>
      <c r="O259" s="3" t="s">
        <v>41</v>
      </c>
      <c r="P259" s="3" t="s">
        <v>42</v>
      </c>
      <c r="Q259" s="3" t="s">
        <v>403</v>
      </c>
      <c r="R259" s="3" t="s">
        <v>44</v>
      </c>
      <c r="S259" s="3" t="s">
        <v>44</v>
      </c>
      <c r="T259" s="3" t="s">
        <v>45</v>
      </c>
      <c r="U259" s="5"/>
      <c r="V259" s="3" t="s">
        <v>547</v>
      </c>
      <c r="W259" s="3" t="s">
        <v>74</v>
      </c>
      <c r="X259" s="3" t="s">
        <v>48</v>
      </c>
      <c r="Y259" s="3" t="s">
        <v>404</v>
      </c>
      <c r="Z259" s="3" t="s">
        <v>404</v>
      </c>
      <c r="AA259" s="5">
        <v>16096</v>
      </c>
      <c r="AB259" s="3" t="s">
        <v>40</v>
      </c>
      <c r="AC259" s="3" t="s">
        <v>50</v>
      </c>
    </row>
    <row r="260" ht="12" customHeight="1" spans="1:29" x14ac:dyDescent="0.25">
      <c r="A260" s="3" t="s">
        <v>552</v>
      </c>
      <c r="B260" s="4" t="s">
        <v>30</v>
      </c>
      <c r="C260" s="3" t="s">
        <v>31</v>
      </c>
      <c r="D260" s="3" t="s">
        <v>32</v>
      </c>
      <c r="E260" s="3" t="s">
        <v>95</v>
      </c>
      <c r="F260" s="3" t="s">
        <v>34</v>
      </c>
      <c r="G260" s="3" t="s">
        <v>35</v>
      </c>
      <c r="H260" s="3" t="s">
        <v>35</v>
      </c>
      <c r="I260" s="3" t="s">
        <v>36</v>
      </c>
      <c r="J260" s="3" t="s">
        <v>36</v>
      </c>
      <c r="K260" s="3" t="s">
        <v>37</v>
      </c>
      <c r="L260" s="3" t="s">
        <v>38</v>
      </c>
      <c r="M260" s="3" t="s">
        <v>39</v>
      </c>
      <c r="N260" s="3" t="s">
        <v>40</v>
      </c>
      <c r="O260" s="3" t="s">
        <v>41</v>
      </c>
      <c r="P260" s="3" t="s">
        <v>42</v>
      </c>
      <c r="Q260" s="3" t="s">
        <v>403</v>
      </c>
      <c r="R260" s="3" t="s">
        <v>44</v>
      </c>
      <c r="S260" s="3" t="s">
        <v>44</v>
      </c>
      <c r="T260" s="3" t="s">
        <v>45</v>
      </c>
      <c r="U260" s="5"/>
      <c r="V260" s="3" t="s">
        <v>547</v>
      </c>
      <c r="W260" s="3" t="s">
        <v>74</v>
      </c>
      <c r="X260" s="3" t="s">
        <v>48</v>
      </c>
      <c r="Y260" s="3" t="s">
        <v>404</v>
      </c>
      <c r="Z260" s="3" t="s">
        <v>404</v>
      </c>
      <c r="AA260" s="5">
        <v>16096</v>
      </c>
      <c r="AB260" s="3" t="s">
        <v>40</v>
      </c>
      <c r="AC260" s="3" t="s">
        <v>50</v>
      </c>
    </row>
    <row r="261" ht="12" customHeight="1" spans="1:29" x14ac:dyDescent="0.25">
      <c r="A261" s="3" t="s">
        <v>553</v>
      </c>
      <c r="B261" s="4" t="s">
        <v>30</v>
      </c>
      <c r="C261" s="3" t="s">
        <v>31</v>
      </c>
      <c r="D261" s="3" t="s">
        <v>32</v>
      </c>
      <c r="E261" s="3" t="s">
        <v>95</v>
      </c>
      <c r="F261" s="3" t="s">
        <v>34</v>
      </c>
      <c r="G261" s="3" t="s">
        <v>35</v>
      </c>
      <c r="H261" s="3" t="s">
        <v>35</v>
      </c>
      <c r="I261" s="3" t="s">
        <v>36</v>
      </c>
      <c r="J261" s="3" t="s">
        <v>36</v>
      </c>
      <c r="K261" s="3" t="s">
        <v>37</v>
      </c>
      <c r="L261" s="3" t="s">
        <v>38</v>
      </c>
      <c r="M261" s="3" t="s">
        <v>39</v>
      </c>
      <c r="N261" s="3" t="s">
        <v>40</v>
      </c>
      <c r="O261" s="3" t="s">
        <v>41</v>
      </c>
      <c r="P261" s="3" t="s">
        <v>42</v>
      </c>
      <c r="Q261" s="3" t="s">
        <v>403</v>
      </c>
      <c r="R261" s="3" t="s">
        <v>44</v>
      </c>
      <c r="S261" s="3" t="s">
        <v>44</v>
      </c>
      <c r="T261" s="3" t="s">
        <v>45</v>
      </c>
      <c r="U261" s="5"/>
      <c r="V261" s="3" t="s">
        <v>547</v>
      </c>
      <c r="W261" s="3" t="s">
        <v>74</v>
      </c>
      <c r="X261" s="3" t="s">
        <v>75</v>
      </c>
      <c r="Y261" s="3" t="s">
        <v>404</v>
      </c>
      <c r="Z261" s="3" t="s">
        <v>404</v>
      </c>
      <c r="AA261" s="5">
        <v>16096</v>
      </c>
      <c r="AB261" s="3" t="s">
        <v>40</v>
      </c>
      <c r="AC261" s="3" t="s">
        <v>50</v>
      </c>
    </row>
    <row r="262" ht="12" customHeight="1" spans="1:29" x14ac:dyDescent="0.25">
      <c r="A262" s="3" t="s">
        <v>554</v>
      </c>
      <c r="B262" s="4" t="s">
        <v>30</v>
      </c>
      <c r="C262" s="3" t="s">
        <v>31</v>
      </c>
      <c r="D262" s="3" t="s">
        <v>32</v>
      </c>
      <c r="E262" s="3" t="s">
        <v>95</v>
      </c>
      <c r="F262" s="3" t="s">
        <v>34</v>
      </c>
      <c r="G262" s="3" t="s">
        <v>412</v>
      </c>
      <c r="H262" s="3" t="s">
        <v>35</v>
      </c>
      <c r="I262" s="3" t="s">
        <v>36</v>
      </c>
      <c r="J262" s="3" t="s">
        <v>36</v>
      </c>
      <c r="K262" s="3" t="s">
        <v>37</v>
      </c>
      <c r="L262" s="3" t="s">
        <v>38</v>
      </c>
      <c r="M262" s="3" t="s">
        <v>39</v>
      </c>
      <c r="N262" s="3" t="s">
        <v>40</v>
      </c>
      <c r="O262" s="3" t="s">
        <v>41</v>
      </c>
      <c r="P262" s="3" t="s">
        <v>42</v>
      </c>
      <c r="Q262" s="3" t="s">
        <v>413</v>
      </c>
      <c r="R262" s="3" t="s">
        <v>44</v>
      </c>
      <c r="S262" s="3" t="s">
        <v>44</v>
      </c>
      <c r="T262" s="3" t="s">
        <v>45</v>
      </c>
      <c r="U262" s="5"/>
      <c r="V262" s="3" t="s">
        <v>547</v>
      </c>
      <c r="W262" s="3" t="s">
        <v>414</v>
      </c>
      <c r="X262" s="3" t="s">
        <v>48</v>
      </c>
      <c r="Y262" s="3" t="s">
        <v>131</v>
      </c>
      <c r="Z262" s="3" t="s">
        <v>415</v>
      </c>
      <c r="AA262" s="5">
        <v>19045.6</v>
      </c>
      <c r="AB262" s="3" t="s">
        <v>40</v>
      </c>
      <c r="AC262" s="3" t="s">
        <v>50</v>
      </c>
    </row>
    <row r="263" ht="12" customHeight="1" spans="1:29" x14ac:dyDescent="0.25">
      <c r="A263" s="3" t="s">
        <v>555</v>
      </c>
      <c r="B263" s="4" t="s">
        <v>30</v>
      </c>
      <c r="C263" s="3" t="s">
        <v>31</v>
      </c>
      <c r="D263" s="3" t="s">
        <v>32</v>
      </c>
      <c r="E263" s="3" t="s">
        <v>95</v>
      </c>
      <c r="F263" s="3" t="s">
        <v>34</v>
      </c>
      <c r="G263" s="3" t="s">
        <v>412</v>
      </c>
      <c r="H263" s="3" t="s">
        <v>35</v>
      </c>
      <c r="I263" s="3" t="s">
        <v>36</v>
      </c>
      <c r="J263" s="3" t="s">
        <v>36</v>
      </c>
      <c r="K263" s="3" t="s">
        <v>37</v>
      </c>
      <c r="L263" s="3" t="s">
        <v>38</v>
      </c>
      <c r="M263" s="3" t="s">
        <v>39</v>
      </c>
      <c r="N263" s="3" t="s">
        <v>40</v>
      </c>
      <c r="O263" s="3" t="s">
        <v>41</v>
      </c>
      <c r="P263" s="3" t="s">
        <v>42</v>
      </c>
      <c r="Q263" s="3" t="s">
        <v>413</v>
      </c>
      <c r="R263" s="3" t="s">
        <v>44</v>
      </c>
      <c r="S263" s="3" t="s">
        <v>44</v>
      </c>
      <c r="T263" s="3" t="s">
        <v>45</v>
      </c>
      <c r="U263" s="5"/>
      <c r="V263" s="3" t="s">
        <v>547</v>
      </c>
      <c r="W263" s="3" t="s">
        <v>414</v>
      </c>
      <c r="X263" s="3" t="s">
        <v>48</v>
      </c>
      <c r="Y263" s="3" t="s">
        <v>131</v>
      </c>
      <c r="Z263" s="3" t="s">
        <v>415</v>
      </c>
      <c r="AA263" s="5">
        <v>19045.6</v>
      </c>
      <c r="AB263" s="3" t="s">
        <v>40</v>
      </c>
      <c r="AC263" s="3" t="s">
        <v>50</v>
      </c>
    </row>
    <row r="264" ht="12" customHeight="1" spans="1:29" x14ac:dyDescent="0.25">
      <c r="A264" s="3" t="s">
        <v>556</v>
      </c>
      <c r="B264" s="4" t="s">
        <v>30</v>
      </c>
      <c r="C264" s="3" t="s">
        <v>31</v>
      </c>
      <c r="D264" s="3" t="s">
        <v>32</v>
      </c>
      <c r="E264" s="3" t="s">
        <v>95</v>
      </c>
      <c r="F264" s="3" t="s">
        <v>34</v>
      </c>
      <c r="G264" s="3" t="s">
        <v>412</v>
      </c>
      <c r="H264" s="3" t="s">
        <v>35</v>
      </c>
      <c r="I264" s="3" t="s">
        <v>36</v>
      </c>
      <c r="J264" s="3" t="s">
        <v>36</v>
      </c>
      <c r="K264" s="3" t="s">
        <v>37</v>
      </c>
      <c r="L264" s="3" t="s">
        <v>38</v>
      </c>
      <c r="M264" s="3" t="s">
        <v>39</v>
      </c>
      <c r="N264" s="3" t="s">
        <v>40</v>
      </c>
      <c r="O264" s="3" t="s">
        <v>41</v>
      </c>
      <c r="P264" s="3" t="s">
        <v>42</v>
      </c>
      <c r="Q264" s="3" t="s">
        <v>413</v>
      </c>
      <c r="R264" s="3" t="s">
        <v>44</v>
      </c>
      <c r="S264" s="3" t="s">
        <v>44</v>
      </c>
      <c r="T264" s="3" t="s">
        <v>45</v>
      </c>
      <c r="U264" s="5"/>
      <c r="V264" s="3" t="s">
        <v>547</v>
      </c>
      <c r="W264" s="3" t="s">
        <v>414</v>
      </c>
      <c r="X264" s="3" t="s">
        <v>48</v>
      </c>
      <c r="Y264" s="3" t="s">
        <v>131</v>
      </c>
      <c r="Z264" s="3" t="s">
        <v>415</v>
      </c>
      <c r="AA264" s="5">
        <v>19045.6</v>
      </c>
      <c r="AB264" s="3" t="s">
        <v>40</v>
      </c>
      <c r="AC264" s="3" t="s">
        <v>50</v>
      </c>
    </row>
    <row r="265" ht="12" customHeight="1" spans="1:29" x14ac:dyDescent="0.25">
      <c r="A265" s="3" t="s">
        <v>557</v>
      </c>
      <c r="B265" s="4" t="s">
        <v>30</v>
      </c>
      <c r="C265" s="3" t="s">
        <v>31</v>
      </c>
      <c r="D265" s="3" t="s">
        <v>32</v>
      </c>
      <c r="E265" s="3" t="s">
        <v>95</v>
      </c>
      <c r="F265" s="3" t="s">
        <v>34</v>
      </c>
      <c r="G265" s="3" t="s">
        <v>35</v>
      </c>
      <c r="H265" s="3" t="s">
        <v>35</v>
      </c>
      <c r="I265" s="3" t="s">
        <v>69</v>
      </c>
      <c r="J265" s="3" t="s">
        <v>328</v>
      </c>
      <c r="K265" s="3" t="s">
        <v>37</v>
      </c>
      <c r="L265" s="3" t="s">
        <v>38</v>
      </c>
      <c r="M265" s="3" t="s">
        <v>39</v>
      </c>
      <c r="N265" s="3" t="s">
        <v>40</v>
      </c>
      <c r="O265" s="3" t="s">
        <v>41</v>
      </c>
      <c r="P265" s="3" t="s">
        <v>42</v>
      </c>
      <c r="Q265" s="3" t="s">
        <v>439</v>
      </c>
      <c r="R265" s="3" t="s">
        <v>72</v>
      </c>
      <c r="S265" s="3" t="s">
        <v>44</v>
      </c>
      <c r="T265" s="3" t="s">
        <v>45</v>
      </c>
      <c r="U265" s="5"/>
      <c r="V265" s="3" t="s">
        <v>547</v>
      </c>
      <c r="W265" s="3" t="s">
        <v>74</v>
      </c>
      <c r="X265" s="3" t="s">
        <v>75</v>
      </c>
      <c r="Y265" s="3" t="s">
        <v>440</v>
      </c>
      <c r="Z265" s="3" t="s">
        <v>330</v>
      </c>
      <c r="AA265" s="5">
        <v>19276.8</v>
      </c>
      <c r="AB265" s="3" t="s">
        <v>40</v>
      </c>
      <c r="AC265" s="3" t="s">
        <v>331</v>
      </c>
    </row>
    <row r="266" ht="12" customHeight="1" spans="1:29" x14ac:dyDescent="0.25">
      <c r="A266" s="3" t="s">
        <v>558</v>
      </c>
      <c r="B266" s="4" t="s">
        <v>30</v>
      </c>
      <c r="C266" s="3" t="s">
        <v>31</v>
      </c>
      <c r="D266" s="3" t="s">
        <v>32</v>
      </c>
      <c r="E266" s="3" t="s">
        <v>95</v>
      </c>
      <c r="F266" s="3" t="s">
        <v>34</v>
      </c>
      <c r="G266" s="3" t="s">
        <v>35</v>
      </c>
      <c r="H266" s="3" t="s">
        <v>35</v>
      </c>
      <c r="I266" s="3" t="s">
        <v>36</v>
      </c>
      <c r="J266" s="3" t="s">
        <v>36</v>
      </c>
      <c r="K266" s="3" t="s">
        <v>37</v>
      </c>
      <c r="L266" s="3" t="s">
        <v>38</v>
      </c>
      <c r="M266" s="3" t="s">
        <v>39</v>
      </c>
      <c r="N266" s="3" t="s">
        <v>40</v>
      </c>
      <c r="O266" s="3" t="s">
        <v>41</v>
      </c>
      <c r="P266" s="3" t="s">
        <v>42</v>
      </c>
      <c r="Q266" s="3" t="s">
        <v>449</v>
      </c>
      <c r="R266" s="3" t="s">
        <v>44</v>
      </c>
      <c r="S266" s="3" t="s">
        <v>44</v>
      </c>
      <c r="T266" s="3" t="s">
        <v>45</v>
      </c>
      <c r="U266" s="5"/>
      <c r="V266" s="3" t="s">
        <v>547</v>
      </c>
      <c r="W266" s="3" t="s">
        <v>74</v>
      </c>
      <c r="X266" s="3" t="s">
        <v>48</v>
      </c>
      <c r="Y266" s="3" t="s">
        <v>404</v>
      </c>
      <c r="Z266" s="3" t="s">
        <v>404</v>
      </c>
      <c r="AA266" s="5">
        <v>16096</v>
      </c>
      <c r="AB266" s="3" t="s">
        <v>40</v>
      </c>
      <c r="AC266" s="3" t="s">
        <v>50</v>
      </c>
    </row>
    <row r="267" ht="12" customHeight="1" spans="1:29" x14ac:dyDescent="0.25">
      <c r="A267" s="3" t="s">
        <v>559</v>
      </c>
      <c r="B267" s="4" t="s">
        <v>30</v>
      </c>
      <c r="C267" s="3" t="s">
        <v>31</v>
      </c>
      <c r="D267" s="3" t="s">
        <v>32</v>
      </c>
      <c r="E267" s="3" t="s">
        <v>95</v>
      </c>
      <c r="F267" s="3" t="s">
        <v>34</v>
      </c>
      <c r="G267" s="3" t="s">
        <v>35</v>
      </c>
      <c r="H267" s="3" t="s">
        <v>35</v>
      </c>
      <c r="I267" s="3" t="s">
        <v>36</v>
      </c>
      <c r="J267" s="3" t="s">
        <v>36</v>
      </c>
      <c r="K267" s="3" t="s">
        <v>37</v>
      </c>
      <c r="L267" s="3" t="s">
        <v>38</v>
      </c>
      <c r="M267" s="3" t="s">
        <v>39</v>
      </c>
      <c r="N267" s="3" t="s">
        <v>40</v>
      </c>
      <c r="O267" s="3" t="s">
        <v>41</v>
      </c>
      <c r="P267" s="3" t="s">
        <v>42</v>
      </c>
      <c r="Q267" s="3" t="s">
        <v>449</v>
      </c>
      <c r="R267" s="3" t="s">
        <v>44</v>
      </c>
      <c r="S267" s="3" t="s">
        <v>44</v>
      </c>
      <c r="T267" s="3" t="s">
        <v>45</v>
      </c>
      <c r="U267" s="5"/>
      <c r="V267" s="3" t="s">
        <v>547</v>
      </c>
      <c r="W267" s="3" t="s">
        <v>74</v>
      </c>
      <c r="X267" s="3" t="s">
        <v>48</v>
      </c>
      <c r="Y267" s="3" t="s">
        <v>404</v>
      </c>
      <c r="Z267" s="3" t="s">
        <v>404</v>
      </c>
      <c r="AA267" s="5">
        <v>16096</v>
      </c>
      <c r="AB267" s="3" t="s">
        <v>40</v>
      </c>
      <c r="AC267" s="3" t="s">
        <v>50</v>
      </c>
    </row>
    <row r="268" ht="12" customHeight="1" spans="1:29" x14ac:dyDescent="0.25">
      <c r="A268" s="3" t="s">
        <v>560</v>
      </c>
      <c r="B268" s="4" t="s">
        <v>30</v>
      </c>
      <c r="C268" s="3" t="s">
        <v>31</v>
      </c>
      <c r="D268" s="3" t="s">
        <v>32</v>
      </c>
      <c r="E268" s="3" t="s">
        <v>95</v>
      </c>
      <c r="F268" s="3" t="s">
        <v>34</v>
      </c>
      <c r="G268" s="3" t="s">
        <v>35</v>
      </c>
      <c r="H268" s="3" t="s">
        <v>35</v>
      </c>
      <c r="I268" s="3" t="s">
        <v>36</v>
      </c>
      <c r="J268" s="3" t="s">
        <v>36</v>
      </c>
      <c r="K268" s="3" t="s">
        <v>37</v>
      </c>
      <c r="L268" s="3" t="s">
        <v>38</v>
      </c>
      <c r="M268" s="3" t="s">
        <v>39</v>
      </c>
      <c r="N268" s="3" t="s">
        <v>40</v>
      </c>
      <c r="O268" s="3" t="s">
        <v>41</v>
      </c>
      <c r="P268" s="3" t="s">
        <v>42</v>
      </c>
      <c r="Q268" s="3" t="s">
        <v>449</v>
      </c>
      <c r="R268" s="3" t="s">
        <v>44</v>
      </c>
      <c r="S268" s="3" t="s">
        <v>44</v>
      </c>
      <c r="T268" s="3" t="s">
        <v>45</v>
      </c>
      <c r="U268" s="5"/>
      <c r="V268" s="3" t="s">
        <v>547</v>
      </c>
      <c r="W268" s="3" t="s">
        <v>74</v>
      </c>
      <c r="X268" s="3" t="s">
        <v>48</v>
      </c>
      <c r="Y268" s="3" t="s">
        <v>404</v>
      </c>
      <c r="Z268" s="3" t="s">
        <v>404</v>
      </c>
      <c r="AA268" s="5">
        <v>16096</v>
      </c>
      <c r="AB268" s="3" t="s">
        <v>40</v>
      </c>
      <c r="AC268" s="3" t="s">
        <v>50</v>
      </c>
    </row>
    <row r="269" ht="12" customHeight="1" spans="1:29" x14ac:dyDescent="0.25">
      <c r="A269" s="3" t="s">
        <v>561</v>
      </c>
      <c r="B269" s="4" t="s">
        <v>30</v>
      </c>
      <c r="C269" s="3" t="s">
        <v>31</v>
      </c>
      <c r="D269" s="3" t="s">
        <v>32</v>
      </c>
      <c r="E269" s="3" t="s">
        <v>95</v>
      </c>
      <c r="F269" s="3" t="s">
        <v>34</v>
      </c>
      <c r="G269" s="3" t="s">
        <v>35</v>
      </c>
      <c r="H269" s="3" t="s">
        <v>35</v>
      </c>
      <c r="I269" s="3" t="s">
        <v>36</v>
      </c>
      <c r="J269" s="3" t="s">
        <v>36</v>
      </c>
      <c r="K269" s="3" t="s">
        <v>37</v>
      </c>
      <c r="L269" s="3" t="s">
        <v>38</v>
      </c>
      <c r="M269" s="3" t="s">
        <v>39</v>
      </c>
      <c r="N269" s="3" t="s">
        <v>40</v>
      </c>
      <c r="O269" s="3" t="s">
        <v>41</v>
      </c>
      <c r="P269" s="3" t="s">
        <v>42</v>
      </c>
      <c r="Q269" s="3" t="s">
        <v>449</v>
      </c>
      <c r="R269" s="3" t="s">
        <v>44</v>
      </c>
      <c r="S269" s="3" t="s">
        <v>44</v>
      </c>
      <c r="T269" s="3" t="s">
        <v>45</v>
      </c>
      <c r="U269" s="5"/>
      <c r="V269" s="3" t="s">
        <v>547</v>
      </c>
      <c r="W269" s="3" t="s">
        <v>74</v>
      </c>
      <c r="X269" s="3" t="s">
        <v>48</v>
      </c>
      <c r="Y269" s="3" t="s">
        <v>404</v>
      </c>
      <c r="Z269" s="3" t="s">
        <v>404</v>
      </c>
      <c r="AA269" s="5">
        <v>16096</v>
      </c>
      <c r="AB269" s="3" t="s">
        <v>40</v>
      </c>
      <c r="AC269" s="3" t="s">
        <v>50</v>
      </c>
    </row>
    <row r="270" ht="12" customHeight="1" spans="1:29" x14ac:dyDescent="0.25">
      <c r="A270" s="3" t="s">
        <v>562</v>
      </c>
      <c r="B270" s="4" t="s">
        <v>30</v>
      </c>
      <c r="C270" s="3" t="s">
        <v>31</v>
      </c>
      <c r="D270" s="3" t="s">
        <v>32</v>
      </c>
      <c r="E270" s="3" t="s">
        <v>95</v>
      </c>
      <c r="F270" s="3" t="s">
        <v>34</v>
      </c>
      <c r="G270" s="3" t="s">
        <v>52</v>
      </c>
      <c r="H270" s="3" t="s">
        <v>35</v>
      </c>
      <c r="I270" s="3" t="s">
        <v>36</v>
      </c>
      <c r="J270" s="3" t="s">
        <v>36</v>
      </c>
      <c r="K270" s="3" t="s">
        <v>37</v>
      </c>
      <c r="L270" s="3" t="s">
        <v>38</v>
      </c>
      <c r="M270" s="3" t="s">
        <v>39</v>
      </c>
      <c r="N270" s="3" t="s">
        <v>40</v>
      </c>
      <c r="O270" s="3" t="s">
        <v>41</v>
      </c>
      <c r="P270" s="3" t="s">
        <v>42</v>
      </c>
      <c r="Q270" s="3" t="s">
        <v>361</v>
      </c>
      <c r="R270" s="3" t="s">
        <v>44</v>
      </c>
      <c r="S270" s="3" t="s">
        <v>44</v>
      </c>
      <c r="T270" s="3" t="s">
        <v>45</v>
      </c>
      <c r="U270" s="5"/>
      <c r="V270" s="3" t="s">
        <v>563</v>
      </c>
      <c r="W270" s="3" t="s">
        <v>362</v>
      </c>
      <c r="X270" s="3" t="s">
        <v>48</v>
      </c>
      <c r="Y270" s="3" t="s">
        <v>363</v>
      </c>
      <c r="Z270" s="3" t="s">
        <v>363</v>
      </c>
      <c r="AA270" s="5">
        <v>14168</v>
      </c>
      <c r="AB270" s="3" t="s">
        <v>40</v>
      </c>
      <c r="AC270" s="3" t="s">
        <v>50</v>
      </c>
    </row>
    <row r="271" ht="12" customHeight="1" spans="1:29" x14ac:dyDescent="0.25">
      <c r="A271" s="3" t="s">
        <v>564</v>
      </c>
      <c r="B271" s="4" t="s">
        <v>30</v>
      </c>
      <c r="C271" s="3" t="s">
        <v>31</v>
      </c>
      <c r="D271" s="3" t="s">
        <v>32</v>
      </c>
      <c r="E271" s="3" t="s">
        <v>95</v>
      </c>
      <c r="F271" s="3" t="s">
        <v>34</v>
      </c>
      <c r="G271" s="3" t="s">
        <v>35</v>
      </c>
      <c r="H271" s="3" t="s">
        <v>35</v>
      </c>
      <c r="I271" s="3" t="s">
        <v>36</v>
      </c>
      <c r="J271" s="3" t="s">
        <v>36</v>
      </c>
      <c r="K271" s="3" t="s">
        <v>37</v>
      </c>
      <c r="L271" s="3" t="s">
        <v>38</v>
      </c>
      <c r="M271" s="3" t="s">
        <v>39</v>
      </c>
      <c r="N271" s="3" t="s">
        <v>40</v>
      </c>
      <c r="O271" s="3" t="s">
        <v>41</v>
      </c>
      <c r="P271" s="3" t="s">
        <v>42</v>
      </c>
      <c r="Q271" s="3" t="s">
        <v>403</v>
      </c>
      <c r="R271" s="3" t="s">
        <v>44</v>
      </c>
      <c r="S271" s="3" t="s">
        <v>44</v>
      </c>
      <c r="T271" s="3" t="s">
        <v>45</v>
      </c>
      <c r="U271" s="5"/>
      <c r="V271" s="3" t="s">
        <v>563</v>
      </c>
      <c r="W271" s="3" t="s">
        <v>74</v>
      </c>
      <c r="X271" s="3" t="s">
        <v>48</v>
      </c>
      <c r="Y271" s="3" t="s">
        <v>404</v>
      </c>
      <c r="Z271" s="3" t="s">
        <v>404</v>
      </c>
      <c r="AA271" s="5">
        <v>16096</v>
      </c>
      <c r="AB271" s="3" t="s">
        <v>40</v>
      </c>
      <c r="AC271" s="3" t="s">
        <v>50</v>
      </c>
    </row>
    <row r="272" ht="12" customHeight="1" spans="1:29" x14ac:dyDescent="0.25">
      <c r="A272" s="3" t="s">
        <v>565</v>
      </c>
      <c r="B272" s="4" t="s">
        <v>30</v>
      </c>
      <c r="C272" s="3" t="s">
        <v>31</v>
      </c>
      <c r="D272" s="3" t="s">
        <v>32</v>
      </c>
      <c r="E272" s="3" t="s">
        <v>95</v>
      </c>
      <c r="F272" s="3" t="s">
        <v>34</v>
      </c>
      <c r="G272" s="3" t="s">
        <v>35</v>
      </c>
      <c r="H272" s="3" t="s">
        <v>35</v>
      </c>
      <c r="I272" s="3" t="s">
        <v>36</v>
      </c>
      <c r="J272" s="3" t="s">
        <v>36</v>
      </c>
      <c r="K272" s="3" t="s">
        <v>37</v>
      </c>
      <c r="L272" s="3" t="s">
        <v>38</v>
      </c>
      <c r="M272" s="3" t="s">
        <v>39</v>
      </c>
      <c r="N272" s="3" t="s">
        <v>40</v>
      </c>
      <c r="O272" s="3" t="s">
        <v>41</v>
      </c>
      <c r="P272" s="3" t="s">
        <v>42</v>
      </c>
      <c r="Q272" s="3" t="s">
        <v>403</v>
      </c>
      <c r="R272" s="3" t="s">
        <v>44</v>
      </c>
      <c r="S272" s="3" t="s">
        <v>44</v>
      </c>
      <c r="T272" s="3" t="s">
        <v>45</v>
      </c>
      <c r="U272" s="5"/>
      <c r="V272" s="3" t="s">
        <v>563</v>
      </c>
      <c r="W272" s="3" t="s">
        <v>74</v>
      </c>
      <c r="X272" s="3" t="s">
        <v>48</v>
      </c>
      <c r="Y272" s="3" t="s">
        <v>404</v>
      </c>
      <c r="Z272" s="3" t="s">
        <v>404</v>
      </c>
      <c r="AA272" s="5">
        <v>16096</v>
      </c>
      <c r="AB272" s="3" t="s">
        <v>40</v>
      </c>
      <c r="AC272" s="3" t="s">
        <v>50</v>
      </c>
    </row>
    <row r="273" ht="12" customHeight="1" spans="1:29" x14ac:dyDescent="0.25">
      <c r="A273" s="3" t="s">
        <v>566</v>
      </c>
      <c r="B273" s="4" t="s">
        <v>30</v>
      </c>
      <c r="C273" s="3" t="s">
        <v>31</v>
      </c>
      <c r="D273" s="3" t="s">
        <v>32</v>
      </c>
      <c r="E273" s="3" t="s">
        <v>95</v>
      </c>
      <c r="F273" s="3" t="s">
        <v>34</v>
      </c>
      <c r="G273" s="3" t="s">
        <v>35</v>
      </c>
      <c r="H273" s="3" t="s">
        <v>35</v>
      </c>
      <c r="I273" s="3" t="s">
        <v>69</v>
      </c>
      <c r="J273" s="3" t="s">
        <v>567</v>
      </c>
      <c r="K273" s="3" t="s">
        <v>37</v>
      </c>
      <c r="L273" s="3" t="s">
        <v>38</v>
      </c>
      <c r="M273" s="3" t="s">
        <v>39</v>
      </c>
      <c r="N273" s="3" t="s">
        <v>40</v>
      </c>
      <c r="O273" s="3" t="s">
        <v>41</v>
      </c>
      <c r="P273" s="3" t="s">
        <v>42</v>
      </c>
      <c r="Q273" s="3" t="s">
        <v>568</v>
      </c>
      <c r="R273" s="3" t="s">
        <v>72</v>
      </c>
      <c r="S273" s="3" t="s">
        <v>44</v>
      </c>
      <c r="T273" s="3" t="s">
        <v>45</v>
      </c>
      <c r="U273" s="5"/>
      <c r="V273" s="3" t="s">
        <v>563</v>
      </c>
      <c r="W273" s="3" t="s">
        <v>74</v>
      </c>
      <c r="X273" s="3" t="s">
        <v>75</v>
      </c>
      <c r="Y273" s="3" t="s">
        <v>330</v>
      </c>
      <c r="Z273" s="3" t="s">
        <v>330</v>
      </c>
      <c r="AA273" s="5">
        <v>16160</v>
      </c>
      <c r="AB273" s="3" t="s">
        <v>40</v>
      </c>
      <c r="AC273" s="3" t="s">
        <v>569</v>
      </c>
    </row>
    <row r="274" ht="12" customHeight="1" spans="1:29" x14ac:dyDescent="0.25">
      <c r="A274" s="3" t="s">
        <v>570</v>
      </c>
      <c r="B274" s="4" t="s">
        <v>30</v>
      </c>
      <c r="C274" s="3" t="s">
        <v>31</v>
      </c>
      <c r="D274" s="3" t="s">
        <v>32</v>
      </c>
      <c r="E274" s="3" t="s">
        <v>33</v>
      </c>
      <c r="F274" s="3" t="s">
        <v>34</v>
      </c>
      <c r="G274" s="3" t="s">
        <v>35</v>
      </c>
      <c r="H274" s="3" t="s">
        <v>35</v>
      </c>
      <c r="I274" s="3" t="s">
        <v>36</v>
      </c>
      <c r="J274" s="3" t="s">
        <v>36</v>
      </c>
      <c r="K274" s="3" t="s">
        <v>37</v>
      </c>
      <c r="L274" s="3" t="s">
        <v>38</v>
      </c>
      <c r="M274" s="3" t="s">
        <v>39</v>
      </c>
      <c r="N274" s="3" t="s">
        <v>40</v>
      </c>
      <c r="O274" s="3" t="s">
        <v>41</v>
      </c>
      <c r="P274" s="3" t="s">
        <v>42</v>
      </c>
      <c r="Q274" s="3" t="s">
        <v>43</v>
      </c>
      <c r="R274" s="3" t="s">
        <v>44</v>
      </c>
      <c r="S274" s="3" t="s">
        <v>44</v>
      </c>
      <c r="T274" s="3" t="s">
        <v>45</v>
      </c>
      <c r="U274" s="5"/>
      <c r="V274" s="3" t="s">
        <v>571</v>
      </c>
      <c r="W274" s="3" t="s">
        <v>47</v>
      </c>
      <c r="X274" s="3" t="s">
        <v>48</v>
      </c>
      <c r="Y274" s="3" t="s">
        <v>49</v>
      </c>
      <c r="Z274" s="3" t="s">
        <v>49</v>
      </c>
      <c r="AA274" s="5">
        <v>22462</v>
      </c>
      <c r="AB274" s="3" t="s">
        <v>40</v>
      </c>
      <c r="AC274" s="3" t="s">
        <v>50</v>
      </c>
    </row>
    <row r="275" ht="12" customHeight="1" spans="1:29" x14ac:dyDescent="0.25">
      <c r="A275" s="3" t="s">
        <v>572</v>
      </c>
      <c r="B275" s="4" t="s">
        <v>30</v>
      </c>
      <c r="C275" s="3" t="s">
        <v>31</v>
      </c>
      <c r="D275" s="3" t="s">
        <v>32</v>
      </c>
      <c r="E275" s="3" t="s">
        <v>33</v>
      </c>
      <c r="F275" s="3" t="s">
        <v>34</v>
      </c>
      <c r="G275" s="3" t="s">
        <v>35</v>
      </c>
      <c r="H275" s="3" t="s">
        <v>35</v>
      </c>
      <c r="I275" s="3" t="s">
        <v>36</v>
      </c>
      <c r="J275" s="3" t="s">
        <v>36</v>
      </c>
      <c r="K275" s="3" t="s">
        <v>37</v>
      </c>
      <c r="L275" s="3" t="s">
        <v>38</v>
      </c>
      <c r="M275" s="3" t="s">
        <v>39</v>
      </c>
      <c r="N275" s="3" t="s">
        <v>40</v>
      </c>
      <c r="O275" s="3" t="s">
        <v>41</v>
      </c>
      <c r="P275" s="3" t="s">
        <v>42</v>
      </c>
      <c r="Q275" s="3" t="s">
        <v>43</v>
      </c>
      <c r="R275" s="3" t="s">
        <v>44</v>
      </c>
      <c r="S275" s="3" t="s">
        <v>44</v>
      </c>
      <c r="T275" s="3" t="s">
        <v>45</v>
      </c>
      <c r="U275" s="5"/>
      <c r="V275" s="3" t="s">
        <v>571</v>
      </c>
      <c r="W275" s="3" t="s">
        <v>47</v>
      </c>
      <c r="X275" s="3" t="s">
        <v>48</v>
      </c>
      <c r="Y275" s="3" t="s">
        <v>49</v>
      </c>
      <c r="Z275" s="3" t="s">
        <v>49</v>
      </c>
      <c r="AA275" s="5">
        <v>22462</v>
      </c>
      <c r="AB275" s="3" t="s">
        <v>40</v>
      </c>
      <c r="AC275" s="3" t="s">
        <v>50</v>
      </c>
    </row>
    <row r="276" ht="12" customHeight="1" spans="1:29" x14ac:dyDescent="0.25">
      <c r="A276" s="3" t="s">
        <v>573</v>
      </c>
      <c r="B276" s="4" t="s">
        <v>30</v>
      </c>
      <c r="C276" s="3" t="s">
        <v>31</v>
      </c>
      <c r="D276" s="3" t="s">
        <v>32</v>
      </c>
      <c r="E276" s="3" t="s">
        <v>33</v>
      </c>
      <c r="F276" s="3" t="s">
        <v>34</v>
      </c>
      <c r="G276" s="3" t="s">
        <v>35</v>
      </c>
      <c r="H276" s="3" t="s">
        <v>35</v>
      </c>
      <c r="I276" s="3" t="s">
        <v>36</v>
      </c>
      <c r="J276" s="3" t="s">
        <v>36</v>
      </c>
      <c r="K276" s="3" t="s">
        <v>37</v>
      </c>
      <c r="L276" s="3" t="s">
        <v>38</v>
      </c>
      <c r="M276" s="3" t="s">
        <v>39</v>
      </c>
      <c r="N276" s="3" t="s">
        <v>40</v>
      </c>
      <c r="O276" s="3" t="s">
        <v>41</v>
      </c>
      <c r="P276" s="3" t="s">
        <v>42</v>
      </c>
      <c r="Q276" s="3" t="s">
        <v>79</v>
      </c>
      <c r="R276" s="3" t="s">
        <v>44</v>
      </c>
      <c r="S276" s="3" t="s">
        <v>44</v>
      </c>
      <c r="T276" s="3" t="s">
        <v>45</v>
      </c>
      <c r="U276" s="5"/>
      <c r="V276" s="3" t="s">
        <v>571</v>
      </c>
      <c r="W276" s="3" t="s">
        <v>81</v>
      </c>
      <c r="X276" s="3" t="s">
        <v>48</v>
      </c>
      <c r="Y276" s="3" t="s">
        <v>83</v>
      </c>
      <c r="Z276" s="3" t="s">
        <v>83</v>
      </c>
      <c r="AA276" s="5">
        <v>24670</v>
      </c>
      <c r="AB276" s="3" t="s">
        <v>40</v>
      </c>
      <c r="AC276" s="3" t="s">
        <v>50</v>
      </c>
    </row>
    <row r="277" ht="12" customHeight="1" spans="1:29" x14ac:dyDescent="0.25">
      <c r="A277" s="3" t="s">
        <v>574</v>
      </c>
      <c r="B277" s="4" t="s">
        <v>30</v>
      </c>
      <c r="C277" s="3" t="s">
        <v>31</v>
      </c>
      <c r="D277" s="3" t="s">
        <v>32</v>
      </c>
      <c r="E277" s="3" t="s">
        <v>33</v>
      </c>
      <c r="F277" s="3" t="s">
        <v>34</v>
      </c>
      <c r="G277" s="3" t="s">
        <v>35</v>
      </c>
      <c r="H277" s="3" t="s">
        <v>35</v>
      </c>
      <c r="I277" s="3" t="s">
        <v>36</v>
      </c>
      <c r="J277" s="3" t="s">
        <v>36</v>
      </c>
      <c r="K277" s="3" t="s">
        <v>37</v>
      </c>
      <c r="L277" s="3" t="s">
        <v>38</v>
      </c>
      <c r="M277" s="3" t="s">
        <v>39</v>
      </c>
      <c r="N277" s="3" t="s">
        <v>40</v>
      </c>
      <c r="O277" s="3" t="s">
        <v>41</v>
      </c>
      <c r="P277" s="3" t="s">
        <v>42</v>
      </c>
      <c r="Q277" s="3" t="s">
        <v>79</v>
      </c>
      <c r="R277" s="3" t="s">
        <v>44</v>
      </c>
      <c r="S277" s="3" t="s">
        <v>44</v>
      </c>
      <c r="T277" s="3" t="s">
        <v>45</v>
      </c>
      <c r="U277" s="5"/>
      <c r="V277" s="3" t="s">
        <v>571</v>
      </c>
      <c r="W277" s="3" t="s">
        <v>81</v>
      </c>
      <c r="X277" s="3" t="s">
        <v>48</v>
      </c>
      <c r="Y277" s="3" t="s">
        <v>83</v>
      </c>
      <c r="Z277" s="3" t="s">
        <v>83</v>
      </c>
      <c r="AA277" s="5">
        <v>24270</v>
      </c>
      <c r="AB277" s="3" t="s">
        <v>40</v>
      </c>
      <c r="AC277" s="3" t="s">
        <v>50</v>
      </c>
    </row>
    <row r="278" ht="12" customHeight="1" spans="1:29" x14ac:dyDescent="0.25">
      <c r="A278" s="3" t="s">
        <v>575</v>
      </c>
      <c r="B278" s="4" t="s">
        <v>30</v>
      </c>
      <c r="C278" s="3" t="s">
        <v>31</v>
      </c>
      <c r="D278" s="3" t="s">
        <v>32</v>
      </c>
      <c r="E278" s="3" t="s">
        <v>95</v>
      </c>
      <c r="F278" s="3" t="s">
        <v>34</v>
      </c>
      <c r="G278" s="3" t="s">
        <v>35</v>
      </c>
      <c r="H278" s="3" t="s">
        <v>35</v>
      </c>
      <c r="I278" s="3" t="s">
        <v>69</v>
      </c>
      <c r="J278" s="3" t="s">
        <v>328</v>
      </c>
      <c r="K278" s="3" t="s">
        <v>37</v>
      </c>
      <c r="L278" s="3" t="s">
        <v>38</v>
      </c>
      <c r="M278" s="3" t="s">
        <v>39</v>
      </c>
      <c r="N278" s="3" t="s">
        <v>40</v>
      </c>
      <c r="O278" s="3" t="s">
        <v>41</v>
      </c>
      <c r="P278" s="3" t="s">
        <v>42</v>
      </c>
      <c r="Q278" s="3" t="s">
        <v>576</v>
      </c>
      <c r="R278" s="3" t="s">
        <v>72</v>
      </c>
      <c r="S278" s="3" t="s">
        <v>44</v>
      </c>
      <c r="T278" s="3" t="s">
        <v>45</v>
      </c>
      <c r="U278" s="5"/>
      <c r="V278" s="3" t="s">
        <v>577</v>
      </c>
      <c r="W278" s="3" t="s">
        <v>452</v>
      </c>
      <c r="X278" s="3" t="s">
        <v>82</v>
      </c>
      <c r="Y278" s="3" t="s">
        <v>453</v>
      </c>
      <c r="Z278" s="3" t="s">
        <v>454</v>
      </c>
      <c r="AA278" s="5">
        <v>16700</v>
      </c>
      <c r="AB278" s="3" t="s">
        <v>40</v>
      </c>
      <c r="AC278" s="3" t="s">
        <v>331</v>
      </c>
    </row>
    <row r="279" ht="12" customHeight="1" spans="1:29" x14ac:dyDescent="0.25">
      <c r="A279" s="3" t="s">
        <v>578</v>
      </c>
      <c r="B279" s="4" t="s">
        <v>30</v>
      </c>
      <c r="C279" s="3" t="s">
        <v>31</v>
      </c>
      <c r="D279" s="3" t="s">
        <v>32</v>
      </c>
      <c r="E279" s="3" t="s">
        <v>95</v>
      </c>
      <c r="F279" s="3" t="s">
        <v>34</v>
      </c>
      <c r="G279" s="3" t="s">
        <v>35</v>
      </c>
      <c r="H279" s="3" t="s">
        <v>35</v>
      </c>
      <c r="I279" s="3" t="s">
        <v>69</v>
      </c>
      <c r="J279" s="3" t="s">
        <v>328</v>
      </c>
      <c r="K279" s="3" t="s">
        <v>37</v>
      </c>
      <c r="L279" s="3" t="s">
        <v>38</v>
      </c>
      <c r="M279" s="3" t="s">
        <v>39</v>
      </c>
      <c r="N279" s="3" t="s">
        <v>40</v>
      </c>
      <c r="O279" s="3" t="s">
        <v>41</v>
      </c>
      <c r="P279" s="3" t="s">
        <v>42</v>
      </c>
      <c r="Q279" s="3" t="s">
        <v>329</v>
      </c>
      <c r="R279" s="3" t="s">
        <v>72</v>
      </c>
      <c r="S279" s="3" t="s">
        <v>44</v>
      </c>
      <c r="T279" s="3" t="s">
        <v>45</v>
      </c>
      <c r="U279" s="5"/>
      <c r="V279" s="3" t="s">
        <v>577</v>
      </c>
      <c r="W279" s="3" t="s">
        <v>74</v>
      </c>
      <c r="X279" s="3" t="s">
        <v>75</v>
      </c>
      <c r="Y279" s="3" t="s">
        <v>330</v>
      </c>
      <c r="Z279" s="3" t="s">
        <v>330</v>
      </c>
      <c r="AA279" s="5">
        <v>19266.8</v>
      </c>
      <c r="AB279" s="3" t="s">
        <v>40</v>
      </c>
      <c r="AC279" s="3" t="s">
        <v>331</v>
      </c>
    </row>
    <row r="280" ht="12" customHeight="1" spans="1:29" x14ac:dyDescent="0.25">
      <c r="A280" s="3" t="s">
        <v>579</v>
      </c>
      <c r="B280" s="4" t="s">
        <v>30</v>
      </c>
      <c r="C280" s="3" t="s">
        <v>31</v>
      </c>
      <c r="D280" s="3" t="s">
        <v>32</v>
      </c>
      <c r="E280" s="3" t="s">
        <v>95</v>
      </c>
      <c r="F280" s="3" t="s">
        <v>34</v>
      </c>
      <c r="G280" s="3" t="s">
        <v>52</v>
      </c>
      <c r="H280" s="3" t="s">
        <v>35</v>
      </c>
      <c r="I280" s="3" t="s">
        <v>36</v>
      </c>
      <c r="J280" s="3" t="s">
        <v>36</v>
      </c>
      <c r="K280" s="3" t="s">
        <v>37</v>
      </c>
      <c r="L280" s="3" t="s">
        <v>38</v>
      </c>
      <c r="M280" s="3" t="s">
        <v>39</v>
      </c>
      <c r="N280" s="3" t="s">
        <v>40</v>
      </c>
      <c r="O280" s="3" t="s">
        <v>41</v>
      </c>
      <c r="P280" s="3" t="s">
        <v>42</v>
      </c>
      <c r="Q280" s="3" t="s">
        <v>361</v>
      </c>
      <c r="R280" s="3" t="s">
        <v>44</v>
      </c>
      <c r="S280" s="3" t="s">
        <v>44</v>
      </c>
      <c r="T280" s="3" t="s">
        <v>45</v>
      </c>
      <c r="U280" s="5"/>
      <c r="V280" s="3" t="s">
        <v>577</v>
      </c>
      <c r="W280" s="3" t="s">
        <v>362</v>
      </c>
      <c r="X280" s="3" t="s">
        <v>48</v>
      </c>
      <c r="Y280" s="3" t="s">
        <v>363</v>
      </c>
      <c r="Z280" s="3" t="s">
        <v>363</v>
      </c>
      <c r="AA280" s="5">
        <v>16192</v>
      </c>
      <c r="AB280" s="3" t="s">
        <v>40</v>
      </c>
      <c r="AC280" s="3" t="s">
        <v>50</v>
      </c>
    </row>
    <row r="281" ht="12" customHeight="1" spans="1:29" x14ac:dyDescent="0.25">
      <c r="A281" s="3" t="s">
        <v>580</v>
      </c>
      <c r="B281" s="4" t="s">
        <v>30</v>
      </c>
      <c r="C281" s="3" t="s">
        <v>31</v>
      </c>
      <c r="D281" s="3" t="s">
        <v>32</v>
      </c>
      <c r="E281" s="3" t="s">
        <v>95</v>
      </c>
      <c r="F281" s="3" t="s">
        <v>34</v>
      </c>
      <c r="G281" s="3" t="s">
        <v>412</v>
      </c>
      <c r="H281" s="3" t="s">
        <v>35</v>
      </c>
      <c r="I281" s="3" t="s">
        <v>36</v>
      </c>
      <c r="J281" s="3" t="s">
        <v>36</v>
      </c>
      <c r="K281" s="3" t="s">
        <v>37</v>
      </c>
      <c r="L281" s="3" t="s">
        <v>38</v>
      </c>
      <c r="M281" s="3" t="s">
        <v>39</v>
      </c>
      <c r="N281" s="3" t="s">
        <v>40</v>
      </c>
      <c r="O281" s="3" t="s">
        <v>41</v>
      </c>
      <c r="P281" s="3" t="s">
        <v>42</v>
      </c>
      <c r="Q281" s="3" t="s">
        <v>413</v>
      </c>
      <c r="R281" s="3" t="s">
        <v>44</v>
      </c>
      <c r="S281" s="3" t="s">
        <v>44</v>
      </c>
      <c r="T281" s="3" t="s">
        <v>45</v>
      </c>
      <c r="U281" s="5"/>
      <c r="V281" s="3" t="s">
        <v>577</v>
      </c>
      <c r="W281" s="3" t="s">
        <v>414</v>
      </c>
      <c r="X281" s="3" t="s">
        <v>48</v>
      </c>
      <c r="Y281" s="3" t="s">
        <v>131</v>
      </c>
      <c r="Z281" s="3" t="s">
        <v>415</v>
      </c>
      <c r="AA281" s="5">
        <v>19045.6</v>
      </c>
      <c r="AB281" s="3" t="s">
        <v>40</v>
      </c>
      <c r="AC281" s="3" t="s">
        <v>50</v>
      </c>
    </row>
    <row r="282" ht="12" customHeight="1" spans="1:29" x14ac:dyDescent="0.25">
      <c r="A282" s="3" t="s">
        <v>581</v>
      </c>
      <c r="B282" s="4" t="s">
        <v>30</v>
      </c>
      <c r="C282" s="3" t="s">
        <v>31</v>
      </c>
      <c r="D282" s="3" t="s">
        <v>32</v>
      </c>
      <c r="E282" s="3" t="s">
        <v>95</v>
      </c>
      <c r="F282" s="3" t="s">
        <v>34</v>
      </c>
      <c r="G282" s="3" t="s">
        <v>35</v>
      </c>
      <c r="H282" s="3" t="s">
        <v>35</v>
      </c>
      <c r="I282" s="3" t="s">
        <v>69</v>
      </c>
      <c r="J282" s="3" t="s">
        <v>328</v>
      </c>
      <c r="K282" s="3" t="s">
        <v>37</v>
      </c>
      <c r="L282" s="3" t="s">
        <v>38</v>
      </c>
      <c r="M282" s="3" t="s">
        <v>39</v>
      </c>
      <c r="N282" s="3" t="s">
        <v>40</v>
      </c>
      <c r="O282" s="3" t="s">
        <v>41</v>
      </c>
      <c r="P282" s="3" t="s">
        <v>42</v>
      </c>
      <c r="Q282" s="3" t="s">
        <v>439</v>
      </c>
      <c r="R282" s="3" t="s">
        <v>72</v>
      </c>
      <c r="S282" s="3" t="s">
        <v>44</v>
      </c>
      <c r="T282" s="3" t="s">
        <v>45</v>
      </c>
      <c r="U282" s="5"/>
      <c r="V282" s="3" t="s">
        <v>577</v>
      </c>
      <c r="W282" s="3" t="s">
        <v>74</v>
      </c>
      <c r="X282" s="3" t="s">
        <v>75</v>
      </c>
      <c r="Y282" s="3" t="s">
        <v>440</v>
      </c>
      <c r="Z282" s="3" t="s">
        <v>330</v>
      </c>
      <c r="AA282" s="5">
        <v>19276.8</v>
      </c>
      <c r="AB282" s="3" t="s">
        <v>40</v>
      </c>
      <c r="AC282" s="3" t="s">
        <v>331</v>
      </c>
    </row>
    <row r="283" ht="12" customHeight="1" spans="1:29" x14ac:dyDescent="0.25">
      <c r="A283" s="3" t="s">
        <v>582</v>
      </c>
      <c r="B283" s="4" t="s">
        <v>30</v>
      </c>
      <c r="C283" s="3" t="s">
        <v>31</v>
      </c>
      <c r="D283" s="3" t="s">
        <v>32</v>
      </c>
      <c r="E283" s="3" t="s">
        <v>95</v>
      </c>
      <c r="F283" s="3" t="s">
        <v>34</v>
      </c>
      <c r="G283" s="3" t="s">
        <v>52</v>
      </c>
      <c r="H283" s="3" t="s">
        <v>35</v>
      </c>
      <c r="I283" s="3" t="s">
        <v>36</v>
      </c>
      <c r="J283" s="3" t="s">
        <v>36</v>
      </c>
      <c r="K283" s="3" t="s">
        <v>37</v>
      </c>
      <c r="L283" s="3" t="s">
        <v>38</v>
      </c>
      <c r="M283" s="3" t="s">
        <v>39</v>
      </c>
      <c r="N283" s="3" t="s">
        <v>40</v>
      </c>
      <c r="O283" s="3" t="s">
        <v>41</v>
      </c>
      <c r="P283" s="3" t="s">
        <v>42</v>
      </c>
      <c r="Q283" s="3" t="s">
        <v>583</v>
      </c>
      <c r="R283" s="3" t="s">
        <v>44</v>
      </c>
      <c r="S283" s="3" t="s">
        <v>44</v>
      </c>
      <c r="T283" s="3" t="s">
        <v>45</v>
      </c>
      <c r="U283" s="5"/>
      <c r="V283" s="3" t="s">
        <v>584</v>
      </c>
      <c r="W283" s="3" t="s">
        <v>585</v>
      </c>
      <c r="X283" s="3" t="s">
        <v>48</v>
      </c>
      <c r="Y283" s="3" t="s">
        <v>586</v>
      </c>
      <c r="Z283" s="3" t="s">
        <v>586</v>
      </c>
      <c r="AA283" s="5">
        <v>2100</v>
      </c>
      <c r="AB283" s="3" t="s">
        <v>40</v>
      </c>
      <c r="AC283" s="3" t="s">
        <v>50</v>
      </c>
    </row>
    <row r="284" ht="12" customHeight="1" spans="1:29" x14ac:dyDescent="0.25">
      <c r="A284" s="3" t="s">
        <v>587</v>
      </c>
      <c r="B284" s="4" t="s">
        <v>30</v>
      </c>
      <c r="C284" s="3" t="s">
        <v>31</v>
      </c>
      <c r="D284" s="3" t="s">
        <v>32</v>
      </c>
      <c r="E284" s="3" t="s">
        <v>95</v>
      </c>
      <c r="F284" s="3" t="s">
        <v>34</v>
      </c>
      <c r="G284" s="3" t="s">
        <v>35</v>
      </c>
      <c r="H284" s="3" t="s">
        <v>35</v>
      </c>
      <c r="I284" s="3" t="s">
        <v>69</v>
      </c>
      <c r="J284" s="3" t="s">
        <v>387</v>
      </c>
      <c r="K284" s="3" t="s">
        <v>37</v>
      </c>
      <c r="L284" s="3" t="s">
        <v>38</v>
      </c>
      <c r="M284" s="3" t="s">
        <v>39</v>
      </c>
      <c r="N284" s="3" t="s">
        <v>40</v>
      </c>
      <c r="O284" s="3" t="s">
        <v>41</v>
      </c>
      <c r="P284" s="3" t="s">
        <v>42</v>
      </c>
      <c r="Q284" s="3" t="s">
        <v>588</v>
      </c>
      <c r="R284" s="3" t="s">
        <v>72</v>
      </c>
      <c r="S284" s="3" t="s">
        <v>44</v>
      </c>
      <c r="T284" s="3" t="s">
        <v>45</v>
      </c>
      <c r="U284" s="5"/>
      <c r="V284" s="3" t="s">
        <v>584</v>
      </c>
      <c r="W284" s="3" t="s">
        <v>74</v>
      </c>
      <c r="X284" s="3" t="s">
        <v>48</v>
      </c>
      <c r="Y284" s="3" t="s">
        <v>440</v>
      </c>
      <c r="Z284" s="3" t="s">
        <v>440</v>
      </c>
      <c r="AA284" s="5">
        <v>16096</v>
      </c>
      <c r="AB284" s="3" t="s">
        <v>40</v>
      </c>
      <c r="AC284" s="3" t="s">
        <v>389</v>
      </c>
    </row>
    <row r="285" ht="12" customHeight="1" spans="1:29" x14ac:dyDescent="0.25">
      <c r="A285" s="3" t="s">
        <v>589</v>
      </c>
      <c r="B285" s="4" t="s">
        <v>30</v>
      </c>
      <c r="C285" s="3" t="s">
        <v>31</v>
      </c>
      <c r="D285" s="3" t="s">
        <v>32</v>
      </c>
      <c r="E285" s="3" t="s">
        <v>95</v>
      </c>
      <c r="F285" s="3" t="s">
        <v>34</v>
      </c>
      <c r="G285" s="3" t="s">
        <v>35</v>
      </c>
      <c r="H285" s="3" t="s">
        <v>35</v>
      </c>
      <c r="I285" s="3" t="s">
        <v>69</v>
      </c>
      <c r="J285" s="3" t="s">
        <v>69</v>
      </c>
      <c r="K285" s="3" t="s">
        <v>37</v>
      </c>
      <c r="L285" s="3" t="s">
        <v>38</v>
      </c>
      <c r="M285" s="3" t="s">
        <v>39</v>
      </c>
      <c r="N285" s="3" t="s">
        <v>40</v>
      </c>
      <c r="O285" s="3" t="s">
        <v>41</v>
      </c>
      <c r="P285" s="3" t="s">
        <v>42</v>
      </c>
      <c r="Q285" s="3" t="s">
        <v>590</v>
      </c>
      <c r="R285" s="3" t="s">
        <v>44</v>
      </c>
      <c r="S285" s="3" t="s">
        <v>44</v>
      </c>
      <c r="T285" s="3" t="s">
        <v>45</v>
      </c>
      <c r="U285" s="5"/>
      <c r="V285" s="3" t="s">
        <v>584</v>
      </c>
      <c r="W285" s="3" t="s">
        <v>306</v>
      </c>
      <c r="X285" s="3" t="s">
        <v>48</v>
      </c>
      <c r="Y285" s="3" t="s">
        <v>307</v>
      </c>
      <c r="Z285" s="3" t="s">
        <v>307</v>
      </c>
      <c r="AA285" s="5">
        <v>16370</v>
      </c>
      <c r="AB285" s="3" t="s">
        <v>40</v>
      </c>
      <c r="AC285" s="3" t="s">
        <v>274</v>
      </c>
    </row>
    <row r="286" ht="12" customHeight="1" spans="1:29" x14ac:dyDescent="0.25">
      <c r="A286" s="3" t="s">
        <v>591</v>
      </c>
      <c r="B286" s="4" t="s">
        <v>30</v>
      </c>
      <c r="C286" s="3" t="s">
        <v>31</v>
      </c>
      <c r="D286" s="3" t="s">
        <v>32</v>
      </c>
      <c r="E286" s="3" t="s">
        <v>95</v>
      </c>
      <c r="F286" s="3" t="s">
        <v>34</v>
      </c>
      <c r="G286" s="3" t="s">
        <v>52</v>
      </c>
      <c r="H286" s="3" t="s">
        <v>35</v>
      </c>
      <c r="I286" s="3" t="s">
        <v>36</v>
      </c>
      <c r="J286" s="3" t="s">
        <v>36</v>
      </c>
      <c r="K286" s="3" t="s">
        <v>37</v>
      </c>
      <c r="L286" s="3" t="s">
        <v>38</v>
      </c>
      <c r="M286" s="3" t="s">
        <v>39</v>
      </c>
      <c r="N286" s="3" t="s">
        <v>40</v>
      </c>
      <c r="O286" s="3" t="s">
        <v>41</v>
      </c>
      <c r="P286" s="3" t="s">
        <v>42</v>
      </c>
      <c r="Q286" s="3" t="s">
        <v>592</v>
      </c>
      <c r="R286" s="3" t="s">
        <v>44</v>
      </c>
      <c r="S286" s="3" t="s">
        <v>44</v>
      </c>
      <c r="T286" s="3" t="s">
        <v>45</v>
      </c>
      <c r="U286" s="5"/>
      <c r="V286" s="3" t="s">
        <v>584</v>
      </c>
      <c r="W286" s="3" t="s">
        <v>593</v>
      </c>
      <c r="X286" s="3" t="s">
        <v>48</v>
      </c>
      <c r="Y286" s="3" t="s">
        <v>594</v>
      </c>
      <c r="Z286" s="3" t="s">
        <v>594</v>
      </c>
      <c r="AA286" s="5">
        <v>18900</v>
      </c>
      <c r="AB286" s="3" t="s">
        <v>40</v>
      </c>
      <c r="AC286" s="3" t="s">
        <v>50</v>
      </c>
    </row>
    <row r="287" ht="12" customHeight="1" spans="1:29" x14ac:dyDescent="0.25">
      <c r="A287" s="3" t="s">
        <v>595</v>
      </c>
      <c r="B287" s="4" t="s">
        <v>30</v>
      </c>
      <c r="C287" s="3" t="s">
        <v>31</v>
      </c>
      <c r="D287" s="3" t="s">
        <v>32</v>
      </c>
      <c r="E287" s="3" t="s">
        <v>95</v>
      </c>
      <c r="F287" s="3" t="s">
        <v>34</v>
      </c>
      <c r="G287" s="3" t="s">
        <v>52</v>
      </c>
      <c r="H287" s="3" t="s">
        <v>35</v>
      </c>
      <c r="I287" s="3" t="s">
        <v>36</v>
      </c>
      <c r="J287" s="3" t="s">
        <v>36</v>
      </c>
      <c r="K287" s="3" t="s">
        <v>37</v>
      </c>
      <c r="L287" s="3" t="s">
        <v>38</v>
      </c>
      <c r="M287" s="3" t="s">
        <v>39</v>
      </c>
      <c r="N287" s="3" t="s">
        <v>40</v>
      </c>
      <c r="O287" s="3" t="s">
        <v>41</v>
      </c>
      <c r="P287" s="3" t="s">
        <v>42</v>
      </c>
      <c r="Q287" s="3" t="s">
        <v>194</v>
      </c>
      <c r="R287" s="3" t="s">
        <v>44</v>
      </c>
      <c r="S287" s="3" t="s">
        <v>44</v>
      </c>
      <c r="T287" s="3" t="s">
        <v>45</v>
      </c>
      <c r="U287" s="5"/>
      <c r="V287" s="3" t="s">
        <v>596</v>
      </c>
      <c r="W287" s="3" t="s">
        <v>195</v>
      </c>
      <c r="X287" s="3" t="s">
        <v>48</v>
      </c>
      <c r="Y287" s="3" t="s">
        <v>196</v>
      </c>
      <c r="Z287" s="3" t="s">
        <v>196</v>
      </c>
      <c r="AA287" s="5">
        <v>1887</v>
      </c>
      <c r="AB287" s="3" t="s">
        <v>40</v>
      </c>
      <c r="AC287" s="3" t="s">
        <v>50</v>
      </c>
    </row>
    <row r="288" ht="12" customHeight="1" spans="1:29" x14ac:dyDescent="0.25">
      <c r="A288" s="3" t="s">
        <v>597</v>
      </c>
      <c r="B288" s="4" t="s">
        <v>30</v>
      </c>
      <c r="C288" s="3" t="s">
        <v>31</v>
      </c>
      <c r="D288" s="3" t="s">
        <v>32</v>
      </c>
      <c r="E288" s="3" t="s">
        <v>95</v>
      </c>
      <c r="F288" s="3" t="s">
        <v>34</v>
      </c>
      <c r="G288" s="3" t="s">
        <v>35</v>
      </c>
      <c r="H288" s="3" t="s">
        <v>35</v>
      </c>
      <c r="I288" s="3" t="s">
        <v>36</v>
      </c>
      <c r="J288" s="3" t="s">
        <v>36</v>
      </c>
      <c r="K288" s="3" t="s">
        <v>37</v>
      </c>
      <c r="L288" s="3" t="s">
        <v>38</v>
      </c>
      <c r="M288" s="3" t="s">
        <v>39</v>
      </c>
      <c r="N288" s="3" t="s">
        <v>40</v>
      </c>
      <c r="O288" s="3" t="s">
        <v>41</v>
      </c>
      <c r="P288" s="3" t="s">
        <v>42</v>
      </c>
      <c r="Q288" s="3" t="s">
        <v>403</v>
      </c>
      <c r="R288" s="3" t="s">
        <v>44</v>
      </c>
      <c r="S288" s="3" t="s">
        <v>44</v>
      </c>
      <c r="T288" s="3" t="s">
        <v>45</v>
      </c>
      <c r="U288" s="5"/>
      <c r="V288" s="3" t="s">
        <v>598</v>
      </c>
      <c r="W288" s="3" t="s">
        <v>74</v>
      </c>
      <c r="X288" s="3" t="s">
        <v>48</v>
      </c>
      <c r="Y288" s="3" t="s">
        <v>404</v>
      </c>
      <c r="Z288" s="3" t="s">
        <v>404</v>
      </c>
      <c r="AA288" s="5">
        <v>16096</v>
      </c>
      <c r="AB288" s="3" t="s">
        <v>40</v>
      </c>
      <c r="AC288" s="3" t="s">
        <v>50</v>
      </c>
    </row>
    <row r="289" ht="12" customHeight="1" spans="1:29" x14ac:dyDescent="0.25">
      <c r="A289" s="3" t="s">
        <v>599</v>
      </c>
      <c r="B289" s="4" t="s">
        <v>30</v>
      </c>
      <c r="C289" s="3" t="s">
        <v>31</v>
      </c>
      <c r="D289" s="3" t="s">
        <v>32</v>
      </c>
      <c r="E289" s="3" t="s">
        <v>95</v>
      </c>
      <c r="F289" s="3" t="s">
        <v>34</v>
      </c>
      <c r="G289" s="3" t="s">
        <v>412</v>
      </c>
      <c r="H289" s="3" t="s">
        <v>35</v>
      </c>
      <c r="I289" s="3" t="s">
        <v>36</v>
      </c>
      <c r="J289" s="3" t="s">
        <v>36</v>
      </c>
      <c r="K289" s="3" t="s">
        <v>37</v>
      </c>
      <c r="L289" s="3" t="s">
        <v>38</v>
      </c>
      <c r="M289" s="3" t="s">
        <v>39</v>
      </c>
      <c r="N289" s="3" t="s">
        <v>40</v>
      </c>
      <c r="O289" s="3" t="s">
        <v>41</v>
      </c>
      <c r="P289" s="3" t="s">
        <v>42</v>
      </c>
      <c r="Q289" s="3" t="s">
        <v>413</v>
      </c>
      <c r="R289" s="3" t="s">
        <v>44</v>
      </c>
      <c r="S289" s="3" t="s">
        <v>44</v>
      </c>
      <c r="T289" s="3" t="s">
        <v>45</v>
      </c>
      <c r="U289" s="5"/>
      <c r="V289" s="3" t="s">
        <v>598</v>
      </c>
      <c r="W289" s="3" t="s">
        <v>414</v>
      </c>
      <c r="X289" s="3" t="s">
        <v>48</v>
      </c>
      <c r="Y289" s="3" t="s">
        <v>131</v>
      </c>
      <c r="Z289" s="3" t="s">
        <v>415</v>
      </c>
      <c r="AA289" s="5">
        <v>19045.6</v>
      </c>
      <c r="AB289" s="3" t="s">
        <v>40</v>
      </c>
      <c r="AC289" s="3" t="s">
        <v>50</v>
      </c>
    </row>
    <row r="290" ht="12" customHeight="1" spans="1:29" x14ac:dyDescent="0.25">
      <c r="A290" s="3" t="s">
        <v>600</v>
      </c>
      <c r="B290" s="4" t="s">
        <v>30</v>
      </c>
      <c r="C290" s="3" t="s">
        <v>31</v>
      </c>
      <c r="D290" s="3" t="s">
        <v>32</v>
      </c>
      <c r="E290" s="3" t="s">
        <v>95</v>
      </c>
      <c r="F290" s="3" t="s">
        <v>34</v>
      </c>
      <c r="G290" s="3" t="s">
        <v>412</v>
      </c>
      <c r="H290" s="3" t="s">
        <v>35</v>
      </c>
      <c r="I290" s="3" t="s">
        <v>36</v>
      </c>
      <c r="J290" s="3" t="s">
        <v>36</v>
      </c>
      <c r="K290" s="3" t="s">
        <v>37</v>
      </c>
      <c r="L290" s="3" t="s">
        <v>38</v>
      </c>
      <c r="M290" s="3" t="s">
        <v>39</v>
      </c>
      <c r="N290" s="3" t="s">
        <v>40</v>
      </c>
      <c r="O290" s="3" t="s">
        <v>41</v>
      </c>
      <c r="P290" s="3" t="s">
        <v>42</v>
      </c>
      <c r="Q290" s="3" t="s">
        <v>413</v>
      </c>
      <c r="R290" s="3" t="s">
        <v>44</v>
      </c>
      <c r="S290" s="3" t="s">
        <v>44</v>
      </c>
      <c r="T290" s="3" t="s">
        <v>45</v>
      </c>
      <c r="U290" s="5"/>
      <c r="V290" s="3" t="s">
        <v>598</v>
      </c>
      <c r="W290" s="3" t="s">
        <v>414</v>
      </c>
      <c r="X290" s="3" t="s">
        <v>48</v>
      </c>
      <c r="Y290" s="3" t="s">
        <v>131</v>
      </c>
      <c r="Z290" s="3" t="s">
        <v>415</v>
      </c>
      <c r="AA290" s="5">
        <v>19045.6</v>
      </c>
      <c r="AB290" s="3" t="s">
        <v>40</v>
      </c>
      <c r="AC290" s="3" t="s">
        <v>50</v>
      </c>
    </row>
    <row r="291" ht="12" customHeight="1" spans="1:29" x14ac:dyDescent="0.25">
      <c r="A291" s="3" t="s">
        <v>601</v>
      </c>
      <c r="B291" s="4" t="s">
        <v>30</v>
      </c>
      <c r="C291" s="3" t="s">
        <v>31</v>
      </c>
      <c r="D291" s="3" t="s">
        <v>32</v>
      </c>
      <c r="E291" s="3" t="s">
        <v>95</v>
      </c>
      <c r="F291" s="3" t="s">
        <v>34</v>
      </c>
      <c r="G291" s="3" t="s">
        <v>35</v>
      </c>
      <c r="H291" s="3" t="s">
        <v>35</v>
      </c>
      <c r="I291" s="3" t="s">
        <v>69</v>
      </c>
      <c r="J291" s="3" t="s">
        <v>328</v>
      </c>
      <c r="K291" s="3" t="s">
        <v>37</v>
      </c>
      <c r="L291" s="3" t="s">
        <v>38</v>
      </c>
      <c r="M291" s="3" t="s">
        <v>39</v>
      </c>
      <c r="N291" s="3" t="s">
        <v>40</v>
      </c>
      <c r="O291" s="3" t="s">
        <v>41</v>
      </c>
      <c r="P291" s="3" t="s">
        <v>42</v>
      </c>
      <c r="Q291" s="3" t="s">
        <v>439</v>
      </c>
      <c r="R291" s="3" t="s">
        <v>72</v>
      </c>
      <c r="S291" s="3" t="s">
        <v>44</v>
      </c>
      <c r="T291" s="3" t="s">
        <v>45</v>
      </c>
      <c r="U291" s="5"/>
      <c r="V291" s="3" t="s">
        <v>598</v>
      </c>
      <c r="W291" s="3" t="s">
        <v>74</v>
      </c>
      <c r="X291" s="3" t="s">
        <v>48</v>
      </c>
      <c r="Y291" s="3" t="s">
        <v>440</v>
      </c>
      <c r="Z291" s="3" t="s">
        <v>330</v>
      </c>
      <c r="AA291" s="5">
        <v>19276.8</v>
      </c>
      <c r="AB291" s="3" t="s">
        <v>40</v>
      </c>
      <c r="AC291" s="3" t="s">
        <v>331</v>
      </c>
    </row>
    <row r="292" ht="12" customHeight="1" spans="1:29" x14ac:dyDescent="0.25">
      <c r="A292" s="3" t="s">
        <v>602</v>
      </c>
      <c r="B292" s="4" t="s">
        <v>30</v>
      </c>
      <c r="C292" s="3" t="s">
        <v>31</v>
      </c>
      <c r="D292" s="3" t="s">
        <v>32</v>
      </c>
      <c r="E292" s="3" t="s">
        <v>33</v>
      </c>
      <c r="F292" s="3" t="s">
        <v>34</v>
      </c>
      <c r="G292" s="3" t="s">
        <v>35</v>
      </c>
      <c r="H292" s="3" t="s">
        <v>35</v>
      </c>
      <c r="I292" s="3" t="s">
        <v>36</v>
      </c>
      <c r="J292" s="3" t="s">
        <v>36</v>
      </c>
      <c r="K292" s="3" t="s">
        <v>37</v>
      </c>
      <c r="L292" s="3" t="s">
        <v>38</v>
      </c>
      <c r="M292" s="3" t="s">
        <v>39</v>
      </c>
      <c r="N292" s="3" t="s">
        <v>40</v>
      </c>
      <c r="O292" s="3" t="s">
        <v>41</v>
      </c>
      <c r="P292" s="3" t="s">
        <v>42</v>
      </c>
      <c r="Q292" s="3" t="s">
        <v>129</v>
      </c>
      <c r="R292" s="3" t="s">
        <v>44</v>
      </c>
      <c r="S292" s="3" t="s">
        <v>44</v>
      </c>
      <c r="T292" s="3" t="s">
        <v>45</v>
      </c>
      <c r="U292" s="5"/>
      <c r="V292" s="3" t="s">
        <v>603</v>
      </c>
      <c r="W292" s="3" t="s">
        <v>130</v>
      </c>
      <c r="X292" s="3" t="s">
        <v>82</v>
      </c>
      <c r="Y292" s="3" t="s">
        <v>131</v>
      </c>
      <c r="Z292" s="3" t="s">
        <v>132</v>
      </c>
      <c r="AA292" s="5">
        <v>24444.3</v>
      </c>
      <c r="AB292" s="3" t="s">
        <v>40</v>
      </c>
      <c r="AC292" s="3" t="s">
        <v>50</v>
      </c>
    </row>
    <row r="293" ht="12" customHeight="1" spans="1:29" x14ac:dyDescent="0.25">
      <c r="A293" s="3" t="s">
        <v>604</v>
      </c>
      <c r="B293" s="4" t="s">
        <v>30</v>
      </c>
      <c r="C293" s="3" t="s">
        <v>31</v>
      </c>
      <c r="D293" s="3" t="s">
        <v>32</v>
      </c>
      <c r="E293" s="3" t="s">
        <v>33</v>
      </c>
      <c r="F293" s="3" t="s">
        <v>34</v>
      </c>
      <c r="G293" s="3" t="s">
        <v>35</v>
      </c>
      <c r="H293" s="3" t="s">
        <v>35</v>
      </c>
      <c r="I293" s="3" t="s">
        <v>36</v>
      </c>
      <c r="J293" s="3" t="s">
        <v>36</v>
      </c>
      <c r="K293" s="3" t="s">
        <v>37</v>
      </c>
      <c r="L293" s="3" t="s">
        <v>38</v>
      </c>
      <c r="M293" s="3" t="s">
        <v>39</v>
      </c>
      <c r="N293" s="3" t="s">
        <v>40</v>
      </c>
      <c r="O293" s="3" t="s">
        <v>41</v>
      </c>
      <c r="P293" s="3" t="s">
        <v>42</v>
      </c>
      <c r="Q293" s="3" t="s">
        <v>43</v>
      </c>
      <c r="R293" s="3" t="s">
        <v>44</v>
      </c>
      <c r="S293" s="3" t="s">
        <v>44</v>
      </c>
      <c r="T293" s="3" t="s">
        <v>45</v>
      </c>
      <c r="U293" s="5"/>
      <c r="V293" s="3" t="s">
        <v>603</v>
      </c>
      <c r="W293" s="3" t="s">
        <v>47</v>
      </c>
      <c r="X293" s="3" t="s">
        <v>48</v>
      </c>
      <c r="Y293" s="3" t="s">
        <v>49</v>
      </c>
      <c r="Z293" s="3" t="s">
        <v>49</v>
      </c>
      <c r="AA293" s="5">
        <v>22462</v>
      </c>
      <c r="AB293" s="3" t="s">
        <v>40</v>
      </c>
      <c r="AC293" s="3" t="s">
        <v>50</v>
      </c>
    </row>
    <row r="294" ht="12" customHeight="1" spans="1:29" x14ac:dyDescent="0.25">
      <c r="A294" s="3" t="s">
        <v>605</v>
      </c>
      <c r="B294" s="4" t="s">
        <v>30</v>
      </c>
      <c r="C294" s="3" t="s">
        <v>31</v>
      </c>
      <c r="D294" s="3" t="s">
        <v>32</v>
      </c>
      <c r="E294" s="3" t="s">
        <v>33</v>
      </c>
      <c r="F294" s="3" t="s">
        <v>34</v>
      </c>
      <c r="G294" s="3" t="s">
        <v>52</v>
      </c>
      <c r="H294" s="3" t="s">
        <v>35</v>
      </c>
      <c r="I294" s="3" t="s">
        <v>36</v>
      </c>
      <c r="J294" s="3" t="s">
        <v>36</v>
      </c>
      <c r="K294" s="3" t="s">
        <v>37</v>
      </c>
      <c r="L294" s="3" t="s">
        <v>38</v>
      </c>
      <c r="M294" s="3" t="s">
        <v>39</v>
      </c>
      <c r="N294" s="3" t="s">
        <v>40</v>
      </c>
      <c r="O294" s="3" t="s">
        <v>41</v>
      </c>
      <c r="P294" s="3" t="s">
        <v>42</v>
      </c>
      <c r="Q294" s="3" t="s">
        <v>113</v>
      </c>
      <c r="R294" s="3" t="s">
        <v>44</v>
      </c>
      <c r="S294" s="3" t="s">
        <v>44</v>
      </c>
      <c r="T294" s="3" t="s">
        <v>45</v>
      </c>
      <c r="U294" s="5"/>
      <c r="V294" s="3" t="s">
        <v>606</v>
      </c>
      <c r="W294" s="3" t="s">
        <v>114</v>
      </c>
      <c r="X294" s="3" t="s">
        <v>48</v>
      </c>
      <c r="Y294" s="3" t="s">
        <v>115</v>
      </c>
      <c r="Z294" s="3" t="s">
        <v>115</v>
      </c>
      <c r="AA294" s="5">
        <v>8576</v>
      </c>
      <c r="AB294" s="3" t="s">
        <v>40</v>
      </c>
      <c r="AC294" s="3" t="s">
        <v>50</v>
      </c>
    </row>
    <row r="295" ht="12" customHeight="1" spans="1:29" x14ac:dyDescent="0.25">
      <c r="A295" s="3" t="s">
        <v>607</v>
      </c>
      <c r="B295" s="4" t="s">
        <v>30</v>
      </c>
      <c r="C295" s="3" t="s">
        <v>31</v>
      </c>
      <c r="D295" s="3" t="s">
        <v>32</v>
      </c>
      <c r="E295" s="3" t="s">
        <v>33</v>
      </c>
      <c r="F295" s="3" t="s">
        <v>34</v>
      </c>
      <c r="G295" s="3" t="s">
        <v>35</v>
      </c>
      <c r="H295" s="3" t="s">
        <v>35</v>
      </c>
      <c r="I295" s="3" t="s">
        <v>36</v>
      </c>
      <c r="J295" s="3" t="s">
        <v>36</v>
      </c>
      <c r="K295" s="3" t="s">
        <v>37</v>
      </c>
      <c r="L295" s="3" t="s">
        <v>38</v>
      </c>
      <c r="M295" s="3" t="s">
        <v>39</v>
      </c>
      <c r="N295" s="3" t="s">
        <v>40</v>
      </c>
      <c r="O295" s="3" t="s">
        <v>41</v>
      </c>
      <c r="P295" s="3" t="s">
        <v>42</v>
      </c>
      <c r="Q295" s="3" t="s">
        <v>117</v>
      </c>
      <c r="R295" s="3" t="s">
        <v>44</v>
      </c>
      <c r="S295" s="3" t="s">
        <v>44</v>
      </c>
      <c r="T295" s="3" t="s">
        <v>45</v>
      </c>
      <c r="U295" s="5"/>
      <c r="V295" s="3" t="s">
        <v>606</v>
      </c>
      <c r="W295" s="3" t="s">
        <v>74</v>
      </c>
      <c r="X295" s="3" t="s">
        <v>48</v>
      </c>
      <c r="Y295" s="3" t="s">
        <v>111</v>
      </c>
      <c r="Z295" s="3" t="s">
        <v>111</v>
      </c>
      <c r="AA295" s="5">
        <v>24240</v>
      </c>
      <c r="AB295" s="3" t="s">
        <v>40</v>
      </c>
      <c r="AC295" s="3" t="s">
        <v>50</v>
      </c>
    </row>
    <row r="296" ht="12" customHeight="1" spans="1:29" x14ac:dyDescent="0.25">
      <c r="A296" s="3" t="s">
        <v>608</v>
      </c>
      <c r="B296" s="4" t="s">
        <v>30</v>
      </c>
      <c r="C296" s="3" t="s">
        <v>31</v>
      </c>
      <c r="D296" s="3" t="s">
        <v>32</v>
      </c>
      <c r="E296" s="3" t="s">
        <v>33</v>
      </c>
      <c r="F296" s="3" t="s">
        <v>34</v>
      </c>
      <c r="G296" s="3" t="s">
        <v>35</v>
      </c>
      <c r="H296" s="3" t="s">
        <v>35</v>
      </c>
      <c r="I296" s="3" t="s">
        <v>36</v>
      </c>
      <c r="J296" s="3" t="s">
        <v>36</v>
      </c>
      <c r="K296" s="3" t="s">
        <v>37</v>
      </c>
      <c r="L296" s="3" t="s">
        <v>38</v>
      </c>
      <c r="M296" s="3" t="s">
        <v>39</v>
      </c>
      <c r="N296" s="3" t="s">
        <v>40</v>
      </c>
      <c r="O296" s="3" t="s">
        <v>41</v>
      </c>
      <c r="P296" s="3" t="s">
        <v>42</v>
      </c>
      <c r="Q296" s="3" t="s">
        <v>43</v>
      </c>
      <c r="R296" s="3" t="s">
        <v>44</v>
      </c>
      <c r="S296" s="3" t="s">
        <v>44</v>
      </c>
      <c r="T296" s="3" t="s">
        <v>45</v>
      </c>
      <c r="U296" s="5"/>
      <c r="V296" s="3" t="s">
        <v>606</v>
      </c>
      <c r="W296" s="3" t="s">
        <v>47</v>
      </c>
      <c r="X296" s="3" t="s">
        <v>48</v>
      </c>
      <c r="Y296" s="3" t="s">
        <v>49</v>
      </c>
      <c r="Z296" s="3" t="s">
        <v>49</v>
      </c>
      <c r="AA296" s="5">
        <v>22462</v>
      </c>
      <c r="AB296" s="3" t="s">
        <v>40</v>
      </c>
      <c r="AC296" s="3" t="s">
        <v>50</v>
      </c>
    </row>
    <row r="297" ht="12" customHeight="1" spans="1:29" x14ac:dyDescent="0.25">
      <c r="A297" s="3" t="s">
        <v>609</v>
      </c>
      <c r="B297" s="4" t="s">
        <v>30</v>
      </c>
      <c r="C297" s="3" t="s">
        <v>31</v>
      </c>
      <c r="D297" s="3" t="s">
        <v>32</v>
      </c>
      <c r="E297" s="3" t="s">
        <v>33</v>
      </c>
      <c r="F297" s="3" t="s">
        <v>34</v>
      </c>
      <c r="G297" s="3" t="s">
        <v>35</v>
      </c>
      <c r="H297" s="3" t="s">
        <v>35</v>
      </c>
      <c r="I297" s="3" t="s">
        <v>36</v>
      </c>
      <c r="J297" s="3" t="s">
        <v>36</v>
      </c>
      <c r="K297" s="3" t="s">
        <v>37</v>
      </c>
      <c r="L297" s="3" t="s">
        <v>38</v>
      </c>
      <c r="M297" s="3" t="s">
        <v>39</v>
      </c>
      <c r="N297" s="3" t="s">
        <v>40</v>
      </c>
      <c r="O297" s="3" t="s">
        <v>41</v>
      </c>
      <c r="P297" s="3" t="s">
        <v>42</v>
      </c>
      <c r="Q297" s="3" t="s">
        <v>43</v>
      </c>
      <c r="R297" s="3" t="s">
        <v>44</v>
      </c>
      <c r="S297" s="3" t="s">
        <v>44</v>
      </c>
      <c r="T297" s="3" t="s">
        <v>45</v>
      </c>
      <c r="U297" s="5"/>
      <c r="V297" s="3" t="s">
        <v>606</v>
      </c>
      <c r="W297" s="3" t="s">
        <v>47</v>
      </c>
      <c r="X297" s="3" t="s">
        <v>48</v>
      </c>
      <c r="Y297" s="3" t="s">
        <v>49</v>
      </c>
      <c r="Z297" s="3" t="s">
        <v>49</v>
      </c>
      <c r="AA297" s="5">
        <v>22462</v>
      </c>
      <c r="AB297" s="3" t="s">
        <v>40</v>
      </c>
      <c r="AC297" s="3" t="s">
        <v>50</v>
      </c>
    </row>
    <row r="298" ht="12" customHeight="1" spans="1:29" x14ac:dyDescent="0.25">
      <c r="A298" s="3" t="s">
        <v>610</v>
      </c>
      <c r="B298" s="4" t="s">
        <v>30</v>
      </c>
      <c r="C298" s="3" t="s">
        <v>31</v>
      </c>
      <c r="D298" s="3" t="s">
        <v>32</v>
      </c>
      <c r="E298" s="3" t="s">
        <v>33</v>
      </c>
      <c r="F298" s="3" t="s">
        <v>34</v>
      </c>
      <c r="G298" s="3" t="s">
        <v>35</v>
      </c>
      <c r="H298" s="3" t="s">
        <v>35</v>
      </c>
      <c r="I298" s="3" t="s">
        <v>36</v>
      </c>
      <c r="J298" s="3" t="s">
        <v>36</v>
      </c>
      <c r="K298" s="3" t="s">
        <v>37</v>
      </c>
      <c r="L298" s="3" t="s">
        <v>38</v>
      </c>
      <c r="M298" s="3" t="s">
        <v>39</v>
      </c>
      <c r="N298" s="3" t="s">
        <v>40</v>
      </c>
      <c r="O298" s="3" t="s">
        <v>41</v>
      </c>
      <c r="P298" s="3" t="s">
        <v>42</v>
      </c>
      <c r="Q298" s="3" t="s">
        <v>43</v>
      </c>
      <c r="R298" s="3" t="s">
        <v>44</v>
      </c>
      <c r="S298" s="3" t="s">
        <v>44</v>
      </c>
      <c r="T298" s="3" t="s">
        <v>45</v>
      </c>
      <c r="U298" s="5"/>
      <c r="V298" s="3" t="s">
        <v>606</v>
      </c>
      <c r="W298" s="3" t="s">
        <v>47</v>
      </c>
      <c r="X298" s="3" t="s">
        <v>48</v>
      </c>
      <c r="Y298" s="3" t="s">
        <v>49</v>
      </c>
      <c r="Z298" s="3" t="s">
        <v>49</v>
      </c>
      <c r="AA298" s="5">
        <v>22462</v>
      </c>
      <c r="AB298" s="3" t="s">
        <v>40</v>
      </c>
      <c r="AC298" s="3" t="s">
        <v>50</v>
      </c>
    </row>
    <row r="299" ht="12" customHeight="1" spans="1:29" x14ac:dyDescent="0.25">
      <c r="A299" s="3" t="s">
        <v>611</v>
      </c>
      <c r="B299" s="4" t="s">
        <v>30</v>
      </c>
      <c r="C299" s="3" t="s">
        <v>31</v>
      </c>
      <c r="D299" s="3" t="s">
        <v>32</v>
      </c>
      <c r="E299" s="3" t="s">
        <v>33</v>
      </c>
      <c r="F299" s="3" t="s">
        <v>34</v>
      </c>
      <c r="G299" s="3" t="s">
        <v>35</v>
      </c>
      <c r="H299" s="3" t="s">
        <v>35</v>
      </c>
      <c r="I299" s="3" t="s">
        <v>36</v>
      </c>
      <c r="J299" s="3" t="s">
        <v>36</v>
      </c>
      <c r="K299" s="3" t="s">
        <v>37</v>
      </c>
      <c r="L299" s="3" t="s">
        <v>38</v>
      </c>
      <c r="M299" s="3" t="s">
        <v>39</v>
      </c>
      <c r="N299" s="3" t="s">
        <v>40</v>
      </c>
      <c r="O299" s="3" t="s">
        <v>41</v>
      </c>
      <c r="P299" s="3" t="s">
        <v>42</v>
      </c>
      <c r="Q299" s="3" t="s">
        <v>43</v>
      </c>
      <c r="R299" s="3" t="s">
        <v>44</v>
      </c>
      <c r="S299" s="3" t="s">
        <v>44</v>
      </c>
      <c r="T299" s="3" t="s">
        <v>45</v>
      </c>
      <c r="U299" s="5"/>
      <c r="V299" s="3" t="s">
        <v>606</v>
      </c>
      <c r="W299" s="3" t="s">
        <v>47</v>
      </c>
      <c r="X299" s="3" t="s">
        <v>48</v>
      </c>
      <c r="Y299" s="3" t="s">
        <v>49</v>
      </c>
      <c r="Z299" s="3" t="s">
        <v>49</v>
      </c>
      <c r="AA299" s="5">
        <v>22440</v>
      </c>
      <c r="AB299" s="3" t="s">
        <v>40</v>
      </c>
      <c r="AC299" s="3" t="s">
        <v>50</v>
      </c>
    </row>
    <row r="300" ht="12" customHeight="1" spans="1:29" x14ac:dyDescent="0.25">
      <c r="A300" s="3" t="s">
        <v>612</v>
      </c>
      <c r="B300" s="4" t="s">
        <v>30</v>
      </c>
      <c r="C300" s="3" t="s">
        <v>31</v>
      </c>
      <c r="D300" s="3" t="s">
        <v>32</v>
      </c>
      <c r="E300" s="3" t="s">
        <v>33</v>
      </c>
      <c r="F300" s="3" t="s">
        <v>34</v>
      </c>
      <c r="G300" s="3" t="s">
        <v>52</v>
      </c>
      <c r="H300" s="3" t="s">
        <v>35</v>
      </c>
      <c r="I300" s="3" t="s">
        <v>36</v>
      </c>
      <c r="J300" s="3" t="s">
        <v>36</v>
      </c>
      <c r="K300" s="3" t="s">
        <v>37</v>
      </c>
      <c r="L300" s="3" t="s">
        <v>38</v>
      </c>
      <c r="M300" s="3" t="s">
        <v>39</v>
      </c>
      <c r="N300" s="3" t="s">
        <v>40</v>
      </c>
      <c r="O300" s="3" t="s">
        <v>41</v>
      </c>
      <c r="P300" s="3" t="s">
        <v>42</v>
      </c>
      <c r="Q300" s="3" t="s">
        <v>169</v>
      </c>
      <c r="R300" s="3" t="s">
        <v>44</v>
      </c>
      <c r="S300" s="3" t="s">
        <v>44</v>
      </c>
      <c r="T300" s="3" t="s">
        <v>45</v>
      </c>
      <c r="U300" s="5"/>
      <c r="V300" s="3" t="s">
        <v>606</v>
      </c>
      <c r="W300" s="3" t="s">
        <v>166</v>
      </c>
      <c r="X300" s="3" t="s">
        <v>48</v>
      </c>
      <c r="Y300" s="3" t="s">
        <v>170</v>
      </c>
      <c r="Z300" s="3" t="s">
        <v>170</v>
      </c>
      <c r="AA300" s="5">
        <v>26670</v>
      </c>
      <c r="AB300" s="3" t="s">
        <v>40</v>
      </c>
      <c r="AC300" s="3" t="s">
        <v>50</v>
      </c>
    </row>
    <row r="301" ht="12" customHeight="1" spans="1:29" x14ac:dyDescent="0.25">
      <c r="A301" s="3" t="s">
        <v>613</v>
      </c>
      <c r="B301" s="4" t="s">
        <v>30</v>
      </c>
      <c r="C301" s="3" t="s">
        <v>31</v>
      </c>
      <c r="D301" s="3" t="s">
        <v>32</v>
      </c>
      <c r="E301" s="3" t="s">
        <v>33</v>
      </c>
      <c r="F301" s="3" t="s">
        <v>34</v>
      </c>
      <c r="G301" s="3" t="s">
        <v>52</v>
      </c>
      <c r="H301" s="3" t="s">
        <v>35</v>
      </c>
      <c r="I301" s="3" t="s">
        <v>36</v>
      </c>
      <c r="J301" s="3" t="s">
        <v>36</v>
      </c>
      <c r="K301" s="3" t="s">
        <v>37</v>
      </c>
      <c r="L301" s="3" t="s">
        <v>38</v>
      </c>
      <c r="M301" s="3" t="s">
        <v>39</v>
      </c>
      <c r="N301" s="3" t="s">
        <v>40</v>
      </c>
      <c r="O301" s="3" t="s">
        <v>41</v>
      </c>
      <c r="P301" s="3" t="s">
        <v>42</v>
      </c>
      <c r="Q301" s="3" t="s">
        <v>463</v>
      </c>
      <c r="R301" s="3" t="s">
        <v>44</v>
      </c>
      <c r="S301" s="3" t="s">
        <v>44</v>
      </c>
      <c r="T301" s="3" t="s">
        <v>45</v>
      </c>
      <c r="U301" s="5"/>
      <c r="V301" s="3" t="s">
        <v>606</v>
      </c>
      <c r="W301" s="3" t="s">
        <v>465</v>
      </c>
      <c r="X301" s="3" t="s">
        <v>48</v>
      </c>
      <c r="Y301" s="3" t="s">
        <v>466</v>
      </c>
      <c r="Z301" s="3" t="s">
        <v>466</v>
      </c>
      <c r="AA301" s="5">
        <v>17158.5</v>
      </c>
      <c r="AB301" s="3" t="s">
        <v>40</v>
      </c>
      <c r="AC301" s="3" t="s">
        <v>50</v>
      </c>
    </row>
    <row r="302" ht="12" customHeight="1" spans="1:29" x14ac:dyDescent="0.25">
      <c r="A302" s="3" t="s">
        <v>614</v>
      </c>
      <c r="B302" s="4" t="s">
        <v>30</v>
      </c>
      <c r="C302" s="3" t="s">
        <v>31</v>
      </c>
      <c r="D302" s="3" t="s">
        <v>32</v>
      </c>
      <c r="E302" s="3" t="s">
        <v>33</v>
      </c>
      <c r="F302" s="3" t="s">
        <v>34</v>
      </c>
      <c r="G302" s="3" t="s">
        <v>35</v>
      </c>
      <c r="H302" s="3" t="s">
        <v>35</v>
      </c>
      <c r="I302" s="3" t="s">
        <v>36</v>
      </c>
      <c r="J302" s="3" t="s">
        <v>36</v>
      </c>
      <c r="K302" s="3" t="s">
        <v>37</v>
      </c>
      <c r="L302" s="3" t="s">
        <v>38</v>
      </c>
      <c r="M302" s="3" t="s">
        <v>39</v>
      </c>
      <c r="N302" s="3" t="s">
        <v>40</v>
      </c>
      <c r="O302" s="3" t="s">
        <v>41</v>
      </c>
      <c r="P302" s="3" t="s">
        <v>42</v>
      </c>
      <c r="Q302" s="3" t="s">
        <v>79</v>
      </c>
      <c r="R302" s="3" t="s">
        <v>44</v>
      </c>
      <c r="S302" s="3" t="s">
        <v>44</v>
      </c>
      <c r="T302" s="3" t="s">
        <v>45</v>
      </c>
      <c r="U302" s="5"/>
      <c r="V302" s="3" t="s">
        <v>606</v>
      </c>
      <c r="W302" s="3" t="s">
        <v>81</v>
      </c>
      <c r="X302" s="3" t="s">
        <v>48</v>
      </c>
      <c r="Y302" s="3" t="s">
        <v>83</v>
      </c>
      <c r="Z302" s="3" t="s">
        <v>83</v>
      </c>
      <c r="AA302" s="5">
        <v>24290</v>
      </c>
      <c r="AB302" s="3" t="s">
        <v>40</v>
      </c>
      <c r="AC302" s="3" t="s">
        <v>50</v>
      </c>
    </row>
    <row r="303" ht="12" customHeight="1" spans="1:29" x14ac:dyDescent="0.25">
      <c r="A303" s="3" t="s">
        <v>615</v>
      </c>
      <c r="B303" s="4" t="s">
        <v>30</v>
      </c>
      <c r="C303" s="3" t="s">
        <v>31</v>
      </c>
      <c r="D303" s="3" t="s">
        <v>32</v>
      </c>
      <c r="E303" s="3" t="s">
        <v>33</v>
      </c>
      <c r="F303" s="3" t="s">
        <v>34</v>
      </c>
      <c r="G303" s="3" t="s">
        <v>35</v>
      </c>
      <c r="H303" s="3" t="s">
        <v>35</v>
      </c>
      <c r="I303" s="3" t="s">
        <v>36</v>
      </c>
      <c r="J303" s="3" t="s">
        <v>36</v>
      </c>
      <c r="K303" s="3" t="s">
        <v>37</v>
      </c>
      <c r="L303" s="3" t="s">
        <v>38</v>
      </c>
      <c r="M303" s="3" t="s">
        <v>39</v>
      </c>
      <c r="N303" s="3" t="s">
        <v>40</v>
      </c>
      <c r="O303" s="3" t="s">
        <v>41</v>
      </c>
      <c r="P303" s="3" t="s">
        <v>42</v>
      </c>
      <c r="Q303" s="3" t="s">
        <v>79</v>
      </c>
      <c r="R303" s="3" t="s">
        <v>44</v>
      </c>
      <c r="S303" s="3" t="s">
        <v>44</v>
      </c>
      <c r="T303" s="3" t="s">
        <v>45</v>
      </c>
      <c r="U303" s="5"/>
      <c r="V303" s="3" t="s">
        <v>606</v>
      </c>
      <c r="W303" s="3" t="s">
        <v>81</v>
      </c>
      <c r="X303" s="3" t="s">
        <v>48</v>
      </c>
      <c r="Y303" s="3" t="s">
        <v>83</v>
      </c>
      <c r="Z303" s="3" t="s">
        <v>83</v>
      </c>
      <c r="AA303" s="5">
        <v>25200</v>
      </c>
      <c r="AB303" s="3" t="s">
        <v>40</v>
      </c>
      <c r="AC303" s="3" t="s">
        <v>50</v>
      </c>
    </row>
    <row r="304" ht="12" customHeight="1" spans="1:29" x14ac:dyDescent="0.25">
      <c r="A304" s="3" t="s">
        <v>616</v>
      </c>
      <c r="B304" s="4" t="s">
        <v>30</v>
      </c>
      <c r="C304" s="3" t="s">
        <v>31</v>
      </c>
      <c r="D304" s="3" t="s">
        <v>32</v>
      </c>
      <c r="E304" s="3" t="s">
        <v>33</v>
      </c>
      <c r="F304" s="3" t="s">
        <v>34</v>
      </c>
      <c r="G304" s="3" t="s">
        <v>35</v>
      </c>
      <c r="H304" s="3" t="s">
        <v>35</v>
      </c>
      <c r="I304" s="3" t="s">
        <v>36</v>
      </c>
      <c r="J304" s="3" t="s">
        <v>36</v>
      </c>
      <c r="K304" s="3" t="s">
        <v>37</v>
      </c>
      <c r="L304" s="3" t="s">
        <v>38</v>
      </c>
      <c r="M304" s="3" t="s">
        <v>39</v>
      </c>
      <c r="N304" s="3" t="s">
        <v>40</v>
      </c>
      <c r="O304" s="3" t="s">
        <v>41</v>
      </c>
      <c r="P304" s="3" t="s">
        <v>42</v>
      </c>
      <c r="Q304" s="3" t="s">
        <v>79</v>
      </c>
      <c r="R304" s="3" t="s">
        <v>44</v>
      </c>
      <c r="S304" s="3" t="s">
        <v>44</v>
      </c>
      <c r="T304" s="3" t="s">
        <v>45</v>
      </c>
      <c r="U304" s="5"/>
      <c r="V304" s="3" t="s">
        <v>606</v>
      </c>
      <c r="W304" s="3" t="s">
        <v>81</v>
      </c>
      <c r="X304" s="3" t="s">
        <v>48</v>
      </c>
      <c r="Y304" s="3" t="s">
        <v>83</v>
      </c>
      <c r="Z304" s="3" t="s">
        <v>83</v>
      </c>
      <c r="AA304" s="5">
        <v>25100</v>
      </c>
      <c r="AB304" s="3" t="s">
        <v>40</v>
      </c>
      <c r="AC304" s="3" t="s">
        <v>50</v>
      </c>
    </row>
    <row r="305" ht="12" customHeight="1" spans="1:29" x14ac:dyDescent="0.25">
      <c r="A305" s="3" t="s">
        <v>617</v>
      </c>
      <c r="B305" s="4" t="s">
        <v>30</v>
      </c>
      <c r="C305" s="3" t="s">
        <v>31</v>
      </c>
      <c r="D305" s="3" t="s">
        <v>32</v>
      </c>
      <c r="E305" s="3" t="s">
        <v>33</v>
      </c>
      <c r="F305" s="3" t="s">
        <v>34</v>
      </c>
      <c r="G305" s="3" t="s">
        <v>35</v>
      </c>
      <c r="H305" s="3" t="s">
        <v>35</v>
      </c>
      <c r="I305" s="3" t="s">
        <v>36</v>
      </c>
      <c r="J305" s="3" t="s">
        <v>36</v>
      </c>
      <c r="K305" s="3" t="s">
        <v>37</v>
      </c>
      <c r="L305" s="3" t="s">
        <v>38</v>
      </c>
      <c r="M305" s="3" t="s">
        <v>39</v>
      </c>
      <c r="N305" s="3" t="s">
        <v>40</v>
      </c>
      <c r="O305" s="3" t="s">
        <v>41</v>
      </c>
      <c r="P305" s="3" t="s">
        <v>42</v>
      </c>
      <c r="Q305" s="3" t="s">
        <v>79</v>
      </c>
      <c r="R305" s="3" t="s">
        <v>44</v>
      </c>
      <c r="S305" s="3" t="s">
        <v>44</v>
      </c>
      <c r="T305" s="3" t="s">
        <v>45</v>
      </c>
      <c r="U305" s="5"/>
      <c r="V305" s="3" t="s">
        <v>606</v>
      </c>
      <c r="W305" s="3" t="s">
        <v>81</v>
      </c>
      <c r="X305" s="3" t="s">
        <v>48</v>
      </c>
      <c r="Y305" s="3" t="s">
        <v>83</v>
      </c>
      <c r="Z305" s="3" t="s">
        <v>83</v>
      </c>
      <c r="AA305" s="5">
        <v>24700</v>
      </c>
      <c r="AB305" s="3" t="s">
        <v>40</v>
      </c>
      <c r="AC305" s="3" t="s">
        <v>50</v>
      </c>
    </row>
    <row r="306" ht="12" customHeight="1" spans="1:29" x14ac:dyDescent="0.25">
      <c r="A306" s="3" t="s">
        <v>618</v>
      </c>
      <c r="B306" s="4" t="s">
        <v>30</v>
      </c>
      <c r="C306" s="3" t="s">
        <v>31</v>
      </c>
      <c r="D306" s="3" t="s">
        <v>32</v>
      </c>
      <c r="E306" s="3" t="s">
        <v>33</v>
      </c>
      <c r="F306" s="3" t="s">
        <v>34</v>
      </c>
      <c r="G306" s="3" t="s">
        <v>35</v>
      </c>
      <c r="H306" s="3" t="s">
        <v>35</v>
      </c>
      <c r="I306" s="3" t="s">
        <v>36</v>
      </c>
      <c r="J306" s="3" t="s">
        <v>36</v>
      </c>
      <c r="K306" s="3" t="s">
        <v>37</v>
      </c>
      <c r="L306" s="3" t="s">
        <v>38</v>
      </c>
      <c r="M306" s="3" t="s">
        <v>39</v>
      </c>
      <c r="N306" s="3" t="s">
        <v>40</v>
      </c>
      <c r="O306" s="3" t="s">
        <v>41</v>
      </c>
      <c r="P306" s="3" t="s">
        <v>42</v>
      </c>
      <c r="Q306" s="3" t="s">
        <v>79</v>
      </c>
      <c r="R306" s="3" t="s">
        <v>44</v>
      </c>
      <c r="S306" s="3" t="s">
        <v>44</v>
      </c>
      <c r="T306" s="3" t="s">
        <v>45</v>
      </c>
      <c r="U306" s="5"/>
      <c r="V306" s="3" t="s">
        <v>606</v>
      </c>
      <c r="W306" s="3" t="s">
        <v>81</v>
      </c>
      <c r="X306" s="3" t="s">
        <v>48</v>
      </c>
      <c r="Y306" s="3" t="s">
        <v>83</v>
      </c>
      <c r="Z306" s="3" t="s">
        <v>83</v>
      </c>
      <c r="AA306" s="5">
        <v>24820</v>
      </c>
      <c r="AB306" s="3" t="s">
        <v>40</v>
      </c>
      <c r="AC306" s="3" t="s">
        <v>50</v>
      </c>
    </row>
    <row r="307" ht="12" customHeight="1" spans="1:29" x14ac:dyDescent="0.25">
      <c r="A307" s="3" t="s">
        <v>619</v>
      </c>
      <c r="B307" s="4" t="s">
        <v>30</v>
      </c>
      <c r="C307" s="3" t="s">
        <v>31</v>
      </c>
      <c r="D307" s="3" t="s">
        <v>32</v>
      </c>
      <c r="E307" s="3" t="s">
        <v>33</v>
      </c>
      <c r="F307" s="3" t="s">
        <v>34</v>
      </c>
      <c r="G307" s="3" t="s">
        <v>35</v>
      </c>
      <c r="H307" s="3" t="s">
        <v>35</v>
      </c>
      <c r="I307" s="3" t="s">
        <v>36</v>
      </c>
      <c r="J307" s="3" t="s">
        <v>36</v>
      </c>
      <c r="K307" s="3" t="s">
        <v>37</v>
      </c>
      <c r="L307" s="3" t="s">
        <v>38</v>
      </c>
      <c r="M307" s="3" t="s">
        <v>39</v>
      </c>
      <c r="N307" s="3" t="s">
        <v>40</v>
      </c>
      <c r="O307" s="3" t="s">
        <v>41</v>
      </c>
      <c r="P307" s="3" t="s">
        <v>42</v>
      </c>
      <c r="Q307" s="3" t="s">
        <v>252</v>
      </c>
      <c r="R307" s="3" t="s">
        <v>44</v>
      </c>
      <c r="S307" s="3" t="s">
        <v>44</v>
      </c>
      <c r="T307" s="3" t="s">
        <v>45</v>
      </c>
      <c r="U307" s="5"/>
      <c r="V307" s="3" t="s">
        <v>606</v>
      </c>
      <c r="W307" s="3" t="s">
        <v>253</v>
      </c>
      <c r="X307" s="3" t="s">
        <v>48</v>
      </c>
      <c r="Y307" s="3" t="s">
        <v>131</v>
      </c>
      <c r="Z307" s="3" t="s">
        <v>254</v>
      </c>
      <c r="AA307" s="5">
        <v>27140.4</v>
      </c>
      <c r="AB307" s="3" t="s">
        <v>40</v>
      </c>
      <c r="AC307" s="3" t="s">
        <v>50</v>
      </c>
    </row>
    <row r="308" ht="12" customHeight="1" spans="1:29" x14ac:dyDescent="0.25">
      <c r="A308" s="3" t="s">
        <v>620</v>
      </c>
      <c r="B308" s="4" t="s">
        <v>30</v>
      </c>
      <c r="C308" s="3" t="s">
        <v>31</v>
      </c>
      <c r="D308" s="3" t="s">
        <v>32</v>
      </c>
      <c r="E308" s="3" t="s">
        <v>33</v>
      </c>
      <c r="F308" s="3" t="s">
        <v>34</v>
      </c>
      <c r="G308" s="3" t="s">
        <v>35</v>
      </c>
      <c r="H308" s="3" t="s">
        <v>35</v>
      </c>
      <c r="I308" s="3" t="s">
        <v>36</v>
      </c>
      <c r="J308" s="3" t="s">
        <v>36</v>
      </c>
      <c r="K308" s="3" t="s">
        <v>37</v>
      </c>
      <c r="L308" s="3" t="s">
        <v>38</v>
      </c>
      <c r="M308" s="3" t="s">
        <v>39</v>
      </c>
      <c r="N308" s="3" t="s">
        <v>40</v>
      </c>
      <c r="O308" s="3" t="s">
        <v>41</v>
      </c>
      <c r="P308" s="3" t="s">
        <v>42</v>
      </c>
      <c r="Q308" s="3" t="s">
        <v>257</v>
      </c>
      <c r="R308" s="3" t="s">
        <v>44</v>
      </c>
      <c r="S308" s="3" t="s">
        <v>44</v>
      </c>
      <c r="T308" s="3" t="s">
        <v>45</v>
      </c>
      <c r="U308" s="5"/>
      <c r="V308" s="3" t="s">
        <v>606</v>
      </c>
      <c r="W308" s="3" t="s">
        <v>74</v>
      </c>
      <c r="X308" s="3" t="s">
        <v>48</v>
      </c>
      <c r="Y308" s="3" t="s">
        <v>111</v>
      </c>
      <c r="Z308" s="3" t="s">
        <v>111</v>
      </c>
      <c r="AA308" s="5">
        <v>24240</v>
      </c>
      <c r="AB308" s="3" t="s">
        <v>40</v>
      </c>
      <c r="AC308" s="3" t="s">
        <v>50</v>
      </c>
    </row>
    <row r="309" ht="12" customHeight="1" spans="1:29" x14ac:dyDescent="0.25">
      <c r="A309" s="3" t="s">
        <v>621</v>
      </c>
      <c r="B309" s="4" t="s">
        <v>30</v>
      </c>
      <c r="C309" s="3" t="s">
        <v>31</v>
      </c>
      <c r="D309" s="3" t="s">
        <v>32</v>
      </c>
      <c r="E309" s="3" t="s">
        <v>33</v>
      </c>
      <c r="F309" s="3" t="s">
        <v>34</v>
      </c>
      <c r="G309" s="3" t="s">
        <v>35</v>
      </c>
      <c r="H309" s="3" t="s">
        <v>35</v>
      </c>
      <c r="I309" s="3" t="s">
        <v>36</v>
      </c>
      <c r="J309" s="3" t="s">
        <v>36</v>
      </c>
      <c r="K309" s="3" t="s">
        <v>37</v>
      </c>
      <c r="L309" s="3" t="s">
        <v>38</v>
      </c>
      <c r="M309" s="3" t="s">
        <v>39</v>
      </c>
      <c r="N309" s="3" t="s">
        <v>40</v>
      </c>
      <c r="O309" s="3" t="s">
        <v>41</v>
      </c>
      <c r="P309" s="3" t="s">
        <v>42</v>
      </c>
      <c r="Q309" s="3" t="s">
        <v>257</v>
      </c>
      <c r="R309" s="3" t="s">
        <v>44</v>
      </c>
      <c r="S309" s="3" t="s">
        <v>44</v>
      </c>
      <c r="T309" s="3" t="s">
        <v>45</v>
      </c>
      <c r="U309" s="5"/>
      <c r="V309" s="3" t="s">
        <v>606</v>
      </c>
      <c r="W309" s="3" t="s">
        <v>74</v>
      </c>
      <c r="X309" s="3" t="s">
        <v>48</v>
      </c>
      <c r="Y309" s="3" t="s">
        <v>111</v>
      </c>
      <c r="Z309" s="3" t="s">
        <v>111</v>
      </c>
      <c r="AA309" s="5">
        <v>24240</v>
      </c>
      <c r="AB309" s="3" t="s">
        <v>40</v>
      </c>
      <c r="AC309" s="3" t="s">
        <v>50</v>
      </c>
    </row>
    <row r="310" ht="12" customHeight="1" spans="1:29" x14ac:dyDescent="0.25">
      <c r="A310" s="3" t="s">
        <v>622</v>
      </c>
      <c r="B310" s="4" t="s">
        <v>30</v>
      </c>
      <c r="C310" s="3" t="s">
        <v>31</v>
      </c>
      <c r="D310" s="3" t="s">
        <v>32</v>
      </c>
      <c r="E310" s="3" t="s">
        <v>33</v>
      </c>
      <c r="F310" s="3" t="s">
        <v>34</v>
      </c>
      <c r="G310" s="3" t="s">
        <v>35</v>
      </c>
      <c r="H310" s="3" t="s">
        <v>35</v>
      </c>
      <c r="I310" s="3" t="s">
        <v>36</v>
      </c>
      <c r="J310" s="3" t="s">
        <v>36</v>
      </c>
      <c r="K310" s="3" t="s">
        <v>37</v>
      </c>
      <c r="L310" s="3" t="s">
        <v>38</v>
      </c>
      <c r="M310" s="3" t="s">
        <v>39</v>
      </c>
      <c r="N310" s="3" t="s">
        <v>40</v>
      </c>
      <c r="O310" s="3" t="s">
        <v>41</v>
      </c>
      <c r="P310" s="3" t="s">
        <v>42</v>
      </c>
      <c r="Q310" s="3" t="s">
        <v>43</v>
      </c>
      <c r="R310" s="3" t="s">
        <v>44</v>
      </c>
      <c r="S310" s="3" t="s">
        <v>44</v>
      </c>
      <c r="T310" s="3" t="s">
        <v>45</v>
      </c>
      <c r="U310" s="5"/>
      <c r="V310" s="3" t="s">
        <v>623</v>
      </c>
      <c r="W310" s="3" t="s">
        <v>47</v>
      </c>
      <c r="X310" s="3" t="s">
        <v>48</v>
      </c>
      <c r="Y310" s="3" t="s">
        <v>49</v>
      </c>
      <c r="Z310" s="3" t="s">
        <v>49</v>
      </c>
      <c r="AA310" s="5">
        <v>22462</v>
      </c>
      <c r="AB310" s="3" t="s">
        <v>40</v>
      </c>
      <c r="AC310" s="3" t="s">
        <v>50</v>
      </c>
    </row>
    <row r="311" ht="12" customHeight="1" spans="1:29" x14ac:dyDescent="0.25">
      <c r="A311" s="3" t="s">
        <v>624</v>
      </c>
      <c r="B311" s="4" t="s">
        <v>30</v>
      </c>
      <c r="C311" s="3" t="s">
        <v>31</v>
      </c>
      <c r="D311" s="3" t="s">
        <v>32</v>
      </c>
      <c r="E311" s="3" t="s">
        <v>33</v>
      </c>
      <c r="F311" s="3" t="s">
        <v>34</v>
      </c>
      <c r="G311" s="3" t="s">
        <v>35</v>
      </c>
      <c r="H311" s="3" t="s">
        <v>35</v>
      </c>
      <c r="I311" s="3" t="s">
        <v>36</v>
      </c>
      <c r="J311" s="3" t="s">
        <v>36</v>
      </c>
      <c r="K311" s="3" t="s">
        <v>37</v>
      </c>
      <c r="L311" s="3" t="s">
        <v>38</v>
      </c>
      <c r="M311" s="3" t="s">
        <v>39</v>
      </c>
      <c r="N311" s="3" t="s">
        <v>40</v>
      </c>
      <c r="O311" s="3" t="s">
        <v>41</v>
      </c>
      <c r="P311" s="3" t="s">
        <v>42</v>
      </c>
      <c r="Q311" s="3" t="s">
        <v>79</v>
      </c>
      <c r="R311" s="3" t="s">
        <v>44</v>
      </c>
      <c r="S311" s="3" t="s">
        <v>44</v>
      </c>
      <c r="T311" s="3" t="s">
        <v>45</v>
      </c>
      <c r="U311" s="5"/>
      <c r="V311" s="3" t="s">
        <v>623</v>
      </c>
      <c r="W311" s="3" t="s">
        <v>81</v>
      </c>
      <c r="X311" s="3" t="s">
        <v>48</v>
      </c>
      <c r="Y311" s="3" t="s">
        <v>83</v>
      </c>
      <c r="Z311" s="3" t="s">
        <v>83</v>
      </c>
      <c r="AA311" s="5">
        <v>24340</v>
      </c>
      <c r="AB311" s="3" t="s">
        <v>40</v>
      </c>
      <c r="AC311" s="3" t="s">
        <v>50</v>
      </c>
    </row>
    <row r="312" ht="12" customHeight="1" spans="1:29" x14ac:dyDescent="0.25">
      <c r="A312" s="3" t="s">
        <v>625</v>
      </c>
      <c r="B312" s="4" t="s">
        <v>30</v>
      </c>
      <c r="C312" s="3" t="s">
        <v>31</v>
      </c>
      <c r="D312" s="3" t="s">
        <v>32</v>
      </c>
      <c r="E312" s="3" t="s">
        <v>33</v>
      </c>
      <c r="F312" s="3" t="s">
        <v>34</v>
      </c>
      <c r="G312" s="3" t="s">
        <v>52</v>
      </c>
      <c r="H312" s="3" t="s">
        <v>35</v>
      </c>
      <c r="I312" s="3" t="s">
        <v>36</v>
      </c>
      <c r="J312" s="3" t="s">
        <v>36</v>
      </c>
      <c r="K312" s="3" t="s">
        <v>37</v>
      </c>
      <c r="L312" s="3" t="s">
        <v>38</v>
      </c>
      <c r="M312" s="3" t="s">
        <v>39</v>
      </c>
      <c r="N312" s="3" t="s">
        <v>40</v>
      </c>
      <c r="O312" s="3" t="s">
        <v>41</v>
      </c>
      <c r="P312" s="3" t="s">
        <v>42</v>
      </c>
      <c r="Q312" s="3" t="s">
        <v>136</v>
      </c>
      <c r="R312" s="3" t="s">
        <v>44</v>
      </c>
      <c r="S312" s="3" t="s">
        <v>44</v>
      </c>
      <c r="T312" s="3" t="s">
        <v>45</v>
      </c>
      <c r="U312" s="5"/>
      <c r="V312" s="3" t="s">
        <v>623</v>
      </c>
      <c r="W312" s="3" t="s">
        <v>55</v>
      </c>
      <c r="X312" s="3" t="s">
        <v>48</v>
      </c>
      <c r="Y312" s="3" t="s">
        <v>56</v>
      </c>
      <c r="Z312" s="3" t="s">
        <v>56</v>
      </c>
      <c r="AA312" s="5">
        <v>15600</v>
      </c>
      <c r="AB312" s="3" t="s">
        <v>40</v>
      </c>
      <c r="AC312" s="3" t="s">
        <v>50</v>
      </c>
    </row>
    <row r="313" ht="12" customHeight="1" spans="1:29" x14ac:dyDescent="0.25">
      <c r="A313" s="3" t="s">
        <v>626</v>
      </c>
      <c r="B313" s="4" t="s">
        <v>30</v>
      </c>
      <c r="C313" s="3" t="s">
        <v>31</v>
      </c>
      <c r="D313" s="3" t="s">
        <v>32</v>
      </c>
      <c r="E313" s="3" t="s">
        <v>33</v>
      </c>
      <c r="F313" s="3" t="s">
        <v>34</v>
      </c>
      <c r="G313" s="3" t="s">
        <v>52</v>
      </c>
      <c r="H313" s="3" t="s">
        <v>35</v>
      </c>
      <c r="I313" s="3" t="s">
        <v>36</v>
      </c>
      <c r="J313" s="3" t="s">
        <v>36</v>
      </c>
      <c r="K313" s="3" t="s">
        <v>37</v>
      </c>
      <c r="L313" s="3" t="s">
        <v>38</v>
      </c>
      <c r="M313" s="3" t="s">
        <v>39</v>
      </c>
      <c r="N313" s="3" t="s">
        <v>40</v>
      </c>
      <c r="O313" s="3" t="s">
        <v>41</v>
      </c>
      <c r="P313" s="3" t="s">
        <v>42</v>
      </c>
      <c r="Q313" s="3" t="s">
        <v>136</v>
      </c>
      <c r="R313" s="3" t="s">
        <v>44</v>
      </c>
      <c r="S313" s="3" t="s">
        <v>44</v>
      </c>
      <c r="T313" s="3" t="s">
        <v>45</v>
      </c>
      <c r="U313" s="5"/>
      <c r="V313" s="3" t="s">
        <v>623</v>
      </c>
      <c r="W313" s="3" t="s">
        <v>55</v>
      </c>
      <c r="X313" s="3" t="s">
        <v>48</v>
      </c>
      <c r="Y313" s="3" t="s">
        <v>56</v>
      </c>
      <c r="Z313" s="3" t="s">
        <v>56</v>
      </c>
      <c r="AA313" s="5">
        <v>15600</v>
      </c>
      <c r="AB313" s="3" t="s">
        <v>40</v>
      </c>
      <c r="AC313" s="3" t="s">
        <v>50</v>
      </c>
    </row>
    <row r="314" ht="12" customHeight="1" spans="1:29" x14ac:dyDescent="0.25">
      <c r="A314" s="3" t="s">
        <v>627</v>
      </c>
      <c r="B314" s="4" t="s">
        <v>30</v>
      </c>
      <c r="C314" s="3" t="s">
        <v>31</v>
      </c>
      <c r="D314" s="3" t="s">
        <v>32</v>
      </c>
      <c r="E314" s="3" t="s">
        <v>95</v>
      </c>
      <c r="F314" s="3" t="s">
        <v>34</v>
      </c>
      <c r="G314" s="3" t="s">
        <v>52</v>
      </c>
      <c r="H314" s="3" t="s">
        <v>35</v>
      </c>
      <c r="I314" s="3" t="s">
        <v>36</v>
      </c>
      <c r="J314" s="3" t="s">
        <v>36</v>
      </c>
      <c r="K314" s="3" t="s">
        <v>37</v>
      </c>
      <c r="L314" s="3" t="s">
        <v>38</v>
      </c>
      <c r="M314" s="3" t="s">
        <v>39</v>
      </c>
      <c r="N314" s="3" t="s">
        <v>40</v>
      </c>
      <c r="O314" s="3" t="s">
        <v>41</v>
      </c>
      <c r="P314" s="3" t="s">
        <v>42</v>
      </c>
      <c r="Q314" s="3" t="s">
        <v>628</v>
      </c>
      <c r="R314" s="3" t="s">
        <v>44</v>
      </c>
      <c r="S314" s="3" t="s">
        <v>44</v>
      </c>
      <c r="T314" s="3" t="s">
        <v>45</v>
      </c>
      <c r="U314" s="5"/>
      <c r="V314" s="3" t="s">
        <v>629</v>
      </c>
      <c r="W314" s="3" t="s">
        <v>630</v>
      </c>
      <c r="X314" s="3" t="s">
        <v>48</v>
      </c>
      <c r="Y314" s="3" t="s">
        <v>631</v>
      </c>
      <c r="Z314" s="3" t="s">
        <v>631</v>
      </c>
      <c r="AA314" s="5">
        <v>21960</v>
      </c>
      <c r="AB314" s="3" t="s">
        <v>40</v>
      </c>
      <c r="AC314" s="3" t="s">
        <v>50</v>
      </c>
    </row>
    <row r="315" ht="12" customHeight="1" spans="1:29" x14ac:dyDescent="0.25">
      <c r="A315" s="3" t="s">
        <v>632</v>
      </c>
      <c r="B315" s="4" t="s">
        <v>30</v>
      </c>
      <c r="C315" s="3" t="s">
        <v>31</v>
      </c>
      <c r="D315" s="3" t="s">
        <v>32</v>
      </c>
      <c r="E315" s="3" t="s">
        <v>95</v>
      </c>
      <c r="F315" s="3" t="s">
        <v>34</v>
      </c>
      <c r="G315" s="3" t="s">
        <v>52</v>
      </c>
      <c r="H315" s="3" t="s">
        <v>35</v>
      </c>
      <c r="I315" s="3" t="s">
        <v>36</v>
      </c>
      <c r="J315" s="3" t="s">
        <v>36</v>
      </c>
      <c r="K315" s="3" t="s">
        <v>37</v>
      </c>
      <c r="L315" s="3" t="s">
        <v>38</v>
      </c>
      <c r="M315" s="3" t="s">
        <v>39</v>
      </c>
      <c r="N315" s="3" t="s">
        <v>40</v>
      </c>
      <c r="O315" s="3" t="s">
        <v>41</v>
      </c>
      <c r="P315" s="3" t="s">
        <v>42</v>
      </c>
      <c r="Q315" s="3" t="s">
        <v>399</v>
      </c>
      <c r="R315" s="3" t="s">
        <v>44</v>
      </c>
      <c r="S315" s="3" t="s">
        <v>44</v>
      </c>
      <c r="T315" s="3" t="s">
        <v>45</v>
      </c>
      <c r="U315" s="5"/>
      <c r="V315" s="3" t="s">
        <v>629</v>
      </c>
      <c r="W315" s="3" t="s">
        <v>400</v>
      </c>
      <c r="X315" s="3" t="s">
        <v>48</v>
      </c>
      <c r="Y315" s="3" t="s">
        <v>401</v>
      </c>
      <c r="Z315" s="3" t="s">
        <v>401</v>
      </c>
      <c r="AA315" s="5">
        <v>16578.8</v>
      </c>
      <c r="AB315" s="3" t="s">
        <v>40</v>
      </c>
      <c r="AC315" s="3" t="s">
        <v>50</v>
      </c>
    </row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81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6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633</v>
      </c>
      <c r="B1" s="2" t="s">
        <v>634</v>
      </c>
      <c r="C1" s="2" t="s">
        <v>635</v>
      </c>
      <c r="D1" s="2" t="s">
        <v>636</v>
      </c>
      <c r="E1" s="2" t="s">
        <v>637</v>
      </c>
      <c r="F1" s="2" t="s">
        <v>638</v>
      </c>
      <c r="G1" s="2" t="s">
        <v>639</v>
      </c>
      <c r="H1" s="2" t="s">
        <v>640</v>
      </c>
      <c r="I1" s="2" t="s">
        <v>641</v>
      </c>
      <c r="J1" s="2" t="s">
        <v>642</v>
      </c>
      <c r="K1" s="2" t="s">
        <v>643</v>
      </c>
      <c r="L1" s="2" t="s">
        <v>644</v>
      </c>
      <c r="M1" s="2" t="s">
        <v>645</v>
      </c>
      <c r="N1" s="2" t="s">
        <v>646</v>
      </c>
      <c r="O1" s="2" t="s">
        <v>647</v>
      </c>
      <c r="P1" s="2" t="s">
        <v>648</v>
      </c>
      <c r="Q1" s="2" t="s">
        <v>649</v>
      </c>
      <c r="R1" s="2" t="s">
        <v>650</v>
      </c>
      <c r="S1" s="2" t="s">
        <v>651</v>
      </c>
      <c r="T1" s="2" t="s">
        <v>652</v>
      </c>
      <c r="U1" s="2" t="s">
        <v>653</v>
      </c>
      <c r="V1" s="2" t="s">
        <v>654</v>
      </c>
      <c r="W1" s="2" t="s">
        <v>655</v>
      </c>
      <c r="X1" s="2" t="s">
        <v>656</v>
      </c>
      <c r="Y1" s="2" t="s">
        <v>657</v>
      </c>
      <c r="Z1" s="2" t="s">
        <v>658</v>
      </c>
      <c r="AA1" s="2" t="s">
        <v>22</v>
      </c>
      <c r="AB1" s="2" t="s">
        <v>659</v>
      </c>
      <c r="AC1" s="2" t="s">
        <v>660</v>
      </c>
      <c r="AD1" s="2" t="s">
        <v>661</v>
      </c>
      <c r="AE1" s="2" t="s">
        <v>662</v>
      </c>
      <c r="AF1" s="2" t="s">
        <v>663</v>
      </c>
      <c r="AG1" s="2" t="s">
        <v>664</v>
      </c>
      <c r="AH1" s="2" t="s">
        <v>665</v>
      </c>
      <c r="AI1" s="2" t="s">
        <v>666</v>
      </c>
      <c r="AJ1" s="2" t="s">
        <v>667</v>
      </c>
      <c r="AK1" s="2" t="s">
        <v>668</v>
      </c>
      <c r="AL1" s="2" t="s">
        <v>669</v>
      </c>
      <c r="AM1" s="2" t="s">
        <v>670</v>
      </c>
      <c r="AN1" s="2" t="s">
        <v>671</v>
      </c>
      <c r="AO1" s="2" t="s">
        <v>672</v>
      </c>
      <c r="AP1" s="2" t="s">
        <v>673</v>
      </c>
      <c r="AQ1" s="2" t="s">
        <v>674</v>
      </c>
      <c r="AR1" s="2" t="s">
        <v>675</v>
      </c>
      <c r="AS1" s="2" t="s">
        <v>676</v>
      </c>
      <c r="AT1" s="2" t="s">
        <v>677</v>
      </c>
      <c r="AU1" s="2" t="s">
        <v>678</v>
      </c>
      <c r="AV1" s="2" t="s">
        <v>679</v>
      </c>
      <c r="AW1" s="2" t="s">
        <v>680</v>
      </c>
      <c r="AX1" s="2" t="s">
        <v>681</v>
      </c>
      <c r="AY1" s="2" t="s">
        <v>682</v>
      </c>
      <c r="AZ1" s="2" t="s">
        <v>20</v>
      </c>
      <c r="BA1" s="2" t="s">
        <v>683</v>
      </c>
      <c r="BB1" s="2" t="s">
        <v>684</v>
      </c>
      <c r="BC1" s="2" t="s">
        <v>685</v>
      </c>
      <c r="BD1" s="2" t="s">
        <v>686</v>
      </c>
      <c r="BE1" s="2" t="s">
        <v>687</v>
      </c>
      <c r="BF1" s="2" t="s">
        <v>688</v>
      </c>
      <c r="BG1" s="2" t="s">
        <v>689</v>
      </c>
      <c r="BH1" s="2" t="s">
        <v>690</v>
      </c>
      <c r="BI1" s="2" t="s">
        <v>691</v>
      </c>
      <c r="BJ1" s="2" t="s">
        <v>692</v>
      </c>
      <c r="BK1" s="2" t="s">
        <v>635</v>
      </c>
      <c r="BL1" s="2" t="s">
        <v>693</v>
      </c>
      <c r="BM1" s="2" t="s">
        <v>694</v>
      </c>
      <c r="BN1" s="2" t="s">
        <v>95</v>
      </c>
      <c r="BO1" s="2" t="s">
        <v>695</v>
      </c>
      <c r="BP1" s="2" t="s">
        <v>33</v>
      </c>
      <c r="BQ1" s="2" t="s">
        <v>696</v>
      </c>
      <c r="BR1" s="2" t="s">
        <v>268</v>
      </c>
      <c r="BS1" s="2" t="s">
        <v>697</v>
      </c>
      <c r="BT1" s="2" t="s">
        <v>698</v>
      </c>
      <c r="BU1" s="2" t="s">
        <v>699</v>
      </c>
      <c r="BV1" s="2" t="s">
        <v>700</v>
      </c>
      <c r="BW1" s="2" t="s">
        <v>701</v>
      </c>
      <c r="BX1" s="2" t="s">
        <v>702</v>
      </c>
      <c r="BY1" s="2" t="s">
        <v>703</v>
      </c>
      <c r="BZ1" s="2" t="s">
        <v>704</v>
      </c>
      <c r="CA1" s="2" t="s">
        <v>705</v>
      </c>
      <c r="CB1" s="2" t="s">
        <v>706</v>
      </c>
      <c r="CC1" s="2" t="s">
        <v>707</v>
      </c>
      <c r="CD1" s="2" t="s">
        <v>708</v>
      </c>
      <c r="CE1" s="2" t="s">
        <v>709</v>
      </c>
      <c r="CF1" s="2" t="s">
        <v>710</v>
      </c>
      <c r="CG1" s="2" t="s">
        <v>711</v>
      </c>
      <c r="CH1" s="2" t="s">
        <v>712</v>
      </c>
      <c r="CI1" s="2" t="s">
        <v>713</v>
      </c>
      <c r="CJ1" s="2" t="s">
        <v>22</v>
      </c>
      <c r="CK1" s="2" t="s">
        <v>24</v>
      </c>
      <c r="CL1" s="2" t="s">
        <v>25</v>
      </c>
      <c r="CM1" s="2" t="s">
        <v>714</v>
      </c>
      <c r="CN1" s="2" t="s">
        <v>715</v>
      </c>
      <c r="CO1" s="2" t="s">
        <v>716</v>
      </c>
      <c r="CP1" s="2" t="s">
        <v>717</v>
      </c>
      <c r="CQ1" s="2" t="s">
        <v>718</v>
      </c>
      <c r="CR1" s="2" t="s">
        <v>719</v>
      </c>
      <c r="CS1" s="2" t="s">
        <v>720</v>
      </c>
      <c r="CT1" s="2" t="s">
        <v>721</v>
      </c>
      <c r="CU1" s="2" t="s">
        <v>722</v>
      </c>
      <c r="CV1" s="2" t="s">
        <v>723</v>
      </c>
      <c r="CW1" s="2" t="s">
        <v>724</v>
      </c>
      <c r="CX1" s="2" t="s">
        <v>725</v>
      </c>
      <c r="CY1" s="7" t="s">
        <v>726</v>
      </c>
    </row>
    <row r="2" ht="12" customHeight="1" spans="1:103" x14ac:dyDescent="0.25">
      <c r="A2" s="8" t="s">
        <v>109</v>
      </c>
      <c r="B2" s="3" t="s">
        <v>727</v>
      </c>
      <c r="C2" s="5">
        <v>1</v>
      </c>
      <c r="D2" s="5">
        <v>1</v>
      </c>
      <c r="E2" s="5"/>
      <c r="F2" s="5">
        <v>0</v>
      </c>
      <c r="G2" s="5">
        <v>0</v>
      </c>
      <c r="H2" s="5">
        <v>0</v>
      </c>
      <c r="I2" s="5">
        <v>1</v>
      </c>
      <c r="J2" s="5">
        <v>2</v>
      </c>
      <c r="K2" s="3" t="s">
        <v>44</v>
      </c>
      <c r="L2" s="3" t="s">
        <v>728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729</v>
      </c>
      <c r="R2" s="4" t="s">
        <v>30</v>
      </c>
      <c r="S2" s="3" t="s">
        <v>36</v>
      </c>
      <c r="T2" s="3" t="s">
        <v>50</v>
      </c>
      <c r="U2" s="3" t="s">
        <v>36</v>
      </c>
      <c r="V2" s="4" t="s">
        <v>730</v>
      </c>
      <c r="W2" s="3" t="s">
        <v>731</v>
      </c>
      <c r="X2" s="5"/>
      <c r="Y2" s="5"/>
      <c r="Z2" s="5"/>
      <c r="AA2" s="3" t="s">
        <v>732</v>
      </c>
      <c r="AB2" s="3" t="s">
        <v>733</v>
      </c>
      <c r="AC2" s="9">
        <v>25100</v>
      </c>
      <c r="AD2" s="9">
        <v>29100</v>
      </c>
      <c r="AE2" s="3" t="s">
        <v>734</v>
      </c>
      <c r="AF2" s="3"/>
      <c r="AG2" s="5"/>
      <c r="AH2" s="3" t="s">
        <v>666</v>
      </c>
      <c r="AI2" s="5" t="s">
        <v>734</v>
      </c>
      <c r="AJ2" s="5"/>
      <c r="AK2" s="5"/>
      <c r="AL2" s="5"/>
      <c r="AM2" s="3" t="s">
        <v>735</v>
      </c>
      <c r="AN2" s="3" t="s">
        <v>736</v>
      </c>
      <c r="AO2" s="3" t="s">
        <v>737</v>
      </c>
      <c r="AP2" s="3" t="s">
        <v>738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 t="s">
        <v>739</v>
      </c>
      <c r="AZ2" s="3" t="s">
        <v>740</v>
      </c>
      <c r="BA2" s="5" t="s">
        <v>741</v>
      </c>
      <c r="BB2" s="3" t="s">
        <v>742</v>
      </c>
      <c r="BC2" s="4" t="s">
        <v>743</v>
      </c>
      <c r="BD2" s="4" t="s">
        <v>744</v>
      </c>
      <c r="BE2" s="3" t="s">
        <v>72</v>
      </c>
      <c r="BF2" s="3" t="s">
        <v>745</v>
      </c>
      <c r="BG2" s="3" t="s">
        <v>746</v>
      </c>
      <c r="BH2" s="3" t="s">
        <v>747</v>
      </c>
      <c r="BI2" s="5"/>
      <c r="BJ2" s="5"/>
      <c r="BK2" s="3" t="s">
        <v>748</v>
      </c>
      <c r="BL2" s="4" t="s">
        <v>749</v>
      </c>
      <c r="BM2" s="10"/>
      <c r="BN2" s="10"/>
      <c r="BO2" s="10"/>
      <c r="BP2" s="10">
        <v>1</v>
      </c>
      <c r="BQ2" s="10"/>
      <c r="BR2" s="10"/>
      <c r="BS2" s="10"/>
      <c r="BT2" s="10"/>
      <c r="BU2" s="10"/>
      <c r="BV2" s="10"/>
      <c r="BW2" s="10"/>
      <c r="BX2" s="10"/>
      <c r="BY2" s="3" t="s">
        <v>750</v>
      </c>
      <c r="BZ2" s="5"/>
      <c r="CA2" s="3"/>
      <c r="CB2" s="5"/>
      <c r="CC2" s="3" t="s">
        <v>40</v>
      </c>
      <c r="CD2" s="5"/>
      <c r="CE2" s="5"/>
      <c r="CF2" s="3" t="s">
        <v>751</v>
      </c>
      <c r="CG2" s="3" t="s">
        <v>752</v>
      </c>
      <c r="CH2" s="5"/>
      <c r="CI2" s="3" t="s">
        <v>753</v>
      </c>
      <c r="CJ2" s="3" t="s">
        <v>74</v>
      </c>
      <c r="CK2" s="3" t="s">
        <v>111</v>
      </c>
      <c r="CL2" s="3" t="s">
        <v>111</v>
      </c>
      <c r="CM2" s="5" t="s">
        <v>754</v>
      </c>
      <c r="CN2" s="3" t="s">
        <v>755</v>
      </c>
      <c r="CO2" s="3" t="s">
        <v>756</v>
      </c>
      <c r="CP2" s="5"/>
      <c r="CQ2" s="3" t="s">
        <v>757</v>
      </c>
      <c r="CR2" s="3" t="s">
        <v>758</v>
      </c>
      <c r="CS2" s="3" t="s">
        <v>732</v>
      </c>
      <c r="CT2" s="3" t="s">
        <v>72</v>
      </c>
      <c r="CU2" s="5"/>
      <c r="CV2" s="5"/>
      <c r="CW2" s="4" t="s">
        <v>759</v>
      </c>
      <c r="CX2" s="5" t="s">
        <v>760</v>
      </c>
      <c r="CY2" s="11" t="s">
        <v>761</v>
      </c>
    </row>
    <row r="3" ht="12" customHeight="1" spans="1:103" x14ac:dyDescent="0.25">
      <c r="A3" s="8" t="s">
        <v>312</v>
      </c>
      <c r="B3" s="3" t="s">
        <v>762</v>
      </c>
      <c r="C3" s="5">
        <v>1</v>
      </c>
      <c r="D3" s="5">
        <v>1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44</v>
      </c>
      <c r="L3" s="3" t="s">
        <v>728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729</v>
      </c>
      <c r="R3" s="4" t="s">
        <v>30</v>
      </c>
      <c r="S3" s="3" t="s">
        <v>311</v>
      </c>
      <c r="T3" s="3" t="s">
        <v>313</v>
      </c>
      <c r="U3" s="3" t="s">
        <v>311</v>
      </c>
      <c r="V3" s="4" t="s">
        <v>763</v>
      </c>
      <c r="W3" s="3" t="s">
        <v>764</v>
      </c>
      <c r="X3" s="5"/>
      <c r="Y3" s="5" t="s">
        <v>274</v>
      </c>
      <c r="Z3" s="5" t="s">
        <v>69</v>
      </c>
      <c r="AA3" s="3" t="s">
        <v>732</v>
      </c>
      <c r="AB3" s="3" t="s">
        <v>733</v>
      </c>
      <c r="AC3" s="9">
        <v>15150</v>
      </c>
      <c r="AD3" s="9">
        <v>17350</v>
      </c>
      <c r="AE3" s="3" t="s">
        <v>734</v>
      </c>
      <c r="AF3" s="3"/>
      <c r="AG3" s="5"/>
      <c r="AH3" s="3" t="s">
        <v>666</v>
      </c>
      <c r="AI3" s="5" t="s">
        <v>734</v>
      </c>
      <c r="AJ3" s="5"/>
      <c r="AK3" s="5"/>
      <c r="AL3" s="5"/>
      <c r="AM3" s="3" t="s">
        <v>735</v>
      </c>
      <c r="AN3" s="3" t="s">
        <v>736</v>
      </c>
      <c r="AO3" s="3" t="s">
        <v>765</v>
      </c>
      <c r="AP3" s="3" t="s">
        <v>738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 t="s">
        <v>739</v>
      </c>
      <c r="AZ3" s="3" t="s">
        <v>766</v>
      </c>
      <c r="BA3" s="5" t="s">
        <v>767</v>
      </c>
      <c r="BB3" s="3" t="s">
        <v>742</v>
      </c>
      <c r="BC3" s="4" t="s">
        <v>768</v>
      </c>
      <c r="BD3" s="4" t="s">
        <v>769</v>
      </c>
      <c r="BE3" s="3" t="s">
        <v>72</v>
      </c>
      <c r="BF3" s="3" t="s">
        <v>745</v>
      </c>
      <c r="BG3" s="3" t="s">
        <v>746</v>
      </c>
      <c r="BH3" s="3" t="s">
        <v>747</v>
      </c>
      <c r="BI3" s="5"/>
      <c r="BJ3" s="5"/>
      <c r="BK3" s="3" t="s">
        <v>770</v>
      </c>
      <c r="BL3" s="4" t="s">
        <v>771</v>
      </c>
      <c r="BM3" s="10"/>
      <c r="BN3" s="10">
        <v>1</v>
      </c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3" t="s">
        <v>750</v>
      </c>
      <c r="BZ3" s="5">
        <v>11</v>
      </c>
      <c r="CA3" s="3"/>
      <c r="CB3" s="5"/>
      <c r="CC3" s="3" t="s">
        <v>40</v>
      </c>
      <c r="CD3" s="5"/>
      <c r="CE3" s="5"/>
      <c r="CF3" s="3" t="s">
        <v>751</v>
      </c>
      <c r="CG3" s="3" t="s">
        <v>752</v>
      </c>
      <c r="CH3" s="5" t="s">
        <v>772</v>
      </c>
      <c r="CI3" s="3" t="s">
        <v>753</v>
      </c>
      <c r="CJ3" s="3" t="s">
        <v>74</v>
      </c>
      <c r="CK3" s="3" t="s">
        <v>282</v>
      </c>
      <c r="CL3" s="3" t="s">
        <v>282</v>
      </c>
      <c r="CM3" s="5" t="s">
        <v>754</v>
      </c>
      <c r="CN3" s="3" t="s">
        <v>755</v>
      </c>
      <c r="CO3" s="3" t="s">
        <v>756</v>
      </c>
      <c r="CP3" s="5"/>
      <c r="CQ3" s="3" t="s">
        <v>773</v>
      </c>
      <c r="CR3" s="3" t="s">
        <v>758</v>
      </c>
      <c r="CS3" s="3" t="s">
        <v>732</v>
      </c>
      <c r="CT3" s="3" t="s">
        <v>72</v>
      </c>
      <c r="CU3" s="5"/>
      <c r="CV3" s="5"/>
      <c r="CW3" s="4" t="s">
        <v>774</v>
      </c>
      <c r="CX3" s="5" t="s">
        <v>775</v>
      </c>
      <c r="CY3" s="11"/>
    </row>
    <row r="4" ht="12" customHeight="1" spans="1:103" x14ac:dyDescent="0.25">
      <c r="A4" s="8" t="s">
        <v>97</v>
      </c>
      <c r="B4" s="3" t="s">
        <v>776</v>
      </c>
      <c r="C4" s="5">
        <v>32</v>
      </c>
      <c r="D4" s="5">
        <v>32</v>
      </c>
      <c r="E4" s="5"/>
      <c r="F4" s="5">
        <v>0</v>
      </c>
      <c r="G4" s="5">
        <v>32</v>
      </c>
      <c r="H4" s="5">
        <v>0</v>
      </c>
      <c r="I4" s="5">
        <v>0</v>
      </c>
      <c r="J4" s="5">
        <v>32</v>
      </c>
      <c r="K4" s="3" t="s">
        <v>44</v>
      </c>
      <c r="L4" s="3" t="s">
        <v>728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729</v>
      </c>
      <c r="R4" s="4" t="s">
        <v>30</v>
      </c>
      <c r="S4" s="3" t="s">
        <v>96</v>
      </c>
      <c r="T4" s="3" t="s">
        <v>101</v>
      </c>
      <c r="U4" s="3" t="s">
        <v>96</v>
      </c>
      <c r="V4" s="4" t="s">
        <v>777</v>
      </c>
      <c r="W4" s="3" t="s">
        <v>764</v>
      </c>
      <c r="X4" s="5"/>
      <c r="Y4" s="5" t="s">
        <v>274</v>
      </c>
      <c r="Z4" s="5" t="s">
        <v>69</v>
      </c>
      <c r="AA4" s="3" t="s">
        <v>778</v>
      </c>
      <c r="AB4" s="3" t="s">
        <v>99</v>
      </c>
      <c r="AC4" s="9">
        <v>689513.2</v>
      </c>
      <c r="AD4" s="9">
        <v>759913.2</v>
      </c>
      <c r="AE4" s="3" t="s">
        <v>734</v>
      </c>
      <c r="AF4" s="3" t="s">
        <v>663</v>
      </c>
      <c r="AG4" s="5"/>
      <c r="AH4" s="3" t="s">
        <v>666</v>
      </c>
      <c r="AI4" s="5" t="s">
        <v>734</v>
      </c>
      <c r="AJ4" s="5"/>
      <c r="AK4" s="5"/>
      <c r="AL4" s="5"/>
      <c r="AM4" s="3" t="s">
        <v>779</v>
      </c>
      <c r="AN4" s="3" t="s">
        <v>780</v>
      </c>
      <c r="AO4" s="3" t="s">
        <v>781</v>
      </c>
      <c r="AP4" s="3" t="s">
        <v>17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 t="s">
        <v>739</v>
      </c>
      <c r="AZ4" s="3" t="s">
        <v>782</v>
      </c>
      <c r="BA4" s="5" t="s">
        <v>783</v>
      </c>
      <c r="BB4" s="3" t="s">
        <v>742</v>
      </c>
      <c r="BC4" s="4" t="s">
        <v>784</v>
      </c>
      <c r="BD4" s="4" t="s">
        <v>785</v>
      </c>
      <c r="BE4" s="3" t="s">
        <v>72</v>
      </c>
      <c r="BF4" s="3" t="s">
        <v>786</v>
      </c>
      <c r="BG4" s="3" t="s">
        <v>746</v>
      </c>
      <c r="BH4" s="3" t="s">
        <v>747</v>
      </c>
      <c r="BI4" s="5"/>
      <c r="BJ4" s="5"/>
      <c r="BK4" s="3" t="s">
        <v>748</v>
      </c>
      <c r="BL4" s="4" t="s">
        <v>787</v>
      </c>
      <c r="BM4" s="10"/>
      <c r="BN4" s="10">
        <v>32</v>
      </c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3" t="s">
        <v>750</v>
      </c>
      <c r="BZ4" s="5">
        <v>3</v>
      </c>
      <c r="CA4" s="3" t="s">
        <v>72</v>
      </c>
      <c r="CB4" s="5"/>
      <c r="CC4" s="3" t="s">
        <v>40</v>
      </c>
      <c r="CD4" s="5"/>
      <c r="CE4" s="5"/>
      <c r="CF4" s="3" t="s">
        <v>751</v>
      </c>
      <c r="CG4" s="3" t="s">
        <v>752</v>
      </c>
      <c r="CH4" s="5" t="s">
        <v>788</v>
      </c>
      <c r="CI4" s="3" t="s">
        <v>789</v>
      </c>
      <c r="CJ4" s="3" t="s">
        <v>99</v>
      </c>
      <c r="CK4" s="3" t="s">
        <v>100</v>
      </c>
      <c r="CL4" s="3" t="s">
        <v>100</v>
      </c>
      <c r="CM4" s="5" t="s">
        <v>754</v>
      </c>
      <c r="CN4" s="3" t="s">
        <v>755</v>
      </c>
      <c r="CO4" s="3" t="s">
        <v>756</v>
      </c>
      <c r="CP4" s="5"/>
      <c r="CQ4" s="3" t="s">
        <v>790</v>
      </c>
      <c r="CR4" s="3" t="s">
        <v>791</v>
      </c>
      <c r="CS4" s="3" t="s">
        <v>778</v>
      </c>
      <c r="CT4" s="3" t="s">
        <v>44</v>
      </c>
      <c r="CU4" s="5"/>
      <c r="CV4" s="5"/>
      <c r="CW4" s="4" t="s">
        <v>792</v>
      </c>
      <c r="CX4" s="5" t="s">
        <v>793</v>
      </c>
      <c r="CY4" s="11"/>
    </row>
    <row r="5" ht="12" customHeight="1" spans="1:103" x14ac:dyDescent="0.25">
      <c r="A5" s="8" t="s">
        <v>388</v>
      </c>
      <c r="B5" s="3" t="s">
        <v>762</v>
      </c>
      <c r="C5" s="5">
        <v>1</v>
      </c>
      <c r="D5" s="5">
        <v>1</v>
      </c>
      <c r="E5" s="5"/>
      <c r="F5" s="5">
        <v>0</v>
      </c>
      <c r="G5" s="5">
        <v>1</v>
      </c>
      <c r="H5" s="5">
        <v>0</v>
      </c>
      <c r="I5" s="5">
        <v>0</v>
      </c>
      <c r="J5" s="5">
        <v>1</v>
      </c>
      <c r="K5" s="3" t="s">
        <v>44</v>
      </c>
      <c r="L5" s="3" t="s">
        <v>728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729</v>
      </c>
      <c r="R5" s="4" t="s">
        <v>30</v>
      </c>
      <c r="S5" s="3" t="s">
        <v>387</v>
      </c>
      <c r="T5" s="3" t="s">
        <v>389</v>
      </c>
      <c r="U5" s="3" t="s">
        <v>387</v>
      </c>
      <c r="V5" s="4" t="s">
        <v>794</v>
      </c>
      <c r="W5" s="3" t="s">
        <v>764</v>
      </c>
      <c r="X5" s="5"/>
      <c r="Y5" s="5" t="s">
        <v>274</v>
      </c>
      <c r="Z5" s="5" t="s">
        <v>69</v>
      </c>
      <c r="AA5" s="3" t="s">
        <v>732</v>
      </c>
      <c r="AB5" s="3" t="s">
        <v>733</v>
      </c>
      <c r="AC5" s="9">
        <v>16096</v>
      </c>
      <c r="AD5" s="9">
        <v>18296</v>
      </c>
      <c r="AE5" s="3" t="s">
        <v>734</v>
      </c>
      <c r="AF5" s="3"/>
      <c r="AG5" s="5"/>
      <c r="AH5" s="3" t="s">
        <v>666</v>
      </c>
      <c r="AI5" s="5" t="s">
        <v>734</v>
      </c>
      <c r="AJ5" s="5"/>
      <c r="AK5" s="5"/>
      <c r="AL5" s="5"/>
      <c r="AM5" s="3" t="s">
        <v>735</v>
      </c>
      <c r="AN5" s="3" t="s">
        <v>736</v>
      </c>
      <c r="AO5" s="3" t="s">
        <v>737</v>
      </c>
      <c r="AP5" s="3" t="s">
        <v>738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 t="s">
        <v>739</v>
      </c>
      <c r="AZ5" s="3" t="s">
        <v>795</v>
      </c>
      <c r="BA5" s="5" t="s">
        <v>796</v>
      </c>
      <c r="BB5" s="3" t="s">
        <v>742</v>
      </c>
      <c r="BC5" s="4" t="s">
        <v>784</v>
      </c>
      <c r="BD5" s="4" t="s">
        <v>797</v>
      </c>
      <c r="BE5" s="3" t="s">
        <v>72</v>
      </c>
      <c r="BF5" s="3" t="s">
        <v>745</v>
      </c>
      <c r="BG5" s="3" t="s">
        <v>746</v>
      </c>
      <c r="BH5" s="3" t="s">
        <v>747</v>
      </c>
      <c r="BI5" s="5"/>
      <c r="BJ5" s="5"/>
      <c r="BK5" s="3" t="s">
        <v>748</v>
      </c>
      <c r="BL5" s="4" t="s">
        <v>787</v>
      </c>
      <c r="BM5" s="10"/>
      <c r="BN5" s="10">
        <v>1</v>
      </c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3" t="s">
        <v>750</v>
      </c>
      <c r="BZ5" s="5">
        <v>9</v>
      </c>
      <c r="CA5" s="3"/>
      <c r="CB5" s="5"/>
      <c r="CC5" s="3" t="s">
        <v>40</v>
      </c>
      <c r="CD5" s="5"/>
      <c r="CE5" s="5"/>
      <c r="CF5" s="3" t="s">
        <v>751</v>
      </c>
      <c r="CG5" s="3" t="s">
        <v>752</v>
      </c>
      <c r="CH5" s="5" t="s">
        <v>798</v>
      </c>
      <c r="CI5" s="3" t="s">
        <v>799</v>
      </c>
      <c r="CJ5" s="3" t="s">
        <v>74</v>
      </c>
      <c r="CK5" s="3" t="s">
        <v>330</v>
      </c>
      <c r="CL5" s="3" t="s">
        <v>330</v>
      </c>
      <c r="CM5" s="5" t="s">
        <v>754</v>
      </c>
      <c r="CN5" s="3" t="s">
        <v>755</v>
      </c>
      <c r="CO5" s="3" t="s">
        <v>756</v>
      </c>
      <c r="CP5" s="5"/>
      <c r="CQ5" s="3" t="s">
        <v>773</v>
      </c>
      <c r="CR5" s="3" t="s">
        <v>758</v>
      </c>
      <c r="CS5" s="3" t="s">
        <v>732</v>
      </c>
      <c r="CT5" s="3" t="s">
        <v>72</v>
      </c>
      <c r="CU5" s="5"/>
      <c r="CV5" s="5"/>
      <c r="CW5" s="4" t="s">
        <v>787</v>
      </c>
      <c r="CX5" s="5" t="s">
        <v>800</v>
      </c>
      <c r="CY5" s="11"/>
    </row>
    <row r="6" ht="12" customHeight="1" spans="1:103" x14ac:dyDescent="0.25">
      <c r="A6" s="8" t="s">
        <v>79</v>
      </c>
      <c r="B6" s="3" t="s">
        <v>801</v>
      </c>
      <c r="C6" s="5">
        <v>30</v>
      </c>
      <c r="D6" s="5">
        <v>30</v>
      </c>
      <c r="E6" s="5"/>
      <c r="F6" s="5">
        <v>0</v>
      </c>
      <c r="G6" s="5">
        <v>0</v>
      </c>
      <c r="H6" s="5">
        <v>0</v>
      </c>
      <c r="I6" s="5">
        <v>30</v>
      </c>
      <c r="J6" s="5">
        <v>60</v>
      </c>
      <c r="K6" s="3" t="s">
        <v>44</v>
      </c>
      <c r="L6" s="3" t="s">
        <v>728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729</v>
      </c>
      <c r="R6" s="4" t="s">
        <v>30</v>
      </c>
      <c r="S6" s="3" t="s">
        <v>36</v>
      </c>
      <c r="T6" s="3" t="s">
        <v>50</v>
      </c>
      <c r="U6" s="3" t="s">
        <v>36</v>
      </c>
      <c r="V6" s="4" t="s">
        <v>730</v>
      </c>
      <c r="W6" s="3" t="s">
        <v>731</v>
      </c>
      <c r="X6" s="5"/>
      <c r="Y6" s="5"/>
      <c r="Z6" s="5"/>
      <c r="AA6" s="3" t="s">
        <v>802</v>
      </c>
      <c r="AB6" s="3" t="s">
        <v>803</v>
      </c>
      <c r="AC6" s="9">
        <v>742660</v>
      </c>
      <c r="AD6" s="9">
        <v>862660</v>
      </c>
      <c r="AE6" s="3" t="s">
        <v>734</v>
      </c>
      <c r="AF6" s="3"/>
      <c r="AG6" s="5"/>
      <c r="AH6" s="3" t="s">
        <v>666</v>
      </c>
      <c r="AI6" s="5" t="s">
        <v>734</v>
      </c>
      <c r="AJ6" s="5"/>
      <c r="AK6" s="5"/>
      <c r="AL6" s="5"/>
      <c r="AM6" s="3" t="s">
        <v>804</v>
      </c>
      <c r="AN6" s="3" t="s">
        <v>805</v>
      </c>
      <c r="AO6" s="3" t="s">
        <v>806</v>
      </c>
      <c r="AP6" s="3" t="s">
        <v>738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 t="s">
        <v>739</v>
      </c>
      <c r="AZ6" s="3" t="s">
        <v>807</v>
      </c>
      <c r="BA6" s="5" t="s">
        <v>808</v>
      </c>
      <c r="BB6" s="3" t="s">
        <v>742</v>
      </c>
      <c r="BC6" s="4" t="s">
        <v>809</v>
      </c>
      <c r="BD6" s="4" t="s">
        <v>810</v>
      </c>
      <c r="BE6" s="3" t="s">
        <v>72</v>
      </c>
      <c r="BF6" s="3" t="s">
        <v>811</v>
      </c>
      <c r="BG6" s="3" t="s">
        <v>746</v>
      </c>
      <c r="BH6" s="3" t="s">
        <v>747</v>
      </c>
      <c r="BI6" s="5"/>
      <c r="BJ6" s="5"/>
      <c r="BK6" s="3" t="s">
        <v>748</v>
      </c>
      <c r="BL6" s="4" t="s">
        <v>812</v>
      </c>
      <c r="BM6" s="10"/>
      <c r="BN6" s="10"/>
      <c r="BO6" s="10"/>
      <c r="BP6" s="10">
        <v>30</v>
      </c>
      <c r="BQ6" s="10"/>
      <c r="BR6" s="10"/>
      <c r="BS6" s="10"/>
      <c r="BT6" s="10"/>
      <c r="BU6" s="10"/>
      <c r="BV6" s="10"/>
      <c r="BW6" s="10"/>
      <c r="BX6" s="10"/>
      <c r="BY6" s="3" t="s">
        <v>750</v>
      </c>
      <c r="BZ6" s="5"/>
      <c r="CA6" s="3" t="s">
        <v>72</v>
      </c>
      <c r="CB6" s="5"/>
      <c r="CC6" s="3" t="s">
        <v>40</v>
      </c>
      <c r="CD6" s="5"/>
      <c r="CE6" s="5"/>
      <c r="CF6" s="3" t="s">
        <v>751</v>
      </c>
      <c r="CG6" s="3" t="s">
        <v>752</v>
      </c>
      <c r="CH6" s="5"/>
      <c r="CI6" s="3" t="s">
        <v>813</v>
      </c>
      <c r="CJ6" s="3" t="s">
        <v>81</v>
      </c>
      <c r="CK6" s="3" t="s">
        <v>83</v>
      </c>
      <c r="CL6" s="3" t="s">
        <v>83</v>
      </c>
      <c r="CM6" s="5" t="s">
        <v>754</v>
      </c>
      <c r="CN6" s="3" t="s">
        <v>755</v>
      </c>
      <c r="CO6" s="3" t="s">
        <v>756</v>
      </c>
      <c r="CP6" s="5"/>
      <c r="CQ6" s="3" t="s">
        <v>814</v>
      </c>
      <c r="CR6" s="3" t="s">
        <v>815</v>
      </c>
      <c r="CS6" s="3" t="s">
        <v>802</v>
      </c>
      <c r="CT6" s="3" t="s">
        <v>44</v>
      </c>
      <c r="CU6" s="5"/>
      <c r="CV6" s="5"/>
      <c r="CW6" s="4" t="s">
        <v>792</v>
      </c>
      <c r="CX6" s="5" t="s">
        <v>816</v>
      </c>
      <c r="CY6" s="11" t="s">
        <v>817</v>
      </c>
    </row>
    <row r="7" ht="12" customHeight="1" spans="1:103" x14ac:dyDescent="0.25">
      <c r="A7" s="8" t="s">
        <v>252</v>
      </c>
      <c r="B7" s="3" t="s">
        <v>818</v>
      </c>
      <c r="C7" s="5">
        <v>4</v>
      </c>
      <c r="D7" s="5">
        <v>4</v>
      </c>
      <c r="E7" s="5"/>
      <c r="F7" s="5">
        <v>0</v>
      </c>
      <c r="G7" s="5">
        <v>0</v>
      </c>
      <c r="H7" s="5">
        <v>0</v>
      </c>
      <c r="I7" s="5">
        <v>4</v>
      </c>
      <c r="J7" s="5">
        <v>8</v>
      </c>
      <c r="K7" s="3" t="s">
        <v>44</v>
      </c>
      <c r="L7" s="3" t="s">
        <v>728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729</v>
      </c>
      <c r="R7" s="4" t="s">
        <v>30</v>
      </c>
      <c r="S7" s="3" t="s">
        <v>36</v>
      </c>
      <c r="T7" s="3" t="s">
        <v>50</v>
      </c>
      <c r="U7" s="3" t="s">
        <v>36</v>
      </c>
      <c r="V7" s="4" t="s">
        <v>730</v>
      </c>
      <c r="W7" s="3" t="s">
        <v>731</v>
      </c>
      <c r="X7" s="5"/>
      <c r="Y7" s="5"/>
      <c r="Z7" s="5"/>
      <c r="AA7" s="3" t="s">
        <v>819</v>
      </c>
      <c r="AB7" s="3" t="s">
        <v>130</v>
      </c>
      <c r="AC7" s="9">
        <v>108561.6</v>
      </c>
      <c r="AD7" s="9">
        <v>124561.6</v>
      </c>
      <c r="AE7" s="3" t="s">
        <v>734</v>
      </c>
      <c r="AF7" s="3" t="s">
        <v>663</v>
      </c>
      <c r="AG7" s="5"/>
      <c r="AH7" s="3" t="s">
        <v>666</v>
      </c>
      <c r="AI7" s="5" t="s">
        <v>734</v>
      </c>
      <c r="AJ7" s="5"/>
      <c r="AK7" s="5"/>
      <c r="AL7" s="5"/>
      <c r="AM7" s="3" t="s">
        <v>820</v>
      </c>
      <c r="AN7" s="3" t="s">
        <v>821</v>
      </c>
      <c r="AO7" s="3" t="s">
        <v>822</v>
      </c>
      <c r="AP7" s="3" t="s">
        <v>738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 t="s">
        <v>823</v>
      </c>
      <c r="AZ7" s="3" t="s">
        <v>824</v>
      </c>
      <c r="BA7" s="5" t="s">
        <v>825</v>
      </c>
      <c r="BB7" s="3" t="s">
        <v>742</v>
      </c>
      <c r="BC7" s="4" t="s">
        <v>826</v>
      </c>
      <c r="BD7" s="4" t="s">
        <v>827</v>
      </c>
      <c r="BE7" s="3" t="s">
        <v>72</v>
      </c>
      <c r="BF7" s="3" t="s">
        <v>745</v>
      </c>
      <c r="BG7" s="3" t="s">
        <v>746</v>
      </c>
      <c r="BH7" s="3" t="s">
        <v>747</v>
      </c>
      <c r="BI7" s="5"/>
      <c r="BJ7" s="5"/>
      <c r="BK7" s="3" t="s">
        <v>748</v>
      </c>
      <c r="BL7" s="4" t="s">
        <v>828</v>
      </c>
      <c r="BM7" s="10"/>
      <c r="BN7" s="10"/>
      <c r="BO7" s="10"/>
      <c r="BP7" s="10">
        <v>4</v>
      </c>
      <c r="BQ7" s="10"/>
      <c r="BR7" s="10"/>
      <c r="BS7" s="10"/>
      <c r="BT7" s="10"/>
      <c r="BU7" s="10"/>
      <c r="BV7" s="10"/>
      <c r="BW7" s="10"/>
      <c r="BX7" s="10"/>
      <c r="BY7" s="3" t="s">
        <v>750</v>
      </c>
      <c r="BZ7" s="5"/>
      <c r="CA7" s="3"/>
      <c r="CB7" s="5"/>
      <c r="CC7" s="3" t="s">
        <v>40</v>
      </c>
      <c r="CD7" s="5"/>
      <c r="CE7" s="5"/>
      <c r="CF7" s="3" t="s">
        <v>751</v>
      </c>
      <c r="CG7" s="3" t="s">
        <v>752</v>
      </c>
      <c r="CH7" s="5"/>
      <c r="CI7" s="3" t="s">
        <v>829</v>
      </c>
      <c r="CJ7" s="3" t="s">
        <v>253</v>
      </c>
      <c r="CK7" s="3" t="s">
        <v>131</v>
      </c>
      <c r="CL7" s="3" t="s">
        <v>254</v>
      </c>
      <c r="CM7" s="5" t="s">
        <v>754</v>
      </c>
      <c r="CN7" s="3" t="s">
        <v>755</v>
      </c>
      <c r="CO7" s="3" t="s">
        <v>756</v>
      </c>
      <c r="CP7" s="5"/>
      <c r="CQ7" s="3" t="s">
        <v>830</v>
      </c>
      <c r="CR7" s="3" t="s">
        <v>831</v>
      </c>
      <c r="CS7" s="3" t="s">
        <v>819</v>
      </c>
      <c r="CT7" s="3" t="s">
        <v>72</v>
      </c>
      <c r="CU7" s="5"/>
      <c r="CV7" s="5"/>
      <c r="CW7" s="4" t="s">
        <v>30</v>
      </c>
      <c r="CX7" s="5" t="s">
        <v>800</v>
      </c>
      <c r="CY7" s="11" t="s">
        <v>832</v>
      </c>
    </row>
    <row r="8" ht="12" customHeight="1" spans="1:103" x14ac:dyDescent="0.25">
      <c r="A8" s="8" t="s">
        <v>232</v>
      </c>
      <c r="B8" s="3" t="s">
        <v>833</v>
      </c>
      <c r="C8" s="5">
        <v>2</v>
      </c>
      <c r="D8" s="5">
        <v>2</v>
      </c>
      <c r="E8" s="5" t="s">
        <v>52</v>
      </c>
      <c r="F8" s="5">
        <v>0</v>
      </c>
      <c r="G8" s="5">
        <v>0</v>
      </c>
      <c r="H8" s="5">
        <v>0</v>
      </c>
      <c r="I8" s="5">
        <v>2</v>
      </c>
      <c r="J8" s="5">
        <v>4</v>
      </c>
      <c r="K8" s="3" t="s">
        <v>44</v>
      </c>
      <c r="L8" s="3" t="s">
        <v>728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729</v>
      </c>
      <c r="R8" s="4" t="s">
        <v>30</v>
      </c>
      <c r="S8" s="3" t="s">
        <v>36</v>
      </c>
      <c r="T8" s="3" t="s">
        <v>50</v>
      </c>
      <c r="U8" s="3" t="s">
        <v>36</v>
      </c>
      <c r="V8" s="4" t="s">
        <v>730</v>
      </c>
      <c r="W8" s="3" t="s">
        <v>731</v>
      </c>
      <c r="X8" s="5"/>
      <c r="Y8" s="5"/>
      <c r="Z8" s="5"/>
      <c r="AA8" s="3" t="s">
        <v>834</v>
      </c>
      <c r="AB8" s="3" t="s">
        <v>835</v>
      </c>
      <c r="AC8" s="9">
        <v>5186.64</v>
      </c>
      <c r="AD8" s="9">
        <v>13186.64</v>
      </c>
      <c r="AE8" s="3" t="s">
        <v>734</v>
      </c>
      <c r="AF8" s="3"/>
      <c r="AG8" s="5"/>
      <c r="AH8" s="3" t="s">
        <v>666</v>
      </c>
      <c r="AI8" s="5" t="s">
        <v>734</v>
      </c>
      <c r="AJ8" s="5"/>
      <c r="AK8" s="5"/>
      <c r="AL8" s="5"/>
      <c r="AM8" s="3" t="s">
        <v>735</v>
      </c>
      <c r="AN8" s="3" t="s">
        <v>736</v>
      </c>
      <c r="AO8" s="3" t="s">
        <v>836</v>
      </c>
      <c r="AP8" s="3"/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 t="s">
        <v>739</v>
      </c>
      <c r="AZ8" s="3" t="s">
        <v>837</v>
      </c>
      <c r="BA8" s="5" t="s">
        <v>838</v>
      </c>
      <c r="BB8" s="3" t="s">
        <v>742</v>
      </c>
      <c r="BC8" s="4" t="s">
        <v>826</v>
      </c>
      <c r="BD8" s="4" t="s">
        <v>785</v>
      </c>
      <c r="BE8" s="3" t="s">
        <v>72</v>
      </c>
      <c r="BF8" s="3" t="s">
        <v>839</v>
      </c>
      <c r="BG8" s="3" t="s">
        <v>746</v>
      </c>
      <c r="BH8" s="3" t="s">
        <v>747</v>
      </c>
      <c r="BI8" s="5"/>
      <c r="BJ8" s="5"/>
      <c r="BK8" s="3" t="s">
        <v>840</v>
      </c>
      <c r="BL8" s="4" t="s">
        <v>841</v>
      </c>
      <c r="BM8" s="10"/>
      <c r="BN8" s="10"/>
      <c r="BO8" s="10"/>
      <c r="BP8" s="10">
        <v>2</v>
      </c>
      <c r="BQ8" s="10"/>
      <c r="BR8" s="10"/>
      <c r="BS8" s="10"/>
      <c r="BT8" s="10"/>
      <c r="BU8" s="10"/>
      <c r="BV8" s="10"/>
      <c r="BW8" s="10"/>
      <c r="BX8" s="10"/>
      <c r="BY8" s="3" t="s">
        <v>750</v>
      </c>
      <c r="BZ8" s="5"/>
      <c r="CA8" s="3" t="s">
        <v>72</v>
      </c>
      <c r="CB8" s="5"/>
      <c r="CC8" s="3" t="s">
        <v>842</v>
      </c>
      <c r="CD8" s="5"/>
      <c r="CE8" s="5"/>
      <c r="CF8" s="3" t="s">
        <v>751</v>
      </c>
      <c r="CG8" s="3" t="s">
        <v>752</v>
      </c>
      <c r="CH8" s="5"/>
      <c r="CI8" s="3" t="s">
        <v>843</v>
      </c>
      <c r="CJ8" s="3" t="s">
        <v>233</v>
      </c>
      <c r="CK8" s="3" t="s">
        <v>234</v>
      </c>
      <c r="CL8" s="3" t="s">
        <v>235</v>
      </c>
      <c r="CM8" s="5" t="s">
        <v>754</v>
      </c>
      <c r="CN8" s="3" t="s">
        <v>755</v>
      </c>
      <c r="CO8" s="3" t="s">
        <v>756</v>
      </c>
      <c r="CP8" s="5"/>
      <c r="CQ8" s="3" t="s">
        <v>844</v>
      </c>
      <c r="CR8" s="3" t="s">
        <v>845</v>
      </c>
      <c r="CS8" s="3" t="s">
        <v>834</v>
      </c>
      <c r="CT8" s="3" t="s">
        <v>44</v>
      </c>
      <c r="CU8" s="5"/>
      <c r="CV8" s="5"/>
      <c r="CW8" s="4" t="s">
        <v>846</v>
      </c>
      <c r="CX8" s="5" t="s">
        <v>847</v>
      </c>
      <c r="CY8" s="11"/>
    </row>
    <row r="9" ht="12" customHeight="1" spans="1:103" x14ac:dyDescent="0.25">
      <c r="A9" s="8" t="s">
        <v>257</v>
      </c>
      <c r="B9" s="3" t="s">
        <v>848</v>
      </c>
      <c r="C9" s="5">
        <v>12</v>
      </c>
      <c r="D9" s="5">
        <v>12</v>
      </c>
      <c r="E9" s="5"/>
      <c r="F9" s="5">
        <v>0</v>
      </c>
      <c r="G9" s="5">
        <v>0</v>
      </c>
      <c r="H9" s="5">
        <v>0</v>
      </c>
      <c r="I9" s="5">
        <v>12</v>
      </c>
      <c r="J9" s="5">
        <v>24</v>
      </c>
      <c r="K9" s="3" t="s">
        <v>44</v>
      </c>
      <c r="L9" s="3" t="s">
        <v>728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729</v>
      </c>
      <c r="R9" s="4" t="s">
        <v>30</v>
      </c>
      <c r="S9" s="3" t="s">
        <v>36</v>
      </c>
      <c r="T9" s="3" t="s">
        <v>50</v>
      </c>
      <c r="U9" s="3" t="s">
        <v>36</v>
      </c>
      <c r="V9" s="4" t="s">
        <v>730</v>
      </c>
      <c r="W9" s="3" t="s">
        <v>731</v>
      </c>
      <c r="X9" s="5"/>
      <c r="Y9" s="5"/>
      <c r="Z9" s="5"/>
      <c r="AA9" s="3" t="s">
        <v>732</v>
      </c>
      <c r="AB9" s="3" t="s">
        <v>733</v>
      </c>
      <c r="AC9" s="9">
        <v>290880</v>
      </c>
      <c r="AD9" s="9">
        <v>338880</v>
      </c>
      <c r="AE9" s="3" t="s">
        <v>734</v>
      </c>
      <c r="AF9" s="3"/>
      <c r="AG9" s="5"/>
      <c r="AH9" s="3" t="s">
        <v>666</v>
      </c>
      <c r="AI9" s="5" t="s">
        <v>734</v>
      </c>
      <c r="AJ9" s="5"/>
      <c r="AK9" s="5"/>
      <c r="AL9" s="5"/>
      <c r="AM9" s="3" t="s">
        <v>735</v>
      </c>
      <c r="AN9" s="3" t="s">
        <v>736</v>
      </c>
      <c r="AO9" s="3" t="s">
        <v>737</v>
      </c>
      <c r="AP9" s="3" t="s">
        <v>849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 t="s">
        <v>739</v>
      </c>
      <c r="AZ9" s="3" t="s">
        <v>850</v>
      </c>
      <c r="BA9" s="5" t="s">
        <v>851</v>
      </c>
      <c r="BB9" s="3" t="s">
        <v>742</v>
      </c>
      <c r="BC9" s="4" t="s">
        <v>852</v>
      </c>
      <c r="BD9" s="4" t="s">
        <v>827</v>
      </c>
      <c r="BE9" s="3" t="s">
        <v>72</v>
      </c>
      <c r="BF9" s="3" t="s">
        <v>745</v>
      </c>
      <c r="BG9" s="3" t="s">
        <v>746</v>
      </c>
      <c r="BH9" s="3" t="s">
        <v>747</v>
      </c>
      <c r="BI9" s="5"/>
      <c r="BJ9" s="5"/>
      <c r="BK9" s="3" t="s">
        <v>748</v>
      </c>
      <c r="BL9" s="4" t="s">
        <v>769</v>
      </c>
      <c r="BM9" s="10"/>
      <c r="BN9" s="10"/>
      <c r="BO9" s="10"/>
      <c r="BP9" s="10">
        <v>12</v>
      </c>
      <c r="BQ9" s="10"/>
      <c r="BR9" s="10"/>
      <c r="BS9" s="10"/>
      <c r="BT9" s="10"/>
      <c r="BU9" s="10"/>
      <c r="BV9" s="10"/>
      <c r="BW9" s="10"/>
      <c r="BX9" s="10"/>
      <c r="BY9" s="3" t="s">
        <v>750</v>
      </c>
      <c r="BZ9" s="5"/>
      <c r="CA9" s="3"/>
      <c r="CB9" s="5"/>
      <c r="CC9" s="3" t="s">
        <v>40</v>
      </c>
      <c r="CD9" s="5"/>
      <c r="CE9" s="5"/>
      <c r="CF9" s="3" t="s">
        <v>751</v>
      </c>
      <c r="CG9" s="3" t="s">
        <v>752</v>
      </c>
      <c r="CH9" s="5"/>
      <c r="CI9" s="3" t="s">
        <v>753</v>
      </c>
      <c r="CJ9" s="3" t="s">
        <v>74</v>
      </c>
      <c r="CK9" s="3" t="s">
        <v>111</v>
      </c>
      <c r="CL9" s="3" t="s">
        <v>111</v>
      </c>
      <c r="CM9" s="5" t="s">
        <v>754</v>
      </c>
      <c r="CN9" s="3" t="s">
        <v>755</v>
      </c>
      <c r="CO9" s="3" t="s">
        <v>756</v>
      </c>
      <c r="CP9" s="5"/>
      <c r="CQ9" s="3" t="s">
        <v>757</v>
      </c>
      <c r="CR9" s="3" t="s">
        <v>758</v>
      </c>
      <c r="CS9" s="3" t="s">
        <v>732</v>
      </c>
      <c r="CT9" s="3" t="s">
        <v>72</v>
      </c>
      <c r="CU9" s="5"/>
      <c r="CV9" s="5"/>
      <c r="CW9" s="4" t="s">
        <v>30</v>
      </c>
      <c r="CX9" s="5" t="s">
        <v>760</v>
      </c>
      <c r="CY9" s="11" t="s">
        <v>853</v>
      </c>
    </row>
    <row r="10" ht="12" customHeight="1" spans="1:103" x14ac:dyDescent="0.25">
      <c r="A10" s="8" t="s">
        <v>370</v>
      </c>
      <c r="B10" s="3" t="s">
        <v>854</v>
      </c>
      <c r="C10" s="5">
        <v>5</v>
      </c>
      <c r="D10" s="5">
        <v>5</v>
      </c>
      <c r="E10" s="5" t="s">
        <v>52</v>
      </c>
      <c r="F10" s="5">
        <v>0</v>
      </c>
      <c r="G10" s="5">
        <v>5</v>
      </c>
      <c r="H10" s="5">
        <v>0</v>
      </c>
      <c r="I10" s="5">
        <v>0</v>
      </c>
      <c r="J10" s="5">
        <v>5</v>
      </c>
      <c r="K10" s="3" t="s">
        <v>44</v>
      </c>
      <c r="L10" s="3" t="s">
        <v>728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729</v>
      </c>
      <c r="R10" s="4" t="s">
        <v>30</v>
      </c>
      <c r="S10" s="3" t="s">
        <v>36</v>
      </c>
      <c r="T10" s="3" t="s">
        <v>50</v>
      </c>
      <c r="U10" s="3" t="s">
        <v>36</v>
      </c>
      <c r="V10" s="4" t="s">
        <v>730</v>
      </c>
      <c r="W10" s="3" t="s">
        <v>731</v>
      </c>
      <c r="X10" s="5"/>
      <c r="Y10" s="5"/>
      <c r="Z10" s="5"/>
      <c r="AA10" s="3" t="s">
        <v>855</v>
      </c>
      <c r="AB10" s="3" t="s">
        <v>362</v>
      </c>
      <c r="AC10" s="9">
        <v>98670</v>
      </c>
      <c r="AD10" s="9">
        <v>109670</v>
      </c>
      <c r="AE10" s="3" t="s">
        <v>734</v>
      </c>
      <c r="AF10" s="3" t="s">
        <v>663</v>
      </c>
      <c r="AG10" s="5"/>
      <c r="AH10" s="3" t="s">
        <v>666</v>
      </c>
      <c r="AI10" s="5" t="s">
        <v>734</v>
      </c>
      <c r="AJ10" s="5"/>
      <c r="AK10" s="5"/>
      <c r="AL10" s="5"/>
      <c r="AM10" s="3" t="s">
        <v>856</v>
      </c>
      <c r="AN10" s="3" t="s">
        <v>857</v>
      </c>
      <c r="AO10" s="3" t="s">
        <v>858</v>
      </c>
      <c r="AP10" s="3" t="s">
        <v>738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 t="s">
        <v>739</v>
      </c>
      <c r="AZ10" s="3" t="s">
        <v>859</v>
      </c>
      <c r="BA10" s="5" t="s">
        <v>761</v>
      </c>
      <c r="BB10" s="3" t="s">
        <v>742</v>
      </c>
      <c r="BC10" s="4" t="s">
        <v>860</v>
      </c>
      <c r="BD10" s="4" t="s">
        <v>744</v>
      </c>
      <c r="BE10" s="3" t="s">
        <v>72</v>
      </c>
      <c r="BF10" s="3" t="s">
        <v>858</v>
      </c>
      <c r="BG10" s="3" t="s">
        <v>746</v>
      </c>
      <c r="BH10" s="3" t="s">
        <v>747</v>
      </c>
      <c r="BI10" s="5"/>
      <c r="BJ10" s="5"/>
      <c r="BK10" s="3" t="s">
        <v>861</v>
      </c>
      <c r="BL10" s="4" t="s">
        <v>812</v>
      </c>
      <c r="BM10" s="10"/>
      <c r="BN10" s="10">
        <v>5</v>
      </c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3" t="s">
        <v>750</v>
      </c>
      <c r="BZ10" s="5"/>
      <c r="CA10" s="3" t="s">
        <v>72</v>
      </c>
      <c r="CB10" s="5"/>
      <c r="CC10" s="3" t="s">
        <v>842</v>
      </c>
      <c r="CD10" s="5"/>
      <c r="CE10" s="5"/>
      <c r="CF10" s="3" t="s">
        <v>751</v>
      </c>
      <c r="CG10" s="3" t="s">
        <v>752</v>
      </c>
      <c r="CH10" s="5"/>
      <c r="CI10" s="3" t="s">
        <v>862</v>
      </c>
      <c r="CJ10" s="3" t="s">
        <v>362</v>
      </c>
      <c r="CK10" s="3" t="s">
        <v>371</v>
      </c>
      <c r="CL10" s="3" t="s">
        <v>371</v>
      </c>
      <c r="CM10" s="5" t="s">
        <v>754</v>
      </c>
      <c r="CN10" s="3" t="s">
        <v>755</v>
      </c>
      <c r="CO10" s="3" t="s">
        <v>756</v>
      </c>
      <c r="CP10" s="5"/>
      <c r="CQ10" s="3" t="s">
        <v>863</v>
      </c>
      <c r="CR10" s="3" t="s">
        <v>864</v>
      </c>
      <c r="CS10" s="3" t="s">
        <v>855</v>
      </c>
      <c r="CT10" s="3" t="s">
        <v>44</v>
      </c>
      <c r="CU10" s="5"/>
      <c r="CV10" s="5"/>
      <c r="CW10" s="4" t="s">
        <v>759</v>
      </c>
      <c r="CX10" s="5" t="s">
        <v>865</v>
      </c>
      <c r="CY10" s="11" t="s">
        <v>761</v>
      </c>
    </row>
    <row r="11" ht="12" customHeight="1" spans="1:103" x14ac:dyDescent="0.25">
      <c r="A11" s="8" t="s">
        <v>439</v>
      </c>
      <c r="B11" s="3" t="s">
        <v>866</v>
      </c>
      <c r="C11" s="5">
        <v>7</v>
      </c>
      <c r="D11" s="5">
        <v>7</v>
      </c>
      <c r="E11" s="5"/>
      <c r="F11" s="5">
        <v>0</v>
      </c>
      <c r="G11" s="5">
        <v>7</v>
      </c>
      <c r="H11" s="5">
        <v>0</v>
      </c>
      <c r="I11" s="5">
        <v>0</v>
      </c>
      <c r="J11" s="5">
        <v>7</v>
      </c>
      <c r="K11" s="3" t="s">
        <v>44</v>
      </c>
      <c r="L11" s="3" t="s">
        <v>728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729</v>
      </c>
      <c r="R11" s="4" t="s">
        <v>30</v>
      </c>
      <c r="S11" s="3" t="s">
        <v>328</v>
      </c>
      <c r="T11" s="3" t="s">
        <v>331</v>
      </c>
      <c r="U11" s="3" t="s">
        <v>328</v>
      </c>
      <c r="V11" s="4" t="s">
        <v>867</v>
      </c>
      <c r="W11" s="3" t="s">
        <v>764</v>
      </c>
      <c r="X11" s="5"/>
      <c r="Y11" s="5" t="s">
        <v>274</v>
      </c>
      <c r="Z11" s="5" t="s">
        <v>69</v>
      </c>
      <c r="AA11" s="3" t="s">
        <v>732</v>
      </c>
      <c r="AB11" s="3" t="s">
        <v>733</v>
      </c>
      <c r="AC11" s="9">
        <v>134937.6</v>
      </c>
      <c r="AD11" s="9">
        <v>150337.6</v>
      </c>
      <c r="AE11" s="3" t="s">
        <v>734</v>
      </c>
      <c r="AF11" s="3"/>
      <c r="AG11" s="5"/>
      <c r="AH11" s="3" t="s">
        <v>666</v>
      </c>
      <c r="AI11" s="5" t="s">
        <v>734</v>
      </c>
      <c r="AJ11" s="5"/>
      <c r="AK11" s="5"/>
      <c r="AL11" s="5"/>
      <c r="AM11" s="3" t="s">
        <v>735</v>
      </c>
      <c r="AN11" s="3" t="s">
        <v>736</v>
      </c>
      <c r="AO11" s="3" t="s">
        <v>737</v>
      </c>
      <c r="AP11" s="3" t="s">
        <v>738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 t="s">
        <v>739</v>
      </c>
      <c r="AZ11" s="3" t="s">
        <v>868</v>
      </c>
      <c r="BA11" s="5" t="s">
        <v>869</v>
      </c>
      <c r="BB11" s="3" t="s">
        <v>742</v>
      </c>
      <c r="BC11" s="4" t="s">
        <v>870</v>
      </c>
      <c r="BD11" s="4" t="s">
        <v>841</v>
      </c>
      <c r="BE11" s="3" t="s">
        <v>72</v>
      </c>
      <c r="BF11" s="3" t="s">
        <v>745</v>
      </c>
      <c r="BG11" s="3" t="s">
        <v>746</v>
      </c>
      <c r="BH11" s="3" t="s">
        <v>747</v>
      </c>
      <c r="BI11" s="5"/>
      <c r="BJ11" s="5"/>
      <c r="BK11" s="3" t="s">
        <v>748</v>
      </c>
      <c r="BL11" s="4" t="s">
        <v>871</v>
      </c>
      <c r="BM11" s="10"/>
      <c r="BN11" s="10">
        <v>7</v>
      </c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3" t="s">
        <v>750</v>
      </c>
      <c r="BZ11" s="5">
        <v>9</v>
      </c>
      <c r="CA11" s="3"/>
      <c r="CB11" s="5"/>
      <c r="CC11" s="3" t="s">
        <v>40</v>
      </c>
      <c r="CD11" s="5"/>
      <c r="CE11" s="5"/>
      <c r="CF11" s="3" t="s">
        <v>751</v>
      </c>
      <c r="CG11" s="3" t="s">
        <v>752</v>
      </c>
      <c r="CH11" s="5" t="s">
        <v>872</v>
      </c>
      <c r="CI11" s="3" t="s">
        <v>799</v>
      </c>
      <c r="CJ11" s="3" t="s">
        <v>74</v>
      </c>
      <c r="CK11" s="3" t="s">
        <v>440</v>
      </c>
      <c r="CL11" s="3" t="s">
        <v>330</v>
      </c>
      <c r="CM11" s="5" t="s">
        <v>754</v>
      </c>
      <c r="CN11" s="3" t="s">
        <v>755</v>
      </c>
      <c r="CO11" s="3" t="s">
        <v>756</v>
      </c>
      <c r="CP11" s="5"/>
      <c r="CQ11" s="3" t="s">
        <v>773</v>
      </c>
      <c r="CR11" s="3" t="s">
        <v>758</v>
      </c>
      <c r="CS11" s="3" t="s">
        <v>732</v>
      </c>
      <c r="CT11" s="3" t="s">
        <v>72</v>
      </c>
      <c r="CU11" s="5"/>
      <c r="CV11" s="5"/>
      <c r="CW11" s="4" t="s">
        <v>787</v>
      </c>
      <c r="CX11" s="5" t="s">
        <v>800</v>
      </c>
      <c r="CY11" s="11"/>
    </row>
    <row r="12" ht="12" customHeight="1" spans="1:103" x14ac:dyDescent="0.25">
      <c r="A12" s="8" t="s">
        <v>320</v>
      </c>
      <c r="B12" s="3" t="s">
        <v>873</v>
      </c>
      <c r="C12" s="5">
        <v>2</v>
      </c>
      <c r="D12" s="5">
        <v>2</v>
      </c>
      <c r="E12" s="5"/>
      <c r="F12" s="5">
        <v>0</v>
      </c>
      <c r="G12" s="5">
        <v>2</v>
      </c>
      <c r="H12" s="5">
        <v>0</v>
      </c>
      <c r="I12" s="5">
        <v>0</v>
      </c>
      <c r="J12" s="5">
        <v>2</v>
      </c>
      <c r="K12" s="3" t="s">
        <v>44</v>
      </c>
      <c r="L12" s="3" t="s">
        <v>728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729</v>
      </c>
      <c r="R12" s="4" t="s">
        <v>30</v>
      </c>
      <c r="S12" s="3" t="s">
        <v>319</v>
      </c>
      <c r="T12" s="3" t="s">
        <v>321</v>
      </c>
      <c r="U12" s="3" t="s">
        <v>319</v>
      </c>
      <c r="V12" s="4" t="s">
        <v>874</v>
      </c>
      <c r="W12" s="3" t="s">
        <v>764</v>
      </c>
      <c r="X12" s="5"/>
      <c r="Y12" s="5" t="s">
        <v>274</v>
      </c>
      <c r="Z12" s="5" t="s">
        <v>69</v>
      </c>
      <c r="AA12" s="3" t="s">
        <v>732</v>
      </c>
      <c r="AB12" s="3" t="s">
        <v>733</v>
      </c>
      <c r="AC12" s="9">
        <v>32320</v>
      </c>
      <c r="AD12" s="9">
        <v>36720</v>
      </c>
      <c r="AE12" s="3" t="s">
        <v>734</v>
      </c>
      <c r="AF12" s="3"/>
      <c r="AG12" s="5"/>
      <c r="AH12" s="3" t="s">
        <v>666</v>
      </c>
      <c r="AI12" s="5" t="s">
        <v>734</v>
      </c>
      <c r="AJ12" s="5"/>
      <c r="AK12" s="5"/>
      <c r="AL12" s="5"/>
      <c r="AM12" s="3" t="s">
        <v>735</v>
      </c>
      <c r="AN12" s="3" t="s">
        <v>736</v>
      </c>
      <c r="AO12" s="3" t="s">
        <v>737</v>
      </c>
      <c r="AP12" s="3" t="s">
        <v>738</v>
      </c>
      <c r="AQ12" s="5"/>
      <c r="AR12" s="5"/>
      <c r="AS12" s="5"/>
      <c r="AT12" s="5"/>
      <c r="AU12" s="5"/>
      <c r="AV12" s="5"/>
      <c r="AW12" s="5">
        <v>0</v>
      </c>
      <c r="AX12" s="3" t="s">
        <v>44</v>
      </c>
      <c r="AY12" s="5" t="s">
        <v>739</v>
      </c>
      <c r="AZ12" s="3" t="s">
        <v>875</v>
      </c>
      <c r="BA12" s="5" t="s">
        <v>876</v>
      </c>
      <c r="BB12" s="3" t="s">
        <v>742</v>
      </c>
      <c r="BC12" s="4" t="s">
        <v>870</v>
      </c>
      <c r="BD12" s="4" t="s">
        <v>810</v>
      </c>
      <c r="BE12" s="3" t="s">
        <v>72</v>
      </c>
      <c r="BF12" s="3" t="s">
        <v>745</v>
      </c>
      <c r="BG12" s="3" t="s">
        <v>746</v>
      </c>
      <c r="BH12" s="3" t="s">
        <v>747</v>
      </c>
      <c r="BI12" s="5"/>
      <c r="BJ12" s="5"/>
      <c r="BK12" s="3" t="s">
        <v>748</v>
      </c>
      <c r="BL12" s="4" t="s">
        <v>812</v>
      </c>
      <c r="BM12" s="10"/>
      <c r="BN12" s="10">
        <v>2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3" t="s">
        <v>750</v>
      </c>
      <c r="BZ12" s="5">
        <v>7</v>
      </c>
      <c r="CA12" s="3"/>
      <c r="CB12" s="5"/>
      <c r="CC12" s="3" t="s">
        <v>40</v>
      </c>
      <c r="CD12" s="5"/>
      <c r="CE12" s="5"/>
      <c r="CF12" s="3" t="s">
        <v>751</v>
      </c>
      <c r="CG12" s="3" t="s">
        <v>752</v>
      </c>
      <c r="CH12" s="5" t="s">
        <v>877</v>
      </c>
      <c r="CI12" s="3" t="s">
        <v>878</v>
      </c>
      <c r="CJ12" s="3" t="s">
        <v>74</v>
      </c>
      <c r="CK12" s="3" t="s">
        <v>282</v>
      </c>
      <c r="CL12" s="3" t="s">
        <v>282</v>
      </c>
      <c r="CM12" s="5" t="s">
        <v>754</v>
      </c>
      <c r="CN12" s="3" t="s">
        <v>755</v>
      </c>
      <c r="CO12" s="3" t="s">
        <v>756</v>
      </c>
      <c r="CP12" s="5"/>
      <c r="CQ12" s="3" t="s">
        <v>773</v>
      </c>
      <c r="CR12" s="3" t="s">
        <v>758</v>
      </c>
      <c r="CS12" s="3" t="s">
        <v>732</v>
      </c>
      <c r="CT12" s="3" t="s">
        <v>44</v>
      </c>
      <c r="CU12" s="5"/>
      <c r="CV12" s="5"/>
      <c r="CW12" s="4" t="s">
        <v>787</v>
      </c>
      <c r="CX12" s="5" t="s">
        <v>760</v>
      </c>
      <c r="CY12" s="11"/>
    </row>
    <row r="13" ht="12" customHeight="1" spans="1:103" x14ac:dyDescent="0.25">
      <c r="A13" s="8" t="s">
        <v>335</v>
      </c>
      <c r="B13" s="3" t="s">
        <v>879</v>
      </c>
      <c r="C13" s="5">
        <v>3</v>
      </c>
      <c r="D13" s="5">
        <v>3</v>
      </c>
      <c r="E13" s="5"/>
      <c r="F13" s="5">
        <v>0</v>
      </c>
      <c r="G13" s="5">
        <v>3</v>
      </c>
      <c r="H13" s="5">
        <v>0</v>
      </c>
      <c r="I13" s="5">
        <v>0</v>
      </c>
      <c r="J13" s="5">
        <v>3</v>
      </c>
      <c r="K13" s="3" t="s">
        <v>44</v>
      </c>
      <c r="L13" s="3" t="s">
        <v>728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729</v>
      </c>
      <c r="R13" s="4" t="s">
        <v>30</v>
      </c>
      <c r="S13" s="3" t="s">
        <v>324</v>
      </c>
      <c r="T13" s="3" t="s">
        <v>326</v>
      </c>
      <c r="U13" s="3" t="s">
        <v>324</v>
      </c>
      <c r="V13" s="4" t="s">
        <v>880</v>
      </c>
      <c r="W13" s="3" t="s">
        <v>764</v>
      </c>
      <c r="X13" s="5"/>
      <c r="Y13" s="5" t="s">
        <v>274</v>
      </c>
      <c r="Z13" s="5" t="s">
        <v>69</v>
      </c>
      <c r="AA13" s="3" t="s">
        <v>732</v>
      </c>
      <c r="AB13" s="3" t="s">
        <v>733</v>
      </c>
      <c r="AC13" s="9">
        <v>48480</v>
      </c>
      <c r="AD13" s="9">
        <v>55080</v>
      </c>
      <c r="AE13" s="3" t="s">
        <v>734</v>
      </c>
      <c r="AF13" s="3"/>
      <c r="AG13" s="5"/>
      <c r="AH13" s="3" t="s">
        <v>666</v>
      </c>
      <c r="AI13" s="5" t="s">
        <v>734</v>
      </c>
      <c r="AJ13" s="5"/>
      <c r="AK13" s="5"/>
      <c r="AL13" s="5"/>
      <c r="AM13" s="3" t="s">
        <v>735</v>
      </c>
      <c r="AN13" s="3" t="s">
        <v>736</v>
      </c>
      <c r="AO13" s="3" t="s">
        <v>737</v>
      </c>
      <c r="AP13" s="3" t="s">
        <v>738</v>
      </c>
      <c r="AQ13" s="5"/>
      <c r="AR13" s="5"/>
      <c r="AS13" s="5"/>
      <c r="AT13" s="5"/>
      <c r="AU13" s="5"/>
      <c r="AV13" s="5"/>
      <c r="AW13" s="5">
        <v>0</v>
      </c>
      <c r="AX13" s="3" t="s">
        <v>44</v>
      </c>
      <c r="AY13" s="5" t="s">
        <v>739</v>
      </c>
      <c r="AZ13" s="3" t="s">
        <v>881</v>
      </c>
      <c r="BA13" s="5" t="s">
        <v>882</v>
      </c>
      <c r="BB13" s="3" t="s">
        <v>742</v>
      </c>
      <c r="BC13" s="4" t="s">
        <v>870</v>
      </c>
      <c r="BD13" s="4" t="s">
        <v>771</v>
      </c>
      <c r="BE13" s="3" t="s">
        <v>72</v>
      </c>
      <c r="BF13" s="3" t="s">
        <v>745</v>
      </c>
      <c r="BG13" s="3" t="s">
        <v>746</v>
      </c>
      <c r="BH13" s="3" t="s">
        <v>747</v>
      </c>
      <c r="BI13" s="5"/>
      <c r="BJ13" s="5"/>
      <c r="BK13" s="3" t="s">
        <v>748</v>
      </c>
      <c r="BL13" s="4" t="s">
        <v>812</v>
      </c>
      <c r="BM13" s="10"/>
      <c r="BN13" s="10">
        <v>3</v>
      </c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3" t="s">
        <v>750</v>
      </c>
      <c r="BZ13" s="5">
        <v>4</v>
      </c>
      <c r="CA13" s="3"/>
      <c r="CB13" s="5"/>
      <c r="CC13" s="3" t="s">
        <v>40</v>
      </c>
      <c r="CD13" s="5"/>
      <c r="CE13" s="5"/>
      <c r="CF13" s="3" t="s">
        <v>751</v>
      </c>
      <c r="CG13" s="3" t="s">
        <v>752</v>
      </c>
      <c r="CH13" s="5" t="s">
        <v>883</v>
      </c>
      <c r="CI13" s="3" t="s">
        <v>878</v>
      </c>
      <c r="CJ13" s="3" t="s">
        <v>74</v>
      </c>
      <c r="CK13" s="3" t="s">
        <v>282</v>
      </c>
      <c r="CL13" s="3" t="s">
        <v>282</v>
      </c>
      <c r="CM13" s="5" t="s">
        <v>754</v>
      </c>
      <c r="CN13" s="3" t="s">
        <v>755</v>
      </c>
      <c r="CO13" s="3" t="s">
        <v>756</v>
      </c>
      <c r="CP13" s="5"/>
      <c r="CQ13" s="3" t="s">
        <v>773</v>
      </c>
      <c r="CR13" s="3" t="s">
        <v>758</v>
      </c>
      <c r="CS13" s="3" t="s">
        <v>732</v>
      </c>
      <c r="CT13" s="3" t="s">
        <v>44</v>
      </c>
      <c r="CU13" s="5"/>
      <c r="CV13" s="5"/>
      <c r="CW13" s="4" t="s">
        <v>787</v>
      </c>
      <c r="CX13" s="5" t="s">
        <v>760</v>
      </c>
      <c r="CY13" s="11"/>
    </row>
    <row r="14" ht="12" customHeight="1" spans="1:103" x14ac:dyDescent="0.25">
      <c r="A14" s="8" t="s">
        <v>568</v>
      </c>
      <c r="B14" s="3" t="s">
        <v>762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44</v>
      </c>
      <c r="L14" s="3" t="s">
        <v>728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729</v>
      </c>
      <c r="R14" s="4" t="s">
        <v>30</v>
      </c>
      <c r="S14" s="3" t="s">
        <v>567</v>
      </c>
      <c r="T14" s="3" t="s">
        <v>569</v>
      </c>
      <c r="U14" s="3" t="s">
        <v>567</v>
      </c>
      <c r="V14" s="4" t="s">
        <v>884</v>
      </c>
      <c r="W14" s="3" t="s">
        <v>764</v>
      </c>
      <c r="X14" s="5"/>
      <c r="Y14" s="5" t="s">
        <v>274</v>
      </c>
      <c r="Z14" s="5" t="s">
        <v>69</v>
      </c>
      <c r="AA14" s="3" t="s">
        <v>732</v>
      </c>
      <c r="AB14" s="3" t="s">
        <v>733</v>
      </c>
      <c r="AC14" s="9">
        <v>16160</v>
      </c>
      <c r="AD14" s="9">
        <v>18360</v>
      </c>
      <c r="AE14" s="3" t="s">
        <v>734</v>
      </c>
      <c r="AF14" s="3"/>
      <c r="AG14" s="5"/>
      <c r="AH14" s="3" t="s">
        <v>666</v>
      </c>
      <c r="AI14" s="5" t="s">
        <v>734</v>
      </c>
      <c r="AJ14" s="5"/>
      <c r="AK14" s="5"/>
      <c r="AL14" s="5"/>
      <c r="AM14" s="3" t="s">
        <v>735</v>
      </c>
      <c r="AN14" s="3" t="s">
        <v>736</v>
      </c>
      <c r="AO14" s="3" t="s">
        <v>737</v>
      </c>
      <c r="AP14" s="3" t="s">
        <v>738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 t="s">
        <v>739</v>
      </c>
      <c r="AZ14" s="3" t="s">
        <v>885</v>
      </c>
      <c r="BA14" s="5" t="s">
        <v>882</v>
      </c>
      <c r="BB14" s="3" t="s">
        <v>742</v>
      </c>
      <c r="BC14" s="4" t="s">
        <v>870</v>
      </c>
      <c r="BD14" s="4" t="s">
        <v>828</v>
      </c>
      <c r="BE14" s="3" t="s">
        <v>72</v>
      </c>
      <c r="BF14" s="3" t="s">
        <v>745</v>
      </c>
      <c r="BG14" s="3" t="s">
        <v>746</v>
      </c>
      <c r="BH14" s="3" t="s">
        <v>747</v>
      </c>
      <c r="BI14" s="5"/>
      <c r="BJ14" s="5"/>
      <c r="BK14" s="3" t="s">
        <v>748</v>
      </c>
      <c r="BL14" s="4" t="s">
        <v>771</v>
      </c>
      <c r="BM14" s="10"/>
      <c r="BN14" s="10">
        <v>1</v>
      </c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3" t="s">
        <v>750</v>
      </c>
      <c r="BZ14" s="5">
        <v>5</v>
      </c>
      <c r="CA14" s="3"/>
      <c r="CB14" s="5"/>
      <c r="CC14" s="3" t="s">
        <v>40</v>
      </c>
      <c r="CD14" s="5"/>
      <c r="CE14" s="5"/>
      <c r="CF14" s="3" t="s">
        <v>751</v>
      </c>
      <c r="CG14" s="3" t="s">
        <v>752</v>
      </c>
      <c r="CH14" s="5" t="s">
        <v>886</v>
      </c>
      <c r="CI14" s="3" t="s">
        <v>799</v>
      </c>
      <c r="CJ14" s="3" t="s">
        <v>74</v>
      </c>
      <c r="CK14" s="3" t="s">
        <v>330</v>
      </c>
      <c r="CL14" s="3" t="s">
        <v>330</v>
      </c>
      <c r="CM14" s="5" t="s">
        <v>754</v>
      </c>
      <c r="CN14" s="3" t="s">
        <v>755</v>
      </c>
      <c r="CO14" s="3" t="s">
        <v>756</v>
      </c>
      <c r="CP14" s="5"/>
      <c r="CQ14" s="3" t="s">
        <v>773</v>
      </c>
      <c r="CR14" s="3" t="s">
        <v>758</v>
      </c>
      <c r="CS14" s="3" t="s">
        <v>732</v>
      </c>
      <c r="CT14" s="3" t="s">
        <v>44</v>
      </c>
      <c r="CU14" s="5"/>
      <c r="CV14" s="5"/>
      <c r="CW14" s="4" t="s">
        <v>787</v>
      </c>
      <c r="CX14" s="5" t="s">
        <v>760</v>
      </c>
      <c r="CY14" s="11"/>
    </row>
    <row r="15" ht="12" customHeight="1" spans="1:103" x14ac:dyDescent="0.25">
      <c r="A15" s="8" t="s">
        <v>177</v>
      </c>
      <c r="B15" s="3" t="s">
        <v>818</v>
      </c>
      <c r="C15" s="5">
        <v>4</v>
      </c>
      <c r="D15" s="5">
        <v>4</v>
      </c>
      <c r="E15" s="5"/>
      <c r="F15" s="5">
        <v>0</v>
      </c>
      <c r="G15" s="5">
        <v>0</v>
      </c>
      <c r="H15" s="5">
        <v>0</v>
      </c>
      <c r="I15" s="5">
        <v>4</v>
      </c>
      <c r="J15" s="5">
        <v>8</v>
      </c>
      <c r="K15" s="3" t="s">
        <v>44</v>
      </c>
      <c r="L15" s="3" t="s">
        <v>728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729</v>
      </c>
      <c r="R15" s="4" t="s">
        <v>30</v>
      </c>
      <c r="S15" s="3" t="s">
        <v>70</v>
      </c>
      <c r="T15" s="3" t="s">
        <v>77</v>
      </c>
      <c r="U15" s="3" t="s">
        <v>70</v>
      </c>
      <c r="V15" s="4" t="s">
        <v>887</v>
      </c>
      <c r="W15" s="3" t="s">
        <v>764</v>
      </c>
      <c r="X15" s="5"/>
      <c r="Y15" s="5" t="s">
        <v>274</v>
      </c>
      <c r="Z15" s="5" t="s">
        <v>69</v>
      </c>
      <c r="AA15" s="3" t="s">
        <v>732</v>
      </c>
      <c r="AB15" s="3" t="s">
        <v>733</v>
      </c>
      <c r="AC15" s="9">
        <v>96960</v>
      </c>
      <c r="AD15" s="9">
        <v>112960</v>
      </c>
      <c r="AE15" s="3" t="s">
        <v>734</v>
      </c>
      <c r="AF15" s="3"/>
      <c r="AG15" s="5"/>
      <c r="AH15" s="3" t="s">
        <v>666</v>
      </c>
      <c r="AI15" s="5" t="s">
        <v>734</v>
      </c>
      <c r="AJ15" s="5"/>
      <c r="AK15" s="5"/>
      <c r="AL15" s="5"/>
      <c r="AM15" s="3" t="s">
        <v>735</v>
      </c>
      <c r="AN15" s="3" t="s">
        <v>736</v>
      </c>
      <c r="AO15" s="3" t="s">
        <v>737</v>
      </c>
      <c r="AP15" s="3" t="s">
        <v>738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 t="s">
        <v>739</v>
      </c>
      <c r="AZ15" s="3" t="s">
        <v>888</v>
      </c>
      <c r="BA15" s="5" t="s">
        <v>876</v>
      </c>
      <c r="BB15" s="3" t="s">
        <v>742</v>
      </c>
      <c r="BC15" s="4" t="s">
        <v>889</v>
      </c>
      <c r="BD15" s="4" t="s">
        <v>841</v>
      </c>
      <c r="BE15" s="3" t="s">
        <v>72</v>
      </c>
      <c r="BF15" s="3" t="s">
        <v>745</v>
      </c>
      <c r="BG15" s="3" t="s">
        <v>746</v>
      </c>
      <c r="BH15" s="3" t="s">
        <v>747</v>
      </c>
      <c r="BI15" s="5"/>
      <c r="BJ15" s="5"/>
      <c r="BK15" s="3" t="s">
        <v>748</v>
      </c>
      <c r="BL15" s="4" t="s">
        <v>771</v>
      </c>
      <c r="BM15" s="10"/>
      <c r="BN15" s="10"/>
      <c r="BO15" s="10"/>
      <c r="BP15" s="10">
        <v>4</v>
      </c>
      <c r="BQ15" s="10"/>
      <c r="BR15" s="10"/>
      <c r="BS15" s="10"/>
      <c r="BT15" s="10"/>
      <c r="BU15" s="10"/>
      <c r="BV15" s="10"/>
      <c r="BW15" s="10"/>
      <c r="BX15" s="10"/>
      <c r="BY15" s="3" t="s">
        <v>750</v>
      </c>
      <c r="BZ15" s="5">
        <v>13</v>
      </c>
      <c r="CA15" s="3"/>
      <c r="CB15" s="5"/>
      <c r="CC15" s="3" t="s">
        <v>40</v>
      </c>
      <c r="CD15" s="5"/>
      <c r="CE15" s="5"/>
      <c r="CF15" s="3" t="s">
        <v>751</v>
      </c>
      <c r="CG15" s="3" t="s">
        <v>752</v>
      </c>
      <c r="CH15" s="5" t="s">
        <v>890</v>
      </c>
      <c r="CI15" s="3" t="s">
        <v>753</v>
      </c>
      <c r="CJ15" s="3" t="s">
        <v>74</v>
      </c>
      <c r="CK15" s="3" t="s">
        <v>76</v>
      </c>
      <c r="CL15" s="3" t="s">
        <v>76</v>
      </c>
      <c r="CM15" s="5" t="s">
        <v>754</v>
      </c>
      <c r="CN15" s="3" t="s">
        <v>755</v>
      </c>
      <c r="CO15" s="3" t="s">
        <v>756</v>
      </c>
      <c r="CP15" s="5"/>
      <c r="CQ15" s="3" t="s">
        <v>773</v>
      </c>
      <c r="CR15" s="3" t="s">
        <v>758</v>
      </c>
      <c r="CS15" s="3" t="s">
        <v>732</v>
      </c>
      <c r="CT15" s="3" t="s">
        <v>44</v>
      </c>
      <c r="CU15" s="5"/>
      <c r="CV15" s="5"/>
      <c r="CW15" s="4" t="s">
        <v>787</v>
      </c>
      <c r="CX15" s="5" t="s">
        <v>800</v>
      </c>
      <c r="CY15" s="11"/>
    </row>
    <row r="16" ht="12" customHeight="1" spans="1:103" x14ac:dyDescent="0.25">
      <c r="A16" s="8" t="s">
        <v>71</v>
      </c>
      <c r="B16" s="3" t="s">
        <v>818</v>
      </c>
      <c r="C16" s="5">
        <v>4</v>
      </c>
      <c r="D16" s="5">
        <v>4</v>
      </c>
      <c r="E16" s="5"/>
      <c r="F16" s="5">
        <v>0</v>
      </c>
      <c r="G16" s="5">
        <v>0</v>
      </c>
      <c r="H16" s="5">
        <v>0</v>
      </c>
      <c r="I16" s="5">
        <v>4</v>
      </c>
      <c r="J16" s="5">
        <v>8</v>
      </c>
      <c r="K16" s="3" t="s">
        <v>44</v>
      </c>
      <c r="L16" s="3" t="s">
        <v>728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729</v>
      </c>
      <c r="R16" s="4" t="s">
        <v>30</v>
      </c>
      <c r="S16" s="3" t="s">
        <v>70</v>
      </c>
      <c r="T16" s="3" t="s">
        <v>77</v>
      </c>
      <c r="U16" s="3" t="s">
        <v>70</v>
      </c>
      <c r="V16" s="4" t="s">
        <v>887</v>
      </c>
      <c r="W16" s="3" t="s">
        <v>764</v>
      </c>
      <c r="X16" s="5"/>
      <c r="Y16" s="5" t="s">
        <v>274</v>
      </c>
      <c r="Z16" s="5" t="s">
        <v>69</v>
      </c>
      <c r="AA16" s="3" t="s">
        <v>732</v>
      </c>
      <c r="AB16" s="3" t="s">
        <v>733</v>
      </c>
      <c r="AC16" s="9">
        <v>96960</v>
      </c>
      <c r="AD16" s="9">
        <v>112960</v>
      </c>
      <c r="AE16" s="3" t="s">
        <v>734</v>
      </c>
      <c r="AF16" s="3"/>
      <c r="AG16" s="5"/>
      <c r="AH16" s="3" t="s">
        <v>666</v>
      </c>
      <c r="AI16" s="5" t="s">
        <v>734</v>
      </c>
      <c r="AJ16" s="5"/>
      <c r="AK16" s="5"/>
      <c r="AL16" s="5"/>
      <c r="AM16" s="3" t="s">
        <v>735</v>
      </c>
      <c r="AN16" s="3" t="s">
        <v>736</v>
      </c>
      <c r="AO16" s="3" t="s">
        <v>737</v>
      </c>
      <c r="AP16" s="3" t="s">
        <v>738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 t="s">
        <v>739</v>
      </c>
      <c r="AZ16" s="3" t="s">
        <v>888</v>
      </c>
      <c r="BA16" s="5" t="s">
        <v>891</v>
      </c>
      <c r="BB16" s="3" t="s">
        <v>742</v>
      </c>
      <c r="BC16" s="4" t="s">
        <v>889</v>
      </c>
      <c r="BD16" s="4" t="s">
        <v>892</v>
      </c>
      <c r="BE16" s="3" t="s">
        <v>72</v>
      </c>
      <c r="BF16" s="3" t="s">
        <v>745</v>
      </c>
      <c r="BG16" s="3" t="s">
        <v>746</v>
      </c>
      <c r="BH16" s="3" t="s">
        <v>747</v>
      </c>
      <c r="BI16" s="5"/>
      <c r="BJ16" s="5"/>
      <c r="BK16" s="3" t="s">
        <v>748</v>
      </c>
      <c r="BL16" s="4" t="s">
        <v>771</v>
      </c>
      <c r="BM16" s="10"/>
      <c r="BN16" s="10"/>
      <c r="BO16" s="10"/>
      <c r="BP16" s="10">
        <v>4</v>
      </c>
      <c r="BQ16" s="10"/>
      <c r="BR16" s="10"/>
      <c r="BS16" s="10"/>
      <c r="BT16" s="10"/>
      <c r="BU16" s="10"/>
      <c r="BV16" s="10"/>
      <c r="BW16" s="10"/>
      <c r="BX16" s="10"/>
      <c r="BY16" s="3" t="s">
        <v>750</v>
      </c>
      <c r="BZ16" s="5">
        <v>13</v>
      </c>
      <c r="CA16" s="3"/>
      <c r="CB16" s="5"/>
      <c r="CC16" s="3" t="s">
        <v>40</v>
      </c>
      <c r="CD16" s="5"/>
      <c r="CE16" s="5"/>
      <c r="CF16" s="3" t="s">
        <v>751</v>
      </c>
      <c r="CG16" s="3" t="s">
        <v>752</v>
      </c>
      <c r="CH16" s="5" t="s">
        <v>890</v>
      </c>
      <c r="CI16" s="3" t="s">
        <v>753</v>
      </c>
      <c r="CJ16" s="3" t="s">
        <v>74</v>
      </c>
      <c r="CK16" s="3" t="s">
        <v>76</v>
      </c>
      <c r="CL16" s="3" t="s">
        <v>76</v>
      </c>
      <c r="CM16" s="5" t="s">
        <v>754</v>
      </c>
      <c r="CN16" s="3" t="s">
        <v>755</v>
      </c>
      <c r="CO16" s="3" t="s">
        <v>756</v>
      </c>
      <c r="CP16" s="5"/>
      <c r="CQ16" s="3" t="s">
        <v>773</v>
      </c>
      <c r="CR16" s="3" t="s">
        <v>758</v>
      </c>
      <c r="CS16" s="3" t="s">
        <v>732</v>
      </c>
      <c r="CT16" s="3" t="s">
        <v>44</v>
      </c>
      <c r="CU16" s="5"/>
      <c r="CV16" s="5"/>
      <c r="CW16" s="4" t="s">
        <v>787</v>
      </c>
      <c r="CX16" s="5" t="s">
        <v>800</v>
      </c>
      <c r="CY16" s="11"/>
    </row>
    <row r="17" ht="12" customHeight="1" spans="1:103" x14ac:dyDescent="0.25">
      <c r="A17" s="8" t="s">
        <v>628</v>
      </c>
      <c r="B17" s="3" t="s">
        <v>762</v>
      </c>
      <c r="C17" s="5">
        <v>1</v>
      </c>
      <c r="D17" s="5">
        <v>1</v>
      </c>
      <c r="E17" s="5" t="s">
        <v>52</v>
      </c>
      <c r="F17" s="5">
        <v>0</v>
      </c>
      <c r="G17" s="5">
        <v>1</v>
      </c>
      <c r="H17" s="5">
        <v>0</v>
      </c>
      <c r="I17" s="5">
        <v>0</v>
      </c>
      <c r="J17" s="5">
        <v>1</v>
      </c>
      <c r="K17" s="3" t="s">
        <v>44</v>
      </c>
      <c r="L17" s="3" t="s">
        <v>728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729</v>
      </c>
      <c r="R17" s="4" t="s">
        <v>30</v>
      </c>
      <c r="S17" s="3" t="s">
        <v>36</v>
      </c>
      <c r="T17" s="3" t="s">
        <v>50</v>
      </c>
      <c r="U17" s="3" t="s">
        <v>36</v>
      </c>
      <c r="V17" s="4" t="s">
        <v>730</v>
      </c>
      <c r="W17" s="3" t="s">
        <v>731</v>
      </c>
      <c r="X17" s="5"/>
      <c r="Y17" s="5"/>
      <c r="Z17" s="5"/>
      <c r="AA17" s="3" t="s">
        <v>893</v>
      </c>
      <c r="AB17" s="3" t="s">
        <v>894</v>
      </c>
      <c r="AC17" s="9">
        <v>21960</v>
      </c>
      <c r="AD17" s="9">
        <v>24160</v>
      </c>
      <c r="AE17" s="3" t="s">
        <v>734</v>
      </c>
      <c r="AF17" s="3" t="s">
        <v>663</v>
      </c>
      <c r="AG17" s="5"/>
      <c r="AH17" s="3" t="s">
        <v>666</v>
      </c>
      <c r="AI17" s="5" t="s">
        <v>734</v>
      </c>
      <c r="AJ17" s="5"/>
      <c r="AK17" s="5"/>
      <c r="AL17" s="5"/>
      <c r="AM17" s="3" t="s">
        <v>895</v>
      </c>
      <c r="AN17" s="3" t="s">
        <v>896</v>
      </c>
      <c r="AO17" s="3" t="s">
        <v>897</v>
      </c>
      <c r="AP17" s="3" t="s">
        <v>738</v>
      </c>
      <c r="AQ17" s="5"/>
      <c r="AR17" s="5"/>
      <c r="AS17" s="5"/>
      <c r="AT17" s="5"/>
      <c r="AU17" s="5"/>
      <c r="AV17" s="5"/>
      <c r="AW17" s="5">
        <v>0</v>
      </c>
      <c r="AX17" s="3" t="s">
        <v>44</v>
      </c>
      <c r="AY17" s="5" t="s">
        <v>739</v>
      </c>
      <c r="AZ17" s="3" t="s">
        <v>898</v>
      </c>
      <c r="BA17" s="5" t="s">
        <v>899</v>
      </c>
      <c r="BB17" s="3" t="s">
        <v>742</v>
      </c>
      <c r="BC17" s="4" t="s">
        <v>900</v>
      </c>
      <c r="BD17" s="4" t="s">
        <v>892</v>
      </c>
      <c r="BE17" s="3" t="s">
        <v>72</v>
      </c>
      <c r="BF17" s="3" t="s">
        <v>897</v>
      </c>
      <c r="BG17" s="3" t="s">
        <v>746</v>
      </c>
      <c r="BH17" s="3" t="s">
        <v>747</v>
      </c>
      <c r="BI17" s="5"/>
      <c r="BJ17" s="5"/>
      <c r="BK17" s="3" t="s">
        <v>840</v>
      </c>
      <c r="BL17" s="4" t="s">
        <v>901</v>
      </c>
      <c r="BM17" s="10"/>
      <c r="BN17" s="10">
        <v>1</v>
      </c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3" t="s">
        <v>750</v>
      </c>
      <c r="BZ17" s="5"/>
      <c r="CA17" s="3" t="s">
        <v>72</v>
      </c>
      <c r="CB17" s="5"/>
      <c r="CC17" s="3" t="s">
        <v>842</v>
      </c>
      <c r="CD17" s="5"/>
      <c r="CE17" s="5"/>
      <c r="CF17" s="3" t="s">
        <v>751</v>
      </c>
      <c r="CG17" s="3" t="s">
        <v>752</v>
      </c>
      <c r="CH17" s="5"/>
      <c r="CI17" s="3" t="s">
        <v>902</v>
      </c>
      <c r="CJ17" s="3" t="s">
        <v>630</v>
      </c>
      <c r="CK17" s="3" t="s">
        <v>631</v>
      </c>
      <c r="CL17" s="3" t="s">
        <v>631</v>
      </c>
      <c r="CM17" s="5" t="s">
        <v>754</v>
      </c>
      <c r="CN17" s="3" t="s">
        <v>755</v>
      </c>
      <c r="CO17" s="3" t="s">
        <v>756</v>
      </c>
      <c r="CP17" s="5"/>
      <c r="CQ17" s="3" t="s">
        <v>903</v>
      </c>
      <c r="CR17" s="3" t="s">
        <v>904</v>
      </c>
      <c r="CS17" s="3" t="s">
        <v>893</v>
      </c>
      <c r="CT17" s="3" t="s">
        <v>44</v>
      </c>
      <c r="CU17" s="5"/>
      <c r="CV17" s="5"/>
      <c r="CW17" s="4" t="s">
        <v>792</v>
      </c>
      <c r="CX17" s="5" t="s">
        <v>905</v>
      </c>
      <c r="CY17" s="11" t="s">
        <v>899</v>
      </c>
    </row>
    <row r="18" ht="12" customHeight="1" spans="1:103" x14ac:dyDescent="0.25">
      <c r="A18" s="8" t="s">
        <v>403</v>
      </c>
      <c r="B18" s="3" t="s">
        <v>906</v>
      </c>
      <c r="C18" s="5">
        <v>8</v>
      </c>
      <c r="D18" s="5">
        <v>8</v>
      </c>
      <c r="E18" s="5"/>
      <c r="F18" s="5">
        <v>0</v>
      </c>
      <c r="G18" s="5">
        <v>8</v>
      </c>
      <c r="H18" s="5">
        <v>0</v>
      </c>
      <c r="I18" s="5">
        <v>0</v>
      </c>
      <c r="J18" s="5">
        <v>8</v>
      </c>
      <c r="K18" s="3" t="s">
        <v>44</v>
      </c>
      <c r="L18" s="3" t="s">
        <v>728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729</v>
      </c>
      <c r="R18" s="4" t="s">
        <v>30</v>
      </c>
      <c r="S18" s="3" t="s">
        <v>36</v>
      </c>
      <c r="T18" s="3" t="s">
        <v>50</v>
      </c>
      <c r="U18" s="3" t="s">
        <v>36</v>
      </c>
      <c r="V18" s="4" t="s">
        <v>730</v>
      </c>
      <c r="W18" s="3" t="s">
        <v>731</v>
      </c>
      <c r="X18" s="5"/>
      <c r="Y18" s="5"/>
      <c r="Z18" s="5"/>
      <c r="AA18" s="3" t="s">
        <v>732</v>
      </c>
      <c r="AB18" s="3" t="s">
        <v>733</v>
      </c>
      <c r="AC18" s="9">
        <v>128768</v>
      </c>
      <c r="AD18" s="9">
        <v>146368</v>
      </c>
      <c r="AE18" s="3" t="s">
        <v>734</v>
      </c>
      <c r="AF18" s="3"/>
      <c r="AG18" s="5"/>
      <c r="AH18" s="3" t="s">
        <v>666</v>
      </c>
      <c r="AI18" s="5" t="s">
        <v>734</v>
      </c>
      <c r="AJ18" s="5"/>
      <c r="AK18" s="5"/>
      <c r="AL18" s="5"/>
      <c r="AM18" s="3" t="s">
        <v>735</v>
      </c>
      <c r="AN18" s="3" t="s">
        <v>736</v>
      </c>
      <c r="AO18" s="3" t="s">
        <v>737</v>
      </c>
      <c r="AP18" s="3" t="s">
        <v>738</v>
      </c>
      <c r="AQ18" s="5"/>
      <c r="AR18" s="5"/>
      <c r="AS18" s="5"/>
      <c r="AT18" s="5"/>
      <c r="AU18" s="5"/>
      <c r="AV18" s="5"/>
      <c r="AW18" s="5">
        <v>0</v>
      </c>
      <c r="AX18" s="3" t="s">
        <v>44</v>
      </c>
      <c r="AY18" s="5" t="s">
        <v>823</v>
      </c>
      <c r="AZ18" s="3" t="s">
        <v>907</v>
      </c>
      <c r="BA18" s="5" t="s">
        <v>908</v>
      </c>
      <c r="BB18" s="3" t="s">
        <v>742</v>
      </c>
      <c r="BC18" s="4" t="s">
        <v>900</v>
      </c>
      <c r="BD18" s="4" t="s">
        <v>909</v>
      </c>
      <c r="BE18" s="3" t="s">
        <v>72</v>
      </c>
      <c r="BF18" s="3" t="s">
        <v>745</v>
      </c>
      <c r="BG18" s="3" t="s">
        <v>746</v>
      </c>
      <c r="BH18" s="3" t="s">
        <v>747</v>
      </c>
      <c r="BI18" s="5"/>
      <c r="BJ18" s="5"/>
      <c r="BK18" s="3" t="s">
        <v>748</v>
      </c>
      <c r="BL18" s="4" t="s">
        <v>910</v>
      </c>
      <c r="BM18" s="10"/>
      <c r="BN18" s="10">
        <v>8</v>
      </c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3" t="s">
        <v>750</v>
      </c>
      <c r="BZ18" s="5"/>
      <c r="CA18" s="3"/>
      <c r="CB18" s="5"/>
      <c r="CC18" s="3" t="s">
        <v>40</v>
      </c>
      <c r="CD18" s="5"/>
      <c r="CE18" s="5"/>
      <c r="CF18" s="3" t="s">
        <v>751</v>
      </c>
      <c r="CG18" s="3" t="s">
        <v>752</v>
      </c>
      <c r="CH18" s="5"/>
      <c r="CI18" s="3" t="s">
        <v>753</v>
      </c>
      <c r="CJ18" s="3" t="s">
        <v>74</v>
      </c>
      <c r="CK18" s="3" t="s">
        <v>404</v>
      </c>
      <c r="CL18" s="3" t="s">
        <v>404</v>
      </c>
      <c r="CM18" s="5" t="s">
        <v>754</v>
      </c>
      <c r="CN18" s="3" t="s">
        <v>755</v>
      </c>
      <c r="CO18" s="3" t="s">
        <v>756</v>
      </c>
      <c r="CP18" s="5"/>
      <c r="CQ18" s="3" t="s">
        <v>757</v>
      </c>
      <c r="CR18" s="3" t="s">
        <v>758</v>
      </c>
      <c r="CS18" s="3" t="s">
        <v>732</v>
      </c>
      <c r="CT18" s="3" t="s">
        <v>44</v>
      </c>
      <c r="CU18" s="5"/>
      <c r="CV18" s="5"/>
      <c r="CW18" s="4" t="s">
        <v>828</v>
      </c>
      <c r="CX18" s="5" t="s">
        <v>760</v>
      </c>
      <c r="CY18" s="11"/>
    </row>
    <row r="19" ht="12" customHeight="1" spans="1:103" x14ac:dyDescent="0.25">
      <c r="A19" s="8" t="s">
        <v>449</v>
      </c>
      <c r="B19" s="3" t="s">
        <v>854</v>
      </c>
      <c r="C19" s="5">
        <v>5</v>
      </c>
      <c r="D19" s="5">
        <v>5</v>
      </c>
      <c r="E19" s="5"/>
      <c r="F19" s="5">
        <v>0</v>
      </c>
      <c r="G19" s="5">
        <v>5</v>
      </c>
      <c r="H19" s="5">
        <v>0</v>
      </c>
      <c r="I19" s="5">
        <v>0</v>
      </c>
      <c r="J19" s="5">
        <v>5</v>
      </c>
      <c r="K19" s="3" t="s">
        <v>44</v>
      </c>
      <c r="L19" s="3" t="s">
        <v>728</v>
      </c>
      <c r="M19" s="3" t="s">
        <v>31</v>
      </c>
      <c r="N19" s="3" t="s">
        <v>32</v>
      </c>
      <c r="O19" s="3" t="s">
        <v>35</v>
      </c>
      <c r="P19" s="3" t="s">
        <v>40</v>
      </c>
      <c r="Q19" s="3" t="s">
        <v>729</v>
      </c>
      <c r="R19" s="4" t="s">
        <v>30</v>
      </c>
      <c r="S19" s="3" t="s">
        <v>36</v>
      </c>
      <c r="T19" s="3" t="s">
        <v>50</v>
      </c>
      <c r="U19" s="3" t="s">
        <v>36</v>
      </c>
      <c r="V19" s="4" t="s">
        <v>730</v>
      </c>
      <c r="W19" s="3" t="s">
        <v>731</v>
      </c>
      <c r="X19" s="5"/>
      <c r="Y19" s="5"/>
      <c r="Z19" s="5"/>
      <c r="AA19" s="3" t="s">
        <v>732</v>
      </c>
      <c r="AB19" s="3" t="s">
        <v>733</v>
      </c>
      <c r="AC19" s="9">
        <v>80480</v>
      </c>
      <c r="AD19" s="9">
        <v>91480</v>
      </c>
      <c r="AE19" s="3" t="s">
        <v>734</v>
      </c>
      <c r="AF19" s="3"/>
      <c r="AG19" s="5"/>
      <c r="AH19" s="3" t="s">
        <v>666</v>
      </c>
      <c r="AI19" s="5" t="s">
        <v>734</v>
      </c>
      <c r="AJ19" s="5"/>
      <c r="AK19" s="5"/>
      <c r="AL19" s="5"/>
      <c r="AM19" s="3" t="s">
        <v>735</v>
      </c>
      <c r="AN19" s="3" t="s">
        <v>736</v>
      </c>
      <c r="AO19" s="3" t="s">
        <v>737</v>
      </c>
      <c r="AP19" s="3" t="s">
        <v>738</v>
      </c>
      <c r="AQ19" s="5"/>
      <c r="AR19" s="5"/>
      <c r="AS19" s="5"/>
      <c r="AT19" s="5"/>
      <c r="AU19" s="5"/>
      <c r="AV19" s="5"/>
      <c r="AW19" s="5">
        <v>0</v>
      </c>
      <c r="AX19" s="3" t="s">
        <v>44</v>
      </c>
      <c r="AY19" s="5" t="s">
        <v>739</v>
      </c>
      <c r="AZ19" s="3" t="s">
        <v>907</v>
      </c>
      <c r="BA19" s="5" t="s">
        <v>911</v>
      </c>
      <c r="BB19" s="3" t="s">
        <v>742</v>
      </c>
      <c r="BC19" s="4" t="s">
        <v>900</v>
      </c>
      <c r="BD19" s="4" t="s">
        <v>787</v>
      </c>
      <c r="BE19" s="3" t="s">
        <v>72</v>
      </c>
      <c r="BF19" s="3" t="s">
        <v>745</v>
      </c>
      <c r="BG19" s="3" t="s">
        <v>746</v>
      </c>
      <c r="BH19" s="3" t="s">
        <v>747</v>
      </c>
      <c r="BI19" s="5"/>
      <c r="BJ19" s="5"/>
      <c r="BK19" s="3" t="s">
        <v>748</v>
      </c>
      <c r="BL19" s="4" t="s">
        <v>910</v>
      </c>
      <c r="BM19" s="10"/>
      <c r="BN19" s="10">
        <v>5</v>
      </c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3" t="s">
        <v>750</v>
      </c>
      <c r="BZ19" s="5"/>
      <c r="CA19" s="3"/>
      <c r="CB19" s="5"/>
      <c r="CC19" s="3" t="s">
        <v>40</v>
      </c>
      <c r="CD19" s="5"/>
      <c r="CE19" s="5"/>
      <c r="CF19" s="3" t="s">
        <v>751</v>
      </c>
      <c r="CG19" s="3" t="s">
        <v>752</v>
      </c>
      <c r="CH19" s="5"/>
      <c r="CI19" s="3" t="s">
        <v>753</v>
      </c>
      <c r="CJ19" s="3" t="s">
        <v>74</v>
      </c>
      <c r="CK19" s="3" t="s">
        <v>404</v>
      </c>
      <c r="CL19" s="3" t="s">
        <v>404</v>
      </c>
      <c r="CM19" s="5" t="s">
        <v>754</v>
      </c>
      <c r="CN19" s="3" t="s">
        <v>755</v>
      </c>
      <c r="CO19" s="3" t="s">
        <v>756</v>
      </c>
      <c r="CP19" s="5"/>
      <c r="CQ19" s="3" t="s">
        <v>757</v>
      </c>
      <c r="CR19" s="3" t="s">
        <v>758</v>
      </c>
      <c r="CS19" s="3" t="s">
        <v>732</v>
      </c>
      <c r="CT19" s="3" t="s">
        <v>44</v>
      </c>
      <c r="CU19" s="5"/>
      <c r="CV19" s="5"/>
      <c r="CW19" s="4" t="s">
        <v>828</v>
      </c>
      <c r="CX19" s="5" t="s">
        <v>760</v>
      </c>
      <c r="CY19" s="11"/>
    </row>
    <row r="20" ht="12" customHeight="1" spans="1:103" x14ac:dyDescent="0.25">
      <c r="A20" s="8" t="s">
        <v>117</v>
      </c>
      <c r="B20" s="3" t="s">
        <v>912</v>
      </c>
      <c r="C20" s="5">
        <v>8</v>
      </c>
      <c r="D20" s="5">
        <v>8</v>
      </c>
      <c r="E20" s="5"/>
      <c r="F20" s="5">
        <v>0</v>
      </c>
      <c r="G20" s="5">
        <v>0</v>
      </c>
      <c r="H20" s="5">
        <v>0</v>
      </c>
      <c r="I20" s="5">
        <v>8</v>
      </c>
      <c r="J20" s="5">
        <v>16</v>
      </c>
      <c r="K20" s="3" t="s">
        <v>44</v>
      </c>
      <c r="L20" s="3" t="s">
        <v>728</v>
      </c>
      <c r="M20" s="3" t="s">
        <v>31</v>
      </c>
      <c r="N20" s="3" t="s">
        <v>32</v>
      </c>
      <c r="O20" s="3" t="s">
        <v>35</v>
      </c>
      <c r="P20" s="3" t="s">
        <v>40</v>
      </c>
      <c r="Q20" s="3" t="s">
        <v>729</v>
      </c>
      <c r="R20" s="4" t="s">
        <v>30</v>
      </c>
      <c r="S20" s="3" t="s">
        <v>36</v>
      </c>
      <c r="T20" s="3" t="s">
        <v>50</v>
      </c>
      <c r="U20" s="3" t="s">
        <v>36</v>
      </c>
      <c r="V20" s="4" t="s">
        <v>730</v>
      </c>
      <c r="W20" s="3" t="s">
        <v>731</v>
      </c>
      <c r="X20" s="5"/>
      <c r="Y20" s="5"/>
      <c r="Z20" s="5"/>
      <c r="AA20" s="3" t="s">
        <v>732</v>
      </c>
      <c r="AB20" s="3" t="s">
        <v>733</v>
      </c>
      <c r="AC20" s="9">
        <v>193920</v>
      </c>
      <c r="AD20" s="9">
        <v>225920</v>
      </c>
      <c r="AE20" s="3" t="s">
        <v>734</v>
      </c>
      <c r="AF20" s="3"/>
      <c r="AG20" s="5"/>
      <c r="AH20" s="3" t="s">
        <v>666</v>
      </c>
      <c r="AI20" s="5" t="s">
        <v>734</v>
      </c>
      <c r="AJ20" s="5"/>
      <c r="AK20" s="5"/>
      <c r="AL20" s="5"/>
      <c r="AM20" s="3" t="s">
        <v>735</v>
      </c>
      <c r="AN20" s="3" t="s">
        <v>736</v>
      </c>
      <c r="AO20" s="3" t="s">
        <v>913</v>
      </c>
      <c r="AP20" s="3" t="s">
        <v>738</v>
      </c>
      <c r="AQ20" s="5"/>
      <c r="AR20" s="5"/>
      <c r="AS20" s="5"/>
      <c r="AT20" s="5"/>
      <c r="AU20" s="5"/>
      <c r="AV20" s="5"/>
      <c r="AW20" s="5">
        <v>0</v>
      </c>
      <c r="AX20" s="3" t="s">
        <v>44</v>
      </c>
      <c r="AY20" s="5" t="s">
        <v>739</v>
      </c>
      <c r="AZ20" s="3" t="s">
        <v>914</v>
      </c>
      <c r="BA20" s="5" t="s">
        <v>915</v>
      </c>
      <c r="BB20" s="3" t="s">
        <v>742</v>
      </c>
      <c r="BC20" s="4" t="s">
        <v>900</v>
      </c>
      <c r="BD20" s="4" t="s">
        <v>797</v>
      </c>
      <c r="BE20" s="3" t="s">
        <v>72</v>
      </c>
      <c r="BF20" s="3" t="s">
        <v>745</v>
      </c>
      <c r="BG20" s="3" t="s">
        <v>746</v>
      </c>
      <c r="BH20" s="3" t="s">
        <v>747</v>
      </c>
      <c r="BI20" s="5"/>
      <c r="BJ20" s="5"/>
      <c r="BK20" s="3" t="s">
        <v>748</v>
      </c>
      <c r="BL20" s="4" t="s">
        <v>810</v>
      </c>
      <c r="BM20" s="10"/>
      <c r="BN20" s="10"/>
      <c r="BO20" s="10"/>
      <c r="BP20" s="10">
        <v>8</v>
      </c>
      <c r="BQ20" s="10"/>
      <c r="BR20" s="10"/>
      <c r="BS20" s="10"/>
      <c r="BT20" s="10"/>
      <c r="BU20" s="10"/>
      <c r="BV20" s="10"/>
      <c r="BW20" s="10"/>
      <c r="BX20" s="10"/>
      <c r="BY20" s="3" t="s">
        <v>750</v>
      </c>
      <c r="BZ20" s="5"/>
      <c r="CA20" s="3"/>
      <c r="CB20" s="5"/>
      <c r="CC20" s="3" t="s">
        <v>40</v>
      </c>
      <c r="CD20" s="5"/>
      <c r="CE20" s="5"/>
      <c r="CF20" s="3" t="s">
        <v>751</v>
      </c>
      <c r="CG20" s="3" t="s">
        <v>752</v>
      </c>
      <c r="CH20" s="5"/>
      <c r="CI20" s="3" t="s">
        <v>753</v>
      </c>
      <c r="CJ20" s="3" t="s">
        <v>74</v>
      </c>
      <c r="CK20" s="3" t="s">
        <v>111</v>
      </c>
      <c r="CL20" s="3" t="s">
        <v>111</v>
      </c>
      <c r="CM20" s="5" t="s">
        <v>754</v>
      </c>
      <c r="CN20" s="3" t="s">
        <v>755</v>
      </c>
      <c r="CO20" s="3" t="s">
        <v>756</v>
      </c>
      <c r="CP20" s="5"/>
      <c r="CQ20" s="3" t="s">
        <v>757</v>
      </c>
      <c r="CR20" s="3" t="s">
        <v>758</v>
      </c>
      <c r="CS20" s="3" t="s">
        <v>732</v>
      </c>
      <c r="CT20" s="3" t="s">
        <v>44</v>
      </c>
      <c r="CU20" s="5"/>
      <c r="CV20" s="5"/>
      <c r="CW20" s="4" t="s">
        <v>828</v>
      </c>
      <c r="CX20" s="5" t="s">
        <v>800</v>
      </c>
      <c r="CY20" s="11"/>
    </row>
    <row r="21" ht="12" customHeight="1" spans="1:103" x14ac:dyDescent="0.25">
      <c r="A21" s="8" t="s">
        <v>425</v>
      </c>
      <c r="B21" s="3" t="s">
        <v>873</v>
      </c>
      <c r="C21" s="5">
        <v>2</v>
      </c>
      <c r="D21" s="5">
        <v>2</v>
      </c>
      <c r="E21" s="5"/>
      <c r="F21" s="5">
        <v>0</v>
      </c>
      <c r="G21" s="5">
        <v>2</v>
      </c>
      <c r="H21" s="5">
        <v>0</v>
      </c>
      <c r="I21" s="5">
        <v>0</v>
      </c>
      <c r="J21" s="5">
        <v>2</v>
      </c>
      <c r="K21" s="3" t="s">
        <v>44</v>
      </c>
      <c r="L21" s="3" t="s">
        <v>728</v>
      </c>
      <c r="M21" s="3" t="s">
        <v>31</v>
      </c>
      <c r="N21" s="3" t="s">
        <v>32</v>
      </c>
      <c r="O21" s="3" t="s">
        <v>35</v>
      </c>
      <c r="P21" s="3" t="s">
        <v>40</v>
      </c>
      <c r="Q21" s="3" t="s">
        <v>729</v>
      </c>
      <c r="R21" s="4" t="s">
        <v>30</v>
      </c>
      <c r="S21" s="3" t="s">
        <v>36</v>
      </c>
      <c r="T21" s="3" t="s">
        <v>50</v>
      </c>
      <c r="U21" s="3" t="s">
        <v>36</v>
      </c>
      <c r="V21" s="4" t="s">
        <v>730</v>
      </c>
      <c r="W21" s="3" t="s">
        <v>731</v>
      </c>
      <c r="X21" s="5"/>
      <c r="Y21" s="5"/>
      <c r="Z21" s="5"/>
      <c r="AA21" s="3" t="s">
        <v>916</v>
      </c>
      <c r="AB21" s="3" t="s">
        <v>917</v>
      </c>
      <c r="AC21" s="9">
        <v>35360</v>
      </c>
      <c r="AD21" s="9">
        <v>39760</v>
      </c>
      <c r="AE21" s="3" t="s">
        <v>734</v>
      </c>
      <c r="AF21" s="3" t="s">
        <v>663</v>
      </c>
      <c r="AG21" s="5"/>
      <c r="AH21" s="3" t="s">
        <v>918</v>
      </c>
      <c r="AI21" s="5" t="s">
        <v>734</v>
      </c>
      <c r="AJ21" s="5"/>
      <c r="AK21" s="5"/>
      <c r="AL21" s="5"/>
      <c r="AM21" s="3" t="s">
        <v>856</v>
      </c>
      <c r="AN21" s="3" t="s">
        <v>857</v>
      </c>
      <c r="AO21" s="3" t="s">
        <v>919</v>
      </c>
      <c r="AP21" s="3" t="s">
        <v>738</v>
      </c>
      <c r="AQ21" s="5"/>
      <c r="AR21" s="5"/>
      <c r="AS21" s="5"/>
      <c r="AT21" s="5"/>
      <c r="AU21" s="5"/>
      <c r="AV21" s="5"/>
      <c r="AW21" s="5">
        <v>0</v>
      </c>
      <c r="AX21" s="3" t="s">
        <v>44</v>
      </c>
      <c r="AY21" s="5" t="s">
        <v>739</v>
      </c>
      <c r="AZ21" s="3" t="s">
        <v>920</v>
      </c>
      <c r="BA21" s="5" t="s">
        <v>761</v>
      </c>
      <c r="BB21" s="3" t="s">
        <v>742</v>
      </c>
      <c r="BC21" s="4" t="s">
        <v>900</v>
      </c>
      <c r="BD21" s="4" t="s">
        <v>744</v>
      </c>
      <c r="BE21" s="3" t="s">
        <v>72</v>
      </c>
      <c r="BF21" s="3" t="s">
        <v>919</v>
      </c>
      <c r="BG21" s="3" t="s">
        <v>746</v>
      </c>
      <c r="BH21" s="3" t="s">
        <v>747</v>
      </c>
      <c r="BI21" s="5"/>
      <c r="BJ21" s="5"/>
      <c r="BK21" s="3" t="s">
        <v>748</v>
      </c>
      <c r="BL21" s="4" t="s">
        <v>771</v>
      </c>
      <c r="BM21" s="10"/>
      <c r="BN21" s="10">
        <v>2</v>
      </c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3" t="s">
        <v>750</v>
      </c>
      <c r="BZ21" s="5"/>
      <c r="CA21" s="3" t="s">
        <v>72</v>
      </c>
      <c r="CB21" s="5"/>
      <c r="CC21" s="3" t="s">
        <v>40</v>
      </c>
      <c r="CD21" s="5"/>
      <c r="CE21" s="5"/>
      <c r="CF21" s="3" t="s">
        <v>751</v>
      </c>
      <c r="CG21" s="3" t="s">
        <v>752</v>
      </c>
      <c r="CH21" s="5"/>
      <c r="CI21" s="3" t="s">
        <v>921</v>
      </c>
      <c r="CJ21" s="3" t="s">
        <v>426</v>
      </c>
      <c r="CK21" s="3" t="s">
        <v>427</v>
      </c>
      <c r="CL21" s="3" t="s">
        <v>427</v>
      </c>
      <c r="CM21" s="5" t="s">
        <v>754</v>
      </c>
      <c r="CN21" s="3" t="s">
        <v>755</v>
      </c>
      <c r="CO21" s="3" t="s">
        <v>756</v>
      </c>
      <c r="CP21" s="5"/>
      <c r="CQ21" s="3" t="s">
        <v>922</v>
      </c>
      <c r="CR21" s="3" t="s">
        <v>923</v>
      </c>
      <c r="CS21" s="3" t="s">
        <v>916</v>
      </c>
      <c r="CT21" s="3" t="s">
        <v>44</v>
      </c>
      <c r="CU21" s="5"/>
      <c r="CV21" s="5"/>
      <c r="CW21" s="4" t="s">
        <v>759</v>
      </c>
      <c r="CX21" s="5" t="s">
        <v>924</v>
      </c>
      <c r="CY21" s="11" t="s">
        <v>761</v>
      </c>
    </row>
    <row r="22" ht="12" customHeight="1" spans="1:103" x14ac:dyDescent="0.25">
      <c r="A22" s="8" t="s">
        <v>354</v>
      </c>
      <c r="B22" s="3" t="s">
        <v>762</v>
      </c>
      <c r="C22" s="5">
        <v>1</v>
      </c>
      <c r="D22" s="5">
        <v>1</v>
      </c>
      <c r="E22" s="5"/>
      <c r="F22" s="5">
        <v>0</v>
      </c>
      <c r="G22" s="5">
        <v>1</v>
      </c>
      <c r="H22" s="5">
        <v>0</v>
      </c>
      <c r="I22" s="5">
        <v>0</v>
      </c>
      <c r="J22" s="5">
        <v>1</v>
      </c>
      <c r="K22" s="3" t="s">
        <v>44</v>
      </c>
      <c r="L22" s="3" t="s">
        <v>728</v>
      </c>
      <c r="M22" s="3" t="s">
        <v>31</v>
      </c>
      <c r="N22" s="3" t="s">
        <v>32</v>
      </c>
      <c r="O22" s="3" t="s">
        <v>35</v>
      </c>
      <c r="P22" s="3" t="s">
        <v>40</v>
      </c>
      <c r="Q22" s="3" t="s">
        <v>729</v>
      </c>
      <c r="R22" s="4" t="s">
        <v>30</v>
      </c>
      <c r="S22" s="3" t="s">
        <v>36</v>
      </c>
      <c r="T22" s="3" t="s">
        <v>50</v>
      </c>
      <c r="U22" s="3" t="s">
        <v>36</v>
      </c>
      <c r="V22" s="4" t="s">
        <v>730</v>
      </c>
      <c r="W22" s="3" t="s">
        <v>731</v>
      </c>
      <c r="X22" s="5"/>
      <c r="Y22" s="5"/>
      <c r="Z22" s="5"/>
      <c r="AA22" s="3" t="s">
        <v>925</v>
      </c>
      <c r="AB22" s="3" t="s">
        <v>925</v>
      </c>
      <c r="AC22" s="9">
        <v>16726</v>
      </c>
      <c r="AD22" s="9">
        <v>18926</v>
      </c>
      <c r="AE22" s="3" t="s">
        <v>734</v>
      </c>
      <c r="AF22" s="3"/>
      <c r="AG22" s="5"/>
      <c r="AH22" s="3" t="s">
        <v>666</v>
      </c>
      <c r="AI22" s="5" t="s">
        <v>734</v>
      </c>
      <c r="AJ22" s="5"/>
      <c r="AK22" s="5"/>
      <c r="AL22" s="5"/>
      <c r="AM22" s="3" t="s">
        <v>820</v>
      </c>
      <c r="AN22" s="3" t="s">
        <v>821</v>
      </c>
      <c r="AO22" s="3" t="s">
        <v>926</v>
      </c>
      <c r="AP22" s="3" t="s">
        <v>738</v>
      </c>
      <c r="AQ22" s="5"/>
      <c r="AR22" s="5"/>
      <c r="AS22" s="5"/>
      <c r="AT22" s="5"/>
      <c r="AU22" s="5"/>
      <c r="AV22" s="5"/>
      <c r="AW22" s="5">
        <v>0</v>
      </c>
      <c r="AX22" s="3" t="s">
        <v>44</v>
      </c>
      <c r="AY22" s="5" t="s">
        <v>739</v>
      </c>
      <c r="AZ22" s="3" t="s">
        <v>927</v>
      </c>
      <c r="BA22" s="5" t="s">
        <v>928</v>
      </c>
      <c r="BB22" s="3" t="s">
        <v>742</v>
      </c>
      <c r="BC22" s="4" t="s">
        <v>929</v>
      </c>
      <c r="BD22" s="4" t="s">
        <v>785</v>
      </c>
      <c r="BE22" s="3" t="s">
        <v>72</v>
      </c>
      <c r="BF22" s="3" t="s">
        <v>930</v>
      </c>
      <c r="BG22" s="3" t="s">
        <v>746</v>
      </c>
      <c r="BH22" s="3" t="s">
        <v>747</v>
      </c>
      <c r="BI22" s="5"/>
      <c r="BJ22" s="5"/>
      <c r="BK22" s="3" t="s">
        <v>748</v>
      </c>
      <c r="BL22" s="4" t="s">
        <v>771</v>
      </c>
      <c r="BM22" s="10"/>
      <c r="BN22" s="10">
        <v>1</v>
      </c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3" t="s">
        <v>750</v>
      </c>
      <c r="BZ22" s="5"/>
      <c r="CA22" s="3"/>
      <c r="CB22" s="5"/>
      <c r="CC22" s="3" t="s">
        <v>40</v>
      </c>
      <c r="CD22" s="5"/>
      <c r="CE22" s="5"/>
      <c r="CF22" s="3" t="s">
        <v>751</v>
      </c>
      <c r="CG22" s="3" t="s">
        <v>752</v>
      </c>
      <c r="CH22" s="5"/>
      <c r="CI22" s="3" t="s">
        <v>931</v>
      </c>
      <c r="CJ22" s="3" t="s">
        <v>190</v>
      </c>
      <c r="CK22" s="3" t="s">
        <v>191</v>
      </c>
      <c r="CL22" s="3" t="s">
        <v>191</v>
      </c>
      <c r="CM22" s="5" t="s">
        <v>754</v>
      </c>
      <c r="CN22" s="3" t="s">
        <v>755</v>
      </c>
      <c r="CO22" s="3" t="s">
        <v>756</v>
      </c>
      <c r="CP22" s="5"/>
      <c r="CQ22" s="3" t="s">
        <v>932</v>
      </c>
      <c r="CR22" s="3" t="s">
        <v>933</v>
      </c>
      <c r="CS22" s="3" t="s">
        <v>925</v>
      </c>
      <c r="CT22" s="3" t="s">
        <v>44</v>
      </c>
      <c r="CU22" s="5"/>
      <c r="CV22" s="5"/>
      <c r="CW22" s="4" t="s">
        <v>841</v>
      </c>
      <c r="CX22" s="5" t="s">
        <v>934</v>
      </c>
      <c r="CY22" s="11"/>
    </row>
    <row r="23" ht="12" customHeight="1" spans="1:103" x14ac:dyDescent="0.25">
      <c r="A23" s="8" t="s">
        <v>592</v>
      </c>
      <c r="B23" s="3" t="s">
        <v>762</v>
      </c>
      <c r="C23" s="5">
        <v>1</v>
      </c>
      <c r="D23" s="5">
        <v>1</v>
      </c>
      <c r="E23" s="5" t="s">
        <v>52</v>
      </c>
      <c r="F23" s="5">
        <v>0</v>
      </c>
      <c r="G23" s="5">
        <v>1</v>
      </c>
      <c r="H23" s="5">
        <v>0</v>
      </c>
      <c r="I23" s="5">
        <v>0</v>
      </c>
      <c r="J23" s="5">
        <v>1</v>
      </c>
      <c r="K23" s="3" t="s">
        <v>44</v>
      </c>
      <c r="L23" s="3" t="s">
        <v>728</v>
      </c>
      <c r="M23" s="3" t="s">
        <v>31</v>
      </c>
      <c r="N23" s="3" t="s">
        <v>32</v>
      </c>
      <c r="O23" s="3" t="s">
        <v>35</v>
      </c>
      <c r="P23" s="3" t="s">
        <v>40</v>
      </c>
      <c r="Q23" s="3" t="s">
        <v>729</v>
      </c>
      <c r="R23" s="4" t="s">
        <v>30</v>
      </c>
      <c r="S23" s="3" t="s">
        <v>36</v>
      </c>
      <c r="T23" s="3" t="s">
        <v>50</v>
      </c>
      <c r="U23" s="3" t="s">
        <v>36</v>
      </c>
      <c r="V23" s="4" t="s">
        <v>730</v>
      </c>
      <c r="W23" s="3" t="s">
        <v>731</v>
      </c>
      <c r="X23" s="5"/>
      <c r="Y23" s="5"/>
      <c r="Z23" s="5"/>
      <c r="AA23" s="3" t="s">
        <v>935</v>
      </c>
      <c r="AB23" s="3" t="s">
        <v>936</v>
      </c>
      <c r="AC23" s="9">
        <v>18900</v>
      </c>
      <c r="AD23" s="9">
        <v>21100</v>
      </c>
      <c r="AE23" s="3" t="s">
        <v>734</v>
      </c>
      <c r="AF23" s="3"/>
      <c r="AG23" s="5"/>
      <c r="AH23" s="3" t="s">
        <v>666</v>
      </c>
      <c r="AI23" s="5" t="s">
        <v>734</v>
      </c>
      <c r="AJ23" s="5"/>
      <c r="AK23" s="5"/>
      <c r="AL23" s="5"/>
      <c r="AM23" s="3" t="s">
        <v>804</v>
      </c>
      <c r="AN23" s="3" t="s">
        <v>805</v>
      </c>
      <c r="AO23" s="3" t="s">
        <v>937</v>
      </c>
      <c r="AP23" s="3" t="s">
        <v>738</v>
      </c>
      <c r="AQ23" s="5"/>
      <c r="AR23" s="5"/>
      <c r="AS23" s="5"/>
      <c r="AT23" s="5"/>
      <c r="AU23" s="5"/>
      <c r="AV23" s="5"/>
      <c r="AW23" s="5">
        <v>0</v>
      </c>
      <c r="AX23" s="3" t="s">
        <v>44</v>
      </c>
      <c r="AY23" s="5" t="s">
        <v>823</v>
      </c>
      <c r="AZ23" s="3" t="s">
        <v>938</v>
      </c>
      <c r="BA23" s="5"/>
      <c r="BB23" s="3" t="s">
        <v>742</v>
      </c>
      <c r="BC23" s="4" t="s">
        <v>939</v>
      </c>
      <c r="BD23" s="4" t="s">
        <v>785</v>
      </c>
      <c r="BE23" s="3" t="s">
        <v>72</v>
      </c>
      <c r="BF23" s="3" t="s">
        <v>940</v>
      </c>
      <c r="BG23" s="3" t="s">
        <v>746</v>
      </c>
      <c r="BH23" s="3" t="s">
        <v>747</v>
      </c>
      <c r="BI23" s="5"/>
      <c r="BJ23" s="5"/>
      <c r="BK23" s="3" t="s">
        <v>840</v>
      </c>
      <c r="BL23" s="4" t="s">
        <v>909</v>
      </c>
      <c r="BM23" s="10"/>
      <c r="BN23" s="10">
        <v>1</v>
      </c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3" t="s">
        <v>750</v>
      </c>
      <c r="BZ23" s="5"/>
      <c r="CA23" s="3" t="s">
        <v>72</v>
      </c>
      <c r="CB23" s="5"/>
      <c r="CC23" s="3" t="s">
        <v>842</v>
      </c>
      <c r="CD23" s="5"/>
      <c r="CE23" s="5"/>
      <c r="CF23" s="3" t="s">
        <v>751</v>
      </c>
      <c r="CG23" s="3" t="s">
        <v>752</v>
      </c>
      <c r="CH23" s="5"/>
      <c r="CI23" s="3" t="s">
        <v>941</v>
      </c>
      <c r="CJ23" s="3" t="s">
        <v>593</v>
      </c>
      <c r="CK23" s="3" t="s">
        <v>594</v>
      </c>
      <c r="CL23" s="3" t="s">
        <v>594</v>
      </c>
      <c r="CM23" s="5" t="s">
        <v>754</v>
      </c>
      <c r="CN23" s="3" t="s">
        <v>755</v>
      </c>
      <c r="CO23" s="3" t="s">
        <v>756</v>
      </c>
      <c r="CP23" s="5"/>
      <c r="CQ23" s="3" t="s">
        <v>942</v>
      </c>
      <c r="CR23" s="3" t="s">
        <v>943</v>
      </c>
      <c r="CS23" s="3" t="s">
        <v>935</v>
      </c>
      <c r="CT23" s="3" t="s">
        <v>44</v>
      </c>
      <c r="CU23" s="5"/>
      <c r="CV23" s="5"/>
      <c r="CW23" s="4" t="s">
        <v>841</v>
      </c>
      <c r="CX23" s="5" t="s">
        <v>944</v>
      </c>
      <c r="CY23" s="11"/>
    </row>
    <row r="24" ht="12" customHeight="1" spans="1:103" x14ac:dyDescent="0.25">
      <c r="A24" s="8" t="s">
        <v>381</v>
      </c>
      <c r="B24" s="3" t="s">
        <v>762</v>
      </c>
      <c r="C24" s="5">
        <v>1</v>
      </c>
      <c r="D24" s="5">
        <v>1</v>
      </c>
      <c r="E24" s="5"/>
      <c r="F24" s="5">
        <v>0</v>
      </c>
      <c r="G24" s="5">
        <v>1</v>
      </c>
      <c r="H24" s="5">
        <v>0</v>
      </c>
      <c r="I24" s="5">
        <v>0</v>
      </c>
      <c r="J24" s="5">
        <v>1</v>
      </c>
      <c r="K24" s="3" t="s">
        <v>44</v>
      </c>
      <c r="L24" s="3" t="s">
        <v>728</v>
      </c>
      <c r="M24" s="3" t="s">
        <v>31</v>
      </c>
      <c r="N24" s="3" t="s">
        <v>32</v>
      </c>
      <c r="O24" s="3" t="s">
        <v>35</v>
      </c>
      <c r="P24" s="3" t="s">
        <v>40</v>
      </c>
      <c r="Q24" s="3" t="s">
        <v>729</v>
      </c>
      <c r="R24" s="4" t="s">
        <v>30</v>
      </c>
      <c r="S24" s="3" t="s">
        <v>36</v>
      </c>
      <c r="T24" s="3" t="s">
        <v>50</v>
      </c>
      <c r="U24" s="3" t="s">
        <v>36</v>
      </c>
      <c r="V24" s="4" t="s">
        <v>730</v>
      </c>
      <c r="W24" s="3" t="s">
        <v>731</v>
      </c>
      <c r="X24" s="5"/>
      <c r="Y24" s="5"/>
      <c r="Z24" s="5"/>
      <c r="AA24" s="3" t="s">
        <v>945</v>
      </c>
      <c r="AB24" s="3" t="s">
        <v>382</v>
      </c>
      <c r="AC24" s="9">
        <v>5634.56</v>
      </c>
      <c r="AD24" s="9">
        <v>7834.56</v>
      </c>
      <c r="AE24" s="3" t="s">
        <v>734</v>
      </c>
      <c r="AF24" s="3" t="s">
        <v>663</v>
      </c>
      <c r="AG24" s="5"/>
      <c r="AH24" s="3" t="s">
        <v>666</v>
      </c>
      <c r="AI24" s="5" t="s">
        <v>734</v>
      </c>
      <c r="AJ24" s="5"/>
      <c r="AK24" s="5"/>
      <c r="AL24" s="5"/>
      <c r="AM24" s="3" t="s">
        <v>804</v>
      </c>
      <c r="AN24" s="3" t="s">
        <v>805</v>
      </c>
      <c r="AO24" s="3" t="s">
        <v>946</v>
      </c>
      <c r="AP24" s="3" t="s">
        <v>738</v>
      </c>
      <c r="AQ24" s="5"/>
      <c r="AR24" s="5"/>
      <c r="AS24" s="5"/>
      <c r="AT24" s="5"/>
      <c r="AU24" s="5"/>
      <c r="AV24" s="5"/>
      <c r="AW24" s="5">
        <v>0</v>
      </c>
      <c r="AX24" s="3" t="s">
        <v>44</v>
      </c>
      <c r="AY24" s="5" t="s">
        <v>739</v>
      </c>
      <c r="AZ24" s="3" t="s">
        <v>947</v>
      </c>
      <c r="BA24" s="5" t="s">
        <v>948</v>
      </c>
      <c r="BB24" s="3" t="s">
        <v>742</v>
      </c>
      <c r="BC24" s="4" t="s">
        <v>939</v>
      </c>
      <c r="BD24" s="4" t="s">
        <v>785</v>
      </c>
      <c r="BE24" s="3" t="s">
        <v>72</v>
      </c>
      <c r="BF24" s="3" t="s">
        <v>946</v>
      </c>
      <c r="BG24" s="3" t="s">
        <v>746</v>
      </c>
      <c r="BH24" s="3" t="s">
        <v>747</v>
      </c>
      <c r="BI24" s="5"/>
      <c r="BJ24" s="5"/>
      <c r="BK24" s="3" t="s">
        <v>949</v>
      </c>
      <c r="BL24" s="4" t="s">
        <v>841</v>
      </c>
      <c r="BM24" s="10"/>
      <c r="BN24" s="10">
        <v>1</v>
      </c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3" t="s">
        <v>750</v>
      </c>
      <c r="BZ24" s="5"/>
      <c r="CA24" s="3" t="s">
        <v>72</v>
      </c>
      <c r="CB24" s="5"/>
      <c r="CC24" s="3" t="s">
        <v>40</v>
      </c>
      <c r="CD24" s="5"/>
      <c r="CE24" s="5"/>
      <c r="CF24" s="3" t="s">
        <v>751</v>
      </c>
      <c r="CG24" s="3" t="s">
        <v>752</v>
      </c>
      <c r="CH24" s="5"/>
      <c r="CI24" s="3" t="s">
        <v>950</v>
      </c>
      <c r="CJ24" s="3" t="s">
        <v>382</v>
      </c>
      <c r="CK24" s="3" t="s">
        <v>383</v>
      </c>
      <c r="CL24" s="3" t="s">
        <v>383</v>
      </c>
      <c r="CM24" s="5" t="s">
        <v>754</v>
      </c>
      <c r="CN24" s="3" t="s">
        <v>755</v>
      </c>
      <c r="CO24" s="3" t="s">
        <v>756</v>
      </c>
      <c r="CP24" s="5"/>
      <c r="CQ24" s="3" t="s">
        <v>951</v>
      </c>
      <c r="CR24" s="3" t="s">
        <v>952</v>
      </c>
      <c r="CS24" s="3" t="s">
        <v>945</v>
      </c>
      <c r="CT24" s="3" t="s">
        <v>44</v>
      </c>
      <c r="CU24" s="5"/>
      <c r="CV24" s="5"/>
      <c r="CW24" s="4" t="s">
        <v>774</v>
      </c>
      <c r="CX24" s="5" t="s">
        <v>953</v>
      </c>
      <c r="CY24" s="11"/>
    </row>
    <row r="25" ht="12" customHeight="1" spans="1:103" x14ac:dyDescent="0.25">
      <c r="A25" s="8" t="s">
        <v>189</v>
      </c>
      <c r="B25" s="3" t="s">
        <v>954</v>
      </c>
      <c r="C25" s="5">
        <v>4</v>
      </c>
      <c r="D25" s="5">
        <v>4</v>
      </c>
      <c r="E25" s="5"/>
      <c r="F25" s="5">
        <v>0</v>
      </c>
      <c r="G25" s="5">
        <v>2</v>
      </c>
      <c r="H25" s="5">
        <v>0</v>
      </c>
      <c r="I25" s="5">
        <v>2</v>
      </c>
      <c r="J25" s="5">
        <v>6</v>
      </c>
      <c r="K25" s="3" t="s">
        <v>44</v>
      </c>
      <c r="L25" s="3" t="s">
        <v>728</v>
      </c>
      <c r="M25" s="3" t="s">
        <v>31</v>
      </c>
      <c r="N25" s="3" t="s">
        <v>32</v>
      </c>
      <c r="O25" s="3" t="s">
        <v>35</v>
      </c>
      <c r="P25" s="3" t="s">
        <v>40</v>
      </c>
      <c r="Q25" s="3" t="s">
        <v>729</v>
      </c>
      <c r="R25" s="4" t="s">
        <v>30</v>
      </c>
      <c r="S25" s="3" t="s">
        <v>36</v>
      </c>
      <c r="T25" s="3" t="s">
        <v>50</v>
      </c>
      <c r="U25" s="3" t="s">
        <v>36</v>
      </c>
      <c r="V25" s="4" t="s">
        <v>730</v>
      </c>
      <c r="W25" s="3" t="s">
        <v>731</v>
      </c>
      <c r="X25" s="5"/>
      <c r="Y25" s="5"/>
      <c r="Z25" s="5"/>
      <c r="AA25" s="3" t="s">
        <v>925</v>
      </c>
      <c r="AB25" s="3" t="s">
        <v>925</v>
      </c>
      <c r="AC25" s="9">
        <v>83248</v>
      </c>
      <c r="AD25" s="9">
        <v>95648</v>
      </c>
      <c r="AE25" s="3" t="s">
        <v>734</v>
      </c>
      <c r="AF25" s="3"/>
      <c r="AG25" s="5"/>
      <c r="AH25" s="3" t="s">
        <v>666</v>
      </c>
      <c r="AI25" s="5" t="s">
        <v>734</v>
      </c>
      <c r="AJ25" s="5"/>
      <c r="AK25" s="5"/>
      <c r="AL25" s="5"/>
      <c r="AM25" s="3" t="s">
        <v>820</v>
      </c>
      <c r="AN25" s="3" t="s">
        <v>821</v>
      </c>
      <c r="AO25" s="3" t="s">
        <v>926</v>
      </c>
      <c r="AP25" s="3" t="s">
        <v>738</v>
      </c>
      <c r="AQ25" s="5"/>
      <c r="AR25" s="5"/>
      <c r="AS25" s="5"/>
      <c r="AT25" s="5"/>
      <c r="AU25" s="5"/>
      <c r="AV25" s="5"/>
      <c r="AW25" s="5">
        <v>0</v>
      </c>
      <c r="AX25" s="3" t="s">
        <v>44</v>
      </c>
      <c r="AY25" s="5" t="s">
        <v>739</v>
      </c>
      <c r="AZ25" s="3" t="s">
        <v>955</v>
      </c>
      <c r="BA25" s="5" t="s">
        <v>956</v>
      </c>
      <c r="BB25" s="3" t="s">
        <v>742</v>
      </c>
      <c r="BC25" s="4" t="s">
        <v>939</v>
      </c>
      <c r="BD25" s="4" t="s">
        <v>744</v>
      </c>
      <c r="BE25" s="3" t="s">
        <v>72</v>
      </c>
      <c r="BF25" s="3" t="s">
        <v>930</v>
      </c>
      <c r="BG25" s="3" t="s">
        <v>746</v>
      </c>
      <c r="BH25" s="3" t="s">
        <v>747</v>
      </c>
      <c r="BI25" s="5"/>
      <c r="BJ25" s="5"/>
      <c r="BK25" s="3" t="s">
        <v>748</v>
      </c>
      <c r="BL25" s="4" t="s">
        <v>957</v>
      </c>
      <c r="BM25" s="10"/>
      <c r="BN25" s="10">
        <v>2</v>
      </c>
      <c r="BO25" s="10"/>
      <c r="BP25" s="10">
        <v>2</v>
      </c>
      <c r="BQ25" s="10"/>
      <c r="BR25" s="10"/>
      <c r="BS25" s="10"/>
      <c r="BT25" s="10"/>
      <c r="BU25" s="10"/>
      <c r="BV25" s="10"/>
      <c r="BW25" s="10"/>
      <c r="BX25" s="10"/>
      <c r="BY25" s="3" t="s">
        <v>750</v>
      </c>
      <c r="BZ25" s="5"/>
      <c r="CA25" s="3"/>
      <c r="CB25" s="5"/>
      <c r="CC25" s="3" t="s">
        <v>40</v>
      </c>
      <c r="CD25" s="5"/>
      <c r="CE25" s="5"/>
      <c r="CF25" s="3" t="s">
        <v>751</v>
      </c>
      <c r="CG25" s="3" t="s">
        <v>752</v>
      </c>
      <c r="CH25" s="5"/>
      <c r="CI25" s="3" t="s">
        <v>931</v>
      </c>
      <c r="CJ25" s="3" t="s">
        <v>190</v>
      </c>
      <c r="CK25" s="3" t="s">
        <v>191</v>
      </c>
      <c r="CL25" s="3" t="s">
        <v>191</v>
      </c>
      <c r="CM25" s="5" t="s">
        <v>754</v>
      </c>
      <c r="CN25" s="3" t="s">
        <v>755</v>
      </c>
      <c r="CO25" s="3" t="s">
        <v>756</v>
      </c>
      <c r="CP25" s="5"/>
      <c r="CQ25" s="3" t="s">
        <v>932</v>
      </c>
      <c r="CR25" s="3" t="s">
        <v>933</v>
      </c>
      <c r="CS25" s="3" t="s">
        <v>925</v>
      </c>
      <c r="CT25" s="3" t="s">
        <v>44</v>
      </c>
      <c r="CU25" s="5"/>
      <c r="CV25" s="5"/>
      <c r="CW25" s="4" t="s">
        <v>759</v>
      </c>
      <c r="CX25" s="5" t="s">
        <v>934</v>
      </c>
      <c r="CY25" s="11" t="s">
        <v>761</v>
      </c>
    </row>
    <row r="26" ht="12" customHeight="1" spans="1:103" x14ac:dyDescent="0.25">
      <c r="A26" s="8" t="s">
        <v>186</v>
      </c>
      <c r="B26" s="3" t="s">
        <v>727</v>
      </c>
      <c r="C26" s="5">
        <v>1</v>
      </c>
      <c r="D26" s="5">
        <v>1</v>
      </c>
      <c r="E26" s="5" t="s">
        <v>52</v>
      </c>
      <c r="F26" s="5">
        <v>0</v>
      </c>
      <c r="G26" s="5">
        <v>0</v>
      </c>
      <c r="H26" s="5">
        <v>0</v>
      </c>
      <c r="I26" s="5">
        <v>1</v>
      </c>
      <c r="J26" s="5">
        <v>2</v>
      </c>
      <c r="K26" s="3" t="s">
        <v>44</v>
      </c>
      <c r="L26" s="3" t="s">
        <v>728</v>
      </c>
      <c r="M26" s="3" t="s">
        <v>31</v>
      </c>
      <c r="N26" s="3" t="s">
        <v>32</v>
      </c>
      <c r="O26" s="3" t="s">
        <v>35</v>
      </c>
      <c r="P26" s="3" t="s">
        <v>40</v>
      </c>
      <c r="Q26" s="3" t="s">
        <v>729</v>
      </c>
      <c r="R26" s="4" t="s">
        <v>30</v>
      </c>
      <c r="S26" s="3" t="s">
        <v>36</v>
      </c>
      <c r="T26" s="3" t="s">
        <v>50</v>
      </c>
      <c r="U26" s="3" t="s">
        <v>36</v>
      </c>
      <c r="V26" s="4" t="s">
        <v>730</v>
      </c>
      <c r="W26" s="3" t="s">
        <v>731</v>
      </c>
      <c r="X26" s="5"/>
      <c r="Y26" s="5"/>
      <c r="Z26" s="5"/>
      <c r="AA26" s="3" t="s">
        <v>958</v>
      </c>
      <c r="AB26" s="3" t="s">
        <v>959</v>
      </c>
      <c r="AC26" s="9">
        <v>5232.9</v>
      </c>
      <c r="AD26" s="9">
        <v>9232.9</v>
      </c>
      <c r="AE26" s="3" t="s">
        <v>734</v>
      </c>
      <c r="AF26" s="3"/>
      <c r="AG26" s="5"/>
      <c r="AH26" s="3" t="s">
        <v>918</v>
      </c>
      <c r="AI26" s="5" t="s">
        <v>734</v>
      </c>
      <c r="AJ26" s="5"/>
      <c r="AK26" s="5"/>
      <c r="AL26" s="5"/>
      <c r="AM26" s="3" t="s">
        <v>895</v>
      </c>
      <c r="AN26" s="3" t="s">
        <v>896</v>
      </c>
      <c r="AO26" s="3" t="s">
        <v>960</v>
      </c>
      <c r="AP26" s="3" t="s">
        <v>738</v>
      </c>
      <c r="AQ26" s="5"/>
      <c r="AR26" s="5"/>
      <c r="AS26" s="5"/>
      <c r="AT26" s="5"/>
      <c r="AU26" s="5"/>
      <c r="AV26" s="5"/>
      <c r="AW26" s="5">
        <v>0</v>
      </c>
      <c r="AX26" s="3" t="s">
        <v>44</v>
      </c>
      <c r="AY26" s="5" t="s">
        <v>739</v>
      </c>
      <c r="AZ26" s="3" t="s">
        <v>961</v>
      </c>
      <c r="BA26" s="5"/>
      <c r="BB26" s="3" t="s">
        <v>742</v>
      </c>
      <c r="BC26" s="4" t="s">
        <v>939</v>
      </c>
      <c r="BD26" s="4" t="s">
        <v>785</v>
      </c>
      <c r="BE26" s="3" t="s">
        <v>72</v>
      </c>
      <c r="BF26" s="3" t="s">
        <v>960</v>
      </c>
      <c r="BG26" s="3" t="s">
        <v>746</v>
      </c>
      <c r="BH26" s="3" t="s">
        <v>747</v>
      </c>
      <c r="BI26" s="5"/>
      <c r="BJ26" s="5"/>
      <c r="BK26" s="3" t="s">
        <v>840</v>
      </c>
      <c r="BL26" s="4" t="s">
        <v>909</v>
      </c>
      <c r="BM26" s="10"/>
      <c r="BN26" s="10"/>
      <c r="BO26" s="10"/>
      <c r="BP26" s="10">
        <v>1</v>
      </c>
      <c r="BQ26" s="10"/>
      <c r="BR26" s="10"/>
      <c r="BS26" s="10"/>
      <c r="BT26" s="10"/>
      <c r="BU26" s="10"/>
      <c r="BV26" s="10"/>
      <c r="BW26" s="10"/>
      <c r="BX26" s="10"/>
      <c r="BY26" s="3" t="s">
        <v>750</v>
      </c>
      <c r="BZ26" s="5"/>
      <c r="CA26" s="3" t="s">
        <v>72</v>
      </c>
      <c r="CB26" s="5"/>
      <c r="CC26" s="3" t="s">
        <v>842</v>
      </c>
      <c r="CD26" s="5"/>
      <c r="CE26" s="5"/>
      <c r="CF26" s="3" t="s">
        <v>751</v>
      </c>
      <c r="CG26" s="3" t="s">
        <v>752</v>
      </c>
      <c r="CH26" s="5"/>
      <c r="CI26" s="3" t="s">
        <v>962</v>
      </c>
      <c r="CJ26" s="3" t="s">
        <v>86</v>
      </c>
      <c r="CK26" s="3" t="s">
        <v>187</v>
      </c>
      <c r="CL26" s="3" t="s">
        <v>187</v>
      </c>
      <c r="CM26" s="5" t="s">
        <v>754</v>
      </c>
      <c r="CN26" s="3" t="s">
        <v>755</v>
      </c>
      <c r="CO26" s="3" t="s">
        <v>756</v>
      </c>
      <c r="CP26" s="5"/>
      <c r="CQ26" s="3" t="s">
        <v>963</v>
      </c>
      <c r="CR26" s="3" t="s">
        <v>964</v>
      </c>
      <c r="CS26" s="3" t="s">
        <v>958</v>
      </c>
      <c r="CT26" s="3" t="s">
        <v>44</v>
      </c>
      <c r="CU26" s="5"/>
      <c r="CV26" s="5"/>
      <c r="CW26" s="4" t="s">
        <v>792</v>
      </c>
      <c r="CX26" s="5" t="s">
        <v>965</v>
      </c>
      <c r="CY26" s="11"/>
    </row>
    <row r="27" ht="12" customHeight="1" spans="1:103" x14ac:dyDescent="0.25">
      <c r="A27" s="8" t="s">
        <v>590</v>
      </c>
      <c r="B27" s="3" t="s">
        <v>762</v>
      </c>
      <c r="C27" s="5">
        <v>1</v>
      </c>
      <c r="D27" s="5">
        <v>1</v>
      </c>
      <c r="E27" s="5"/>
      <c r="F27" s="5">
        <v>0</v>
      </c>
      <c r="G27" s="5">
        <v>1</v>
      </c>
      <c r="H27" s="5">
        <v>0</v>
      </c>
      <c r="I27" s="5">
        <v>0</v>
      </c>
      <c r="J27" s="5">
        <v>1</v>
      </c>
      <c r="K27" s="3" t="s">
        <v>44</v>
      </c>
      <c r="L27" s="3" t="s">
        <v>728</v>
      </c>
      <c r="M27" s="3" t="s">
        <v>31</v>
      </c>
      <c r="N27" s="3" t="s">
        <v>32</v>
      </c>
      <c r="O27" s="3" t="s">
        <v>35</v>
      </c>
      <c r="P27" s="3" t="s">
        <v>40</v>
      </c>
      <c r="Q27" s="3" t="s">
        <v>729</v>
      </c>
      <c r="R27" s="4" t="s">
        <v>30</v>
      </c>
      <c r="S27" s="3" t="s">
        <v>69</v>
      </c>
      <c r="T27" s="3" t="s">
        <v>274</v>
      </c>
      <c r="U27" s="3" t="s">
        <v>69</v>
      </c>
      <c r="V27" s="4" t="s">
        <v>966</v>
      </c>
      <c r="W27" s="3" t="s">
        <v>967</v>
      </c>
      <c r="X27" s="5"/>
      <c r="Y27" s="5"/>
      <c r="Z27" s="5"/>
      <c r="AA27" s="3" t="s">
        <v>968</v>
      </c>
      <c r="AB27" s="3" t="s">
        <v>968</v>
      </c>
      <c r="AC27" s="9">
        <v>16370</v>
      </c>
      <c r="AD27" s="9">
        <v>18570</v>
      </c>
      <c r="AE27" s="3" t="s">
        <v>734</v>
      </c>
      <c r="AF27" s="3"/>
      <c r="AG27" s="5"/>
      <c r="AH27" s="3" t="s">
        <v>666</v>
      </c>
      <c r="AI27" s="5" t="s">
        <v>734</v>
      </c>
      <c r="AJ27" s="5"/>
      <c r="AK27" s="5"/>
      <c r="AL27" s="5"/>
      <c r="AM27" s="3" t="s">
        <v>779</v>
      </c>
      <c r="AN27" s="3" t="s">
        <v>780</v>
      </c>
      <c r="AO27" s="3" t="s">
        <v>969</v>
      </c>
      <c r="AP27" s="3" t="s">
        <v>738</v>
      </c>
      <c r="AQ27" s="5"/>
      <c r="AR27" s="5"/>
      <c r="AS27" s="5"/>
      <c r="AT27" s="5"/>
      <c r="AU27" s="5"/>
      <c r="AV27" s="5"/>
      <c r="AW27" s="5">
        <v>0</v>
      </c>
      <c r="AX27" s="3" t="s">
        <v>44</v>
      </c>
      <c r="AY27" s="5" t="s">
        <v>739</v>
      </c>
      <c r="AZ27" s="3" t="s">
        <v>970</v>
      </c>
      <c r="BA27" s="5" t="s">
        <v>971</v>
      </c>
      <c r="BB27" s="3" t="s">
        <v>742</v>
      </c>
      <c r="BC27" s="4" t="s">
        <v>749</v>
      </c>
      <c r="BD27" s="4" t="s">
        <v>797</v>
      </c>
      <c r="BE27" s="3" t="s">
        <v>72</v>
      </c>
      <c r="BF27" s="3" t="s">
        <v>972</v>
      </c>
      <c r="BG27" s="3" t="s">
        <v>746</v>
      </c>
      <c r="BH27" s="3" t="s">
        <v>747</v>
      </c>
      <c r="BI27" s="5"/>
      <c r="BJ27" s="5"/>
      <c r="BK27" s="3" t="s">
        <v>748</v>
      </c>
      <c r="BL27" s="4" t="s">
        <v>910</v>
      </c>
      <c r="BM27" s="10"/>
      <c r="BN27" s="10">
        <v>1</v>
      </c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3" t="s">
        <v>750</v>
      </c>
      <c r="BZ27" s="5"/>
      <c r="CA27" s="3"/>
      <c r="CB27" s="5"/>
      <c r="CC27" s="3" t="s">
        <v>40</v>
      </c>
      <c r="CD27" s="5"/>
      <c r="CE27" s="5"/>
      <c r="CF27" s="3" t="s">
        <v>751</v>
      </c>
      <c r="CG27" s="3" t="s">
        <v>752</v>
      </c>
      <c r="CH27" s="5"/>
      <c r="CI27" s="3" t="s">
        <v>973</v>
      </c>
      <c r="CJ27" s="3" t="s">
        <v>306</v>
      </c>
      <c r="CK27" s="3" t="s">
        <v>307</v>
      </c>
      <c r="CL27" s="3" t="s">
        <v>307</v>
      </c>
      <c r="CM27" s="5" t="s">
        <v>754</v>
      </c>
      <c r="CN27" s="3" t="s">
        <v>755</v>
      </c>
      <c r="CO27" s="3" t="s">
        <v>756</v>
      </c>
      <c r="CP27" s="5"/>
      <c r="CQ27" s="3" t="s">
        <v>974</v>
      </c>
      <c r="CR27" s="3" t="s">
        <v>975</v>
      </c>
      <c r="CS27" s="3" t="s">
        <v>968</v>
      </c>
      <c r="CT27" s="3" t="s">
        <v>44</v>
      </c>
      <c r="CU27" s="5"/>
      <c r="CV27" s="5"/>
      <c r="CW27" s="4" t="s">
        <v>774</v>
      </c>
      <c r="CX27" s="5"/>
      <c r="CY27" s="11"/>
    </row>
    <row r="28" ht="12" customHeight="1" spans="1:103" x14ac:dyDescent="0.25">
      <c r="A28" s="8" t="s">
        <v>305</v>
      </c>
      <c r="B28" s="3" t="s">
        <v>762</v>
      </c>
      <c r="C28" s="5">
        <v>1</v>
      </c>
      <c r="D28" s="5">
        <v>1</v>
      </c>
      <c r="E28" s="5"/>
      <c r="F28" s="5">
        <v>0</v>
      </c>
      <c r="G28" s="5">
        <v>1</v>
      </c>
      <c r="H28" s="5">
        <v>0</v>
      </c>
      <c r="I28" s="5">
        <v>0</v>
      </c>
      <c r="J28" s="5">
        <v>1</v>
      </c>
      <c r="K28" s="3" t="s">
        <v>44</v>
      </c>
      <c r="L28" s="3" t="s">
        <v>728</v>
      </c>
      <c r="M28" s="3" t="s">
        <v>31</v>
      </c>
      <c r="N28" s="3" t="s">
        <v>32</v>
      </c>
      <c r="O28" s="3" t="s">
        <v>35</v>
      </c>
      <c r="P28" s="3" t="s">
        <v>40</v>
      </c>
      <c r="Q28" s="3" t="s">
        <v>729</v>
      </c>
      <c r="R28" s="4" t="s">
        <v>30</v>
      </c>
      <c r="S28" s="3" t="s">
        <v>69</v>
      </c>
      <c r="T28" s="3" t="s">
        <v>274</v>
      </c>
      <c r="U28" s="3" t="s">
        <v>69</v>
      </c>
      <c r="V28" s="4" t="s">
        <v>966</v>
      </c>
      <c r="W28" s="3" t="s">
        <v>967</v>
      </c>
      <c r="X28" s="5"/>
      <c r="Y28" s="5"/>
      <c r="Z28" s="5"/>
      <c r="AA28" s="3" t="s">
        <v>968</v>
      </c>
      <c r="AB28" s="3" t="s">
        <v>968</v>
      </c>
      <c r="AC28" s="9">
        <v>16370</v>
      </c>
      <c r="AD28" s="9">
        <v>18570</v>
      </c>
      <c r="AE28" s="3" t="s">
        <v>734</v>
      </c>
      <c r="AF28" s="3"/>
      <c r="AG28" s="5"/>
      <c r="AH28" s="3" t="s">
        <v>666</v>
      </c>
      <c r="AI28" s="5" t="s">
        <v>734</v>
      </c>
      <c r="AJ28" s="5"/>
      <c r="AK28" s="5"/>
      <c r="AL28" s="5"/>
      <c r="AM28" s="3" t="s">
        <v>779</v>
      </c>
      <c r="AN28" s="3" t="s">
        <v>780</v>
      </c>
      <c r="AO28" s="3" t="s">
        <v>976</v>
      </c>
      <c r="AP28" s="3" t="s">
        <v>738</v>
      </c>
      <c r="AQ28" s="5"/>
      <c r="AR28" s="5"/>
      <c r="AS28" s="5"/>
      <c r="AT28" s="5"/>
      <c r="AU28" s="5"/>
      <c r="AV28" s="5"/>
      <c r="AW28" s="5">
        <v>0</v>
      </c>
      <c r="AX28" s="3" t="s">
        <v>44</v>
      </c>
      <c r="AY28" s="5" t="s">
        <v>739</v>
      </c>
      <c r="AZ28" s="3" t="s">
        <v>977</v>
      </c>
      <c r="BA28" s="5" t="s">
        <v>971</v>
      </c>
      <c r="BB28" s="3" t="s">
        <v>742</v>
      </c>
      <c r="BC28" s="4" t="s">
        <v>749</v>
      </c>
      <c r="BD28" s="4" t="s">
        <v>797</v>
      </c>
      <c r="BE28" s="3" t="s">
        <v>72</v>
      </c>
      <c r="BF28" s="3" t="s">
        <v>972</v>
      </c>
      <c r="BG28" s="3" t="s">
        <v>746</v>
      </c>
      <c r="BH28" s="3" t="s">
        <v>747</v>
      </c>
      <c r="BI28" s="5"/>
      <c r="BJ28" s="5"/>
      <c r="BK28" s="3" t="s">
        <v>748</v>
      </c>
      <c r="BL28" s="4" t="s">
        <v>910</v>
      </c>
      <c r="BM28" s="10"/>
      <c r="BN28" s="10">
        <v>1</v>
      </c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3" t="s">
        <v>750</v>
      </c>
      <c r="BZ28" s="5"/>
      <c r="CA28" s="3"/>
      <c r="CB28" s="5"/>
      <c r="CC28" s="3" t="s">
        <v>40</v>
      </c>
      <c r="CD28" s="5"/>
      <c r="CE28" s="5"/>
      <c r="CF28" s="3" t="s">
        <v>751</v>
      </c>
      <c r="CG28" s="3" t="s">
        <v>752</v>
      </c>
      <c r="CH28" s="5"/>
      <c r="CI28" s="3" t="s">
        <v>973</v>
      </c>
      <c r="CJ28" s="3" t="s">
        <v>306</v>
      </c>
      <c r="CK28" s="3" t="s">
        <v>307</v>
      </c>
      <c r="CL28" s="3" t="s">
        <v>307</v>
      </c>
      <c r="CM28" s="5" t="s">
        <v>754</v>
      </c>
      <c r="CN28" s="3" t="s">
        <v>755</v>
      </c>
      <c r="CO28" s="3" t="s">
        <v>756</v>
      </c>
      <c r="CP28" s="5"/>
      <c r="CQ28" s="3" t="s">
        <v>974</v>
      </c>
      <c r="CR28" s="3" t="s">
        <v>975</v>
      </c>
      <c r="CS28" s="3" t="s">
        <v>968</v>
      </c>
      <c r="CT28" s="3" t="s">
        <v>44</v>
      </c>
      <c r="CU28" s="5"/>
      <c r="CV28" s="5"/>
      <c r="CW28" s="4" t="s">
        <v>774</v>
      </c>
      <c r="CX28" s="5"/>
      <c r="CY28" s="11"/>
    </row>
    <row r="29" ht="12" customHeight="1" spans="1:103" x14ac:dyDescent="0.25">
      <c r="A29" s="8" t="s">
        <v>356</v>
      </c>
      <c r="B29" s="3" t="s">
        <v>762</v>
      </c>
      <c r="C29" s="5">
        <v>1</v>
      </c>
      <c r="D29" s="5">
        <v>1</v>
      </c>
      <c r="E29" s="5"/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3" t="s">
        <v>44</v>
      </c>
      <c r="L29" s="3" t="s">
        <v>728</v>
      </c>
      <c r="M29" s="3" t="s">
        <v>31</v>
      </c>
      <c r="N29" s="3" t="s">
        <v>32</v>
      </c>
      <c r="O29" s="3" t="s">
        <v>35</v>
      </c>
      <c r="P29" s="3" t="s">
        <v>40</v>
      </c>
      <c r="Q29" s="3" t="s">
        <v>729</v>
      </c>
      <c r="R29" s="4" t="s">
        <v>30</v>
      </c>
      <c r="S29" s="3" t="s">
        <v>36</v>
      </c>
      <c r="T29" s="3" t="s">
        <v>50</v>
      </c>
      <c r="U29" s="3" t="s">
        <v>36</v>
      </c>
      <c r="V29" s="4" t="s">
        <v>730</v>
      </c>
      <c r="W29" s="3" t="s">
        <v>731</v>
      </c>
      <c r="X29" s="5"/>
      <c r="Y29" s="5"/>
      <c r="Z29" s="5"/>
      <c r="AA29" s="3" t="s">
        <v>978</v>
      </c>
      <c r="AB29" s="3" t="s">
        <v>979</v>
      </c>
      <c r="AC29" s="9">
        <v>21100</v>
      </c>
      <c r="AD29" s="9">
        <v>23300</v>
      </c>
      <c r="AE29" s="3" t="s">
        <v>734</v>
      </c>
      <c r="AF29" s="3"/>
      <c r="AG29" s="5"/>
      <c r="AH29" s="3" t="s">
        <v>666</v>
      </c>
      <c r="AI29" s="5" t="s">
        <v>734</v>
      </c>
      <c r="AJ29" s="5"/>
      <c r="AK29" s="5"/>
      <c r="AL29" s="5"/>
      <c r="AM29" s="3" t="s">
        <v>804</v>
      </c>
      <c r="AN29" s="3" t="s">
        <v>805</v>
      </c>
      <c r="AO29" s="3" t="s">
        <v>980</v>
      </c>
      <c r="AP29" s="3" t="s">
        <v>738</v>
      </c>
      <c r="AQ29" s="5"/>
      <c r="AR29" s="5"/>
      <c r="AS29" s="5"/>
      <c r="AT29" s="5"/>
      <c r="AU29" s="5"/>
      <c r="AV29" s="5"/>
      <c r="AW29" s="5">
        <v>0</v>
      </c>
      <c r="AX29" s="3" t="s">
        <v>72</v>
      </c>
      <c r="AY29" s="5" t="s">
        <v>823</v>
      </c>
      <c r="AZ29" s="3" t="s">
        <v>981</v>
      </c>
      <c r="BA29" s="5" t="s">
        <v>982</v>
      </c>
      <c r="BB29" s="3" t="s">
        <v>742</v>
      </c>
      <c r="BC29" s="4" t="s">
        <v>749</v>
      </c>
      <c r="BD29" s="4" t="s">
        <v>812</v>
      </c>
      <c r="BE29" s="3" t="s">
        <v>72</v>
      </c>
      <c r="BF29" s="3" t="s">
        <v>980</v>
      </c>
      <c r="BG29" s="3" t="s">
        <v>746</v>
      </c>
      <c r="BH29" s="3" t="s">
        <v>747</v>
      </c>
      <c r="BI29" s="5"/>
      <c r="BJ29" s="5"/>
      <c r="BK29" s="3" t="s">
        <v>748</v>
      </c>
      <c r="BL29" s="4" t="s">
        <v>812</v>
      </c>
      <c r="BM29" s="10"/>
      <c r="BN29" s="10">
        <v>1</v>
      </c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3" t="s">
        <v>750</v>
      </c>
      <c r="BZ29" s="5"/>
      <c r="CA29" s="3" t="s">
        <v>72</v>
      </c>
      <c r="CB29" s="5"/>
      <c r="CC29" s="3" t="s">
        <v>40</v>
      </c>
      <c r="CD29" s="5"/>
      <c r="CE29" s="5"/>
      <c r="CF29" s="3" t="s">
        <v>751</v>
      </c>
      <c r="CG29" s="3" t="s">
        <v>752</v>
      </c>
      <c r="CH29" s="5"/>
      <c r="CI29" s="3" t="s">
        <v>983</v>
      </c>
      <c r="CJ29" s="3" t="s">
        <v>357</v>
      </c>
      <c r="CK29" s="3" t="s">
        <v>358</v>
      </c>
      <c r="CL29" s="3" t="s">
        <v>359</v>
      </c>
      <c r="CM29" s="5" t="s">
        <v>754</v>
      </c>
      <c r="CN29" s="3" t="s">
        <v>755</v>
      </c>
      <c r="CO29" s="3" t="s">
        <v>756</v>
      </c>
      <c r="CP29" s="5"/>
      <c r="CQ29" s="3" t="s">
        <v>984</v>
      </c>
      <c r="CR29" s="3" t="s">
        <v>985</v>
      </c>
      <c r="CS29" s="3" t="s">
        <v>978</v>
      </c>
      <c r="CT29" s="3" t="s">
        <v>44</v>
      </c>
      <c r="CU29" s="5"/>
      <c r="CV29" s="5"/>
      <c r="CW29" s="4" t="s">
        <v>774</v>
      </c>
      <c r="CX29" s="5" t="s">
        <v>986</v>
      </c>
      <c r="CY29" s="11"/>
    </row>
    <row r="30" ht="12" customHeight="1" spans="1:103" x14ac:dyDescent="0.25">
      <c r="A30" s="8" t="s">
        <v>249</v>
      </c>
      <c r="B30" s="3" t="s">
        <v>727</v>
      </c>
      <c r="C30" s="5">
        <v>1</v>
      </c>
      <c r="D30" s="5">
        <v>1</v>
      </c>
      <c r="E30" s="5"/>
      <c r="F30" s="5">
        <v>0</v>
      </c>
      <c r="G30" s="5">
        <v>0</v>
      </c>
      <c r="H30" s="5">
        <v>0</v>
      </c>
      <c r="I30" s="5">
        <v>1</v>
      </c>
      <c r="J30" s="5">
        <v>2</v>
      </c>
      <c r="K30" s="3" t="s">
        <v>44</v>
      </c>
      <c r="L30" s="3" t="s">
        <v>728</v>
      </c>
      <c r="M30" s="3" t="s">
        <v>31</v>
      </c>
      <c r="N30" s="3" t="s">
        <v>32</v>
      </c>
      <c r="O30" s="3" t="s">
        <v>35</v>
      </c>
      <c r="P30" s="3" t="s">
        <v>40</v>
      </c>
      <c r="Q30" s="3" t="s">
        <v>729</v>
      </c>
      <c r="R30" s="4" t="s">
        <v>30</v>
      </c>
      <c r="S30" s="3" t="s">
        <v>36</v>
      </c>
      <c r="T30" s="3" t="s">
        <v>50</v>
      </c>
      <c r="U30" s="3" t="s">
        <v>36</v>
      </c>
      <c r="V30" s="4" t="s">
        <v>730</v>
      </c>
      <c r="W30" s="3" t="s">
        <v>731</v>
      </c>
      <c r="X30" s="5"/>
      <c r="Y30" s="5"/>
      <c r="Z30" s="5"/>
      <c r="AA30" s="3" t="s">
        <v>47</v>
      </c>
      <c r="AB30" s="3" t="s">
        <v>47</v>
      </c>
      <c r="AC30" s="9">
        <v>20480</v>
      </c>
      <c r="AD30" s="9">
        <v>24480</v>
      </c>
      <c r="AE30" s="3" t="s">
        <v>734</v>
      </c>
      <c r="AF30" s="3" t="s">
        <v>663</v>
      </c>
      <c r="AG30" s="5"/>
      <c r="AH30" s="3" t="s">
        <v>666</v>
      </c>
      <c r="AI30" s="5" t="s">
        <v>734</v>
      </c>
      <c r="AJ30" s="5"/>
      <c r="AK30" s="5"/>
      <c r="AL30" s="5"/>
      <c r="AM30" s="3" t="s">
        <v>804</v>
      </c>
      <c r="AN30" s="3" t="s">
        <v>805</v>
      </c>
      <c r="AO30" s="3" t="s">
        <v>987</v>
      </c>
      <c r="AP30" s="3" t="s">
        <v>738</v>
      </c>
      <c r="AQ30" s="5"/>
      <c r="AR30" s="5"/>
      <c r="AS30" s="5"/>
      <c r="AT30" s="5"/>
      <c r="AU30" s="5"/>
      <c r="AV30" s="5"/>
      <c r="AW30" s="5">
        <v>0</v>
      </c>
      <c r="AX30" s="3" t="s">
        <v>44</v>
      </c>
      <c r="AY30" s="5" t="s">
        <v>739</v>
      </c>
      <c r="AZ30" s="3" t="s">
        <v>988</v>
      </c>
      <c r="BA30" s="5" t="s">
        <v>989</v>
      </c>
      <c r="BB30" s="3" t="s">
        <v>742</v>
      </c>
      <c r="BC30" s="4" t="s">
        <v>990</v>
      </c>
      <c r="BD30" s="4" t="s">
        <v>785</v>
      </c>
      <c r="BE30" s="3" t="s">
        <v>72</v>
      </c>
      <c r="BF30" s="3" t="s">
        <v>991</v>
      </c>
      <c r="BG30" s="3" t="s">
        <v>746</v>
      </c>
      <c r="BH30" s="3" t="s">
        <v>747</v>
      </c>
      <c r="BI30" s="5"/>
      <c r="BJ30" s="5"/>
      <c r="BK30" s="3" t="s">
        <v>748</v>
      </c>
      <c r="BL30" s="4" t="s">
        <v>828</v>
      </c>
      <c r="BM30" s="10"/>
      <c r="BN30" s="10"/>
      <c r="BO30" s="10"/>
      <c r="BP30" s="10">
        <v>1</v>
      </c>
      <c r="BQ30" s="10"/>
      <c r="BR30" s="10"/>
      <c r="BS30" s="10"/>
      <c r="BT30" s="10"/>
      <c r="BU30" s="10"/>
      <c r="BV30" s="10"/>
      <c r="BW30" s="10"/>
      <c r="BX30" s="10"/>
      <c r="BY30" s="3" t="s">
        <v>750</v>
      </c>
      <c r="BZ30" s="5"/>
      <c r="CA30" s="3" t="s">
        <v>72</v>
      </c>
      <c r="CB30" s="5"/>
      <c r="CC30" s="3" t="s">
        <v>40</v>
      </c>
      <c r="CD30" s="5"/>
      <c r="CE30" s="5"/>
      <c r="CF30" s="3" t="s">
        <v>751</v>
      </c>
      <c r="CG30" s="3" t="s">
        <v>752</v>
      </c>
      <c r="CH30" s="5"/>
      <c r="CI30" s="3" t="s">
        <v>992</v>
      </c>
      <c r="CJ30" s="3" t="s">
        <v>47</v>
      </c>
      <c r="CK30" s="3" t="s">
        <v>250</v>
      </c>
      <c r="CL30" s="3" t="s">
        <v>250</v>
      </c>
      <c r="CM30" s="5" t="s">
        <v>754</v>
      </c>
      <c r="CN30" s="3" t="s">
        <v>755</v>
      </c>
      <c r="CO30" s="3" t="s">
        <v>756</v>
      </c>
      <c r="CP30" s="5"/>
      <c r="CQ30" s="3" t="s">
        <v>993</v>
      </c>
      <c r="CR30" s="3" t="s">
        <v>994</v>
      </c>
      <c r="CS30" s="3" t="s">
        <v>47</v>
      </c>
      <c r="CT30" s="3" t="s">
        <v>44</v>
      </c>
      <c r="CU30" s="5"/>
      <c r="CV30" s="5"/>
      <c r="CW30" s="4" t="s">
        <v>792</v>
      </c>
      <c r="CX30" s="5" t="s">
        <v>995</v>
      </c>
      <c r="CY30" s="11"/>
    </row>
    <row r="31" ht="12" customHeight="1" spans="1:103" x14ac:dyDescent="0.25">
      <c r="A31" s="8" t="s">
        <v>204</v>
      </c>
      <c r="B31" s="3" t="s">
        <v>727</v>
      </c>
      <c r="C31" s="5">
        <v>1</v>
      </c>
      <c r="D31" s="5">
        <v>1</v>
      </c>
      <c r="E31" s="5" t="s">
        <v>52</v>
      </c>
      <c r="F31" s="5">
        <v>0</v>
      </c>
      <c r="G31" s="5">
        <v>0</v>
      </c>
      <c r="H31" s="5">
        <v>0</v>
      </c>
      <c r="I31" s="5">
        <v>1</v>
      </c>
      <c r="J31" s="5">
        <v>2</v>
      </c>
      <c r="K31" s="3" t="s">
        <v>44</v>
      </c>
      <c r="L31" s="3" t="s">
        <v>728</v>
      </c>
      <c r="M31" s="3" t="s">
        <v>31</v>
      </c>
      <c r="N31" s="3" t="s">
        <v>32</v>
      </c>
      <c r="O31" s="3" t="s">
        <v>35</v>
      </c>
      <c r="P31" s="3" t="s">
        <v>40</v>
      </c>
      <c r="Q31" s="3" t="s">
        <v>729</v>
      </c>
      <c r="R31" s="4" t="s">
        <v>30</v>
      </c>
      <c r="S31" s="3" t="s">
        <v>36</v>
      </c>
      <c r="T31" s="3" t="s">
        <v>50</v>
      </c>
      <c r="U31" s="3" t="s">
        <v>36</v>
      </c>
      <c r="V31" s="4" t="s">
        <v>730</v>
      </c>
      <c r="W31" s="3" t="s">
        <v>731</v>
      </c>
      <c r="X31" s="5"/>
      <c r="Y31" s="5"/>
      <c r="Z31" s="5"/>
      <c r="AA31" s="3" t="s">
        <v>996</v>
      </c>
      <c r="AB31" s="3" t="s">
        <v>997</v>
      </c>
      <c r="AC31" s="9">
        <v>6273.21</v>
      </c>
      <c r="AD31" s="9">
        <v>10273.21</v>
      </c>
      <c r="AE31" s="3" t="s">
        <v>734</v>
      </c>
      <c r="AF31" s="3" t="s">
        <v>663</v>
      </c>
      <c r="AG31" s="5"/>
      <c r="AH31" s="3" t="s">
        <v>666</v>
      </c>
      <c r="AI31" s="5" t="s">
        <v>734</v>
      </c>
      <c r="AJ31" s="5"/>
      <c r="AK31" s="5"/>
      <c r="AL31" s="5"/>
      <c r="AM31" s="3" t="s">
        <v>998</v>
      </c>
      <c r="AN31" s="3" t="s">
        <v>999</v>
      </c>
      <c r="AO31" s="3" t="s">
        <v>1000</v>
      </c>
      <c r="AP31" s="3" t="s">
        <v>738</v>
      </c>
      <c r="AQ31" s="5"/>
      <c r="AR31" s="5"/>
      <c r="AS31" s="5"/>
      <c r="AT31" s="5"/>
      <c r="AU31" s="5"/>
      <c r="AV31" s="5"/>
      <c r="AW31" s="5">
        <v>0</v>
      </c>
      <c r="AX31" s="3" t="s">
        <v>44</v>
      </c>
      <c r="AY31" s="5" t="s">
        <v>739</v>
      </c>
      <c r="AZ31" s="3" t="s">
        <v>1001</v>
      </c>
      <c r="BA31" s="5" t="s">
        <v>1002</v>
      </c>
      <c r="BB31" s="3" t="s">
        <v>742</v>
      </c>
      <c r="BC31" s="4" t="s">
        <v>990</v>
      </c>
      <c r="BD31" s="4" t="s">
        <v>785</v>
      </c>
      <c r="BE31" s="3" t="s">
        <v>72</v>
      </c>
      <c r="BF31" s="3" t="s">
        <v>1000</v>
      </c>
      <c r="BG31" s="3" t="s">
        <v>746</v>
      </c>
      <c r="BH31" s="3" t="s">
        <v>747</v>
      </c>
      <c r="BI31" s="5"/>
      <c r="BJ31" s="5"/>
      <c r="BK31" s="3" t="s">
        <v>840</v>
      </c>
      <c r="BL31" s="4" t="s">
        <v>909</v>
      </c>
      <c r="BM31" s="10"/>
      <c r="BN31" s="10"/>
      <c r="BO31" s="10"/>
      <c r="BP31" s="10">
        <v>1</v>
      </c>
      <c r="BQ31" s="10"/>
      <c r="BR31" s="10"/>
      <c r="BS31" s="10"/>
      <c r="BT31" s="10"/>
      <c r="BU31" s="10"/>
      <c r="BV31" s="10"/>
      <c r="BW31" s="10"/>
      <c r="BX31" s="10"/>
      <c r="BY31" s="3" t="s">
        <v>750</v>
      </c>
      <c r="BZ31" s="5"/>
      <c r="CA31" s="3" t="s">
        <v>72</v>
      </c>
      <c r="CB31" s="5"/>
      <c r="CC31" s="3" t="s">
        <v>842</v>
      </c>
      <c r="CD31" s="5"/>
      <c r="CE31" s="5"/>
      <c r="CF31" s="3" t="s">
        <v>751</v>
      </c>
      <c r="CG31" s="3" t="s">
        <v>752</v>
      </c>
      <c r="CH31" s="5"/>
      <c r="CI31" s="3" t="s">
        <v>1003</v>
      </c>
      <c r="CJ31" s="3" t="s">
        <v>205</v>
      </c>
      <c r="CK31" s="3" t="s">
        <v>206</v>
      </c>
      <c r="CL31" s="3" t="s">
        <v>206</v>
      </c>
      <c r="CM31" s="5" t="s">
        <v>754</v>
      </c>
      <c r="CN31" s="3" t="s">
        <v>755</v>
      </c>
      <c r="CO31" s="3" t="s">
        <v>756</v>
      </c>
      <c r="CP31" s="5"/>
      <c r="CQ31" s="3" t="s">
        <v>1004</v>
      </c>
      <c r="CR31" s="3" t="s">
        <v>1005</v>
      </c>
      <c r="CS31" s="3" t="s">
        <v>996</v>
      </c>
      <c r="CT31" s="3" t="s">
        <v>44</v>
      </c>
      <c r="CU31" s="5"/>
      <c r="CV31" s="5"/>
      <c r="CW31" s="4" t="s">
        <v>774</v>
      </c>
      <c r="CX31" s="5" t="s">
        <v>1006</v>
      </c>
      <c r="CY31" s="11"/>
    </row>
    <row r="32" ht="12" customHeight="1" spans="1:103" x14ac:dyDescent="0.25">
      <c r="A32" s="8" t="s">
        <v>129</v>
      </c>
      <c r="B32" s="3" t="s">
        <v>1007</v>
      </c>
      <c r="C32" s="5">
        <v>3</v>
      </c>
      <c r="D32" s="5">
        <v>3</v>
      </c>
      <c r="E32" s="5"/>
      <c r="F32" s="5">
        <v>0</v>
      </c>
      <c r="G32" s="5">
        <v>0</v>
      </c>
      <c r="H32" s="5">
        <v>0</v>
      </c>
      <c r="I32" s="5">
        <v>3</v>
      </c>
      <c r="J32" s="5">
        <v>6</v>
      </c>
      <c r="K32" s="3" t="s">
        <v>44</v>
      </c>
      <c r="L32" s="3" t="s">
        <v>728</v>
      </c>
      <c r="M32" s="3" t="s">
        <v>31</v>
      </c>
      <c r="N32" s="3" t="s">
        <v>32</v>
      </c>
      <c r="O32" s="3" t="s">
        <v>35</v>
      </c>
      <c r="P32" s="3" t="s">
        <v>40</v>
      </c>
      <c r="Q32" s="3" t="s">
        <v>729</v>
      </c>
      <c r="R32" s="4" t="s">
        <v>30</v>
      </c>
      <c r="S32" s="3" t="s">
        <v>36</v>
      </c>
      <c r="T32" s="3" t="s">
        <v>50</v>
      </c>
      <c r="U32" s="3" t="s">
        <v>36</v>
      </c>
      <c r="V32" s="4" t="s">
        <v>730</v>
      </c>
      <c r="W32" s="3" t="s">
        <v>731</v>
      </c>
      <c r="X32" s="5"/>
      <c r="Y32" s="5"/>
      <c r="Z32" s="5"/>
      <c r="AA32" s="3" t="s">
        <v>819</v>
      </c>
      <c r="AB32" s="3" t="s">
        <v>130</v>
      </c>
      <c r="AC32" s="9">
        <v>73332.9</v>
      </c>
      <c r="AD32" s="9">
        <v>85332.9</v>
      </c>
      <c r="AE32" s="3" t="s">
        <v>734</v>
      </c>
      <c r="AF32" s="3" t="s">
        <v>663</v>
      </c>
      <c r="AG32" s="5"/>
      <c r="AH32" s="3" t="s">
        <v>666</v>
      </c>
      <c r="AI32" s="5" t="s">
        <v>734</v>
      </c>
      <c r="AJ32" s="5"/>
      <c r="AK32" s="5"/>
      <c r="AL32" s="5"/>
      <c r="AM32" s="3" t="s">
        <v>820</v>
      </c>
      <c r="AN32" s="3" t="s">
        <v>821</v>
      </c>
      <c r="AO32" s="3" t="s">
        <v>1008</v>
      </c>
      <c r="AP32" s="3" t="s">
        <v>738</v>
      </c>
      <c r="AQ32" s="5"/>
      <c r="AR32" s="5"/>
      <c r="AS32" s="5"/>
      <c r="AT32" s="5"/>
      <c r="AU32" s="5"/>
      <c r="AV32" s="5"/>
      <c r="AW32" s="5">
        <v>0</v>
      </c>
      <c r="AX32" s="3" t="s">
        <v>44</v>
      </c>
      <c r="AY32" s="5" t="s">
        <v>823</v>
      </c>
      <c r="AZ32" s="3" t="s">
        <v>1009</v>
      </c>
      <c r="BA32" s="5" t="s">
        <v>1010</v>
      </c>
      <c r="BB32" s="3" t="s">
        <v>742</v>
      </c>
      <c r="BC32" s="4" t="s">
        <v>1011</v>
      </c>
      <c r="BD32" s="4" t="s">
        <v>785</v>
      </c>
      <c r="BE32" s="3" t="s">
        <v>72</v>
      </c>
      <c r="BF32" s="3" t="s">
        <v>745</v>
      </c>
      <c r="BG32" s="3" t="s">
        <v>746</v>
      </c>
      <c r="BH32" s="3" t="s">
        <v>747</v>
      </c>
      <c r="BI32" s="5"/>
      <c r="BJ32" s="5"/>
      <c r="BK32" s="3" t="s">
        <v>748</v>
      </c>
      <c r="BL32" s="4" t="s">
        <v>810</v>
      </c>
      <c r="BM32" s="10"/>
      <c r="BN32" s="10"/>
      <c r="BO32" s="10"/>
      <c r="BP32" s="10">
        <v>3</v>
      </c>
      <c r="BQ32" s="10"/>
      <c r="BR32" s="10"/>
      <c r="BS32" s="10"/>
      <c r="BT32" s="10"/>
      <c r="BU32" s="10"/>
      <c r="BV32" s="10"/>
      <c r="BW32" s="10"/>
      <c r="BX32" s="10"/>
      <c r="BY32" s="3" t="s">
        <v>750</v>
      </c>
      <c r="BZ32" s="5"/>
      <c r="CA32" s="3"/>
      <c r="CB32" s="5"/>
      <c r="CC32" s="3" t="s">
        <v>40</v>
      </c>
      <c r="CD32" s="5"/>
      <c r="CE32" s="5"/>
      <c r="CF32" s="3" t="s">
        <v>751</v>
      </c>
      <c r="CG32" s="3" t="s">
        <v>752</v>
      </c>
      <c r="CH32" s="5"/>
      <c r="CI32" s="3" t="s">
        <v>829</v>
      </c>
      <c r="CJ32" s="3" t="s">
        <v>130</v>
      </c>
      <c r="CK32" s="3" t="s">
        <v>131</v>
      </c>
      <c r="CL32" s="3" t="s">
        <v>132</v>
      </c>
      <c r="CM32" s="5" t="s">
        <v>754</v>
      </c>
      <c r="CN32" s="3" t="s">
        <v>755</v>
      </c>
      <c r="CO32" s="3" t="s">
        <v>756</v>
      </c>
      <c r="CP32" s="5"/>
      <c r="CQ32" s="3" t="s">
        <v>830</v>
      </c>
      <c r="CR32" s="3" t="s">
        <v>831</v>
      </c>
      <c r="CS32" s="3" t="s">
        <v>819</v>
      </c>
      <c r="CT32" s="3" t="s">
        <v>44</v>
      </c>
      <c r="CU32" s="5"/>
      <c r="CV32" s="5"/>
      <c r="CW32" s="4" t="s">
        <v>774</v>
      </c>
      <c r="CX32" s="5" t="s">
        <v>760</v>
      </c>
      <c r="CY32" s="11"/>
    </row>
    <row r="33" ht="12" customHeight="1" spans="1:103" x14ac:dyDescent="0.25">
      <c r="A33" s="8" t="s">
        <v>361</v>
      </c>
      <c r="B33" s="3" t="s">
        <v>1012</v>
      </c>
      <c r="C33" s="5">
        <v>4</v>
      </c>
      <c r="D33" s="5">
        <v>4</v>
      </c>
      <c r="E33" s="5" t="s">
        <v>52</v>
      </c>
      <c r="F33" s="5">
        <v>0</v>
      </c>
      <c r="G33" s="5">
        <v>4</v>
      </c>
      <c r="H33" s="5">
        <v>0</v>
      </c>
      <c r="I33" s="5">
        <v>0</v>
      </c>
      <c r="J33" s="5">
        <v>4</v>
      </c>
      <c r="K33" s="3" t="s">
        <v>44</v>
      </c>
      <c r="L33" s="3" t="s">
        <v>728</v>
      </c>
      <c r="M33" s="3" t="s">
        <v>31</v>
      </c>
      <c r="N33" s="3" t="s">
        <v>32</v>
      </c>
      <c r="O33" s="3" t="s">
        <v>35</v>
      </c>
      <c r="P33" s="3" t="s">
        <v>40</v>
      </c>
      <c r="Q33" s="3" t="s">
        <v>729</v>
      </c>
      <c r="R33" s="4" t="s">
        <v>30</v>
      </c>
      <c r="S33" s="3" t="s">
        <v>36</v>
      </c>
      <c r="T33" s="3" t="s">
        <v>50</v>
      </c>
      <c r="U33" s="3" t="s">
        <v>36</v>
      </c>
      <c r="V33" s="4" t="s">
        <v>730</v>
      </c>
      <c r="W33" s="3" t="s">
        <v>731</v>
      </c>
      <c r="X33" s="5"/>
      <c r="Y33" s="5"/>
      <c r="Z33" s="5"/>
      <c r="AA33" s="3" t="s">
        <v>855</v>
      </c>
      <c r="AB33" s="3" t="s">
        <v>362</v>
      </c>
      <c r="AC33" s="9">
        <v>60720</v>
      </c>
      <c r="AD33" s="9">
        <v>69520</v>
      </c>
      <c r="AE33" s="3" t="s">
        <v>734</v>
      </c>
      <c r="AF33" s="3" t="s">
        <v>663</v>
      </c>
      <c r="AG33" s="5"/>
      <c r="AH33" s="3" t="s">
        <v>666</v>
      </c>
      <c r="AI33" s="5" t="s">
        <v>734</v>
      </c>
      <c r="AJ33" s="5"/>
      <c r="AK33" s="5"/>
      <c r="AL33" s="5"/>
      <c r="AM33" s="3" t="s">
        <v>856</v>
      </c>
      <c r="AN33" s="3" t="s">
        <v>857</v>
      </c>
      <c r="AO33" s="3" t="s">
        <v>858</v>
      </c>
      <c r="AP33" s="3" t="s">
        <v>738</v>
      </c>
      <c r="AQ33" s="5"/>
      <c r="AR33" s="5"/>
      <c r="AS33" s="5"/>
      <c r="AT33" s="5"/>
      <c r="AU33" s="5"/>
      <c r="AV33" s="5"/>
      <c r="AW33" s="5">
        <v>0</v>
      </c>
      <c r="AX33" s="3" t="s">
        <v>44</v>
      </c>
      <c r="AY33" s="5" t="s">
        <v>739</v>
      </c>
      <c r="AZ33" s="3" t="s">
        <v>1013</v>
      </c>
      <c r="BA33" s="5" t="s">
        <v>1014</v>
      </c>
      <c r="BB33" s="3" t="s">
        <v>742</v>
      </c>
      <c r="BC33" s="4" t="s">
        <v>1015</v>
      </c>
      <c r="BD33" s="4" t="s">
        <v>785</v>
      </c>
      <c r="BE33" s="3" t="s">
        <v>72</v>
      </c>
      <c r="BF33" s="3" t="s">
        <v>858</v>
      </c>
      <c r="BG33" s="3" t="s">
        <v>746</v>
      </c>
      <c r="BH33" s="3" t="s">
        <v>747</v>
      </c>
      <c r="BI33" s="5"/>
      <c r="BJ33" s="5"/>
      <c r="BK33" s="3" t="s">
        <v>840</v>
      </c>
      <c r="BL33" s="4" t="s">
        <v>892</v>
      </c>
      <c r="BM33" s="10"/>
      <c r="BN33" s="10">
        <v>4</v>
      </c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3" t="s">
        <v>750</v>
      </c>
      <c r="BZ33" s="5"/>
      <c r="CA33" s="3" t="s">
        <v>72</v>
      </c>
      <c r="CB33" s="5"/>
      <c r="CC33" s="3" t="s">
        <v>842</v>
      </c>
      <c r="CD33" s="5"/>
      <c r="CE33" s="5"/>
      <c r="CF33" s="3" t="s">
        <v>751</v>
      </c>
      <c r="CG33" s="3" t="s">
        <v>752</v>
      </c>
      <c r="CH33" s="5"/>
      <c r="CI33" s="3" t="s">
        <v>862</v>
      </c>
      <c r="CJ33" s="3" t="s">
        <v>362</v>
      </c>
      <c r="CK33" s="3" t="s">
        <v>363</v>
      </c>
      <c r="CL33" s="3" t="s">
        <v>363</v>
      </c>
      <c r="CM33" s="5" t="s">
        <v>754</v>
      </c>
      <c r="CN33" s="3" t="s">
        <v>755</v>
      </c>
      <c r="CO33" s="3" t="s">
        <v>756</v>
      </c>
      <c r="CP33" s="5"/>
      <c r="CQ33" s="3" t="s">
        <v>863</v>
      </c>
      <c r="CR33" s="3" t="s">
        <v>864</v>
      </c>
      <c r="CS33" s="3" t="s">
        <v>855</v>
      </c>
      <c r="CT33" s="3" t="s">
        <v>44</v>
      </c>
      <c r="CU33" s="5"/>
      <c r="CV33" s="5"/>
      <c r="CW33" s="4" t="s">
        <v>769</v>
      </c>
      <c r="CX33" s="5" t="s">
        <v>865</v>
      </c>
      <c r="CY33" s="11"/>
    </row>
    <row r="34" ht="12" customHeight="1" spans="1:103" x14ac:dyDescent="0.25">
      <c r="A34" s="8" t="s">
        <v>348</v>
      </c>
      <c r="B34" s="3" t="s">
        <v>873</v>
      </c>
      <c r="C34" s="5">
        <v>2</v>
      </c>
      <c r="D34" s="5">
        <v>2</v>
      </c>
      <c r="E34" s="5"/>
      <c r="F34" s="5">
        <v>0</v>
      </c>
      <c r="G34" s="5">
        <v>2</v>
      </c>
      <c r="H34" s="5">
        <v>0</v>
      </c>
      <c r="I34" s="5">
        <v>0</v>
      </c>
      <c r="J34" s="5">
        <v>2</v>
      </c>
      <c r="K34" s="3" t="s">
        <v>44</v>
      </c>
      <c r="L34" s="3" t="s">
        <v>728</v>
      </c>
      <c r="M34" s="3" t="s">
        <v>31</v>
      </c>
      <c r="N34" s="3" t="s">
        <v>32</v>
      </c>
      <c r="O34" s="3" t="s">
        <v>35</v>
      </c>
      <c r="P34" s="3" t="s">
        <v>40</v>
      </c>
      <c r="Q34" s="3" t="s">
        <v>729</v>
      </c>
      <c r="R34" s="4" t="s">
        <v>30</v>
      </c>
      <c r="S34" s="3" t="s">
        <v>319</v>
      </c>
      <c r="T34" s="3" t="s">
        <v>321</v>
      </c>
      <c r="U34" s="3" t="s">
        <v>319</v>
      </c>
      <c r="V34" s="4" t="s">
        <v>874</v>
      </c>
      <c r="W34" s="3" t="s">
        <v>764</v>
      </c>
      <c r="X34" s="5"/>
      <c r="Y34" s="5" t="s">
        <v>274</v>
      </c>
      <c r="Z34" s="5" t="s">
        <v>69</v>
      </c>
      <c r="AA34" s="3" t="s">
        <v>1016</v>
      </c>
      <c r="AB34" s="3" t="s">
        <v>1017</v>
      </c>
      <c r="AC34" s="9">
        <v>42436</v>
      </c>
      <c r="AD34" s="9">
        <v>46836</v>
      </c>
      <c r="AE34" s="3" t="s">
        <v>734</v>
      </c>
      <c r="AF34" s="3" t="s">
        <v>663</v>
      </c>
      <c r="AG34" s="5"/>
      <c r="AH34" s="3" t="s">
        <v>666</v>
      </c>
      <c r="AI34" s="5" t="s">
        <v>734</v>
      </c>
      <c r="AJ34" s="5"/>
      <c r="AK34" s="5"/>
      <c r="AL34" s="5"/>
      <c r="AM34" s="3" t="s">
        <v>820</v>
      </c>
      <c r="AN34" s="3" t="s">
        <v>821</v>
      </c>
      <c r="AO34" s="3" t="s">
        <v>1018</v>
      </c>
      <c r="AP34" s="3" t="s">
        <v>17</v>
      </c>
      <c r="AQ34" s="5"/>
      <c r="AR34" s="5"/>
      <c r="AS34" s="5"/>
      <c r="AT34" s="5"/>
      <c r="AU34" s="5"/>
      <c r="AV34" s="5"/>
      <c r="AW34" s="5">
        <v>0</v>
      </c>
      <c r="AX34" s="3" t="s">
        <v>44</v>
      </c>
      <c r="AY34" s="5" t="s">
        <v>739</v>
      </c>
      <c r="AZ34" s="3" t="s">
        <v>1019</v>
      </c>
      <c r="BA34" s="5" t="s">
        <v>1020</v>
      </c>
      <c r="BB34" s="3" t="s">
        <v>742</v>
      </c>
      <c r="BC34" s="4" t="s">
        <v>1015</v>
      </c>
      <c r="BD34" s="4" t="s">
        <v>785</v>
      </c>
      <c r="BE34" s="3" t="s">
        <v>72</v>
      </c>
      <c r="BF34" s="3" t="s">
        <v>1021</v>
      </c>
      <c r="BG34" s="3" t="s">
        <v>746</v>
      </c>
      <c r="BH34" s="3" t="s">
        <v>747</v>
      </c>
      <c r="BI34" s="5"/>
      <c r="BJ34" s="5"/>
      <c r="BK34" s="3" t="s">
        <v>748</v>
      </c>
      <c r="BL34" s="4" t="s">
        <v>909</v>
      </c>
      <c r="BM34" s="10"/>
      <c r="BN34" s="10">
        <v>2</v>
      </c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3" t="s">
        <v>750</v>
      </c>
      <c r="BZ34" s="5">
        <v>7</v>
      </c>
      <c r="CA34" s="3" t="s">
        <v>72</v>
      </c>
      <c r="CB34" s="5"/>
      <c r="CC34" s="3" t="s">
        <v>40</v>
      </c>
      <c r="CD34" s="5"/>
      <c r="CE34" s="5"/>
      <c r="CF34" s="3" t="s">
        <v>751</v>
      </c>
      <c r="CG34" s="3" t="s">
        <v>752</v>
      </c>
      <c r="CH34" s="5" t="s">
        <v>877</v>
      </c>
      <c r="CI34" s="3" t="s">
        <v>1022</v>
      </c>
      <c r="CJ34" s="3" t="s">
        <v>349</v>
      </c>
      <c r="CK34" s="3" t="s">
        <v>350</v>
      </c>
      <c r="CL34" s="3" t="s">
        <v>350</v>
      </c>
      <c r="CM34" s="5" t="s">
        <v>754</v>
      </c>
      <c r="CN34" s="3" t="s">
        <v>755</v>
      </c>
      <c r="CO34" s="3" t="s">
        <v>756</v>
      </c>
      <c r="CP34" s="5"/>
      <c r="CQ34" s="3" t="s">
        <v>1023</v>
      </c>
      <c r="CR34" s="3" t="s">
        <v>1024</v>
      </c>
      <c r="CS34" s="3" t="s">
        <v>1016</v>
      </c>
      <c r="CT34" s="3" t="s">
        <v>44</v>
      </c>
      <c r="CU34" s="5"/>
      <c r="CV34" s="5"/>
      <c r="CW34" s="4" t="s">
        <v>769</v>
      </c>
      <c r="CX34" s="5" t="s">
        <v>1025</v>
      </c>
      <c r="CY34" s="11"/>
    </row>
    <row r="35" ht="12" customHeight="1" spans="1:103" x14ac:dyDescent="0.25">
      <c r="A35" s="8" t="s">
        <v>329</v>
      </c>
      <c r="B35" s="3" t="s">
        <v>1026</v>
      </c>
      <c r="C35" s="5">
        <v>6</v>
      </c>
      <c r="D35" s="5">
        <v>6</v>
      </c>
      <c r="E35" s="5"/>
      <c r="F35" s="5">
        <v>0</v>
      </c>
      <c r="G35" s="5">
        <v>6</v>
      </c>
      <c r="H35" s="5">
        <v>0</v>
      </c>
      <c r="I35" s="5">
        <v>0</v>
      </c>
      <c r="J35" s="5">
        <v>6</v>
      </c>
      <c r="K35" s="3" t="s">
        <v>44</v>
      </c>
      <c r="L35" s="3" t="s">
        <v>728</v>
      </c>
      <c r="M35" s="3" t="s">
        <v>31</v>
      </c>
      <c r="N35" s="3" t="s">
        <v>32</v>
      </c>
      <c r="O35" s="3" t="s">
        <v>35</v>
      </c>
      <c r="P35" s="3" t="s">
        <v>40</v>
      </c>
      <c r="Q35" s="3" t="s">
        <v>729</v>
      </c>
      <c r="R35" s="4" t="s">
        <v>30</v>
      </c>
      <c r="S35" s="3" t="s">
        <v>328</v>
      </c>
      <c r="T35" s="3" t="s">
        <v>331</v>
      </c>
      <c r="U35" s="3" t="s">
        <v>328</v>
      </c>
      <c r="V35" s="4" t="s">
        <v>867</v>
      </c>
      <c r="W35" s="3" t="s">
        <v>764</v>
      </c>
      <c r="X35" s="5"/>
      <c r="Y35" s="5" t="s">
        <v>274</v>
      </c>
      <c r="Z35" s="5" t="s">
        <v>69</v>
      </c>
      <c r="AA35" s="3" t="s">
        <v>732</v>
      </c>
      <c r="AB35" s="3" t="s">
        <v>733</v>
      </c>
      <c r="AC35" s="9">
        <v>115600.8</v>
      </c>
      <c r="AD35" s="9">
        <v>128800.8</v>
      </c>
      <c r="AE35" s="3" t="s">
        <v>734</v>
      </c>
      <c r="AF35" s="3"/>
      <c r="AG35" s="5"/>
      <c r="AH35" s="3" t="s">
        <v>666</v>
      </c>
      <c r="AI35" s="5" t="s">
        <v>734</v>
      </c>
      <c r="AJ35" s="5"/>
      <c r="AK35" s="5"/>
      <c r="AL35" s="5"/>
      <c r="AM35" s="3" t="s">
        <v>735</v>
      </c>
      <c r="AN35" s="3" t="s">
        <v>736</v>
      </c>
      <c r="AO35" s="3" t="s">
        <v>737</v>
      </c>
      <c r="AP35" s="3" t="s">
        <v>738</v>
      </c>
      <c r="AQ35" s="5"/>
      <c r="AR35" s="5"/>
      <c r="AS35" s="5"/>
      <c r="AT35" s="5"/>
      <c r="AU35" s="5"/>
      <c r="AV35" s="5"/>
      <c r="AW35" s="5">
        <v>0</v>
      </c>
      <c r="AX35" s="3" t="s">
        <v>44</v>
      </c>
      <c r="AY35" s="5" t="s">
        <v>739</v>
      </c>
      <c r="AZ35" s="3" t="s">
        <v>1027</v>
      </c>
      <c r="BA35" s="5" t="s">
        <v>911</v>
      </c>
      <c r="BB35" s="3" t="s">
        <v>742</v>
      </c>
      <c r="BC35" s="4" t="s">
        <v>1015</v>
      </c>
      <c r="BD35" s="4" t="s">
        <v>785</v>
      </c>
      <c r="BE35" s="3" t="s">
        <v>72</v>
      </c>
      <c r="BF35" s="3" t="s">
        <v>745</v>
      </c>
      <c r="BG35" s="3" t="s">
        <v>746</v>
      </c>
      <c r="BH35" s="3" t="s">
        <v>747</v>
      </c>
      <c r="BI35" s="5"/>
      <c r="BJ35" s="5"/>
      <c r="BK35" s="3" t="s">
        <v>748</v>
      </c>
      <c r="BL35" s="4" t="s">
        <v>810</v>
      </c>
      <c r="BM35" s="10"/>
      <c r="BN35" s="10">
        <v>6</v>
      </c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3" t="s">
        <v>750</v>
      </c>
      <c r="BZ35" s="5">
        <v>9</v>
      </c>
      <c r="CA35" s="3"/>
      <c r="CB35" s="5"/>
      <c r="CC35" s="3" t="s">
        <v>40</v>
      </c>
      <c r="CD35" s="5"/>
      <c r="CE35" s="5"/>
      <c r="CF35" s="3" t="s">
        <v>751</v>
      </c>
      <c r="CG35" s="3" t="s">
        <v>752</v>
      </c>
      <c r="CH35" s="5" t="s">
        <v>872</v>
      </c>
      <c r="CI35" s="3" t="s">
        <v>799</v>
      </c>
      <c r="CJ35" s="3" t="s">
        <v>74</v>
      </c>
      <c r="CK35" s="3" t="s">
        <v>330</v>
      </c>
      <c r="CL35" s="3" t="s">
        <v>330</v>
      </c>
      <c r="CM35" s="5" t="s">
        <v>754</v>
      </c>
      <c r="CN35" s="3" t="s">
        <v>755</v>
      </c>
      <c r="CO35" s="3" t="s">
        <v>756</v>
      </c>
      <c r="CP35" s="5"/>
      <c r="CQ35" s="3" t="s">
        <v>773</v>
      </c>
      <c r="CR35" s="3" t="s">
        <v>758</v>
      </c>
      <c r="CS35" s="3" t="s">
        <v>732</v>
      </c>
      <c r="CT35" s="3" t="s">
        <v>44</v>
      </c>
      <c r="CU35" s="5"/>
      <c r="CV35" s="5"/>
      <c r="CW35" s="4" t="s">
        <v>787</v>
      </c>
      <c r="CX35" s="5" t="s">
        <v>760</v>
      </c>
      <c r="CY35" s="11"/>
    </row>
    <row r="36" ht="12" customHeight="1" spans="1:103" x14ac:dyDescent="0.25">
      <c r="A36" s="8" t="s">
        <v>165</v>
      </c>
      <c r="B36" s="3" t="s">
        <v>833</v>
      </c>
      <c r="C36" s="5">
        <v>2</v>
      </c>
      <c r="D36" s="5">
        <v>2</v>
      </c>
      <c r="E36" s="5" t="s">
        <v>52</v>
      </c>
      <c r="F36" s="5">
        <v>0</v>
      </c>
      <c r="G36" s="5">
        <v>0</v>
      </c>
      <c r="H36" s="5">
        <v>0</v>
      </c>
      <c r="I36" s="5">
        <v>2</v>
      </c>
      <c r="J36" s="5">
        <v>4</v>
      </c>
      <c r="K36" s="3" t="s">
        <v>44</v>
      </c>
      <c r="L36" s="3" t="s">
        <v>728</v>
      </c>
      <c r="M36" s="3" t="s">
        <v>31</v>
      </c>
      <c r="N36" s="3" t="s">
        <v>32</v>
      </c>
      <c r="O36" s="3" t="s">
        <v>35</v>
      </c>
      <c r="P36" s="3" t="s">
        <v>40</v>
      </c>
      <c r="Q36" s="3" t="s">
        <v>729</v>
      </c>
      <c r="R36" s="4" t="s">
        <v>30</v>
      </c>
      <c r="S36" s="3" t="s">
        <v>36</v>
      </c>
      <c r="T36" s="3" t="s">
        <v>50</v>
      </c>
      <c r="U36" s="3" t="s">
        <v>36</v>
      </c>
      <c r="V36" s="4" t="s">
        <v>730</v>
      </c>
      <c r="W36" s="3" t="s">
        <v>731</v>
      </c>
      <c r="X36" s="5"/>
      <c r="Y36" s="5"/>
      <c r="Z36" s="5"/>
      <c r="AA36" s="3" t="s">
        <v>1028</v>
      </c>
      <c r="AB36" s="3" t="s">
        <v>166</v>
      </c>
      <c r="AC36" s="9">
        <v>53000</v>
      </c>
      <c r="AD36" s="9">
        <v>61000</v>
      </c>
      <c r="AE36" s="3" t="s">
        <v>734</v>
      </c>
      <c r="AF36" s="3" t="s">
        <v>663</v>
      </c>
      <c r="AG36" s="5"/>
      <c r="AH36" s="3" t="s">
        <v>666</v>
      </c>
      <c r="AI36" s="5" t="s">
        <v>734</v>
      </c>
      <c r="AJ36" s="5"/>
      <c r="AK36" s="5"/>
      <c r="AL36" s="5"/>
      <c r="AM36" s="3" t="s">
        <v>804</v>
      </c>
      <c r="AN36" s="3" t="s">
        <v>805</v>
      </c>
      <c r="AO36" s="3" t="s">
        <v>1029</v>
      </c>
      <c r="AP36" s="3" t="s">
        <v>738</v>
      </c>
      <c r="AQ36" s="5"/>
      <c r="AR36" s="5"/>
      <c r="AS36" s="5"/>
      <c r="AT36" s="5"/>
      <c r="AU36" s="5"/>
      <c r="AV36" s="5"/>
      <c r="AW36" s="5">
        <v>0</v>
      </c>
      <c r="AX36" s="3" t="s">
        <v>44</v>
      </c>
      <c r="AY36" s="5" t="s">
        <v>823</v>
      </c>
      <c r="AZ36" s="3" t="s">
        <v>1030</v>
      </c>
      <c r="BA36" s="5" t="s">
        <v>1031</v>
      </c>
      <c r="BB36" s="3" t="s">
        <v>742</v>
      </c>
      <c r="BC36" s="4" t="s">
        <v>1015</v>
      </c>
      <c r="BD36" s="4" t="s">
        <v>797</v>
      </c>
      <c r="BE36" s="3" t="s">
        <v>72</v>
      </c>
      <c r="BF36" s="3" t="s">
        <v>1032</v>
      </c>
      <c r="BG36" s="3" t="s">
        <v>746</v>
      </c>
      <c r="BH36" s="3" t="s">
        <v>747</v>
      </c>
      <c r="BI36" s="5"/>
      <c r="BJ36" s="5"/>
      <c r="BK36" s="3" t="s">
        <v>840</v>
      </c>
      <c r="BL36" s="4" t="s">
        <v>1033</v>
      </c>
      <c r="BM36" s="10"/>
      <c r="BN36" s="10"/>
      <c r="BO36" s="10"/>
      <c r="BP36" s="10">
        <v>2</v>
      </c>
      <c r="BQ36" s="10"/>
      <c r="BR36" s="10"/>
      <c r="BS36" s="10"/>
      <c r="BT36" s="10"/>
      <c r="BU36" s="10"/>
      <c r="BV36" s="10"/>
      <c r="BW36" s="10"/>
      <c r="BX36" s="10"/>
      <c r="BY36" s="3" t="s">
        <v>750</v>
      </c>
      <c r="BZ36" s="5"/>
      <c r="CA36" s="3" t="s">
        <v>72</v>
      </c>
      <c r="CB36" s="5"/>
      <c r="CC36" s="3" t="s">
        <v>842</v>
      </c>
      <c r="CD36" s="5"/>
      <c r="CE36" s="5"/>
      <c r="CF36" s="3" t="s">
        <v>751</v>
      </c>
      <c r="CG36" s="3" t="s">
        <v>752</v>
      </c>
      <c r="CH36" s="5"/>
      <c r="CI36" s="3" t="s">
        <v>1034</v>
      </c>
      <c r="CJ36" s="3" t="s">
        <v>166</v>
      </c>
      <c r="CK36" s="3" t="s">
        <v>167</v>
      </c>
      <c r="CL36" s="3" t="s">
        <v>167</v>
      </c>
      <c r="CM36" s="5" t="s">
        <v>754</v>
      </c>
      <c r="CN36" s="3" t="s">
        <v>755</v>
      </c>
      <c r="CO36" s="3" t="s">
        <v>756</v>
      </c>
      <c r="CP36" s="5"/>
      <c r="CQ36" s="3" t="s">
        <v>1035</v>
      </c>
      <c r="CR36" s="3" t="s">
        <v>1036</v>
      </c>
      <c r="CS36" s="3" t="s">
        <v>1028</v>
      </c>
      <c r="CT36" s="3" t="s">
        <v>44</v>
      </c>
      <c r="CU36" s="5"/>
      <c r="CV36" s="5"/>
      <c r="CW36" s="4" t="s">
        <v>759</v>
      </c>
      <c r="CX36" s="5" t="s">
        <v>1037</v>
      </c>
      <c r="CY36" s="11" t="s">
        <v>761</v>
      </c>
    </row>
    <row r="37" ht="12" customHeight="1" spans="1:103" x14ac:dyDescent="0.25">
      <c r="A37" s="8" t="s">
        <v>343</v>
      </c>
      <c r="B37" s="3" t="s">
        <v>762</v>
      </c>
      <c r="C37" s="5">
        <v>1</v>
      </c>
      <c r="D37" s="5">
        <v>1</v>
      </c>
      <c r="E37" s="5"/>
      <c r="F37" s="5">
        <v>0</v>
      </c>
      <c r="G37" s="5">
        <v>1</v>
      </c>
      <c r="H37" s="5">
        <v>0</v>
      </c>
      <c r="I37" s="5">
        <v>0</v>
      </c>
      <c r="J37" s="5">
        <v>1</v>
      </c>
      <c r="K37" s="3" t="s">
        <v>44</v>
      </c>
      <c r="L37" s="3" t="s">
        <v>728</v>
      </c>
      <c r="M37" s="3" t="s">
        <v>31</v>
      </c>
      <c r="N37" s="3" t="s">
        <v>32</v>
      </c>
      <c r="O37" s="3" t="s">
        <v>35</v>
      </c>
      <c r="P37" s="3" t="s">
        <v>40</v>
      </c>
      <c r="Q37" s="3" t="s">
        <v>729</v>
      </c>
      <c r="R37" s="4" t="s">
        <v>30</v>
      </c>
      <c r="S37" s="3" t="s">
        <v>36</v>
      </c>
      <c r="T37" s="3" t="s">
        <v>50</v>
      </c>
      <c r="U37" s="3" t="s">
        <v>36</v>
      </c>
      <c r="V37" s="4" t="s">
        <v>730</v>
      </c>
      <c r="W37" s="3" t="s">
        <v>731</v>
      </c>
      <c r="X37" s="5"/>
      <c r="Y37" s="5"/>
      <c r="Z37" s="5"/>
      <c r="AA37" s="3" t="s">
        <v>1038</v>
      </c>
      <c r="AB37" s="3" t="s">
        <v>1039</v>
      </c>
      <c r="AC37" s="9">
        <v>27150</v>
      </c>
      <c r="AD37" s="9">
        <v>29350</v>
      </c>
      <c r="AE37" s="3" t="s">
        <v>734</v>
      </c>
      <c r="AF37" s="3"/>
      <c r="AG37" s="5"/>
      <c r="AH37" s="3" t="s">
        <v>666</v>
      </c>
      <c r="AI37" s="5" t="s">
        <v>734</v>
      </c>
      <c r="AJ37" s="5"/>
      <c r="AK37" s="5"/>
      <c r="AL37" s="5"/>
      <c r="AM37" s="3" t="s">
        <v>998</v>
      </c>
      <c r="AN37" s="3" t="s">
        <v>999</v>
      </c>
      <c r="AO37" s="3" t="s">
        <v>1040</v>
      </c>
      <c r="AP37" s="3" t="s">
        <v>738</v>
      </c>
      <c r="AQ37" s="5"/>
      <c r="AR37" s="5"/>
      <c r="AS37" s="5"/>
      <c r="AT37" s="5"/>
      <c r="AU37" s="5"/>
      <c r="AV37" s="5"/>
      <c r="AW37" s="5">
        <v>0</v>
      </c>
      <c r="AX37" s="3" t="s">
        <v>44</v>
      </c>
      <c r="AY37" s="5" t="s">
        <v>739</v>
      </c>
      <c r="AZ37" s="3" t="s">
        <v>1041</v>
      </c>
      <c r="BA37" s="5" t="s">
        <v>899</v>
      </c>
      <c r="BB37" s="3" t="s">
        <v>742</v>
      </c>
      <c r="BC37" s="4" t="s">
        <v>957</v>
      </c>
      <c r="BD37" s="4" t="s">
        <v>892</v>
      </c>
      <c r="BE37" s="3" t="s">
        <v>72</v>
      </c>
      <c r="BF37" s="3" t="s">
        <v>1042</v>
      </c>
      <c r="BG37" s="3" t="s">
        <v>746</v>
      </c>
      <c r="BH37" s="3" t="s">
        <v>747</v>
      </c>
      <c r="BI37" s="5"/>
      <c r="BJ37" s="5"/>
      <c r="BK37" s="3" t="s">
        <v>748</v>
      </c>
      <c r="BL37" s="4" t="s">
        <v>771</v>
      </c>
      <c r="BM37" s="10"/>
      <c r="BN37" s="10">
        <v>1</v>
      </c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3" t="s">
        <v>750</v>
      </c>
      <c r="BZ37" s="5"/>
      <c r="CA37" s="3" t="s">
        <v>72</v>
      </c>
      <c r="CB37" s="5"/>
      <c r="CC37" s="3" t="s">
        <v>40</v>
      </c>
      <c r="CD37" s="5"/>
      <c r="CE37" s="5"/>
      <c r="CF37" s="3" t="s">
        <v>751</v>
      </c>
      <c r="CG37" s="3" t="s">
        <v>752</v>
      </c>
      <c r="CH37" s="5"/>
      <c r="CI37" s="3" t="s">
        <v>1043</v>
      </c>
      <c r="CJ37" s="3" t="s">
        <v>344</v>
      </c>
      <c r="CK37" s="3" t="s">
        <v>345</v>
      </c>
      <c r="CL37" s="3" t="s">
        <v>346</v>
      </c>
      <c r="CM37" s="5" t="s">
        <v>754</v>
      </c>
      <c r="CN37" s="3" t="s">
        <v>755</v>
      </c>
      <c r="CO37" s="3" t="s">
        <v>756</v>
      </c>
      <c r="CP37" s="5"/>
      <c r="CQ37" s="3" t="s">
        <v>1044</v>
      </c>
      <c r="CR37" s="3" t="s">
        <v>1045</v>
      </c>
      <c r="CS37" s="3" t="s">
        <v>1038</v>
      </c>
      <c r="CT37" s="3" t="s">
        <v>44</v>
      </c>
      <c r="CU37" s="5"/>
      <c r="CV37" s="5"/>
      <c r="CW37" s="4" t="s">
        <v>792</v>
      </c>
      <c r="CX37" s="5" t="s">
        <v>1046</v>
      </c>
      <c r="CY37" s="11" t="s">
        <v>899</v>
      </c>
    </row>
    <row r="38" ht="12" customHeight="1" spans="1:103" x14ac:dyDescent="0.25">
      <c r="A38" s="8" t="s">
        <v>434</v>
      </c>
      <c r="B38" s="3" t="s">
        <v>762</v>
      </c>
      <c r="C38" s="5">
        <v>1</v>
      </c>
      <c r="D38" s="5">
        <v>1</v>
      </c>
      <c r="E38" s="5"/>
      <c r="F38" s="5">
        <v>0</v>
      </c>
      <c r="G38" s="5">
        <v>1</v>
      </c>
      <c r="H38" s="5">
        <v>0</v>
      </c>
      <c r="I38" s="5">
        <v>0</v>
      </c>
      <c r="J38" s="5">
        <v>1</v>
      </c>
      <c r="K38" s="3" t="s">
        <v>44</v>
      </c>
      <c r="L38" s="3" t="s">
        <v>728</v>
      </c>
      <c r="M38" s="3" t="s">
        <v>31</v>
      </c>
      <c r="N38" s="3" t="s">
        <v>32</v>
      </c>
      <c r="O38" s="3" t="s">
        <v>35</v>
      </c>
      <c r="P38" s="3" t="s">
        <v>40</v>
      </c>
      <c r="Q38" s="3" t="s">
        <v>729</v>
      </c>
      <c r="R38" s="4" t="s">
        <v>30</v>
      </c>
      <c r="S38" s="3" t="s">
        <v>69</v>
      </c>
      <c r="T38" s="3" t="s">
        <v>274</v>
      </c>
      <c r="U38" s="3" t="s">
        <v>69</v>
      </c>
      <c r="V38" s="4" t="s">
        <v>966</v>
      </c>
      <c r="W38" s="3" t="s">
        <v>967</v>
      </c>
      <c r="X38" s="5"/>
      <c r="Y38" s="5"/>
      <c r="Z38" s="5"/>
      <c r="AA38" s="3" t="s">
        <v>968</v>
      </c>
      <c r="AB38" s="3" t="s">
        <v>968</v>
      </c>
      <c r="AC38" s="9">
        <v>16370</v>
      </c>
      <c r="AD38" s="9">
        <v>18570</v>
      </c>
      <c r="AE38" s="3" t="s">
        <v>734</v>
      </c>
      <c r="AF38" s="3"/>
      <c r="AG38" s="5"/>
      <c r="AH38" s="3" t="s">
        <v>666</v>
      </c>
      <c r="AI38" s="5" t="s">
        <v>734</v>
      </c>
      <c r="AJ38" s="5"/>
      <c r="AK38" s="5"/>
      <c r="AL38" s="5"/>
      <c r="AM38" s="3" t="s">
        <v>779</v>
      </c>
      <c r="AN38" s="3" t="s">
        <v>780</v>
      </c>
      <c r="AO38" s="3" t="s">
        <v>976</v>
      </c>
      <c r="AP38" s="3" t="s">
        <v>738</v>
      </c>
      <c r="AQ38" s="5"/>
      <c r="AR38" s="5"/>
      <c r="AS38" s="5"/>
      <c r="AT38" s="5"/>
      <c r="AU38" s="5"/>
      <c r="AV38" s="5"/>
      <c r="AW38" s="5">
        <v>0</v>
      </c>
      <c r="AX38" s="3" t="s">
        <v>44</v>
      </c>
      <c r="AY38" s="5" t="s">
        <v>823</v>
      </c>
      <c r="AZ38" s="3" t="s">
        <v>1047</v>
      </c>
      <c r="BA38" s="5" t="s">
        <v>1048</v>
      </c>
      <c r="BB38" s="3" t="s">
        <v>742</v>
      </c>
      <c r="BC38" s="4" t="s">
        <v>1049</v>
      </c>
      <c r="BD38" s="4" t="s">
        <v>785</v>
      </c>
      <c r="BE38" s="3" t="s">
        <v>72</v>
      </c>
      <c r="BF38" s="3" t="s">
        <v>972</v>
      </c>
      <c r="BG38" s="3" t="s">
        <v>746</v>
      </c>
      <c r="BH38" s="3" t="s">
        <v>747</v>
      </c>
      <c r="BI38" s="5"/>
      <c r="BJ38" s="5"/>
      <c r="BK38" s="3" t="s">
        <v>748</v>
      </c>
      <c r="BL38" s="4" t="s">
        <v>797</v>
      </c>
      <c r="BM38" s="10"/>
      <c r="BN38" s="10">
        <v>1</v>
      </c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3" t="s">
        <v>750</v>
      </c>
      <c r="BZ38" s="5"/>
      <c r="CA38" s="3"/>
      <c r="CB38" s="5"/>
      <c r="CC38" s="3" t="s">
        <v>40</v>
      </c>
      <c r="CD38" s="5"/>
      <c r="CE38" s="5"/>
      <c r="CF38" s="3" t="s">
        <v>751</v>
      </c>
      <c r="CG38" s="3" t="s">
        <v>752</v>
      </c>
      <c r="CH38" s="5"/>
      <c r="CI38" s="3" t="s">
        <v>973</v>
      </c>
      <c r="CJ38" s="3" t="s">
        <v>435</v>
      </c>
      <c r="CK38" s="3" t="s">
        <v>436</v>
      </c>
      <c r="CL38" s="3" t="s">
        <v>437</v>
      </c>
      <c r="CM38" s="5" t="s">
        <v>754</v>
      </c>
      <c r="CN38" s="3" t="s">
        <v>755</v>
      </c>
      <c r="CO38" s="3" t="s">
        <v>756</v>
      </c>
      <c r="CP38" s="5"/>
      <c r="CQ38" s="3" t="s">
        <v>974</v>
      </c>
      <c r="CR38" s="3" t="s">
        <v>975</v>
      </c>
      <c r="CS38" s="3" t="s">
        <v>968</v>
      </c>
      <c r="CT38" s="3" t="s">
        <v>44</v>
      </c>
      <c r="CU38" s="5"/>
      <c r="CV38" s="5"/>
      <c r="CW38" s="4" t="s">
        <v>846</v>
      </c>
      <c r="CX38" s="5"/>
      <c r="CY38" s="11"/>
    </row>
    <row r="39" ht="12" customHeight="1" spans="1:103" x14ac:dyDescent="0.25">
      <c r="A39" s="8" t="s">
        <v>445</v>
      </c>
      <c r="B39" s="3" t="s">
        <v>762</v>
      </c>
      <c r="C39" s="5">
        <v>1</v>
      </c>
      <c r="D39" s="5">
        <v>1</v>
      </c>
      <c r="E39" s="5"/>
      <c r="F39" s="5">
        <v>0</v>
      </c>
      <c r="G39" s="5">
        <v>1</v>
      </c>
      <c r="H39" s="5">
        <v>0</v>
      </c>
      <c r="I39" s="5">
        <v>0</v>
      </c>
      <c r="J39" s="5">
        <v>1</v>
      </c>
      <c r="K39" s="3" t="s">
        <v>44</v>
      </c>
      <c r="L39" s="3" t="s">
        <v>728</v>
      </c>
      <c r="M39" s="3" t="s">
        <v>31</v>
      </c>
      <c r="N39" s="3" t="s">
        <v>32</v>
      </c>
      <c r="O39" s="3" t="s">
        <v>35</v>
      </c>
      <c r="P39" s="3" t="s">
        <v>40</v>
      </c>
      <c r="Q39" s="3" t="s">
        <v>729</v>
      </c>
      <c r="R39" s="4" t="s">
        <v>30</v>
      </c>
      <c r="S39" s="3" t="s">
        <v>69</v>
      </c>
      <c r="T39" s="3" t="s">
        <v>274</v>
      </c>
      <c r="U39" s="3" t="s">
        <v>69</v>
      </c>
      <c r="V39" s="4" t="s">
        <v>966</v>
      </c>
      <c r="W39" s="3" t="s">
        <v>967</v>
      </c>
      <c r="X39" s="5"/>
      <c r="Y39" s="5"/>
      <c r="Z39" s="5"/>
      <c r="AA39" s="3" t="s">
        <v>1050</v>
      </c>
      <c r="AB39" s="3" t="s">
        <v>1050</v>
      </c>
      <c r="AC39" s="9">
        <v>20500</v>
      </c>
      <c r="AD39" s="9">
        <v>22700</v>
      </c>
      <c r="AE39" s="3" t="s">
        <v>734</v>
      </c>
      <c r="AF39" s="3" t="s">
        <v>663</v>
      </c>
      <c r="AG39" s="5"/>
      <c r="AH39" s="3" t="s">
        <v>666</v>
      </c>
      <c r="AI39" s="5" t="s">
        <v>734</v>
      </c>
      <c r="AJ39" s="5"/>
      <c r="AK39" s="5"/>
      <c r="AL39" s="5"/>
      <c r="AM39" s="3" t="s">
        <v>1051</v>
      </c>
      <c r="AN39" s="3" t="s">
        <v>1052</v>
      </c>
      <c r="AO39" s="3" t="s">
        <v>1053</v>
      </c>
      <c r="AP39" s="3" t="s">
        <v>738</v>
      </c>
      <c r="AQ39" s="5"/>
      <c r="AR39" s="5"/>
      <c r="AS39" s="5"/>
      <c r="AT39" s="5"/>
      <c r="AU39" s="5"/>
      <c r="AV39" s="5"/>
      <c r="AW39" s="5">
        <v>0</v>
      </c>
      <c r="AX39" s="3" t="s">
        <v>44</v>
      </c>
      <c r="AY39" s="5" t="s">
        <v>823</v>
      </c>
      <c r="AZ39" s="3" t="s">
        <v>1054</v>
      </c>
      <c r="BA39" s="5" t="s">
        <v>1055</v>
      </c>
      <c r="BB39" s="3" t="s">
        <v>1056</v>
      </c>
      <c r="BC39" s="4" t="s">
        <v>1049</v>
      </c>
      <c r="BD39" s="4" t="s">
        <v>1057</v>
      </c>
      <c r="BE39" s="3" t="s">
        <v>72</v>
      </c>
      <c r="BF39" s="3" t="s">
        <v>1058</v>
      </c>
      <c r="BG39" s="3" t="s">
        <v>746</v>
      </c>
      <c r="BH39" s="3" t="s">
        <v>747</v>
      </c>
      <c r="BI39" s="5"/>
      <c r="BJ39" s="5"/>
      <c r="BK39" s="3" t="s">
        <v>748</v>
      </c>
      <c r="BL39" s="4" t="s">
        <v>792</v>
      </c>
      <c r="BM39" s="10"/>
      <c r="BN39" s="10">
        <v>1</v>
      </c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3" t="s">
        <v>750</v>
      </c>
      <c r="BZ39" s="5"/>
      <c r="CA39" s="3" t="s">
        <v>72</v>
      </c>
      <c r="CB39" s="5"/>
      <c r="CC39" s="3" t="s">
        <v>40</v>
      </c>
      <c r="CD39" s="5"/>
      <c r="CE39" s="5"/>
      <c r="CF39" s="3" t="s">
        <v>751</v>
      </c>
      <c r="CG39" s="3" t="s">
        <v>752</v>
      </c>
      <c r="CH39" s="5"/>
      <c r="CI39" s="3" t="s">
        <v>1059</v>
      </c>
      <c r="CJ39" s="3" t="s">
        <v>446</v>
      </c>
      <c r="CK39" s="3" t="s">
        <v>447</v>
      </c>
      <c r="CL39" s="3" t="s">
        <v>447</v>
      </c>
      <c r="CM39" s="5" t="s">
        <v>754</v>
      </c>
      <c r="CN39" s="3" t="s">
        <v>755</v>
      </c>
      <c r="CO39" s="3" t="s">
        <v>756</v>
      </c>
      <c r="CP39" s="5"/>
      <c r="CQ39" s="3" t="s">
        <v>1060</v>
      </c>
      <c r="CR39" s="3" t="s">
        <v>1061</v>
      </c>
      <c r="CS39" s="3" t="s">
        <v>1050</v>
      </c>
      <c r="CT39" s="3" t="s">
        <v>44</v>
      </c>
      <c r="CU39" s="5"/>
      <c r="CV39" s="5"/>
      <c r="CW39" s="4" t="s">
        <v>846</v>
      </c>
      <c r="CX39" s="5" t="s">
        <v>1062</v>
      </c>
      <c r="CY39" s="11"/>
    </row>
    <row r="40" ht="12" customHeight="1" spans="1:103" x14ac:dyDescent="0.25">
      <c r="A40" s="8" t="s">
        <v>325</v>
      </c>
      <c r="B40" s="3" t="s">
        <v>762</v>
      </c>
      <c r="C40" s="5">
        <v>1</v>
      </c>
      <c r="D40" s="5">
        <v>1</v>
      </c>
      <c r="E40" s="5"/>
      <c r="F40" s="5">
        <v>0</v>
      </c>
      <c r="G40" s="5">
        <v>1</v>
      </c>
      <c r="H40" s="5">
        <v>0</v>
      </c>
      <c r="I40" s="5">
        <v>0</v>
      </c>
      <c r="J40" s="5">
        <v>1</v>
      </c>
      <c r="K40" s="3" t="s">
        <v>44</v>
      </c>
      <c r="L40" s="3" t="s">
        <v>728</v>
      </c>
      <c r="M40" s="3" t="s">
        <v>31</v>
      </c>
      <c r="N40" s="3" t="s">
        <v>32</v>
      </c>
      <c r="O40" s="3" t="s">
        <v>35</v>
      </c>
      <c r="P40" s="3" t="s">
        <v>40</v>
      </c>
      <c r="Q40" s="3" t="s">
        <v>729</v>
      </c>
      <c r="R40" s="4" t="s">
        <v>30</v>
      </c>
      <c r="S40" s="3" t="s">
        <v>324</v>
      </c>
      <c r="T40" s="3" t="s">
        <v>326</v>
      </c>
      <c r="U40" s="3" t="s">
        <v>324</v>
      </c>
      <c r="V40" s="4" t="s">
        <v>880</v>
      </c>
      <c r="W40" s="3" t="s">
        <v>764</v>
      </c>
      <c r="X40" s="5"/>
      <c r="Y40" s="5" t="s">
        <v>274</v>
      </c>
      <c r="Z40" s="5" t="s">
        <v>69</v>
      </c>
      <c r="AA40" s="3" t="s">
        <v>732</v>
      </c>
      <c r="AB40" s="3" t="s">
        <v>733</v>
      </c>
      <c r="AC40" s="9">
        <v>16160</v>
      </c>
      <c r="AD40" s="9">
        <v>18360</v>
      </c>
      <c r="AE40" s="3" t="s">
        <v>734</v>
      </c>
      <c r="AF40" s="3"/>
      <c r="AG40" s="5"/>
      <c r="AH40" s="3" t="s">
        <v>666</v>
      </c>
      <c r="AI40" s="5" t="s">
        <v>734</v>
      </c>
      <c r="AJ40" s="5"/>
      <c r="AK40" s="5"/>
      <c r="AL40" s="5"/>
      <c r="AM40" s="3" t="s">
        <v>735</v>
      </c>
      <c r="AN40" s="3" t="s">
        <v>736</v>
      </c>
      <c r="AO40" s="3" t="s">
        <v>913</v>
      </c>
      <c r="AP40" s="3" t="s">
        <v>738</v>
      </c>
      <c r="AQ40" s="5"/>
      <c r="AR40" s="5"/>
      <c r="AS40" s="5"/>
      <c r="AT40" s="5"/>
      <c r="AU40" s="5"/>
      <c r="AV40" s="5"/>
      <c r="AW40" s="5">
        <v>0</v>
      </c>
      <c r="AX40" s="3" t="s">
        <v>44</v>
      </c>
      <c r="AY40" s="5" t="s">
        <v>739</v>
      </c>
      <c r="AZ40" s="3" t="s">
        <v>1063</v>
      </c>
      <c r="BA40" s="5" t="s">
        <v>1064</v>
      </c>
      <c r="BB40" s="3" t="s">
        <v>742</v>
      </c>
      <c r="BC40" s="4" t="s">
        <v>1049</v>
      </c>
      <c r="BD40" s="4" t="s">
        <v>785</v>
      </c>
      <c r="BE40" s="3" t="s">
        <v>72</v>
      </c>
      <c r="BF40" s="3" t="s">
        <v>745</v>
      </c>
      <c r="BG40" s="3" t="s">
        <v>746</v>
      </c>
      <c r="BH40" s="3" t="s">
        <v>747</v>
      </c>
      <c r="BI40" s="5"/>
      <c r="BJ40" s="5"/>
      <c r="BK40" s="3" t="s">
        <v>748</v>
      </c>
      <c r="BL40" s="4" t="s">
        <v>828</v>
      </c>
      <c r="BM40" s="10"/>
      <c r="BN40" s="10">
        <v>1</v>
      </c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3" t="s">
        <v>750</v>
      </c>
      <c r="BZ40" s="5">
        <v>4</v>
      </c>
      <c r="CA40" s="3"/>
      <c r="CB40" s="5"/>
      <c r="CC40" s="3" t="s">
        <v>40</v>
      </c>
      <c r="CD40" s="5"/>
      <c r="CE40" s="5"/>
      <c r="CF40" s="3" t="s">
        <v>751</v>
      </c>
      <c r="CG40" s="3" t="s">
        <v>752</v>
      </c>
      <c r="CH40" s="5" t="s">
        <v>883</v>
      </c>
      <c r="CI40" s="3" t="s">
        <v>1065</v>
      </c>
      <c r="CJ40" s="3" t="s">
        <v>74</v>
      </c>
      <c r="CK40" s="3" t="s">
        <v>282</v>
      </c>
      <c r="CL40" s="3" t="s">
        <v>282</v>
      </c>
      <c r="CM40" s="5" t="s">
        <v>754</v>
      </c>
      <c r="CN40" s="3" t="s">
        <v>755</v>
      </c>
      <c r="CO40" s="3" t="s">
        <v>756</v>
      </c>
      <c r="CP40" s="5"/>
      <c r="CQ40" s="3" t="s">
        <v>773</v>
      </c>
      <c r="CR40" s="3" t="s">
        <v>758</v>
      </c>
      <c r="CS40" s="3" t="s">
        <v>732</v>
      </c>
      <c r="CT40" s="3" t="s">
        <v>44</v>
      </c>
      <c r="CU40" s="5"/>
      <c r="CV40" s="5"/>
      <c r="CW40" s="4" t="s">
        <v>846</v>
      </c>
      <c r="CX40" s="5" t="s">
        <v>800</v>
      </c>
      <c r="CY40" s="11"/>
    </row>
    <row r="41" ht="12" customHeight="1" spans="1:103" x14ac:dyDescent="0.25">
      <c r="A41" s="8" t="s">
        <v>280</v>
      </c>
      <c r="B41" s="3" t="s">
        <v>866</v>
      </c>
      <c r="C41" s="5">
        <v>7</v>
      </c>
      <c r="D41" s="5">
        <v>7</v>
      </c>
      <c r="E41" s="5"/>
      <c r="F41" s="5">
        <v>0</v>
      </c>
      <c r="G41" s="5">
        <v>7</v>
      </c>
      <c r="H41" s="5">
        <v>0</v>
      </c>
      <c r="I41" s="5">
        <v>0</v>
      </c>
      <c r="J41" s="5">
        <v>7</v>
      </c>
      <c r="K41" s="3" t="s">
        <v>44</v>
      </c>
      <c r="L41" s="3" t="s">
        <v>728</v>
      </c>
      <c r="M41" s="3" t="s">
        <v>31</v>
      </c>
      <c r="N41" s="3" t="s">
        <v>32</v>
      </c>
      <c r="O41" s="3" t="s">
        <v>35</v>
      </c>
      <c r="P41" s="3" t="s">
        <v>40</v>
      </c>
      <c r="Q41" s="3" t="s">
        <v>729</v>
      </c>
      <c r="R41" s="4" t="s">
        <v>30</v>
      </c>
      <c r="S41" s="3" t="s">
        <v>279</v>
      </c>
      <c r="T41" s="3" t="s">
        <v>283</v>
      </c>
      <c r="U41" s="3" t="s">
        <v>279</v>
      </c>
      <c r="V41" s="4" t="s">
        <v>763</v>
      </c>
      <c r="W41" s="3" t="s">
        <v>764</v>
      </c>
      <c r="X41" s="5"/>
      <c r="Y41" s="5" t="s">
        <v>274</v>
      </c>
      <c r="Z41" s="5" t="s">
        <v>69</v>
      </c>
      <c r="AA41" s="3" t="s">
        <v>732</v>
      </c>
      <c r="AB41" s="3" t="s">
        <v>733</v>
      </c>
      <c r="AC41" s="9">
        <v>113120</v>
      </c>
      <c r="AD41" s="9">
        <v>128520</v>
      </c>
      <c r="AE41" s="3" t="s">
        <v>734</v>
      </c>
      <c r="AF41" s="3"/>
      <c r="AG41" s="5"/>
      <c r="AH41" s="3" t="s">
        <v>666</v>
      </c>
      <c r="AI41" s="5" t="s">
        <v>734</v>
      </c>
      <c r="AJ41" s="5"/>
      <c r="AK41" s="5"/>
      <c r="AL41" s="5"/>
      <c r="AM41" s="3" t="s">
        <v>735</v>
      </c>
      <c r="AN41" s="3" t="s">
        <v>736</v>
      </c>
      <c r="AO41" s="3" t="s">
        <v>913</v>
      </c>
      <c r="AP41" s="3" t="s">
        <v>738</v>
      </c>
      <c r="AQ41" s="5"/>
      <c r="AR41" s="5"/>
      <c r="AS41" s="5"/>
      <c r="AT41" s="5"/>
      <c r="AU41" s="5"/>
      <c r="AV41" s="5"/>
      <c r="AW41" s="5">
        <v>0</v>
      </c>
      <c r="AX41" s="3" t="s">
        <v>44</v>
      </c>
      <c r="AY41" s="5" t="s">
        <v>739</v>
      </c>
      <c r="AZ41" s="3" t="s">
        <v>1066</v>
      </c>
      <c r="BA41" s="5" t="s">
        <v>1067</v>
      </c>
      <c r="BB41" s="3" t="s">
        <v>742</v>
      </c>
      <c r="BC41" s="4" t="s">
        <v>1049</v>
      </c>
      <c r="BD41" s="4" t="s">
        <v>827</v>
      </c>
      <c r="BE41" s="3" t="s">
        <v>72</v>
      </c>
      <c r="BF41" s="3" t="s">
        <v>745</v>
      </c>
      <c r="BG41" s="3" t="s">
        <v>746</v>
      </c>
      <c r="BH41" s="3" t="s">
        <v>747</v>
      </c>
      <c r="BI41" s="5"/>
      <c r="BJ41" s="5"/>
      <c r="BK41" s="3" t="s">
        <v>748</v>
      </c>
      <c r="BL41" s="4" t="s">
        <v>785</v>
      </c>
      <c r="BM41" s="10"/>
      <c r="BN41" s="10">
        <v>7</v>
      </c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3" t="s">
        <v>750</v>
      </c>
      <c r="BZ41" s="5">
        <v>11</v>
      </c>
      <c r="CA41" s="3"/>
      <c r="CB41" s="5"/>
      <c r="CC41" s="3" t="s">
        <v>40</v>
      </c>
      <c r="CD41" s="5"/>
      <c r="CE41" s="5"/>
      <c r="CF41" s="3" t="s">
        <v>751</v>
      </c>
      <c r="CG41" s="3" t="s">
        <v>752</v>
      </c>
      <c r="CH41" s="5" t="s">
        <v>1068</v>
      </c>
      <c r="CI41" s="3" t="s">
        <v>1065</v>
      </c>
      <c r="CJ41" s="3" t="s">
        <v>74</v>
      </c>
      <c r="CK41" s="3" t="s">
        <v>282</v>
      </c>
      <c r="CL41" s="3" t="s">
        <v>282</v>
      </c>
      <c r="CM41" s="5" t="s">
        <v>754</v>
      </c>
      <c r="CN41" s="3" t="s">
        <v>755</v>
      </c>
      <c r="CO41" s="3" t="s">
        <v>756</v>
      </c>
      <c r="CP41" s="5"/>
      <c r="CQ41" s="3" t="s">
        <v>773</v>
      </c>
      <c r="CR41" s="3" t="s">
        <v>758</v>
      </c>
      <c r="CS41" s="3" t="s">
        <v>732</v>
      </c>
      <c r="CT41" s="3" t="s">
        <v>44</v>
      </c>
      <c r="CU41" s="5"/>
      <c r="CV41" s="5"/>
      <c r="CW41" s="4" t="s">
        <v>846</v>
      </c>
      <c r="CX41" s="5" t="s">
        <v>800</v>
      </c>
      <c r="CY41" s="11" t="s">
        <v>832</v>
      </c>
    </row>
    <row r="42" ht="12" customHeight="1" spans="1:103" x14ac:dyDescent="0.25">
      <c r="A42" s="8" t="s">
        <v>509</v>
      </c>
      <c r="B42" s="3" t="s">
        <v>762</v>
      </c>
      <c r="C42" s="5">
        <v>1</v>
      </c>
      <c r="D42" s="5">
        <v>1</v>
      </c>
      <c r="E42" s="5" t="s">
        <v>52</v>
      </c>
      <c r="F42" s="5">
        <v>0</v>
      </c>
      <c r="G42" s="5">
        <v>1</v>
      </c>
      <c r="H42" s="5">
        <v>0</v>
      </c>
      <c r="I42" s="5">
        <v>0</v>
      </c>
      <c r="J42" s="5">
        <v>1</v>
      </c>
      <c r="K42" s="3" t="s">
        <v>44</v>
      </c>
      <c r="L42" s="3" t="s">
        <v>728</v>
      </c>
      <c r="M42" s="3" t="s">
        <v>31</v>
      </c>
      <c r="N42" s="3" t="s">
        <v>32</v>
      </c>
      <c r="O42" s="3" t="s">
        <v>35</v>
      </c>
      <c r="P42" s="3" t="s">
        <v>40</v>
      </c>
      <c r="Q42" s="3" t="s">
        <v>729</v>
      </c>
      <c r="R42" s="4" t="s">
        <v>30</v>
      </c>
      <c r="S42" s="3" t="s">
        <v>36</v>
      </c>
      <c r="T42" s="3" t="s">
        <v>50</v>
      </c>
      <c r="U42" s="3" t="s">
        <v>36</v>
      </c>
      <c r="V42" s="4" t="s">
        <v>730</v>
      </c>
      <c r="W42" s="3" t="s">
        <v>731</v>
      </c>
      <c r="X42" s="5"/>
      <c r="Y42" s="5"/>
      <c r="Z42" s="5"/>
      <c r="AA42" s="3" t="s">
        <v>1069</v>
      </c>
      <c r="AB42" s="3" t="s">
        <v>1070</v>
      </c>
      <c r="AC42" s="9">
        <v>20988</v>
      </c>
      <c r="AD42" s="9">
        <v>23188</v>
      </c>
      <c r="AE42" s="3" t="s">
        <v>734</v>
      </c>
      <c r="AF42" s="3" t="s">
        <v>663</v>
      </c>
      <c r="AG42" s="5"/>
      <c r="AH42" s="3" t="s">
        <v>918</v>
      </c>
      <c r="AI42" s="5" t="s">
        <v>734</v>
      </c>
      <c r="AJ42" s="5"/>
      <c r="AK42" s="5"/>
      <c r="AL42" s="5"/>
      <c r="AM42" s="3" t="s">
        <v>998</v>
      </c>
      <c r="AN42" s="3" t="s">
        <v>999</v>
      </c>
      <c r="AO42" s="3" t="s">
        <v>1071</v>
      </c>
      <c r="AP42" s="3" t="s">
        <v>738</v>
      </c>
      <c r="AQ42" s="5"/>
      <c r="AR42" s="5"/>
      <c r="AS42" s="5"/>
      <c r="AT42" s="5"/>
      <c r="AU42" s="5"/>
      <c r="AV42" s="5"/>
      <c r="AW42" s="5">
        <v>0</v>
      </c>
      <c r="AX42" s="3" t="s">
        <v>44</v>
      </c>
      <c r="AY42" s="5" t="s">
        <v>823</v>
      </c>
      <c r="AZ42" s="3" t="s">
        <v>1072</v>
      </c>
      <c r="BA42" s="5" t="s">
        <v>899</v>
      </c>
      <c r="BB42" s="3" t="s">
        <v>742</v>
      </c>
      <c r="BC42" s="4" t="s">
        <v>812</v>
      </c>
      <c r="BD42" s="4" t="s">
        <v>892</v>
      </c>
      <c r="BE42" s="3" t="s">
        <v>72</v>
      </c>
      <c r="BF42" s="3" t="s">
        <v>1071</v>
      </c>
      <c r="BG42" s="3" t="s">
        <v>746</v>
      </c>
      <c r="BH42" s="3" t="s">
        <v>747</v>
      </c>
      <c r="BI42" s="5"/>
      <c r="BJ42" s="5"/>
      <c r="BK42" s="3" t="s">
        <v>840</v>
      </c>
      <c r="BL42" s="4" t="s">
        <v>771</v>
      </c>
      <c r="BM42" s="10"/>
      <c r="BN42" s="10">
        <v>1</v>
      </c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3" t="s">
        <v>750</v>
      </c>
      <c r="BZ42" s="5"/>
      <c r="CA42" s="3" t="s">
        <v>72</v>
      </c>
      <c r="CB42" s="5"/>
      <c r="CC42" s="3" t="s">
        <v>842</v>
      </c>
      <c r="CD42" s="5"/>
      <c r="CE42" s="5"/>
      <c r="CF42" s="3" t="s">
        <v>751</v>
      </c>
      <c r="CG42" s="3" t="s">
        <v>752</v>
      </c>
      <c r="CH42" s="5"/>
      <c r="CI42" s="3" t="s">
        <v>1073</v>
      </c>
      <c r="CJ42" s="3" t="s">
        <v>511</v>
      </c>
      <c r="CK42" s="3" t="s">
        <v>512</v>
      </c>
      <c r="CL42" s="3" t="s">
        <v>512</v>
      </c>
      <c r="CM42" s="5" t="s">
        <v>754</v>
      </c>
      <c r="CN42" s="3" t="s">
        <v>755</v>
      </c>
      <c r="CO42" s="3" t="s">
        <v>756</v>
      </c>
      <c r="CP42" s="5"/>
      <c r="CQ42" s="3" t="s">
        <v>1074</v>
      </c>
      <c r="CR42" s="3" t="s">
        <v>1075</v>
      </c>
      <c r="CS42" s="3" t="s">
        <v>1069</v>
      </c>
      <c r="CT42" s="3" t="s">
        <v>44</v>
      </c>
      <c r="CU42" s="5"/>
      <c r="CV42" s="5"/>
      <c r="CW42" s="4" t="s">
        <v>792</v>
      </c>
      <c r="CX42" s="5" t="s">
        <v>1076</v>
      </c>
      <c r="CY42" s="11" t="s">
        <v>899</v>
      </c>
    </row>
    <row r="43" ht="12" customHeight="1" spans="1:103" x14ac:dyDescent="0.25">
      <c r="A43" s="8" t="s">
        <v>1077</v>
      </c>
      <c r="B43" s="3" t="s">
        <v>833</v>
      </c>
      <c r="C43" s="5">
        <v>0</v>
      </c>
      <c r="D43" s="5">
        <v>0</v>
      </c>
      <c r="E43" s="5"/>
      <c r="F43" s="5">
        <v>0</v>
      </c>
      <c r="G43" s="5">
        <v>0</v>
      </c>
      <c r="H43" s="5">
        <v>0</v>
      </c>
      <c r="I43" s="5">
        <v>2</v>
      </c>
      <c r="J43" s="5">
        <v>4</v>
      </c>
      <c r="K43" s="3" t="s">
        <v>643</v>
      </c>
      <c r="L43" s="3" t="s">
        <v>728</v>
      </c>
      <c r="M43" s="3" t="s">
        <v>31</v>
      </c>
      <c r="N43" s="3" t="s">
        <v>32</v>
      </c>
      <c r="O43" s="3" t="s">
        <v>35</v>
      </c>
      <c r="P43" s="3" t="s">
        <v>40</v>
      </c>
      <c r="Q43" s="3" t="s">
        <v>729</v>
      </c>
      <c r="R43" s="4" t="s">
        <v>30</v>
      </c>
      <c r="S43" s="3" t="s">
        <v>1078</v>
      </c>
      <c r="T43" s="3" t="s">
        <v>1079</v>
      </c>
      <c r="U43" s="3" t="s">
        <v>1078</v>
      </c>
      <c r="V43" s="4" t="s">
        <v>884</v>
      </c>
      <c r="W43" s="3" t="s">
        <v>1080</v>
      </c>
      <c r="X43" s="5"/>
      <c r="Y43" s="5" t="s">
        <v>274</v>
      </c>
      <c r="Z43" s="5" t="s">
        <v>69</v>
      </c>
      <c r="AA43" s="3" t="s">
        <v>1081</v>
      </c>
      <c r="AB43" s="3" t="s">
        <v>1082</v>
      </c>
      <c r="AC43" s="9">
        <v>21546.437</v>
      </c>
      <c r="AD43" s="9">
        <v>29546.437</v>
      </c>
      <c r="AE43" s="3" t="s">
        <v>734</v>
      </c>
      <c r="AF43" s="3" t="s">
        <v>663</v>
      </c>
      <c r="AG43" s="5"/>
      <c r="AH43" s="3" t="s">
        <v>666</v>
      </c>
      <c r="AI43" s="5" t="s">
        <v>734</v>
      </c>
      <c r="AJ43" s="5"/>
      <c r="AK43" s="5"/>
      <c r="AL43" s="5"/>
      <c r="AM43" s="3" t="s">
        <v>1083</v>
      </c>
      <c r="AN43" s="3" t="s">
        <v>1084</v>
      </c>
      <c r="AO43" s="3" t="s">
        <v>1085</v>
      </c>
      <c r="AP43" s="3" t="s">
        <v>17</v>
      </c>
      <c r="AQ43" s="5"/>
      <c r="AR43" s="5"/>
      <c r="AS43" s="5"/>
      <c r="AT43" s="5"/>
      <c r="AU43" s="5"/>
      <c r="AV43" s="5"/>
      <c r="AW43" s="5">
        <v>0</v>
      </c>
      <c r="AX43" s="3" t="s">
        <v>44</v>
      </c>
      <c r="AY43" s="5" t="s">
        <v>739</v>
      </c>
      <c r="AZ43" s="3" t="s">
        <v>1086</v>
      </c>
      <c r="BA43" s="5" t="s">
        <v>1087</v>
      </c>
      <c r="BB43" s="3" t="s">
        <v>742</v>
      </c>
      <c r="BC43" s="4" t="s">
        <v>812</v>
      </c>
      <c r="BD43" s="4" t="s">
        <v>827</v>
      </c>
      <c r="BE43" s="3" t="s">
        <v>72</v>
      </c>
      <c r="BF43" s="3" t="s">
        <v>1088</v>
      </c>
      <c r="BG43" s="3" t="s">
        <v>746</v>
      </c>
      <c r="BH43" s="3" t="s">
        <v>747</v>
      </c>
      <c r="BI43" s="5"/>
      <c r="BJ43" s="5"/>
      <c r="BK43" s="3"/>
      <c r="BL43" s="4" t="s">
        <v>787</v>
      </c>
      <c r="BM43" s="10"/>
      <c r="BN43" s="10"/>
      <c r="BO43" s="10"/>
      <c r="BP43" s="10">
        <v>2</v>
      </c>
      <c r="BQ43" s="10"/>
      <c r="BR43" s="10"/>
      <c r="BS43" s="10"/>
      <c r="BT43" s="10"/>
      <c r="BU43" s="10"/>
      <c r="BV43" s="10"/>
      <c r="BW43" s="10"/>
      <c r="BX43" s="10"/>
      <c r="BY43" s="3" t="s">
        <v>750</v>
      </c>
      <c r="BZ43" s="5">
        <v>6</v>
      </c>
      <c r="CA43" s="3" t="s">
        <v>72</v>
      </c>
      <c r="CB43" s="5"/>
      <c r="CC43" s="3" t="s">
        <v>40</v>
      </c>
      <c r="CD43" s="5"/>
      <c r="CE43" s="5"/>
      <c r="CF43" s="3" t="s">
        <v>751</v>
      </c>
      <c r="CG43" s="3" t="s">
        <v>752</v>
      </c>
      <c r="CH43" s="5" t="s">
        <v>1089</v>
      </c>
      <c r="CI43" s="3" t="s">
        <v>1090</v>
      </c>
      <c r="CJ43" s="3" t="s">
        <v>1091</v>
      </c>
      <c r="CK43" s="3" t="s">
        <v>1092</v>
      </c>
      <c r="CL43" s="3" t="s">
        <v>1093</v>
      </c>
      <c r="CM43" s="5" t="s">
        <v>754</v>
      </c>
      <c r="CN43" s="3" t="s">
        <v>755</v>
      </c>
      <c r="CO43" s="3" t="s">
        <v>756</v>
      </c>
      <c r="CP43" s="5"/>
      <c r="CQ43" s="3" t="s">
        <v>1094</v>
      </c>
      <c r="CR43" s="3" t="s">
        <v>1095</v>
      </c>
      <c r="CS43" s="3" t="s">
        <v>1081</v>
      </c>
      <c r="CT43" s="3" t="s">
        <v>44</v>
      </c>
      <c r="CU43" s="5"/>
      <c r="CV43" s="5"/>
      <c r="CW43" s="4" t="s">
        <v>769</v>
      </c>
      <c r="CX43" s="5" t="s">
        <v>1096</v>
      </c>
      <c r="CY43" s="11"/>
    </row>
    <row r="44" ht="12" customHeight="1" spans="1:103" x14ac:dyDescent="0.25">
      <c r="A44" s="8" t="s">
        <v>194</v>
      </c>
      <c r="B44" s="3" t="s">
        <v>1097</v>
      </c>
      <c r="C44" s="5">
        <v>2</v>
      </c>
      <c r="D44" s="5">
        <v>2</v>
      </c>
      <c r="E44" s="5" t="s">
        <v>52</v>
      </c>
      <c r="F44" s="5">
        <v>0</v>
      </c>
      <c r="G44" s="5">
        <v>1</v>
      </c>
      <c r="H44" s="5">
        <v>0</v>
      </c>
      <c r="I44" s="5">
        <v>1</v>
      </c>
      <c r="J44" s="5">
        <v>3</v>
      </c>
      <c r="K44" s="3" t="s">
        <v>44</v>
      </c>
      <c r="L44" s="3" t="s">
        <v>728</v>
      </c>
      <c r="M44" s="3" t="s">
        <v>31</v>
      </c>
      <c r="N44" s="3" t="s">
        <v>32</v>
      </c>
      <c r="O44" s="3" t="s">
        <v>35</v>
      </c>
      <c r="P44" s="3" t="s">
        <v>40</v>
      </c>
      <c r="Q44" s="3" t="s">
        <v>729</v>
      </c>
      <c r="R44" s="4" t="s">
        <v>30</v>
      </c>
      <c r="S44" s="3" t="s">
        <v>36</v>
      </c>
      <c r="T44" s="3" t="s">
        <v>50</v>
      </c>
      <c r="U44" s="3" t="s">
        <v>36</v>
      </c>
      <c r="V44" s="4" t="s">
        <v>730</v>
      </c>
      <c r="W44" s="3" t="s">
        <v>731</v>
      </c>
      <c r="X44" s="5"/>
      <c r="Y44" s="5"/>
      <c r="Z44" s="5"/>
      <c r="AA44" s="3" t="s">
        <v>1098</v>
      </c>
      <c r="AB44" s="3" t="s">
        <v>1099</v>
      </c>
      <c r="AC44" s="9">
        <v>5234</v>
      </c>
      <c r="AD44" s="9">
        <v>11434</v>
      </c>
      <c r="AE44" s="3" t="s">
        <v>734</v>
      </c>
      <c r="AF44" s="3"/>
      <c r="AG44" s="5"/>
      <c r="AH44" s="3" t="s">
        <v>918</v>
      </c>
      <c r="AI44" s="5" t="s">
        <v>734</v>
      </c>
      <c r="AJ44" s="5"/>
      <c r="AK44" s="5"/>
      <c r="AL44" s="5"/>
      <c r="AM44" s="3" t="s">
        <v>820</v>
      </c>
      <c r="AN44" s="3" t="s">
        <v>821</v>
      </c>
      <c r="AO44" s="3" t="s">
        <v>1100</v>
      </c>
      <c r="AP44" s="3" t="s">
        <v>738</v>
      </c>
      <c r="AQ44" s="5"/>
      <c r="AR44" s="5"/>
      <c r="AS44" s="5"/>
      <c r="AT44" s="5"/>
      <c r="AU44" s="5"/>
      <c r="AV44" s="5"/>
      <c r="AW44" s="5">
        <v>0</v>
      </c>
      <c r="AX44" s="3" t="s">
        <v>44</v>
      </c>
      <c r="AY44" s="5" t="s">
        <v>739</v>
      </c>
      <c r="AZ44" s="3" t="s">
        <v>1101</v>
      </c>
      <c r="BA44" s="5" t="s">
        <v>971</v>
      </c>
      <c r="BB44" s="3" t="s">
        <v>742</v>
      </c>
      <c r="BC44" s="4" t="s">
        <v>901</v>
      </c>
      <c r="BD44" s="4" t="s">
        <v>797</v>
      </c>
      <c r="BE44" s="3" t="s">
        <v>72</v>
      </c>
      <c r="BF44" s="3" t="s">
        <v>1102</v>
      </c>
      <c r="BG44" s="3" t="s">
        <v>746</v>
      </c>
      <c r="BH44" s="3" t="s">
        <v>747</v>
      </c>
      <c r="BI44" s="5"/>
      <c r="BJ44" s="5"/>
      <c r="BK44" s="3" t="s">
        <v>840</v>
      </c>
      <c r="BL44" s="4" t="s">
        <v>787</v>
      </c>
      <c r="BM44" s="10"/>
      <c r="BN44" s="10">
        <v>1</v>
      </c>
      <c r="BO44" s="10"/>
      <c r="BP44" s="10">
        <v>1</v>
      </c>
      <c r="BQ44" s="10"/>
      <c r="BR44" s="10"/>
      <c r="BS44" s="10"/>
      <c r="BT44" s="10"/>
      <c r="BU44" s="10"/>
      <c r="BV44" s="10"/>
      <c r="BW44" s="10"/>
      <c r="BX44" s="10"/>
      <c r="BY44" s="3" t="s">
        <v>750</v>
      </c>
      <c r="BZ44" s="5"/>
      <c r="CA44" s="3" t="s">
        <v>72</v>
      </c>
      <c r="CB44" s="5"/>
      <c r="CC44" s="3" t="s">
        <v>842</v>
      </c>
      <c r="CD44" s="5"/>
      <c r="CE44" s="5"/>
      <c r="CF44" s="3" t="s">
        <v>751</v>
      </c>
      <c r="CG44" s="3" t="s">
        <v>752</v>
      </c>
      <c r="CH44" s="5"/>
      <c r="CI44" s="3" t="s">
        <v>1103</v>
      </c>
      <c r="CJ44" s="3" t="s">
        <v>195</v>
      </c>
      <c r="CK44" s="3" t="s">
        <v>196</v>
      </c>
      <c r="CL44" s="3" t="s">
        <v>196</v>
      </c>
      <c r="CM44" s="5" t="s">
        <v>754</v>
      </c>
      <c r="CN44" s="3" t="s">
        <v>755</v>
      </c>
      <c r="CO44" s="3" t="s">
        <v>756</v>
      </c>
      <c r="CP44" s="5"/>
      <c r="CQ44" s="3" t="s">
        <v>1104</v>
      </c>
      <c r="CR44" s="3" t="s">
        <v>1105</v>
      </c>
      <c r="CS44" s="3" t="s">
        <v>1098</v>
      </c>
      <c r="CT44" s="3" t="s">
        <v>44</v>
      </c>
      <c r="CU44" s="5"/>
      <c r="CV44" s="5"/>
      <c r="CW44" s="4" t="s">
        <v>769</v>
      </c>
      <c r="CX44" s="5" t="s">
        <v>1106</v>
      </c>
      <c r="CY44" s="11"/>
    </row>
    <row r="45" ht="12" customHeight="1" spans="1:103" x14ac:dyDescent="0.25">
      <c r="A45" s="8" t="s">
        <v>463</v>
      </c>
      <c r="B45" s="3" t="s">
        <v>833</v>
      </c>
      <c r="C45" s="5">
        <v>2</v>
      </c>
      <c r="D45" s="5">
        <v>2</v>
      </c>
      <c r="E45" s="5" t="s">
        <v>52</v>
      </c>
      <c r="F45" s="5">
        <v>0</v>
      </c>
      <c r="G45" s="5">
        <v>0</v>
      </c>
      <c r="H45" s="5">
        <v>0</v>
      </c>
      <c r="I45" s="5">
        <v>2</v>
      </c>
      <c r="J45" s="5">
        <v>4</v>
      </c>
      <c r="K45" s="3" t="s">
        <v>44</v>
      </c>
      <c r="L45" s="3" t="s">
        <v>728</v>
      </c>
      <c r="M45" s="3" t="s">
        <v>31</v>
      </c>
      <c r="N45" s="3" t="s">
        <v>32</v>
      </c>
      <c r="O45" s="3" t="s">
        <v>35</v>
      </c>
      <c r="P45" s="3" t="s">
        <v>40</v>
      </c>
      <c r="Q45" s="3" t="s">
        <v>729</v>
      </c>
      <c r="R45" s="4" t="s">
        <v>30</v>
      </c>
      <c r="S45" s="3" t="s">
        <v>36</v>
      </c>
      <c r="T45" s="3" t="s">
        <v>50</v>
      </c>
      <c r="U45" s="3" t="s">
        <v>36</v>
      </c>
      <c r="V45" s="4" t="s">
        <v>730</v>
      </c>
      <c r="W45" s="3" t="s">
        <v>731</v>
      </c>
      <c r="X45" s="5"/>
      <c r="Y45" s="5"/>
      <c r="Z45" s="5"/>
      <c r="AA45" s="3" t="s">
        <v>1107</v>
      </c>
      <c r="AB45" s="3" t="s">
        <v>465</v>
      </c>
      <c r="AC45" s="9">
        <v>34110.8</v>
      </c>
      <c r="AD45" s="9">
        <v>42110.8</v>
      </c>
      <c r="AE45" s="3" t="s">
        <v>734</v>
      </c>
      <c r="AF45" s="3"/>
      <c r="AG45" s="5"/>
      <c r="AH45" s="3" t="s">
        <v>666</v>
      </c>
      <c r="AI45" s="5" t="s">
        <v>734</v>
      </c>
      <c r="AJ45" s="5"/>
      <c r="AK45" s="5"/>
      <c r="AL45" s="5"/>
      <c r="AM45" s="3" t="s">
        <v>735</v>
      </c>
      <c r="AN45" s="3" t="s">
        <v>736</v>
      </c>
      <c r="AO45" s="3" t="s">
        <v>1108</v>
      </c>
      <c r="AP45" s="3" t="s">
        <v>738</v>
      </c>
      <c r="AQ45" s="5"/>
      <c r="AR45" s="5"/>
      <c r="AS45" s="5"/>
      <c r="AT45" s="5"/>
      <c r="AU45" s="5"/>
      <c r="AV45" s="5"/>
      <c r="AW45" s="5">
        <v>0</v>
      </c>
      <c r="AX45" s="3" t="s">
        <v>44</v>
      </c>
      <c r="AY45" s="5" t="s">
        <v>739</v>
      </c>
      <c r="AZ45" s="3" t="s">
        <v>1109</v>
      </c>
      <c r="BA45" s="5"/>
      <c r="BB45" s="3" t="s">
        <v>742</v>
      </c>
      <c r="BC45" s="4" t="s">
        <v>1033</v>
      </c>
      <c r="BD45" s="4" t="s">
        <v>785</v>
      </c>
      <c r="BE45" s="3" t="s">
        <v>72</v>
      </c>
      <c r="BF45" s="3" t="s">
        <v>1108</v>
      </c>
      <c r="BG45" s="3" t="s">
        <v>746</v>
      </c>
      <c r="BH45" s="3" t="s">
        <v>747</v>
      </c>
      <c r="BI45" s="5"/>
      <c r="BJ45" s="5"/>
      <c r="BK45" s="3" t="s">
        <v>840</v>
      </c>
      <c r="BL45" s="4" t="s">
        <v>787</v>
      </c>
      <c r="BM45" s="10"/>
      <c r="BN45" s="10"/>
      <c r="BO45" s="10"/>
      <c r="BP45" s="10">
        <v>2</v>
      </c>
      <c r="BQ45" s="10"/>
      <c r="BR45" s="10"/>
      <c r="BS45" s="10"/>
      <c r="BT45" s="10"/>
      <c r="BU45" s="10"/>
      <c r="BV45" s="10"/>
      <c r="BW45" s="10"/>
      <c r="BX45" s="10"/>
      <c r="BY45" s="3" t="s">
        <v>750</v>
      </c>
      <c r="BZ45" s="5"/>
      <c r="CA45" s="3" t="s">
        <v>72</v>
      </c>
      <c r="CB45" s="5"/>
      <c r="CC45" s="3" t="s">
        <v>842</v>
      </c>
      <c r="CD45" s="5"/>
      <c r="CE45" s="5"/>
      <c r="CF45" s="3" t="s">
        <v>751</v>
      </c>
      <c r="CG45" s="3" t="s">
        <v>752</v>
      </c>
      <c r="CH45" s="5"/>
      <c r="CI45" s="3" t="s">
        <v>1110</v>
      </c>
      <c r="CJ45" s="3" t="s">
        <v>465</v>
      </c>
      <c r="CK45" s="3" t="s">
        <v>466</v>
      </c>
      <c r="CL45" s="3" t="s">
        <v>466</v>
      </c>
      <c r="CM45" s="5" t="s">
        <v>754</v>
      </c>
      <c r="CN45" s="3" t="s">
        <v>755</v>
      </c>
      <c r="CO45" s="3" t="s">
        <v>756</v>
      </c>
      <c r="CP45" s="5"/>
      <c r="CQ45" s="3" t="s">
        <v>1111</v>
      </c>
      <c r="CR45" s="3" t="s">
        <v>1112</v>
      </c>
      <c r="CS45" s="3" t="s">
        <v>1107</v>
      </c>
      <c r="CT45" s="3" t="s">
        <v>44</v>
      </c>
      <c r="CU45" s="5"/>
      <c r="CV45" s="5"/>
      <c r="CW45" s="4" t="s">
        <v>769</v>
      </c>
      <c r="CX45" s="5" t="s">
        <v>1113</v>
      </c>
      <c r="CY45" s="11"/>
    </row>
    <row r="46" ht="12" customHeight="1" spans="1:103" x14ac:dyDescent="0.25">
      <c r="A46" s="8" t="s">
        <v>43</v>
      </c>
      <c r="B46" s="3" t="s">
        <v>1114</v>
      </c>
      <c r="C46" s="5">
        <v>36</v>
      </c>
      <c r="D46" s="5">
        <v>36</v>
      </c>
      <c r="E46" s="5"/>
      <c r="F46" s="5">
        <v>0</v>
      </c>
      <c r="G46" s="5">
        <v>0</v>
      </c>
      <c r="H46" s="5">
        <v>0</v>
      </c>
      <c r="I46" s="5">
        <v>36</v>
      </c>
      <c r="J46" s="5">
        <v>72</v>
      </c>
      <c r="K46" s="3" t="s">
        <v>44</v>
      </c>
      <c r="L46" s="3" t="s">
        <v>728</v>
      </c>
      <c r="M46" s="3" t="s">
        <v>31</v>
      </c>
      <c r="N46" s="3" t="s">
        <v>32</v>
      </c>
      <c r="O46" s="3" t="s">
        <v>35</v>
      </c>
      <c r="P46" s="3" t="s">
        <v>40</v>
      </c>
      <c r="Q46" s="3" t="s">
        <v>729</v>
      </c>
      <c r="R46" s="4" t="s">
        <v>30</v>
      </c>
      <c r="S46" s="3" t="s">
        <v>36</v>
      </c>
      <c r="T46" s="3" t="s">
        <v>50</v>
      </c>
      <c r="U46" s="3" t="s">
        <v>36</v>
      </c>
      <c r="V46" s="4" t="s">
        <v>730</v>
      </c>
      <c r="W46" s="3" t="s">
        <v>731</v>
      </c>
      <c r="X46" s="5"/>
      <c r="Y46" s="5"/>
      <c r="Z46" s="5"/>
      <c r="AA46" s="3" t="s">
        <v>47</v>
      </c>
      <c r="AB46" s="3" t="s">
        <v>47</v>
      </c>
      <c r="AC46" s="9">
        <v>808566</v>
      </c>
      <c r="AD46" s="9">
        <v>952566</v>
      </c>
      <c r="AE46" s="3" t="s">
        <v>734</v>
      </c>
      <c r="AF46" s="3"/>
      <c r="AG46" s="5"/>
      <c r="AH46" s="3" t="s">
        <v>666</v>
      </c>
      <c r="AI46" s="5" t="s">
        <v>734</v>
      </c>
      <c r="AJ46" s="5"/>
      <c r="AK46" s="5"/>
      <c r="AL46" s="5"/>
      <c r="AM46" s="3" t="s">
        <v>804</v>
      </c>
      <c r="AN46" s="3" t="s">
        <v>805</v>
      </c>
      <c r="AO46" s="3" t="s">
        <v>1115</v>
      </c>
      <c r="AP46" s="3" t="s">
        <v>738</v>
      </c>
      <c r="AQ46" s="5"/>
      <c r="AR46" s="5"/>
      <c r="AS46" s="5"/>
      <c r="AT46" s="5"/>
      <c r="AU46" s="5"/>
      <c r="AV46" s="5"/>
      <c r="AW46" s="5">
        <v>0</v>
      </c>
      <c r="AX46" s="3" t="s">
        <v>44</v>
      </c>
      <c r="AY46" s="5" t="s">
        <v>739</v>
      </c>
      <c r="AZ46" s="3" t="s">
        <v>1116</v>
      </c>
      <c r="BA46" s="5"/>
      <c r="BB46" s="3" t="s">
        <v>742</v>
      </c>
      <c r="BC46" s="4" t="s">
        <v>1033</v>
      </c>
      <c r="BD46" s="4" t="s">
        <v>785</v>
      </c>
      <c r="BE46" s="3" t="s">
        <v>72</v>
      </c>
      <c r="BF46" s="3" t="s">
        <v>991</v>
      </c>
      <c r="BG46" s="3" t="s">
        <v>746</v>
      </c>
      <c r="BH46" s="3" t="s">
        <v>747</v>
      </c>
      <c r="BI46" s="5"/>
      <c r="BJ46" s="5"/>
      <c r="BK46" s="3" t="s">
        <v>748</v>
      </c>
      <c r="BL46" s="4" t="s">
        <v>909</v>
      </c>
      <c r="BM46" s="10"/>
      <c r="BN46" s="10"/>
      <c r="BO46" s="10"/>
      <c r="BP46" s="10">
        <v>36</v>
      </c>
      <c r="BQ46" s="10"/>
      <c r="BR46" s="10"/>
      <c r="BS46" s="10"/>
      <c r="BT46" s="10"/>
      <c r="BU46" s="10"/>
      <c r="BV46" s="10"/>
      <c r="BW46" s="10"/>
      <c r="BX46" s="10"/>
      <c r="BY46" s="3" t="s">
        <v>750</v>
      </c>
      <c r="BZ46" s="5"/>
      <c r="CA46" s="3" t="s">
        <v>72</v>
      </c>
      <c r="CB46" s="5"/>
      <c r="CC46" s="3" t="s">
        <v>40</v>
      </c>
      <c r="CD46" s="5"/>
      <c r="CE46" s="5"/>
      <c r="CF46" s="3" t="s">
        <v>751</v>
      </c>
      <c r="CG46" s="3" t="s">
        <v>752</v>
      </c>
      <c r="CH46" s="5"/>
      <c r="CI46" s="3" t="s">
        <v>992</v>
      </c>
      <c r="CJ46" s="3" t="s">
        <v>47</v>
      </c>
      <c r="CK46" s="3" t="s">
        <v>49</v>
      </c>
      <c r="CL46" s="3" t="s">
        <v>49</v>
      </c>
      <c r="CM46" s="5" t="s">
        <v>754</v>
      </c>
      <c r="CN46" s="3" t="s">
        <v>755</v>
      </c>
      <c r="CO46" s="3" t="s">
        <v>756</v>
      </c>
      <c r="CP46" s="5"/>
      <c r="CQ46" s="3" t="s">
        <v>993</v>
      </c>
      <c r="CR46" s="3" t="s">
        <v>994</v>
      </c>
      <c r="CS46" s="3" t="s">
        <v>47</v>
      </c>
      <c r="CT46" s="3" t="s">
        <v>44</v>
      </c>
      <c r="CU46" s="5"/>
      <c r="CV46" s="5"/>
      <c r="CW46" s="4" t="s">
        <v>759</v>
      </c>
      <c r="CX46" s="5" t="s">
        <v>995</v>
      </c>
      <c r="CY46" s="11"/>
    </row>
    <row r="47" ht="12" customHeight="1" spans="1:103" x14ac:dyDescent="0.25">
      <c r="A47" s="8" t="s">
        <v>456</v>
      </c>
      <c r="B47" s="3" t="s">
        <v>762</v>
      </c>
      <c r="C47" s="5">
        <v>0</v>
      </c>
      <c r="D47" s="5">
        <v>1</v>
      </c>
      <c r="E47" s="5"/>
      <c r="F47" s="5">
        <v>0</v>
      </c>
      <c r="G47" s="5">
        <v>1</v>
      </c>
      <c r="H47" s="5">
        <v>0</v>
      </c>
      <c r="I47" s="5">
        <v>0</v>
      </c>
      <c r="J47" s="5">
        <v>1</v>
      </c>
      <c r="K47" s="3" t="s">
        <v>44</v>
      </c>
      <c r="L47" s="3" t="s">
        <v>728</v>
      </c>
      <c r="M47" s="3" t="s">
        <v>31</v>
      </c>
      <c r="N47" s="3" t="s">
        <v>32</v>
      </c>
      <c r="O47" s="3" t="s">
        <v>35</v>
      </c>
      <c r="P47" s="3" t="s">
        <v>40</v>
      </c>
      <c r="Q47" s="3" t="s">
        <v>729</v>
      </c>
      <c r="R47" s="4" t="s">
        <v>30</v>
      </c>
      <c r="S47" s="3" t="s">
        <v>328</v>
      </c>
      <c r="T47" s="3" t="s">
        <v>331</v>
      </c>
      <c r="U47" s="3" t="s">
        <v>328</v>
      </c>
      <c r="V47" s="4" t="s">
        <v>867</v>
      </c>
      <c r="W47" s="3" t="s">
        <v>764</v>
      </c>
      <c r="X47" s="5"/>
      <c r="Y47" s="5" t="s">
        <v>274</v>
      </c>
      <c r="Z47" s="5" t="s">
        <v>69</v>
      </c>
      <c r="AA47" s="3" t="s">
        <v>1117</v>
      </c>
      <c r="AB47" s="3" t="s">
        <v>452</v>
      </c>
      <c r="AC47" s="9">
        <v>16720</v>
      </c>
      <c r="AD47" s="9">
        <v>18920</v>
      </c>
      <c r="AE47" s="3" t="s">
        <v>734</v>
      </c>
      <c r="AF47" s="3" t="s">
        <v>663</v>
      </c>
      <c r="AG47" s="5"/>
      <c r="AH47" s="3" t="s">
        <v>666</v>
      </c>
      <c r="AI47" s="5" t="s">
        <v>734</v>
      </c>
      <c r="AJ47" s="5"/>
      <c r="AK47" s="5"/>
      <c r="AL47" s="5"/>
      <c r="AM47" s="3" t="s">
        <v>1118</v>
      </c>
      <c r="AN47" s="3" t="s">
        <v>1119</v>
      </c>
      <c r="AO47" s="3" t="s">
        <v>1120</v>
      </c>
      <c r="AP47" s="3" t="s">
        <v>17</v>
      </c>
      <c r="AQ47" s="5"/>
      <c r="AR47" s="5"/>
      <c r="AS47" s="5"/>
      <c r="AT47" s="5"/>
      <c r="AU47" s="5"/>
      <c r="AV47" s="5"/>
      <c r="AW47" s="5">
        <v>0</v>
      </c>
      <c r="AX47" s="3" t="s">
        <v>44</v>
      </c>
      <c r="AY47" s="5" t="s">
        <v>1121</v>
      </c>
      <c r="AZ47" s="3" t="s">
        <v>1122</v>
      </c>
      <c r="BA47" s="5" t="s">
        <v>1123</v>
      </c>
      <c r="BB47" s="3" t="s">
        <v>742</v>
      </c>
      <c r="BC47" s="4" t="s">
        <v>1033</v>
      </c>
      <c r="BD47" s="4" t="s">
        <v>792</v>
      </c>
      <c r="BE47" s="3" t="s">
        <v>72</v>
      </c>
      <c r="BF47" s="3" t="s">
        <v>745</v>
      </c>
      <c r="BG47" s="3" t="s">
        <v>746</v>
      </c>
      <c r="BH47" s="3" t="s">
        <v>747</v>
      </c>
      <c r="BI47" s="5"/>
      <c r="BJ47" s="5"/>
      <c r="BK47" s="3" t="s">
        <v>748</v>
      </c>
      <c r="BL47" s="4" t="s">
        <v>797</v>
      </c>
      <c r="BM47" s="10"/>
      <c r="BN47" s="10">
        <v>1</v>
      </c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3" t="s">
        <v>750</v>
      </c>
      <c r="BZ47" s="5">
        <v>9</v>
      </c>
      <c r="CA47" s="3" t="s">
        <v>72</v>
      </c>
      <c r="CB47" s="5"/>
      <c r="CC47" s="3" t="s">
        <v>40</v>
      </c>
      <c r="CD47" s="5"/>
      <c r="CE47" s="5"/>
      <c r="CF47" s="3" t="s">
        <v>751</v>
      </c>
      <c r="CG47" s="3" t="s">
        <v>752</v>
      </c>
      <c r="CH47" s="5" t="s">
        <v>872</v>
      </c>
      <c r="CI47" s="3" t="s">
        <v>1124</v>
      </c>
      <c r="CJ47" s="3" t="s">
        <v>452</v>
      </c>
      <c r="CK47" s="3" t="s">
        <v>453</v>
      </c>
      <c r="CL47" s="3" t="s">
        <v>454</v>
      </c>
      <c r="CM47" s="5"/>
      <c r="CN47" s="3" t="s">
        <v>755</v>
      </c>
      <c r="CO47" s="3" t="s">
        <v>756</v>
      </c>
      <c r="CP47" s="5"/>
      <c r="CQ47" s="3" t="s">
        <v>1125</v>
      </c>
      <c r="CR47" s="3" t="s">
        <v>1126</v>
      </c>
      <c r="CS47" s="3" t="s">
        <v>1117</v>
      </c>
      <c r="CT47" s="3" t="s">
        <v>44</v>
      </c>
      <c r="CU47" s="5"/>
      <c r="CV47" s="5"/>
      <c r="CW47" s="4" t="s">
        <v>846</v>
      </c>
      <c r="CX47" s="5" t="s">
        <v>775</v>
      </c>
      <c r="CY47" s="11"/>
    </row>
    <row r="48" ht="12" customHeight="1" spans="1:103" x14ac:dyDescent="0.25">
      <c r="A48" s="8" t="s">
        <v>576</v>
      </c>
      <c r="B48" s="3" t="s">
        <v>762</v>
      </c>
      <c r="C48" s="5">
        <v>0</v>
      </c>
      <c r="D48" s="5">
        <v>1</v>
      </c>
      <c r="E48" s="5"/>
      <c r="F48" s="5">
        <v>0</v>
      </c>
      <c r="G48" s="5">
        <v>1</v>
      </c>
      <c r="H48" s="5">
        <v>0</v>
      </c>
      <c r="I48" s="5">
        <v>0</v>
      </c>
      <c r="J48" s="5">
        <v>1</v>
      </c>
      <c r="K48" s="3" t="s">
        <v>44</v>
      </c>
      <c r="L48" s="3" t="s">
        <v>728</v>
      </c>
      <c r="M48" s="3" t="s">
        <v>31</v>
      </c>
      <c r="N48" s="3" t="s">
        <v>32</v>
      </c>
      <c r="O48" s="3" t="s">
        <v>35</v>
      </c>
      <c r="P48" s="3" t="s">
        <v>40</v>
      </c>
      <c r="Q48" s="3" t="s">
        <v>729</v>
      </c>
      <c r="R48" s="4" t="s">
        <v>30</v>
      </c>
      <c r="S48" s="3" t="s">
        <v>328</v>
      </c>
      <c r="T48" s="3" t="s">
        <v>331</v>
      </c>
      <c r="U48" s="3" t="s">
        <v>328</v>
      </c>
      <c r="V48" s="4" t="s">
        <v>867</v>
      </c>
      <c r="W48" s="3" t="s">
        <v>764</v>
      </c>
      <c r="X48" s="5"/>
      <c r="Y48" s="5" t="s">
        <v>274</v>
      </c>
      <c r="Z48" s="5" t="s">
        <v>69</v>
      </c>
      <c r="AA48" s="3" t="s">
        <v>1117</v>
      </c>
      <c r="AB48" s="3" t="s">
        <v>452</v>
      </c>
      <c r="AC48" s="9">
        <v>16700</v>
      </c>
      <c r="AD48" s="9">
        <v>18900</v>
      </c>
      <c r="AE48" s="3" t="s">
        <v>734</v>
      </c>
      <c r="AF48" s="3" t="s">
        <v>663</v>
      </c>
      <c r="AG48" s="5"/>
      <c r="AH48" s="3" t="s">
        <v>666</v>
      </c>
      <c r="AI48" s="5" t="s">
        <v>734</v>
      </c>
      <c r="AJ48" s="5"/>
      <c r="AK48" s="5"/>
      <c r="AL48" s="5"/>
      <c r="AM48" s="3" t="s">
        <v>1118</v>
      </c>
      <c r="AN48" s="3" t="s">
        <v>1119</v>
      </c>
      <c r="AO48" s="3" t="s">
        <v>1120</v>
      </c>
      <c r="AP48" s="3" t="s">
        <v>17</v>
      </c>
      <c r="AQ48" s="5"/>
      <c r="AR48" s="5"/>
      <c r="AS48" s="5"/>
      <c r="AT48" s="5"/>
      <c r="AU48" s="5"/>
      <c r="AV48" s="5"/>
      <c r="AW48" s="5">
        <v>0</v>
      </c>
      <c r="AX48" s="3" t="s">
        <v>44</v>
      </c>
      <c r="AY48" s="5" t="s">
        <v>1121</v>
      </c>
      <c r="AZ48" s="3" t="s">
        <v>1127</v>
      </c>
      <c r="BA48" s="5" t="s">
        <v>1123</v>
      </c>
      <c r="BB48" s="3" t="s">
        <v>742</v>
      </c>
      <c r="BC48" s="4" t="s">
        <v>1033</v>
      </c>
      <c r="BD48" s="4" t="s">
        <v>792</v>
      </c>
      <c r="BE48" s="3" t="s">
        <v>72</v>
      </c>
      <c r="BF48" s="3" t="s">
        <v>745</v>
      </c>
      <c r="BG48" s="3" t="s">
        <v>746</v>
      </c>
      <c r="BH48" s="3" t="s">
        <v>747</v>
      </c>
      <c r="BI48" s="5"/>
      <c r="BJ48" s="5"/>
      <c r="BK48" s="3" t="s">
        <v>748</v>
      </c>
      <c r="BL48" s="4" t="s">
        <v>797</v>
      </c>
      <c r="BM48" s="10"/>
      <c r="BN48" s="10">
        <v>1</v>
      </c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3" t="s">
        <v>750</v>
      </c>
      <c r="BZ48" s="5">
        <v>9</v>
      </c>
      <c r="CA48" s="3" t="s">
        <v>72</v>
      </c>
      <c r="CB48" s="5"/>
      <c r="CC48" s="3" t="s">
        <v>40</v>
      </c>
      <c r="CD48" s="5"/>
      <c r="CE48" s="5"/>
      <c r="CF48" s="3" t="s">
        <v>751</v>
      </c>
      <c r="CG48" s="3" t="s">
        <v>752</v>
      </c>
      <c r="CH48" s="5" t="s">
        <v>872</v>
      </c>
      <c r="CI48" s="3" t="s">
        <v>1124</v>
      </c>
      <c r="CJ48" s="3" t="s">
        <v>452</v>
      </c>
      <c r="CK48" s="3" t="s">
        <v>453</v>
      </c>
      <c r="CL48" s="3" t="s">
        <v>454</v>
      </c>
      <c r="CM48" s="5"/>
      <c r="CN48" s="3" t="s">
        <v>755</v>
      </c>
      <c r="CO48" s="3" t="s">
        <v>756</v>
      </c>
      <c r="CP48" s="5"/>
      <c r="CQ48" s="3" t="s">
        <v>1125</v>
      </c>
      <c r="CR48" s="3" t="s">
        <v>1126</v>
      </c>
      <c r="CS48" s="3" t="s">
        <v>1117</v>
      </c>
      <c r="CT48" s="3" t="s">
        <v>44</v>
      </c>
      <c r="CU48" s="5"/>
      <c r="CV48" s="5"/>
      <c r="CW48" s="4" t="s">
        <v>846</v>
      </c>
      <c r="CX48" s="5" t="s">
        <v>775</v>
      </c>
      <c r="CY48" s="11"/>
    </row>
    <row r="49" ht="12" customHeight="1" spans="1:103" x14ac:dyDescent="0.25">
      <c r="A49" s="8" t="s">
        <v>451</v>
      </c>
      <c r="B49" s="3" t="s">
        <v>762</v>
      </c>
      <c r="C49" s="5">
        <v>0</v>
      </c>
      <c r="D49" s="5">
        <v>1</v>
      </c>
      <c r="E49" s="5"/>
      <c r="F49" s="5">
        <v>0</v>
      </c>
      <c r="G49" s="5">
        <v>1</v>
      </c>
      <c r="H49" s="5">
        <v>0</v>
      </c>
      <c r="I49" s="5">
        <v>0</v>
      </c>
      <c r="J49" s="5">
        <v>1</v>
      </c>
      <c r="K49" s="3" t="s">
        <v>44</v>
      </c>
      <c r="L49" s="3" t="s">
        <v>728</v>
      </c>
      <c r="M49" s="3" t="s">
        <v>31</v>
      </c>
      <c r="N49" s="3" t="s">
        <v>32</v>
      </c>
      <c r="O49" s="3" t="s">
        <v>35</v>
      </c>
      <c r="P49" s="3" t="s">
        <v>40</v>
      </c>
      <c r="Q49" s="3" t="s">
        <v>729</v>
      </c>
      <c r="R49" s="4" t="s">
        <v>30</v>
      </c>
      <c r="S49" s="3" t="s">
        <v>328</v>
      </c>
      <c r="T49" s="3" t="s">
        <v>331</v>
      </c>
      <c r="U49" s="3" t="s">
        <v>328</v>
      </c>
      <c r="V49" s="4" t="s">
        <v>867</v>
      </c>
      <c r="W49" s="3" t="s">
        <v>764</v>
      </c>
      <c r="X49" s="5"/>
      <c r="Y49" s="5" t="s">
        <v>274</v>
      </c>
      <c r="Z49" s="5" t="s">
        <v>69</v>
      </c>
      <c r="AA49" s="3" t="s">
        <v>1117</v>
      </c>
      <c r="AB49" s="3" t="s">
        <v>452</v>
      </c>
      <c r="AC49" s="9">
        <v>16950</v>
      </c>
      <c r="AD49" s="9">
        <v>19150</v>
      </c>
      <c r="AE49" s="3" t="s">
        <v>734</v>
      </c>
      <c r="AF49" s="3" t="s">
        <v>663</v>
      </c>
      <c r="AG49" s="5"/>
      <c r="AH49" s="3" t="s">
        <v>666</v>
      </c>
      <c r="AI49" s="5" t="s">
        <v>734</v>
      </c>
      <c r="AJ49" s="5"/>
      <c r="AK49" s="5"/>
      <c r="AL49" s="5"/>
      <c r="AM49" s="3" t="s">
        <v>1118</v>
      </c>
      <c r="AN49" s="3" t="s">
        <v>1119</v>
      </c>
      <c r="AO49" s="3" t="s">
        <v>1120</v>
      </c>
      <c r="AP49" s="3" t="s">
        <v>17</v>
      </c>
      <c r="AQ49" s="5"/>
      <c r="AR49" s="5"/>
      <c r="AS49" s="5"/>
      <c r="AT49" s="5"/>
      <c r="AU49" s="5"/>
      <c r="AV49" s="5"/>
      <c r="AW49" s="5">
        <v>0</v>
      </c>
      <c r="AX49" s="3" t="s">
        <v>44</v>
      </c>
      <c r="AY49" s="5" t="s">
        <v>1121</v>
      </c>
      <c r="AZ49" s="3" t="s">
        <v>1128</v>
      </c>
      <c r="BA49" s="5" t="s">
        <v>1123</v>
      </c>
      <c r="BB49" s="3" t="s">
        <v>742</v>
      </c>
      <c r="BC49" s="4" t="s">
        <v>1033</v>
      </c>
      <c r="BD49" s="4" t="s">
        <v>792</v>
      </c>
      <c r="BE49" s="3" t="s">
        <v>72</v>
      </c>
      <c r="BF49" s="3" t="s">
        <v>745</v>
      </c>
      <c r="BG49" s="3" t="s">
        <v>746</v>
      </c>
      <c r="BH49" s="3" t="s">
        <v>747</v>
      </c>
      <c r="BI49" s="5"/>
      <c r="BJ49" s="5"/>
      <c r="BK49" s="3" t="s">
        <v>748</v>
      </c>
      <c r="BL49" s="4" t="s">
        <v>797</v>
      </c>
      <c r="BM49" s="10"/>
      <c r="BN49" s="10">
        <v>1</v>
      </c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3" t="s">
        <v>750</v>
      </c>
      <c r="BZ49" s="5">
        <v>9</v>
      </c>
      <c r="CA49" s="3" t="s">
        <v>72</v>
      </c>
      <c r="CB49" s="5"/>
      <c r="CC49" s="3" t="s">
        <v>40</v>
      </c>
      <c r="CD49" s="5"/>
      <c r="CE49" s="5"/>
      <c r="CF49" s="3" t="s">
        <v>751</v>
      </c>
      <c r="CG49" s="3" t="s">
        <v>752</v>
      </c>
      <c r="CH49" s="5" t="s">
        <v>872</v>
      </c>
      <c r="CI49" s="3" t="s">
        <v>1124</v>
      </c>
      <c r="CJ49" s="3" t="s">
        <v>452</v>
      </c>
      <c r="CK49" s="3" t="s">
        <v>453</v>
      </c>
      <c r="CL49" s="3" t="s">
        <v>454</v>
      </c>
      <c r="CM49" s="5"/>
      <c r="CN49" s="3" t="s">
        <v>755</v>
      </c>
      <c r="CO49" s="3" t="s">
        <v>756</v>
      </c>
      <c r="CP49" s="5"/>
      <c r="CQ49" s="3" t="s">
        <v>1125</v>
      </c>
      <c r="CR49" s="3" t="s">
        <v>1126</v>
      </c>
      <c r="CS49" s="3" t="s">
        <v>1117</v>
      </c>
      <c r="CT49" s="3" t="s">
        <v>44</v>
      </c>
      <c r="CU49" s="5"/>
      <c r="CV49" s="5"/>
      <c r="CW49" s="4" t="s">
        <v>846</v>
      </c>
      <c r="CX49" s="5" t="s">
        <v>775</v>
      </c>
      <c r="CY49" s="11"/>
    </row>
    <row r="50" ht="12" customHeight="1" spans="1:103" x14ac:dyDescent="0.25">
      <c r="A50" s="8" t="s">
        <v>315</v>
      </c>
      <c r="B50" s="3" t="s">
        <v>762</v>
      </c>
      <c r="C50" s="5">
        <v>1</v>
      </c>
      <c r="D50" s="5">
        <v>1</v>
      </c>
      <c r="E50" s="5"/>
      <c r="F50" s="5">
        <v>0</v>
      </c>
      <c r="G50" s="5">
        <v>1</v>
      </c>
      <c r="H50" s="5">
        <v>0</v>
      </c>
      <c r="I50" s="5">
        <v>0</v>
      </c>
      <c r="J50" s="5">
        <v>1</v>
      </c>
      <c r="K50" s="3" t="s">
        <v>44</v>
      </c>
      <c r="L50" s="3" t="s">
        <v>728</v>
      </c>
      <c r="M50" s="3" t="s">
        <v>31</v>
      </c>
      <c r="N50" s="3" t="s">
        <v>32</v>
      </c>
      <c r="O50" s="3" t="s">
        <v>35</v>
      </c>
      <c r="P50" s="3" t="s">
        <v>40</v>
      </c>
      <c r="Q50" s="3" t="s">
        <v>729</v>
      </c>
      <c r="R50" s="4" t="s">
        <v>30</v>
      </c>
      <c r="S50" s="3" t="s">
        <v>36</v>
      </c>
      <c r="T50" s="3" t="s">
        <v>50</v>
      </c>
      <c r="U50" s="3" t="s">
        <v>36</v>
      </c>
      <c r="V50" s="4" t="s">
        <v>730</v>
      </c>
      <c r="W50" s="3" t="s">
        <v>731</v>
      </c>
      <c r="X50" s="5"/>
      <c r="Y50" s="5"/>
      <c r="Z50" s="5"/>
      <c r="AA50" s="3" t="s">
        <v>316</v>
      </c>
      <c r="AB50" s="3" t="s">
        <v>1129</v>
      </c>
      <c r="AC50" s="9">
        <v>21088</v>
      </c>
      <c r="AD50" s="9">
        <v>23288</v>
      </c>
      <c r="AE50" s="3" t="s">
        <v>734</v>
      </c>
      <c r="AF50" s="3" t="s">
        <v>663</v>
      </c>
      <c r="AG50" s="5"/>
      <c r="AH50" s="3" t="s">
        <v>918</v>
      </c>
      <c r="AI50" s="5" t="s">
        <v>734</v>
      </c>
      <c r="AJ50" s="5"/>
      <c r="AK50" s="5"/>
      <c r="AL50" s="5"/>
      <c r="AM50" s="3" t="s">
        <v>804</v>
      </c>
      <c r="AN50" s="3" t="s">
        <v>805</v>
      </c>
      <c r="AO50" s="3" t="s">
        <v>1130</v>
      </c>
      <c r="AP50" s="3" t="s">
        <v>738</v>
      </c>
      <c r="AQ50" s="5"/>
      <c r="AR50" s="5"/>
      <c r="AS50" s="5"/>
      <c r="AT50" s="5"/>
      <c r="AU50" s="5"/>
      <c r="AV50" s="5"/>
      <c r="AW50" s="5">
        <v>0</v>
      </c>
      <c r="AX50" s="3" t="s">
        <v>44</v>
      </c>
      <c r="AY50" s="5" t="s">
        <v>739</v>
      </c>
      <c r="AZ50" s="3" t="s">
        <v>1131</v>
      </c>
      <c r="BA50" s="5" t="s">
        <v>1132</v>
      </c>
      <c r="BB50" s="3" t="s">
        <v>742</v>
      </c>
      <c r="BC50" s="4" t="s">
        <v>1033</v>
      </c>
      <c r="BD50" s="4" t="s">
        <v>792</v>
      </c>
      <c r="BE50" s="3" t="s">
        <v>72</v>
      </c>
      <c r="BF50" s="3" t="s">
        <v>1130</v>
      </c>
      <c r="BG50" s="3" t="s">
        <v>746</v>
      </c>
      <c r="BH50" s="3" t="s">
        <v>747</v>
      </c>
      <c r="BI50" s="5"/>
      <c r="BJ50" s="5"/>
      <c r="BK50" s="3" t="s">
        <v>748</v>
      </c>
      <c r="BL50" s="4" t="s">
        <v>769</v>
      </c>
      <c r="BM50" s="10"/>
      <c r="BN50" s="10">
        <v>1</v>
      </c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3" t="s">
        <v>750</v>
      </c>
      <c r="BZ50" s="5"/>
      <c r="CA50" s="3" t="s">
        <v>72</v>
      </c>
      <c r="CB50" s="5"/>
      <c r="CC50" s="3" t="s">
        <v>40</v>
      </c>
      <c r="CD50" s="5"/>
      <c r="CE50" s="5"/>
      <c r="CF50" s="3" t="s">
        <v>751</v>
      </c>
      <c r="CG50" s="3" t="s">
        <v>752</v>
      </c>
      <c r="CH50" s="5"/>
      <c r="CI50" s="3" t="s">
        <v>1133</v>
      </c>
      <c r="CJ50" s="3" t="s">
        <v>316</v>
      </c>
      <c r="CK50" s="3" t="s">
        <v>317</v>
      </c>
      <c r="CL50" s="3" t="s">
        <v>317</v>
      </c>
      <c r="CM50" s="5" t="s">
        <v>754</v>
      </c>
      <c r="CN50" s="3" t="s">
        <v>755</v>
      </c>
      <c r="CO50" s="3" t="s">
        <v>756</v>
      </c>
      <c r="CP50" s="5"/>
      <c r="CQ50" s="3" t="s">
        <v>1134</v>
      </c>
      <c r="CR50" s="3" t="s">
        <v>1135</v>
      </c>
      <c r="CS50" s="3" t="s">
        <v>316</v>
      </c>
      <c r="CT50" s="3" t="s">
        <v>44</v>
      </c>
      <c r="CU50" s="5"/>
      <c r="CV50" s="5"/>
      <c r="CW50" s="4" t="s">
        <v>759</v>
      </c>
      <c r="CX50" s="5" t="s">
        <v>1136</v>
      </c>
      <c r="CY50" s="11"/>
    </row>
    <row r="51" ht="12" customHeight="1" spans="1:103" x14ac:dyDescent="0.25">
      <c r="A51" s="8" t="s">
        <v>588</v>
      </c>
      <c r="B51" s="3" t="s">
        <v>762</v>
      </c>
      <c r="C51" s="5">
        <v>1</v>
      </c>
      <c r="D51" s="5">
        <v>1</v>
      </c>
      <c r="E51" s="5"/>
      <c r="F51" s="5">
        <v>0</v>
      </c>
      <c r="G51" s="5">
        <v>1</v>
      </c>
      <c r="H51" s="5">
        <v>0</v>
      </c>
      <c r="I51" s="5">
        <v>0</v>
      </c>
      <c r="J51" s="5">
        <v>1</v>
      </c>
      <c r="K51" s="3" t="s">
        <v>44</v>
      </c>
      <c r="L51" s="3" t="s">
        <v>728</v>
      </c>
      <c r="M51" s="3" t="s">
        <v>31</v>
      </c>
      <c r="N51" s="3" t="s">
        <v>32</v>
      </c>
      <c r="O51" s="3" t="s">
        <v>35</v>
      </c>
      <c r="P51" s="3" t="s">
        <v>40</v>
      </c>
      <c r="Q51" s="3" t="s">
        <v>729</v>
      </c>
      <c r="R51" s="4" t="s">
        <v>30</v>
      </c>
      <c r="S51" s="3" t="s">
        <v>387</v>
      </c>
      <c r="T51" s="3" t="s">
        <v>389</v>
      </c>
      <c r="U51" s="3" t="s">
        <v>387</v>
      </c>
      <c r="V51" s="4" t="s">
        <v>794</v>
      </c>
      <c r="W51" s="3" t="s">
        <v>764</v>
      </c>
      <c r="X51" s="5"/>
      <c r="Y51" s="5" t="s">
        <v>274</v>
      </c>
      <c r="Z51" s="5" t="s">
        <v>69</v>
      </c>
      <c r="AA51" s="3" t="s">
        <v>732</v>
      </c>
      <c r="AB51" s="3" t="s">
        <v>733</v>
      </c>
      <c r="AC51" s="9">
        <v>16096</v>
      </c>
      <c r="AD51" s="9">
        <v>18296</v>
      </c>
      <c r="AE51" s="3" t="s">
        <v>734</v>
      </c>
      <c r="AF51" s="3"/>
      <c r="AG51" s="5"/>
      <c r="AH51" s="3" t="s">
        <v>666</v>
      </c>
      <c r="AI51" s="5" t="s">
        <v>734</v>
      </c>
      <c r="AJ51" s="5"/>
      <c r="AK51" s="5"/>
      <c r="AL51" s="5"/>
      <c r="AM51" s="3" t="s">
        <v>735</v>
      </c>
      <c r="AN51" s="3" t="s">
        <v>736</v>
      </c>
      <c r="AO51" s="3" t="s">
        <v>737</v>
      </c>
      <c r="AP51" s="3" t="s">
        <v>738</v>
      </c>
      <c r="AQ51" s="5"/>
      <c r="AR51" s="5"/>
      <c r="AS51" s="5"/>
      <c r="AT51" s="5"/>
      <c r="AU51" s="5"/>
      <c r="AV51" s="5"/>
      <c r="AW51" s="5">
        <v>0</v>
      </c>
      <c r="AX51" s="3" t="s">
        <v>44</v>
      </c>
      <c r="AY51" s="5" t="s">
        <v>739</v>
      </c>
      <c r="AZ51" s="3" t="s">
        <v>1137</v>
      </c>
      <c r="BA51" s="5" t="s">
        <v>1138</v>
      </c>
      <c r="BB51" s="3" t="s">
        <v>742</v>
      </c>
      <c r="BC51" s="4" t="s">
        <v>1139</v>
      </c>
      <c r="BD51" s="4" t="s">
        <v>797</v>
      </c>
      <c r="BE51" s="3" t="s">
        <v>72</v>
      </c>
      <c r="BF51" s="3" t="s">
        <v>745</v>
      </c>
      <c r="BG51" s="3" t="s">
        <v>746</v>
      </c>
      <c r="BH51" s="3" t="s">
        <v>747</v>
      </c>
      <c r="BI51" s="5"/>
      <c r="BJ51" s="5"/>
      <c r="BK51" s="3" t="s">
        <v>748</v>
      </c>
      <c r="BL51" s="4" t="s">
        <v>787</v>
      </c>
      <c r="BM51" s="10"/>
      <c r="BN51" s="10">
        <v>1</v>
      </c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3" t="s">
        <v>750</v>
      </c>
      <c r="BZ51" s="5">
        <v>9</v>
      </c>
      <c r="CA51" s="3"/>
      <c r="CB51" s="5"/>
      <c r="CC51" s="3" t="s">
        <v>40</v>
      </c>
      <c r="CD51" s="5"/>
      <c r="CE51" s="5"/>
      <c r="CF51" s="3" t="s">
        <v>751</v>
      </c>
      <c r="CG51" s="3" t="s">
        <v>752</v>
      </c>
      <c r="CH51" s="5" t="s">
        <v>798</v>
      </c>
      <c r="CI51" s="3" t="s">
        <v>799</v>
      </c>
      <c r="CJ51" s="3" t="s">
        <v>74</v>
      </c>
      <c r="CK51" s="3" t="s">
        <v>440</v>
      </c>
      <c r="CL51" s="3" t="s">
        <v>440</v>
      </c>
      <c r="CM51" s="5" t="s">
        <v>754</v>
      </c>
      <c r="CN51" s="3" t="s">
        <v>755</v>
      </c>
      <c r="CO51" s="3" t="s">
        <v>756</v>
      </c>
      <c r="CP51" s="5"/>
      <c r="CQ51" s="3" t="s">
        <v>773</v>
      </c>
      <c r="CR51" s="3" t="s">
        <v>758</v>
      </c>
      <c r="CS51" s="3" t="s">
        <v>732</v>
      </c>
      <c r="CT51" s="3" t="s">
        <v>44</v>
      </c>
      <c r="CU51" s="5"/>
      <c r="CV51" s="5"/>
      <c r="CW51" s="4" t="s">
        <v>787</v>
      </c>
      <c r="CX51" s="5" t="s">
        <v>760</v>
      </c>
      <c r="CY51" s="11"/>
    </row>
    <row r="52" ht="12" customHeight="1" spans="1:103" x14ac:dyDescent="0.25">
      <c r="A52" s="8" t="s">
        <v>309</v>
      </c>
      <c r="B52" s="3" t="s">
        <v>762</v>
      </c>
      <c r="C52" s="5">
        <v>1</v>
      </c>
      <c r="D52" s="5">
        <v>1</v>
      </c>
      <c r="E52" s="5"/>
      <c r="F52" s="5">
        <v>0</v>
      </c>
      <c r="G52" s="5">
        <v>1</v>
      </c>
      <c r="H52" s="5">
        <v>0</v>
      </c>
      <c r="I52" s="5">
        <v>0</v>
      </c>
      <c r="J52" s="5">
        <v>1</v>
      </c>
      <c r="K52" s="3" t="s">
        <v>44</v>
      </c>
      <c r="L52" s="3" t="s">
        <v>728</v>
      </c>
      <c r="M52" s="3" t="s">
        <v>31</v>
      </c>
      <c r="N52" s="3" t="s">
        <v>32</v>
      </c>
      <c r="O52" s="3" t="s">
        <v>35</v>
      </c>
      <c r="P52" s="3" t="s">
        <v>40</v>
      </c>
      <c r="Q52" s="3" t="s">
        <v>729</v>
      </c>
      <c r="R52" s="4" t="s">
        <v>30</v>
      </c>
      <c r="S52" s="3" t="s">
        <v>36</v>
      </c>
      <c r="T52" s="3" t="s">
        <v>50</v>
      </c>
      <c r="U52" s="3" t="s">
        <v>36</v>
      </c>
      <c r="V52" s="4" t="s">
        <v>730</v>
      </c>
      <c r="W52" s="3" t="s">
        <v>731</v>
      </c>
      <c r="X52" s="5"/>
      <c r="Y52" s="5"/>
      <c r="Z52" s="5"/>
      <c r="AA52" s="3" t="s">
        <v>958</v>
      </c>
      <c r="AB52" s="3" t="s">
        <v>1140</v>
      </c>
      <c r="AC52" s="9">
        <v>10152</v>
      </c>
      <c r="AD52" s="9">
        <v>12352</v>
      </c>
      <c r="AE52" s="3" t="s">
        <v>734</v>
      </c>
      <c r="AF52" s="3"/>
      <c r="AG52" s="5"/>
      <c r="AH52" s="3" t="s">
        <v>918</v>
      </c>
      <c r="AI52" s="5" t="s">
        <v>734</v>
      </c>
      <c r="AJ52" s="5"/>
      <c r="AK52" s="5"/>
      <c r="AL52" s="5"/>
      <c r="AM52" s="3" t="s">
        <v>895</v>
      </c>
      <c r="AN52" s="3" t="s">
        <v>896</v>
      </c>
      <c r="AO52" s="3" t="s">
        <v>1141</v>
      </c>
      <c r="AP52" s="3" t="s">
        <v>738</v>
      </c>
      <c r="AQ52" s="5"/>
      <c r="AR52" s="5"/>
      <c r="AS52" s="5"/>
      <c r="AT52" s="5"/>
      <c r="AU52" s="5"/>
      <c r="AV52" s="5"/>
      <c r="AW52" s="5">
        <v>0</v>
      </c>
      <c r="AX52" s="3" t="s">
        <v>44</v>
      </c>
      <c r="AY52" s="5" t="s">
        <v>739</v>
      </c>
      <c r="AZ52" s="3" t="s">
        <v>1142</v>
      </c>
      <c r="BA52" s="5"/>
      <c r="BB52" s="3" t="s">
        <v>742</v>
      </c>
      <c r="BC52" s="4" t="s">
        <v>871</v>
      </c>
      <c r="BD52" s="4" t="s">
        <v>785</v>
      </c>
      <c r="BE52" s="3" t="s">
        <v>72</v>
      </c>
      <c r="BF52" s="3" t="s">
        <v>1141</v>
      </c>
      <c r="BG52" s="3" t="s">
        <v>746</v>
      </c>
      <c r="BH52" s="3" t="s">
        <v>747</v>
      </c>
      <c r="BI52" s="5"/>
      <c r="BJ52" s="5"/>
      <c r="BK52" s="3" t="s">
        <v>748</v>
      </c>
      <c r="BL52" s="4" t="s">
        <v>797</v>
      </c>
      <c r="BM52" s="10"/>
      <c r="BN52" s="10">
        <v>1</v>
      </c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3" t="s">
        <v>750</v>
      </c>
      <c r="BZ52" s="5"/>
      <c r="CA52" s="3" t="s">
        <v>72</v>
      </c>
      <c r="CB52" s="5"/>
      <c r="CC52" s="3" t="s">
        <v>40</v>
      </c>
      <c r="CD52" s="5"/>
      <c r="CE52" s="5"/>
      <c r="CF52" s="3" t="s">
        <v>751</v>
      </c>
      <c r="CG52" s="3" t="s">
        <v>752</v>
      </c>
      <c r="CH52" s="5"/>
      <c r="CI52" s="3" t="s">
        <v>1143</v>
      </c>
      <c r="CJ52" s="3" t="s">
        <v>86</v>
      </c>
      <c r="CK52" s="3" t="s">
        <v>87</v>
      </c>
      <c r="CL52" s="3" t="s">
        <v>87</v>
      </c>
      <c r="CM52" s="5" t="s">
        <v>754</v>
      </c>
      <c r="CN52" s="3" t="s">
        <v>755</v>
      </c>
      <c r="CO52" s="3" t="s">
        <v>756</v>
      </c>
      <c r="CP52" s="5"/>
      <c r="CQ52" s="3" t="s">
        <v>963</v>
      </c>
      <c r="CR52" s="3" t="s">
        <v>964</v>
      </c>
      <c r="CS52" s="3" t="s">
        <v>958</v>
      </c>
      <c r="CT52" s="3" t="s">
        <v>44</v>
      </c>
      <c r="CU52" s="5"/>
      <c r="CV52" s="5"/>
      <c r="CW52" s="4" t="s">
        <v>1057</v>
      </c>
      <c r="CX52" s="5"/>
      <c r="CY52" s="11"/>
    </row>
    <row r="53" ht="12" customHeight="1" spans="1:103" x14ac:dyDescent="0.25">
      <c r="A53" s="8" t="s">
        <v>85</v>
      </c>
      <c r="B53" s="3" t="s">
        <v>727</v>
      </c>
      <c r="C53" s="5">
        <v>1</v>
      </c>
      <c r="D53" s="5">
        <v>1</v>
      </c>
      <c r="E53" s="5"/>
      <c r="F53" s="5">
        <v>0</v>
      </c>
      <c r="G53" s="5">
        <v>0</v>
      </c>
      <c r="H53" s="5">
        <v>0</v>
      </c>
      <c r="I53" s="5">
        <v>1</v>
      </c>
      <c r="J53" s="5">
        <v>2</v>
      </c>
      <c r="K53" s="3" t="s">
        <v>44</v>
      </c>
      <c r="L53" s="3" t="s">
        <v>728</v>
      </c>
      <c r="M53" s="3" t="s">
        <v>31</v>
      </c>
      <c r="N53" s="3" t="s">
        <v>32</v>
      </c>
      <c r="O53" s="3" t="s">
        <v>35</v>
      </c>
      <c r="P53" s="3" t="s">
        <v>40</v>
      </c>
      <c r="Q53" s="3" t="s">
        <v>729</v>
      </c>
      <c r="R53" s="4" t="s">
        <v>30</v>
      </c>
      <c r="S53" s="3" t="s">
        <v>36</v>
      </c>
      <c r="T53" s="3" t="s">
        <v>50</v>
      </c>
      <c r="U53" s="3" t="s">
        <v>36</v>
      </c>
      <c r="V53" s="4" t="s">
        <v>730</v>
      </c>
      <c r="W53" s="3" t="s">
        <v>731</v>
      </c>
      <c r="X53" s="5"/>
      <c r="Y53" s="5"/>
      <c r="Z53" s="5"/>
      <c r="AA53" s="3" t="s">
        <v>958</v>
      </c>
      <c r="AB53" s="3" t="s">
        <v>1140</v>
      </c>
      <c r="AC53" s="9">
        <v>18648</v>
      </c>
      <c r="AD53" s="9">
        <v>22648</v>
      </c>
      <c r="AE53" s="3" t="s">
        <v>734</v>
      </c>
      <c r="AF53" s="3"/>
      <c r="AG53" s="5"/>
      <c r="AH53" s="3" t="s">
        <v>918</v>
      </c>
      <c r="AI53" s="5" t="s">
        <v>734</v>
      </c>
      <c r="AJ53" s="5"/>
      <c r="AK53" s="5"/>
      <c r="AL53" s="5"/>
      <c r="AM53" s="3" t="s">
        <v>895</v>
      </c>
      <c r="AN53" s="3" t="s">
        <v>896</v>
      </c>
      <c r="AO53" s="3" t="s">
        <v>1141</v>
      </c>
      <c r="AP53" s="3" t="s">
        <v>738</v>
      </c>
      <c r="AQ53" s="5"/>
      <c r="AR53" s="5"/>
      <c r="AS53" s="5"/>
      <c r="AT53" s="5"/>
      <c r="AU53" s="5"/>
      <c r="AV53" s="5"/>
      <c r="AW53" s="5">
        <v>0</v>
      </c>
      <c r="AX53" s="3" t="s">
        <v>44</v>
      </c>
      <c r="AY53" s="5" t="s">
        <v>739</v>
      </c>
      <c r="AZ53" s="3" t="s">
        <v>1142</v>
      </c>
      <c r="BA53" s="5"/>
      <c r="BB53" s="3" t="s">
        <v>742</v>
      </c>
      <c r="BC53" s="4" t="s">
        <v>871</v>
      </c>
      <c r="BD53" s="4" t="s">
        <v>785</v>
      </c>
      <c r="BE53" s="3" t="s">
        <v>72</v>
      </c>
      <c r="BF53" s="3" t="s">
        <v>1141</v>
      </c>
      <c r="BG53" s="3" t="s">
        <v>746</v>
      </c>
      <c r="BH53" s="3" t="s">
        <v>747</v>
      </c>
      <c r="BI53" s="5"/>
      <c r="BJ53" s="5"/>
      <c r="BK53" s="3" t="s">
        <v>748</v>
      </c>
      <c r="BL53" s="4" t="s">
        <v>797</v>
      </c>
      <c r="BM53" s="10"/>
      <c r="BN53" s="10"/>
      <c r="BO53" s="10"/>
      <c r="BP53" s="10">
        <v>1</v>
      </c>
      <c r="BQ53" s="10"/>
      <c r="BR53" s="10"/>
      <c r="BS53" s="10"/>
      <c r="BT53" s="10"/>
      <c r="BU53" s="10"/>
      <c r="BV53" s="10"/>
      <c r="BW53" s="10"/>
      <c r="BX53" s="10"/>
      <c r="BY53" s="3" t="s">
        <v>750</v>
      </c>
      <c r="BZ53" s="5"/>
      <c r="CA53" s="3" t="s">
        <v>72</v>
      </c>
      <c r="CB53" s="5"/>
      <c r="CC53" s="3" t="s">
        <v>40</v>
      </c>
      <c r="CD53" s="5"/>
      <c r="CE53" s="5"/>
      <c r="CF53" s="3" t="s">
        <v>751</v>
      </c>
      <c r="CG53" s="3" t="s">
        <v>752</v>
      </c>
      <c r="CH53" s="5"/>
      <c r="CI53" s="3" t="s">
        <v>1143</v>
      </c>
      <c r="CJ53" s="3" t="s">
        <v>86</v>
      </c>
      <c r="CK53" s="3" t="s">
        <v>87</v>
      </c>
      <c r="CL53" s="3" t="s">
        <v>87</v>
      </c>
      <c r="CM53" s="5" t="s">
        <v>754</v>
      </c>
      <c r="CN53" s="3" t="s">
        <v>755</v>
      </c>
      <c r="CO53" s="3" t="s">
        <v>756</v>
      </c>
      <c r="CP53" s="5"/>
      <c r="CQ53" s="3" t="s">
        <v>963</v>
      </c>
      <c r="CR53" s="3" t="s">
        <v>964</v>
      </c>
      <c r="CS53" s="3" t="s">
        <v>958</v>
      </c>
      <c r="CT53" s="3" t="s">
        <v>44</v>
      </c>
      <c r="CU53" s="5"/>
      <c r="CV53" s="5"/>
      <c r="CW53" s="4" t="s">
        <v>792</v>
      </c>
      <c r="CX53" s="5"/>
      <c r="CY53" s="11"/>
    </row>
    <row r="54" ht="12" customHeight="1" spans="1:103" x14ac:dyDescent="0.25">
      <c r="A54" s="8" t="s">
        <v>1144</v>
      </c>
      <c r="B54" s="3" t="s">
        <v>727</v>
      </c>
      <c r="C54" s="5">
        <v>0</v>
      </c>
      <c r="D54" s="5">
        <v>0</v>
      </c>
      <c r="E54" s="5"/>
      <c r="F54" s="5">
        <v>0</v>
      </c>
      <c r="G54" s="5">
        <v>0</v>
      </c>
      <c r="H54" s="5">
        <v>0</v>
      </c>
      <c r="I54" s="5">
        <v>1</v>
      </c>
      <c r="J54" s="5">
        <v>2</v>
      </c>
      <c r="K54" s="3" t="s">
        <v>643</v>
      </c>
      <c r="L54" s="3" t="s">
        <v>728</v>
      </c>
      <c r="M54" s="3" t="s">
        <v>31</v>
      </c>
      <c r="N54" s="3" t="s">
        <v>32</v>
      </c>
      <c r="O54" s="3" t="s">
        <v>35</v>
      </c>
      <c r="P54" s="3" t="s">
        <v>40</v>
      </c>
      <c r="Q54" s="3" t="s">
        <v>729</v>
      </c>
      <c r="R54" s="4" t="s">
        <v>30</v>
      </c>
      <c r="S54" s="3" t="s">
        <v>1145</v>
      </c>
      <c r="T54" s="3" t="s">
        <v>1146</v>
      </c>
      <c r="U54" s="3" t="s">
        <v>1145</v>
      </c>
      <c r="V54" s="4" t="s">
        <v>1147</v>
      </c>
      <c r="W54" s="3" t="s">
        <v>1080</v>
      </c>
      <c r="X54" s="5"/>
      <c r="Y54" s="5" t="s">
        <v>274</v>
      </c>
      <c r="Z54" s="5" t="s">
        <v>69</v>
      </c>
      <c r="AA54" s="3" t="s">
        <v>1148</v>
      </c>
      <c r="AB54" s="3" t="s">
        <v>1082</v>
      </c>
      <c r="AC54" s="9">
        <v>11831.204</v>
      </c>
      <c r="AD54" s="9">
        <v>15831.204</v>
      </c>
      <c r="AE54" s="3" t="s">
        <v>734</v>
      </c>
      <c r="AF54" s="3" t="s">
        <v>663</v>
      </c>
      <c r="AG54" s="5"/>
      <c r="AH54" s="3" t="s">
        <v>666</v>
      </c>
      <c r="AI54" s="5" t="s">
        <v>734</v>
      </c>
      <c r="AJ54" s="5"/>
      <c r="AK54" s="5"/>
      <c r="AL54" s="5"/>
      <c r="AM54" s="3" t="s">
        <v>1149</v>
      </c>
      <c r="AN54" s="3" t="s">
        <v>1150</v>
      </c>
      <c r="AO54" s="3" t="s">
        <v>1151</v>
      </c>
      <c r="AP54" s="3" t="s">
        <v>17</v>
      </c>
      <c r="AQ54" s="5"/>
      <c r="AR54" s="5"/>
      <c r="AS54" s="5"/>
      <c r="AT54" s="5"/>
      <c r="AU54" s="5"/>
      <c r="AV54" s="5"/>
      <c r="AW54" s="5">
        <v>0</v>
      </c>
      <c r="AX54" s="3" t="s">
        <v>44</v>
      </c>
      <c r="AY54" s="5" t="s">
        <v>823</v>
      </c>
      <c r="AZ54" s="3" t="s">
        <v>1152</v>
      </c>
      <c r="BA54" s="5" t="s">
        <v>1153</v>
      </c>
      <c r="BB54" s="3" t="s">
        <v>1056</v>
      </c>
      <c r="BC54" s="4" t="s">
        <v>771</v>
      </c>
      <c r="BD54" s="4" t="s">
        <v>846</v>
      </c>
      <c r="BE54" s="3" t="s">
        <v>72</v>
      </c>
      <c r="BF54" s="3" t="s">
        <v>1154</v>
      </c>
      <c r="BG54" s="3" t="s">
        <v>746</v>
      </c>
      <c r="BH54" s="3" t="s">
        <v>747</v>
      </c>
      <c r="BI54" s="5"/>
      <c r="BJ54" s="5"/>
      <c r="BK54" s="3"/>
      <c r="BL54" s="4" t="s">
        <v>909</v>
      </c>
      <c r="BM54" s="10"/>
      <c r="BN54" s="10"/>
      <c r="BO54" s="10"/>
      <c r="BP54" s="10">
        <v>1</v>
      </c>
      <c r="BQ54" s="10"/>
      <c r="BR54" s="10"/>
      <c r="BS54" s="10"/>
      <c r="BT54" s="10"/>
      <c r="BU54" s="10"/>
      <c r="BV54" s="10"/>
      <c r="BW54" s="10"/>
      <c r="BX54" s="10"/>
      <c r="BY54" s="3" t="s">
        <v>750</v>
      </c>
      <c r="BZ54" s="5">
        <v>7</v>
      </c>
      <c r="CA54" s="3" t="s">
        <v>72</v>
      </c>
      <c r="CB54" s="5"/>
      <c r="CC54" s="3" t="s">
        <v>40</v>
      </c>
      <c r="CD54" s="5"/>
      <c r="CE54" s="5"/>
      <c r="CF54" s="3" t="s">
        <v>751</v>
      </c>
      <c r="CG54" s="3" t="s">
        <v>752</v>
      </c>
      <c r="CH54" s="5" t="s">
        <v>1155</v>
      </c>
      <c r="CI54" s="3" t="s">
        <v>1156</v>
      </c>
      <c r="CJ54" s="3" t="s">
        <v>1157</v>
      </c>
      <c r="CK54" s="3" t="s">
        <v>1158</v>
      </c>
      <c r="CL54" s="3" t="s">
        <v>1158</v>
      </c>
      <c r="CM54" s="5" t="s">
        <v>754</v>
      </c>
      <c r="CN54" s="3" t="s">
        <v>755</v>
      </c>
      <c r="CO54" s="3" t="s">
        <v>756</v>
      </c>
      <c r="CP54" s="5"/>
      <c r="CQ54" s="3" t="s">
        <v>1159</v>
      </c>
      <c r="CR54" s="3" t="s">
        <v>1160</v>
      </c>
      <c r="CS54" s="3" t="s">
        <v>1148</v>
      </c>
      <c r="CT54" s="3" t="s">
        <v>44</v>
      </c>
      <c r="CU54" s="5"/>
      <c r="CV54" s="5"/>
      <c r="CW54" s="4" t="s">
        <v>846</v>
      </c>
      <c r="CX54" s="5" t="s">
        <v>1096</v>
      </c>
      <c r="CY54" s="11"/>
    </row>
    <row r="55" ht="12" customHeight="1" spans="1:103" x14ac:dyDescent="0.25">
      <c r="A55" s="8" t="s">
        <v>399</v>
      </c>
      <c r="B55" s="3" t="s">
        <v>879</v>
      </c>
      <c r="C55" s="5">
        <v>3</v>
      </c>
      <c r="D55" s="5">
        <v>3</v>
      </c>
      <c r="E55" s="5" t="s">
        <v>52</v>
      </c>
      <c r="F55" s="5">
        <v>0</v>
      </c>
      <c r="G55" s="5">
        <v>3</v>
      </c>
      <c r="H55" s="5">
        <v>0</v>
      </c>
      <c r="I55" s="5">
        <v>0</v>
      </c>
      <c r="J55" s="5">
        <v>3</v>
      </c>
      <c r="K55" s="3" t="s">
        <v>44</v>
      </c>
      <c r="L55" s="3" t="s">
        <v>728</v>
      </c>
      <c r="M55" s="3" t="s">
        <v>31</v>
      </c>
      <c r="N55" s="3" t="s">
        <v>32</v>
      </c>
      <c r="O55" s="3" t="s">
        <v>35</v>
      </c>
      <c r="P55" s="3" t="s">
        <v>40</v>
      </c>
      <c r="Q55" s="3" t="s">
        <v>729</v>
      </c>
      <c r="R55" s="4" t="s">
        <v>30</v>
      </c>
      <c r="S55" s="3" t="s">
        <v>36</v>
      </c>
      <c r="T55" s="3" t="s">
        <v>50</v>
      </c>
      <c r="U55" s="3" t="s">
        <v>36</v>
      </c>
      <c r="V55" s="4" t="s">
        <v>730</v>
      </c>
      <c r="W55" s="3" t="s">
        <v>731</v>
      </c>
      <c r="X55" s="5"/>
      <c r="Y55" s="5"/>
      <c r="Z55" s="5"/>
      <c r="AA55" s="3" t="s">
        <v>1161</v>
      </c>
      <c r="AB55" s="3" t="s">
        <v>1162</v>
      </c>
      <c r="AC55" s="9">
        <v>49736.4</v>
      </c>
      <c r="AD55" s="9">
        <v>56336.4</v>
      </c>
      <c r="AE55" s="3" t="s">
        <v>734</v>
      </c>
      <c r="AF55" s="3" t="s">
        <v>663</v>
      </c>
      <c r="AG55" s="5"/>
      <c r="AH55" s="3" t="s">
        <v>666</v>
      </c>
      <c r="AI55" s="5" t="s">
        <v>734</v>
      </c>
      <c r="AJ55" s="5"/>
      <c r="AK55" s="5"/>
      <c r="AL55" s="5"/>
      <c r="AM55" s="3" t="s">
        <v>804</v>
      </c>
      <c r="AN55" s="3" t="s">
        <v>805</v>
      </c>
      <c r="AO55" s="3" t="s">
        <v>1163</v>
      </c>
      <c r="AP55" s="3" t="s">
        <v>738</v>
      </c>
      <c r="AQ55" s="5"/>
      <c r="AR55" s="5"/>
      <c r="AS55" s="5"/>
      <c r="AT55" s="5"/>
      <c r="AU55" s="5"/>
      <c r="AV55" s="5"/>
      <c r="AW55" s="5">
        <v>0</v>
      </c>
      <c r="AX55" s="3" t="s">
        <v>44</v>
      </c>
      <c r="AY55" s="5" t="s">
        <v>739</v>
      </c>
      <c r="AZ55" s="3" t="s">
        <v>1164</v>
      </c>
      <c r="BA55" s="5" t="s">
        <v>1165</v>
      </c>
      <c r="BB55" s="3" t="s">
        <v>742</v>
      </c>
      <c r="BC55" s="4" t="s">
        <v>771</v>
      </c>
      <c r="BD55" s="4" t="s">
        <v>785</v>
      </c>
      <c r="BE55" s="3" t="s">
        <v>72</v>
      </c>
      <c r="BF55" s="3" t="s">
        <v>1163</v>
      </c>
      <c r="BG55" s="3" t="s">
        <v>746</v>
      </c>
      <c r="BH55" s="3" t="s">
        <v>747</v>
      </c>
      <c r="BI55" s="5"/>
      <c r="BJ55" s="5"/>
      <c r="BK55" s="3" t="s">
        <v>840</v>
      </c>
      <c r="BL55" s="4" t="s">
        <v>828</v>
      </c>
      <c r="BM55" s="10"/>
      <c r="BN55" s="10">
        <v>3</v>
      </c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3" t="s">
        <v>750</v>
      </c>
      <c r="BZ55" s="5"/>
      <c r="CA55" s="3" t="s">
        <v>72</v>
      </c>
      <c r="CB55" s="5"/>
      <c r="CC55" s="3" t="s">
        <v>842</v>
      </c>
      <c r="CD55" s="5"/>
      <c r="CE55" s="5"/>
      <c r="CF55" s="3" t="s">
        <v>751</v>
      </c>
      <c r="CG55" s="3" t="s">
        <v>752</v>
      </c>
      <c r="CH55" s="5"/>
      <c r="CI55" s="3" t="s">
        <v>1166</v>
      </c>
      <c r="CJ55" s="3" t="s">
        <v>400</v>
      </c>
      <c r="CK55" s="3" t="s">
        <v>401</v>
      </c>
      <c r="CL55" s="3" t="s">
        <v>401</v>
      </c>
      <c r="CM55" s="5" t="s">
        <v>754</v>
      </c>
      <c r="CN55" s="3" t="s">
        <v>755</v>
      </c>
      <c r="CO55" s="3" t="s">
        <v>756</v>
      </c>
      <c r="CP55" s="5"/>
      <c r="CQ55" s="3" t="s">
        <v>1167</v>
      </c>
      <c r="CR55" s="3" t="s">
        <v>1168</v>
      </c>
      <c r="CS55" s="3" t="s">
        <v>1161</v>
      </c>
      <c r="CT55" s="3" t="s">
        <v>44</v>
      </c>
      <c r="CU55" s="5"/>
      <c r="CV55" s="5"/>
      <c r="CW55" s="4" t="s">
        <v>792</v>
      </c>
      <c r="CX55" s="5" t="s">
        <v>1169</v>
      </c>
      <c r="CY55" s="11"/>
    </row>
    <row r="56" ht="12" customHeight="1" spans="1:103" x14ac:dyDescent="0.25">
      <c r="A56" s="8" t="s">
        <v>395</v>
      </c>
      <c r="B56" s="3" t="s">
        <v>762</v>
      </c>
      <c r="C56" s="5">
        <v>1</v>
      </c>
      <c r="D56" s="5">
        <v>1</v>
      </c>
      <c r="E56" s="5"/>
      <c r="F56" s="5">
        <v>0</v>
      </c>
      <c r="G56" s="5">
        <v>1</v>
      </c>
      <c r="H56" s="5">
        <v>0</v>
      </c>
      <c r="I56" s="5">
        <v>0</v>
      </c>
      <c r="J56" s="5">
        <v>1</v>
      </c>
      <c r="K56" s="3" t="s">
        <v>44</v>
      </c>
      <c r="L56" s="3" t="s">
        <v>728</v>
      </c>
      <c r="M56" s="3" t="s">
        <v>31</v>
      </c>
      <c r="N56" s="3" t="s">
        <v>32</v>
      </c>
      <c r="O56" s="3" t="s">
        <v>35</v>
      </c>
      <c r="P56" s="3" t="s">
        <v>40</v>
      </c>
      <c r="Q56" s="3" t="s">
        <v>729</v>
      </c>
      <c r="R56" s="4" t="s">
        <v>30</v>
      </c>
      <c r="S56" s="3" t="s">
        <v>36</v>
      </c>
      <c r="T56" s="3" t="s">
        <v>50</v>
      </c>
      <c r="U56" s="3" t="s">
        <v>36</v>
      </c>
      <c r="V56" s="4" t="s">
        <v>730</v>
      </c>
      <c r="W56" s="3" t="s">
        <v>731</v>
      </c>
      <c r="X56" s="5"/>
      <c r="Y56" s="5"/>
      <c r="Z56" s="5"/>
      <c r="AA56" s="3" t="s">
        <v>1170</v>
      </c>
      <c r="AB56" s="3" t="s">
        <v>1171</v>
      </c>
      <c r="AC56" s="9">
        <v>1877.47</v>
      </c>
      <c r="AD56" s="9">
        <v>4077.47</v>
      </c>
      <c r="AE56" s="3" t="s">
        <v>734</v>
      </c>
      <c r="AF56" s="3" t="s">
        <v>663</v>
      </c>
      <c r="AG56" s="5"/>
      <c r="AH56" s="3" t="s">
        <v>666</v>
      </c>
      <c r="AI56" s="5" t="s">
        <v>734</v>
      </c>
      <c r="AJ56" s="5"/>
      <c r="AK56" s="5"/>
      <c r="AL56" s="5"/>
      <c r="AM56" s="3" t="s">
        <v>998</v>
      </c>
      <c r="AN56" s="3" t="s">
        <v>999</v>
      </c>
      <c r="AO56" s="3" t="s">
        <v>1172</v>
      </c>
      <c r="AP56" s="3" t="s">
        <v>738</v>
      </c>
      <c r="AQ56" s="5"/>
      <c r="AR56" s="5"/>
      <c r="AS56" s="5"/>
      <c r="AT56" s="5"/>
      <c r="AU56" s="5"/>
      <c r="AV56" s="5"/>
      <c r="AW56" s="5">
        <v>0</v>
      </c>
      <c r="AX56" s="3" t="s">
        <v>44</v>
      </c>
      <c r="AY56" s="5" t="s">
        <v>739</v>
      </c>
      <c r="AZ56" s="3" t="s">
        <v>1173</v>
      </c>
      <c r="BA56" s="5" t="s">
        <v>832</v>
      </c>
      <c r="BB56" s="3" t="s">
        <v>742</v>
      </c>
      <c r="BC56" s="4" t="s">
        <v>771</v>
      </c>
      <c r="BD56" s="4" t="s">
        <v>827</v>
      </c>
      <c r="BE56" s="3" t="s">
        <v>72</v>
      </c>
      <c r="BF56" s="3" t="s">
        <v>1172</v>
      </c>
      <c r="BG56" s="3" t="s">
        <v>746</v>
      </c>
      <c r="BH56" s="3" t="s">
        <v>747</v>
      </c>
      <c r="BI56" s="5"/>
      <c r="BJ56" s="5"/>
      <c r="BK56" s="3" t="s">
        <v>949</v>
      </c>
      <c r="BL56" s="4" t="s">
        <v>792</v>
      </c>
      <c r="BM56" s="10"/>
      <c r="BN56" s="10">
        <v>1</v>
      </c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3" t="s">
        <v>750</v>
      </c>
      <c r="BZ56" s="5"/>
      <c r="CA56" s="3" t="s">
        <v>72</v>
      </c>
      <c r="CB56" s="5"/>
      <c r="CC56" s="3" t="s">
        <v>40</v>
      </c>
      <c r="CD56" s="5"/>
      <c r="CE56" s="5"/>
      <c r="CF56" s="3" t="s">
        <v>751</v>
      </c>
      <c r="CG56" s="3" t="s">
        <v>752</v>
      </c>
      <c r="CH56" s="5"/>
      <c r="CI56" s="3" t="s">
        <v>1174</v>
      </c>
      <c r="CJ56" s="3" t="s">
        <v>396</v>
      </c>
      <c r="CK56" s="3" t="s">
        <v>397</v>
      </c>
      <c r="CL56" s="3" t="s">
        <v>397</v>
      </c>
      <c r="CM56" s="5" t="s">
        <v>754</v>
      </c>
      <c r="CN56" s="3" t="s">
        <v>755</v>
      </c>
      <c r="CO56" s="3" t="s">
        <v>756</v>
      </c>
      <c r="CP56" s="5"/>
      <c r="CQ56" s="3" t="s">
        <v>1175</v>
      </c>
      <c r="CR56" s="3" t="s">
        <v>1176</v>
      </c>
      <c r="CS56" s="3" t="s">
        <v>1170</v>
      </c>
      <c r="CT56" s="3" t="s">
        <v>44</v>
      </c>
      <c r="CU56" s="5"/>
      <c r="CV56" s="5"/>
      <c r="CW56" s="4" t="s">
        <v>30</v>
      </c>
      <c r="CX56" s="5" t="s">
        <v>1177</v>
      </c>
      <c r="CY56" s="11" t="s">
        <v>832</v>
      </c>
    </row>
    <row r="57" ht="12" customHeight="1" spans="1:103" x14ac:dyDescent="0.25">
      <c r="A57" s="8" t="s">
        <v>169</v>
      </c>
      <c r="B57" s="3" t="s">
        <v>1007</v>
      </c>
      <c r="C57" s="5">
        <v>3</v>
      </c>
      <c r="D57" s="5">
        <v>3</v>
      </c>
      <c r="E57" s="5" t="s">
        <v>52</v>
      </c>
      <c r="F57" s="5">
        <v>0</v>
      </c>
      <c r="G57" s="5">
        <v>0</v>
      </c>
      <c r="H57" s="5">
        <v>0</v>
      </c>
      <c r="I57" s="5">
        <v>3</v>
      </c>
      <c r="J57" s="5">
        <v>6</v>
      </c>
      <c r="K57" s="3" t="s">
        <v>44</v>
      </c>
      <c r="L57" s="3" t="s">
        <v>728</v>
      </c>
      <c r="M57" s="3" t="s">
        <v>31</v>
      </c>
      <c r="N57" s="3" t="s">
        <v>32</v>
      </c>
      <c r="O57" s="3" t="s">
        <v>35</v>
      </c>
      <c r="P57" s="3" t="s">
        <v>40</v>
      </c>
      <c r="Q57" s="3" t="s">
        <v>729</v>
      </c>
      <c r="R57" s="4" t="s">
        <v>30</v>
      </c>
      <c r="S57" s="3" t="s">
        <v>36</v>
      </c>
      <c r="T57" s="3" t="s">
        <v>50</v>
      </c>
      <c r="U57" s="3" t="s">
        <v>36</v>
      </c>
      <c r="V57" s="4" t="s">
        <v>730</v>
      </c>
      <c r="W57" s="3" t="s">
        <v>731</v>
      </c>
      <c r="X57" s="5"/>
      <c r="Y57" s="5"/>
      <c r="Z57" s="5"/>
      <c r="AA57" s="3" t="s">
        <v>1028</v>
      </c>
      <c r="AB57" s="3" t="s">
        <v>166</v>
      </c>
      <c r="AC57" s="9">
        <v>80230</v>
      </c>
      <c r="AD57" s="9">
        <v>92230</v>
      </c>
      <c r="AE57" s="3" t="s">
        <v>734</v>
      </c>
      <c r="AF57" s="3"/>
      <c r="AG57" s="5"/>
      <c r="AH57" s="3" t="s">
        <v>666</v>
      </c>
      <c r="AI57" s="5" t="s">
        <v>734</v>
      </c>
      <c r="AJ57" s="5"/>
      <c r="AK57" s="5"/>
      <c r="AL57" s="5"/>
      <c r="AM57" s="3" t="s">
        <v>804</v>
      </c>
      <c r="AN57" s="3" t="s">
        <v>805</v>
      </c>
      <c r="AO57" s="3" t="s">
        <v>1029</v>
      </c>
      <c r="AP57" s="3" t="s">
        <v>738</v>
      </c>
      <c r="AQ57" s="5"/>
      <c r="AR57" s="5"/>
      <c r="AS57" s="5"/>
      <c r="AT57" s="5"/>
      <c r="AU57" s="5"/>
      <c r="AV57" s="5"/>
      <c r="AW57" s="5">
        <v>0</v>
      </c>
      <c r="AX57" s="3" t="s">
        <v>44</v>
      </c>
      <c r="AY57" s="5" t="s">
        <v>823</v>
      </c>
      <c r="AZ57" s="3" t="s">
        <v>1178</v>
      </c>
      <c r="BA57" s="5" t="s">
        <v>1179</v>
      </c>
      <c r="BB57" s="3" t="s">
        <v>742</v>
      </c>
      <c r="BC57" s="4" t="s">
        <v>771</v>
      </c>
      <c r="BD57" s="4" t="s">
        <v>785</v>
      </c>
      <c r="BE57" s="3" t="s">
        <v>72</v>
      </c>
      <c r="BF57" s="3" t="s">
        <v>1032</v>
      </c>
      <c r="BG57" s="3" t="s">
        <v>746</v>
      </c>
      <c r="BH57" s="3" t="s">
        <v>747</v>
      </c>
      <c r="BI57" s="5"/>
      <c r="BJ57" s="5"/>
      <c r="BK57" s="3" t="s">
        <v>840</v>
      </c>
      <c r="BL57" s="4" t="s">
        <v>892</v>
      </c>
      <c r="BM57" s="10"/>
      <c r="BN57" s="10"/>
      <c r="BO57" s="10"/>
      <c r="BP57" s="10">
        <v>3</v>
      </c>
      <c r="BQ57" s="10"/>
      <c r="BR57" s="10"/>
      <c r="BS57" s="10"/>
      <c r="BT57" s="10"/>
      <c r="BU57" s="10"/>
      <c r="BV57" s="10"/>
      <c r="BW57" s="10"/>
      <c r="BX57" s="10"/>
      <c r="BY57" s="3" t="s">
        <v>750</v>
      </c>
      <c r="BZ57" s="5"/>
      <c r="CA57" s="3" t="s">
        <v>72</v>
      </c>
      <c r="CB57" s="5"/>
      <c r="CC57" s="3" t="s">
        <v>842</v>
      </c>
      <c r="CD57" s="5"/>
      <c r="CE57" s="5"/>
      <c r="CF57" s="3" t="s">
        <v>751</v>
      </c>
      <c r="CG57" s="3" t="s">
        <v>752</v>
      </c>
      <c r="CH57" s="5"/>
      <c r="CI57" s="3" t="s">
        <v>1034</v>
      </c>
      <c r="CJ57" s="3" t="s">
        <v>166</v>
      </c>
      <c r="CK57" s="3" t="s">
        <v>170</v>
      </c>
      <c r="CL57" s="3" t="s">
        <v>170</v>
      </c>
      <c r="CM57" s="5" t="s">
        <v>754</v>
      </c>
      <c r="CN57" s="3" t="s">
        <v>755</v>
      </c>
      <c r="CO57" s="3" t="s">
        <v>756</v>
      </c>
      <c r="CP57" s="5"/>
      <c r="CQ57" s="3" t="s">
        <v>1035</v>
      </c>
      <c r="CR57" s="3" t="s">
        <v>1036</v>
      </c>
      <c r="CS57" s="3" t="s">
        <v>1028</v>
      </c>
      <c r="CT57" s="3" t="s">
        <v>44</v>
      </c>
      <c r="CU57" s="5"/>
      <c r="CV57" s="5"/>
      <c r="CW57" s="4" t="s">
        <v>792</v>
      </c>
      <c r="CX57" s="5" t="s">
        <v>1037</v>
      </c>
      <c r="CY57" s="11"/>
    </row>
    <row r="58" ht="12" customHeight="1" spans="1:103" x14ac:dyDescent="0.25">
      <c r="A58" s="8" t="s">
        <v>488</v>
      </c>
      <c r="B58" s="3" t="s">
        <v>762</v>
      </c>
      <c r="C58" s="5">
        <v>1</v>
      </c>
      <c r="D58" s="5">
        <v>1</v>
      </c>
      <c r="E58" s="5" t="s">
        <v>52</v>
      </c>
      <c r="F58" s="5">
        <v>0</v>
      </c>
      <c r="G58" s="5">
        <v>1</v>
      </c>
      <c r="H58" s="5">
        <v>0</v>
      </c>
      <c r="I58" s="5">
        <v>0</v>
      </c>
      <c r="J58" s="5">
        <v>1</v>
      </c>
      <c r="K58" s="3" t="s">
        <v>44</v>
      </c>
      <c r="L58" s="3" t="s">
        <v>728</v>
      </c>
      <c r="M58" s="3" t="s">
        <v>31</v>
      </c>
      <c r="N58" s="3" t="s">
        <v>32</v>
      </c>
      <c r="O58" s="3" t="s">
        <v>35</v>
      </c>
      <c r="P58" s="3" t="s">
        <v>40</v>
      </c>
      <c r="Q58" s="3" t="s">
        <v>729</v>
      </c>
      <c r="R58" s="4" t="s">
        <v>30</v>
      </c>
      <c r="S58" s="3" t="s">
        <v>36</v>
      </c>
      <c r="T58" s="3" t="s">
        <v>50</v>
      </c>
      <c r="U58" s="3" t="s">
        <v>36</v>
      </c>
      <c r="V58" s="4" t="s">
        <v>730</v>
      </c>
      <c r="W58" s="3" t="s">
        <v>731</v>
      </c>
      <c r="X58" s="5"/>
      <c r="Y58" s="5"/>
      <c r="Z58" s="5"/>
      <c r="AA58" s="3" t="s">
        <v>490</v>
      </c>
      <c r="AB58" s="3" t="s">
        <v>1180</v>
      </c>
      <c r="AC58" s="9">
        <v>4583.67</v>
      </c>
      <c r="AD58" s="9">
        <v>6783.67</v>
      </c>
      <c r="AE58" s="3" t="s">
        <v>734</v>
      </c>
      <c r="AF58" s="3" t="s">
        <v>663</v>
      </c>
      <c r="AG58" s="5"/>
      <c r="AH58" s="3" t="s">
        <v>666</v>
      </c>
      <c r="AI58" s="5" t="s">
        <v>734</v>
      </c>
      <c r="AJ58" s="5"/>
      <c r="AK58" s="5"/>
      <c r="AL58" s="5"/>
      <c r="AM58" s="3" t="s">
        <v>895</v>
      </c>
      <c r="AN58" s="3" t="s">
        <v>896</v>
      </c>
      <c r="AO58" s="3" t="s">
        <v>1181</v>
      </c>
      <c r="AP58" s="3" t="s">
        <v>738</v>
      </c>
      <c r="AQ58" s="5"/>
      <c r="AR58" s="5"/>
      <c r="AS58" s="5"/>
      <c r="AT58" s="5"/>
      <c r="AU58" s="5"/>
      <c r="AV58" s="5"/>
      <c r="AW58" s="5">
        <v>0</v>
      </c>
      <c r="AX58" s="3" t="s">
        <v>44</v>
      </c>
      <c r="AY58" s="5" t="s">
        <v>739</v>
      </c>
      <c r="AZ58" s="3" t="s">
        <v>1182</v>
      </c>
      <c r="BA58" s="5" t="s">
        <v>1183</v>
      </c>
      <c r="BB58" s="3" t="s">
        <v>742</v>
      </c>
      <c r="BC58" s="4" t="s">
        <v>810</v>
      </c>
      <c r="BD58" s="4" t="s">
        <v>785</v>
      </c>
      <c r="BE58" s="3" t="s">
        <v>72</v>
      </c>
      <c r="BF58" s="3" t="s">
        <v>1181</v>
      </c>
      <c r="BG58" s="3" t="s">
        <v>746</v>
      </c>
      <c r="BH58" s="3" t="s">
        <v>747</v>
      </c>
      <c r="BI58" s="5"/>
      <c r="BJ58" s="5"/>
      <c r="BK58" s="3" t="s">
        <v>840</v>
      </c>
      <c r="BL58" s="4" t="s">
        <v>797</v>
      </c>
      <c r="BM58" s="10"/>
      <c r="BN58" s="10">
        <v>1</v>
      </c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3" t="s">
        <v>750</v>
      </c>
      <c r="BZ58" s="5"/>
      <c r="CA58" s="3" t="s">
        <v>72</v>
      </c>
      <c r="CB58" s="5"/>
      <c r="CC58" s="3" t="s">
        <v>842</v>
      </c>
      <c r="CD58" s="5"/>
      <c r="CE58" s="5"/>
      <c r="CF58" s="3" t="s">
        <v>751</v>
      </c>
      <c r="CG58" s="3" t="s">
        <v>752</v>
      </c>
      <c r="CH58" s="5"/>
      <c r="CI58" s="3" t="s">
        <v>1184</v>
      </c>
      <c r="CJ58" s="3" t="s">
        <v>490</v>
      </c>
      <c r="CK58" s="3" t="s">
        <v>491</v>
      </c>
      <c r="CL58" s="3" t="s">
        <v>492</v>
      </c>
      <c r="CM58" s="5" t="s">
        <v>754</v>
      </c>
      <c r="CN58" s="3" t="s">
        <v>755</v>
      </c>
      <c r="CO58" s="3" t="s">
        <v>756</v>
      </c>
      <c r="CP58" s="5"/>
      <c r="CQ58" s="3" t="s">
        <v>1185</v>
      </c>
      <c r="CR58" s="3" t="s">
        <v>1186</v>
      </c>
      <c r="CS58" s="3" t="s">
        <v>490</v>
      </c>
      <c r="CT58" s="3" t="s">
        <v>44</v>
      </c>
      <c r="CU58" s="5"/>
      <c r="CV58" s="5"/>
      <c r="CW58" s="4" t="s">
        <v>846</v>
      </c>
      <c r="CX58" s="5" t="s">
        <v>1187</v>
      </c>
      <c r="CY58" s="11"/>
    </row>
    <row r="59" ht="12" customHeight="1" spans="1:103" x14ac:dyDescent="0.25">
      <c r="A59" s="8" t="s">
        <v>413</v>
      </c>
      <c r="B59" s="3" t="s">
        <v>1188</v>
      </c>
      <c r="C59" s="5">
        <v>0</v>
      </c>
      <c r="D59" s="5">
        <v>20</v>
      </c>
      <c r="E59" s="5" t="s">
        <v>412</v>
      </c>
      <c r="F59" s="5">
        <v>0</v>
      </c>
      <c r="G59" s="5">
        <v>20</v>
      </c>
      <c r="H59" s="5">
        <v>0</v>
      </c>
      <c r="I59" s="5">
        <v>0</v>
      </c>
      <c r="J59" s="5">
        <v>20</v>
      </c>
      <c r="K59" s="3" t="s">
        <v>44</v>
      </c>
      <c r="L59" s="3" t="s">
        <v>728</v>
      </c>
      <c r="M59" s="3" t="s">
        <v>31</v>
      </c>
      <c r="N59" s="3" t="s">
        <v>32</v>
      </c>
      <c r="O59" s="3" t="s">
        <v>35</v>
      </c>
      <c r="P59" s="3" t="s">
        <v>40</v>
      </c>
      <c r="Q59" s="3" t="s">
        <v>729</v>
      </c>
      <c r="R59" s="4" t="s">
        <v>30</v>
      </c>
      <c r="S59" s="3" t="s">
        <v>36</v>
      </c>
      <c r="T59" s="3" t="s">
        <v>50</v>
      </c>
      <c r="U59" s="3" t="s">
        <v>36</v>
      </c>
      <c r="V59" s="4" t="s">
        <v>730</v>
      </c>
      <c r="W59" s="3" t="s">
        <v>731</v>
      </c>
      <c r="X59" s="5"/>
      <c r="Y59" s="5"/>
      <c r="Z59" s="5"/>
      <c r="AA59" s="3" t="s">
        <v>1189</v>
      </c>
      <c r="AB59" s="3" t="s">
        <v>1190</v>
      </c>
      <c r="AC59" s="9">
        <v>380912</v>
      </c>
      <c r="AD59" s="9">
        <v>424912</v>
      </c>
      <c r="AE59" s="3" t="s">
        <v>734</v>
      </c>
      <c r="AF59" s="3" t="s">
        <v>663</v>
      </c>
      <c r="AG59" s="5"/>
      <c r="AH59" s="3" t="s">
        <v>666</v>
      </c>
      <c r="AI59" s="5" t="s">
        <v>734</v>
      </c>
      <c r="AJ59" s="5"/>
      <c r="AK59" s="5"/>
      <c r="AL59" s="5"/>
      <c r="AM59" s="3" t="s">
        <v>998</v>
      </c>
      <c r="AN59" s="3" t="s">
        <v>999</v>
      </c>
      <c r="AO59" s="3" t="s">
        <v>1191</v>
      </c>
      <c r="AP59" s="3" t="s">
        <v>738</v>
      </c>
      <c r="AQ59" s="5"/>
      <c r="AR59" s="5"/>
      <c r="AS59" s="5"/>
      <c r="AT59" s="5"/>
      <c r="AU59" s="5"/>
      <c r="AV59" s="5"/>
      <c r="AW59" s="5">
        <v>0</v>
      </c>
      <c r="AX59" s="3" t="s">
        <v>44</v>
      </c>
      <c r="AY59" s="5" t="s">
        <v>823</v>
      </c>
      <c r="AZ59" s="3" t="s">
        <v>1192</v>
      </c>
      <c r="BA59" s="5" t="s">
        <v>1193</v>
      </c>
      <c r="BB59" s="3" t="s">
        <v>742</v>
      </c>
      <c r="BC59" s="4" t="s">
        <v>810</v>
      </c>
      <c r="BD59" s="4" t="s">
        <v>785</v>
      </c>
      <c r="BE59" s="3" t="s">
        <v>72</v>
      </c>
      <c r="BF59" s="3" t="s">
        <v>1191</v>
      </c>
      <c r="BG59" s="3" t="s">
        <v>746</v>
      </c>
      <c r="BH59" s="3" t="s">
        <v>747</v>
      </c>
      <c r="BI59" s="5"/>
      <c r="BJ59" s="5"/>
      <c r="BK59" s="3" t="s">
        <v>1194</v>
      </c>
      <c r="BL59" s="4" t="s">
        <v>828</v>
      </c>
      <c r="BM59" s="10"/>
      <c r="BN59" s="10">
        <v>20</v>
      </c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3" t="s">
        <v>750</v>
      </c>
      <c r="BZ59" s="5"/>
      <c r="CA59" s="3" t="s">
        <v>72</v>
      </c>
      <c r="CB59" s="5"/>
      <c r="CC59" s="3" t="s">
        <v>1194</v>
      </c>
      <c r="CD59" s="5"/>
      <c r="CE59" s="5"/>
      <c r="CF59" s="3" t="s">
        <v>751</v>
      </c>
      <c r="CG59" s="3" t="s">
        <v>1195</v>
      </c>
      <c r="CH59" s="5"/>
      <c r="CI59" s="3" t="s">
        <v>1196</v>
      </c>
      <c r="CJ59" s="3" t="s">
        <v>414</v>
      </c>
      <c r="CK59" s="3" t="s">
        <v>131</v>
      </c>
      <c r="CL59" s="3" t="s">
        <v>415</v>
      </c>
      <c r="CM59" s="5" t="s">
        <v>754</v>
      </c>
      <c r="CN59" s="3" t="s">
        <v>755</v>
      </c>
      <c r="CO59" s="3" t="s">
        <v>756</v>
      </c>
      <c r="CP59" s="5"/>
      <c r="CQ59" s="3" t="s">
        <v>1197</v>
      </c>
      <c r="CR59" s="3" t="s">
        <v>1198</v>
      </c>
      <c r="CS59" s="3" t="s">
        <v>1189</v>
      </c>
      <c r="CT59" s="3" t="s">
        <v>44</v>
      </c>
      <c r="CU59" s="5"/>
      <c r="CV59" s="5"/>
      <c r="CW59" s="4" t="s">
        <v>792</v>
      </c>
      <c r="CX59" s="5" t="s">
        <v>1199</v>
      </c>
      <c r="CY59" s="11"/>
    </row>
    <row r="60" ht="12" customHeight="1" spans="1:103" x14ac:dyDescent="0.25">
      <c r="A60" s="8" t="s">
        <v>339</v>
      </c>
      <c r="B60" s="3" t="s">
        <v>762</v>
      </c>
      <c r="C60" s="5">
        <v>1</v>
      </c>
      <c r="D60" s="5">
        <v>1</v>
      </c>
      <c r="E60" s="5"/>
      <c r="F60" s="5">
        <v>0</v>
      </c>
      <c r="G60" s="5">
        <v>1</v>
      </c>
      <c r="H60" s="5">
        <v>0</v>
      </c>
      <c r="I60" s="5">
        <v>0</v>
      </c>
      <c r="J60" s="5">
        <v>1</v>
      </c>
      <c r="K60" s="3" t="s">
        <v>44</v>
      </c>
      <c r="L60" s="3" t="s">
        <v>728</v>
      </c>
      <c r="M60" s="3" t="s">
        <v>31</v>
      </c>
      <c r="N60" s="3" t="s">
        <v>32</v>
      </c>
      <c r="O60" s="3" t="s">
        <v>35</v>
      </c>
      <c r="P60" s="3" t="s">
        <v>40</v>
      </c>
      <c r="Q60" s="3" t="s">
        <v>729</v>
      </c>
      <c r="R60" s="4" t="s">
        <v>30</v>
      </c>
      <c r="S60" s="3" t="s">
        <v>36</v>
      </c>
      <c r="T60" s="3" t="s">
        <v>50</v>
      </c>
      <c r="U60" s="3" t="s">
        <v>36</v>
      </c>
      <c r="V60" s="4" t="s">
        <v>730</v>
      </c>
      <c r="W60" s="3" t="s">
        <v>731</v>
      </c>
      <c r="X60" s="5"/>
      <c r="Y60" s="5"/>
      <c r="Z60" s="5"/>
      <c r="AA60" s="3" t="s">
        <v>1200</v>
      </c>
      <c r="AB60" s="3" t="s">
        <v>1201</v>
      </c>
      <c r="AC60" s="9">
        <v>4162.98</v>
      </c>
      <c r="AD60" s="9">
        <v>6362.98</v>
      </c>
      <c r="AE60" s="3" t="s">
        <v>734</v>
      </c>
      <c r="AF60" s="3"/>
      <c r="AG60" s="5"/>
      <c r="AH60" s="3" t="s">
        <v>918</v>
      </c>
      <c r="AI60" s="5" t="s">
        <v>734</v>
      </c>
      <c r="AJ60" s="5"/>
      <c r="AK60" s="5"/>
      <c r="AL60" s="5"/>
      <c r="AM60" s="3" t="s">
        <v>998</v>
      </c>
      <c r="AN60" s="3" t="s">
        <v>999</v>
      </c>
      <c r="AO60" s="3" t="s">
        <v>1202</v>
      </c>
      <c r="AP60" s="3" t="s">
        <v>738</v>
      </c>
      <c r="AQ60" s="5"/>
      <c r="AR60" s="5"/>
      <c r="AS60" s="5"/>
      <c r="AT60" s="5"/>
      <c r="AU60" s="5"/>
      <c r="AV60" s="5"/>
      <c r="AW60" s="5">
        <v>0</v>
      </c>
      <c r="AX60" s="3" t="s">
        <v>44</v>
      </c>
      <c r="AY60" s="5" t="s">
        <v>739</v>
      </c>
      <c r="AZ60" s="3" t="s">
        <v>1203</v>
      </c>
      <c r="BA60" s="5"/>
      <c r="BB60" s="3" t="s">
        <v>742</v>
      </c>
      <c r="BC60" s="4" t="s">
        <v>810</v>
      </c>
      <c r="BD60" s="4" t="s">
        <v>827</v>
      </c>
      <c r="BE60" s="3" t="s">
        <v>72</v>
      </c>
      <c r="BF60" s="3" t="s">
        <v>1204</v>
      </c>
      <c r="BG60" s="3" t="s">
        <v>746</v>
      </c>
      <c r="BH60" s="3" t="s">
        <v>747</v>
      </c>
      <c r="BI60" s="5"/>
      <c r="BJ60" s="5"/>
      <c r="BK60" s="3" t="s">
        <v>748</v>
      </c>
      <c r="BL60" s="4" t="s">
        <v>792</v>
      </c>
      <c r="BM60" s="10"/>
      <c r="BN60" s="10">
        <v>1</v>
      </c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3" t="s">
        <v>750</v>
      </c>
      <c r="BZ60" s="5"/>
      <c r="CA60" s="3" t="s">
        <v>72</v>
      </c>
      <c r="CB60" s="5"/>
      <c r="CC60" s="3" t="s">
        <v>40</v>
      </c>
      <c r="CD60" s="5"/>
      <c r="CE60" s="5"/>
      <c r="CF60" s="3" t="s">
        <v>751</v>
      </c>
      <c r="CG60" s="3" t="s">
        <v>752</v>
      </c>
      <c r="CH60" s="5"/>
      <c r="CI60" s="3" t="s">
        <v>1205</v>
      </c>
      <c r="CJ60" s="3" t="s">
        <v>340</v>
      </c>
      <c r="CK60" s="3" t="s">
        <v>341</v>
      </c>
      <c r="CL60" s="3" t="s">
        <v>341</v>
      </c>
      <c r="CM60" s="5" t="s">
        <v>754</v>
      </c>
      <c r="CN60" s="3" t="s">
        <v>755</v>
      </c>
      <c r="CO60" s="3" t="s">
        <v>756</v>
      </c>
      <c r="CP60" s="5"/>
      <c r="CQ60" s="3" t="s">
        <v>1206</v>
      </c>
      <c r="CR60" s="3" t="s">
        <v>1207</v>
      </c>
      <c r="CS60" s="3" t="s">
        <v>1200</v>
      </c>
      <c r="CT60" s="3" t="s">
        <v>44</v>
      </c>
      <c r="CU60" s="5"/>
      <c r="CV60" s="5"/>
      <c r="CW60" s="4" t="s">
        <v>792</v>
      </c>
      <c r="CX60" s="5" t="s">
        <v>1208</v>
      </c>
      <c r="CY60" s="11"/>
    </row>
    <row r="61" ht="12" customHeight="1" spans="1:103" x14ac:dyDescent="0.25">
      <c r="A61" s="8" t="s">
        <v>62</v>
      </c>
      <c r="B61" s="3" t="s">
        <v>727</v>
      </c>
      <c r="C61" s="5">
        <v>1</v>
      </c>
      <c r="D61" s="5">
        <v>1</v>
      </c>
      <c r="E61" s="5"/>
      <c r="F61" s="5">
        <v>0</v>
      </c>
      <c r="G61" s="5">
        <v>0</v>
      </c>
      <c r="H61" s="5">
        <v>0</v>
      </c>
      <c r="I61" s="5">
        <v>1</v>
      </c>
      <c r="J61" s="5">
        <v>2</v>
      </c>
      <c r="K61" s="3" t="s">
        <v>44</v>
      </c>
      <c r="L61" s="3" t="s">
        <v>728</v>
      </c>
      <c r="M61" s="3" t="s">
        <v>31</v>
      </c>
      <c r="N61" s="3" t="s">
        <v>32</v>
      </c>
      <c r="O61" s="3" t="s">
        <v>35</v>
      </c>
      <c r="P61" s="3" t="s">
        <v>40</v>
      </c>
      <c r="Q61" s="3" t="s">
        <v>729</v>
      </c>
      <c r="R61" s="4" t="s">
        <v>30</v>
      </c>
      <c r="S61" s="3" t="s">
        <v>36</v>
      </c>
      <c r="T61" s="3" t="s">
        <v>50</v>
      </c>
      <c r="U61" s="3" t="s">
        <v>36</v>
      </c>
      <c r="V61" s="4" t="s">
        <v>730</v>
      </c>
      <c r="W61" s="3" t="s">
        <v>731</v>
      </c>
      <c r="X61" s="5"/>
      <c r="Y61" s="5"/>
      <c r="Z61" s="5"/>
      <c r="AA61" s="3" t="s">
        <v>1209</v>
      </c>
      <c r="AB61" s="3" t="s">
        <v>1210</v>
      </c>
      <c r="AC61" s="9">
        <v>21697</v>
      </c>
      <c r="AD61" s="9">
        <v>25697</v>
      </c>
      <c r="AE61" s="3" t="s">
        <v>734</v>
      </c>
      <c r="AF61" s="3"/>
      <c r="AG61" s="5"/>
      <c r="AH61" s="3" t="s">
        <v>666</v>
      </c>
      <c r="AI61" s="5" t="s">
        <v>734</v>
      </c>
      <c r="AJ61" s="5"/>
      <c r="AK61" s="5"/>
      <c r="AL61" s="5"/>
      <c r="AM61" s="3" t="s">
        <v>998</v>
      </c>
      <c r="AN61" s="3" t="s">
        <v>999</v>
      </c>
      <c r="AO61" s="3" t="s">
        <v>1211</v>
      </c>
      <c r="AP61" s="3" t="s">
        <v>738</v>
      </c>
      <c r="AQ61" s="5"/>
      <c r="AR61" s="5"/>
      <c r="AS61" s="5"/>
      <c r="AT61" s="5"/>
      <c r="AU61" s="5"/>
      <c r="AV61" s="5"/>
      <c r="AW61" s="5">
        <v>0</v>
      </c>
      <c r="AX61" s="3" t="s">
        <v>44</v>
      </c>
      <c r="AY61" s="5" t="s">
        <v>739</v>
      </c>
      <c r="AZ61" s="3" t="s">
        <v>1212</v>
      </c>
      <c r="BA61" s="5"/>
      <c r="BB61" s="3" t="s">
        <v>742</v>
      </c>
      <c r="BC61" s="4" t="s">
        <v>810</v>
      </c>
      <c r="BD61" s="4" t="s">
        <v>785</v>
      </c>
      <c r="BE61" s="3" t="s">
        <v>72</v>
      </c>
      <c r="BF61" s="3" t="s">
        <v>1211</v>
      </c>
      <c r="BG61" s="3" t="s">
        <v>746</v>
      </c>
      <c r="BH61" s="3" t="s">
        <v>747</v>
      </c>
      <c r="BI61" s="5"/>
      <c r="BJ61" s="5"/>
      <c r="BK61" s="3" t="s">
        <v>748</v>
      </c>
      <c r="BL61" s="4" t="s">
        <v>841</v>
      </c>
      <c r="BM61" s="10"/>
      <c r="BN61" s="10"/>
      <c r="BO61" s="10"/>
      <c r="BP61" s="10">
        <v>1</v>
      </c>
      <c r="BQ61" s="10"/>
      <c r="BR61" s="10"/>
      <c r="BS61" s="10"/>
      <c r="BT61" s="10"/>
      <c r="BU61" s="10"/>
      <c r="BV61" s="10"/>
      <c r="BW61" s="10"/>
      <c r="BX61" s="10"/>
      <c r="BY61" s="3" t="s">
        <v>750</v>
      </c>
      <c r="BZ61" s="5"/>
      <c r="CA61" s="3" t="s">
        <v>72</v>
      </c>
      <c r="CB61" s="5"/>
      <c r="CC61" s="3" t="s">
        <v>40</v>
      </c>
      <c r="CD61" s="5"/>
      <c r="CE61" s="5"/>
      <c r="CF61" s="3" t="s">
        <v>751</v>
      </c>
      <c r="CG61" s="3" t="s">
        <v>752</v>
      </c>
      <c r="CH61" s="5"/>
      <c r="CI61" s="3" t="s">
        <v>1213</v>
      </c>
      <c r="CJ61" s="3" t="s">
        <v>64</v>
      </c>
      <c r="CK61" s="3" t="s">
        <v>65</v>
      </c>
      <c r="CL61" s="3" t="s">
        <v>65</v>
      </c>
      <c r="CM61" s="5" t="s">
        <v>754</v>
      </c>
      <c r="CN61" s="3" t="s">
        <v>755</v>
      </c>
      <c r="CO61" s="3" t="s">
        <v>756</v>
      </c>
      <c r="CP61" s="5"/>
      <c r="CQ61" s="3" t="s">
        <v>1214</v>
      </c>
      <c r="CR61" s="3" t="s">
        <v>1215</v>
      </c>
      <c r="CS61" s="3" t="s">
        <v>1209</v>
      </c>
      <c r="CT61" s="3" t="s">
        <v>44</v>
      </c>
      <c r="CU61" s="5"/>
      <c r="CV61" s="5"/>
      <c r="CW61" s="4" t="s">
        <v>792</v>
      </c>
      <c r="CX61" s="5" t="s">
        <v>1216</v>
      </c>
      <c r="CY61" s="11"/>
    </row>
    <row r="62" ht="12" customHeight="1" spans="1:103" x14ac:dyDescent="0.25">
      <c r="A62" s="8" t="s">
        <v>155</v>
      </c>
      <c r="B62" s="3" t="s">
        <v>1217</v>
      </c>
      <c r="C62" s="5">
        <v>5</v>
      </c>
      <c r="D62" s="5">
        <v>5</v>
      </c>
      <c r="E62" s="5" t="s">
        <v>52</v>
      </c>
      <c r="F62" s="5">
        <v>0</v>
      </c>
      <c r="G62" s="5">
        <v>0</v>
      </c>
      <c r="H62" s="5">
        <v>0</v>
      </c>
      <c r="I62" s="5">
        <v>5</v>
      </c>
      <c r="J62" s="5">
        <v>10</v>
      </c>
      <c r="K62" s="3" t="s">
        <v>44</v>
      </c>
      <c r="L62" s="3" t="s">
        <v>728</v>
      </c>
      <c r="M62" s="3" t="s">
        <v>31</v>
      </c>
      <c r="N62" s="3" t="s">
        <v>32</v>
      </c>
      <c r="O62" s="3" t="s">
        <v>35</v>
      </c>
      <c r="P62" s="3" t="s">
        <v>40</v>
      </c>
      <c r="Q62" s="3" t="s">
        <v>729</v>
      </c>
      <c r="R62" s="4" t="s">
        <v>30</v>
      </c>
      <c r="S62" s="3" t="s">
        <v>36</v>
      </c>
      <c r="T62" s="3" t="s">
        <v>50</v>
      </c>
      <c r="U62" s="3" t="s">
        <v>36</v>
      </c>
      <c r="V62" s="4" t="s">
        <v>730</v>
      </c>
      <c r="W62" s="3" t="s">
        <v>731</v>
      </c>
      <c r="X62" s="5"/>
      <c r="Y62" s="5"/>
      <c r="Z62" s="5"/>
      <c r="AA62" s="3" t="s">
        <v>1218</v>
      </c>
      <c r="AB62" s="3" t="s">
        <v>55</v>
      </c>
      <c r="AC62" s="9">
        <v>77609.24</v>
      </c>
      <c r="AD62" s="9">
        <v>97609.24</v>
      </c>
      <c r="AE62" s="3" t="s">
        <v>734</v>
      </c>
      <c r="AF62" s="3" t="s">
        <v>663</v>
      </c>
      <c r="AG62" s="5"/>
      <c r="AH62" s="3" t="s">
        <v>666</v>
      </c>
      <c r="AI62" s="5" t="s">
        <v>734</v>
      </c>
      <c r="AJ62" s="5"/>
      <c r="AK62" s="5"/>
      <c r="AL62" s="5"/>
      <c r="AM62" s="3" t="s">
        <v>998</v>
      </c>
      <c r="AN62" s="3" t="s">
        <v>999</v>
      </c>
      <c r="AO62" s="3" t="s">
        <v>1219</v>
      </c>
      <c r="AP62" s="3" t="s">
        <v>738</v>
      </c>
      <c r="AQ62" s="5"/>
      <c r="AR62" s="5"/>
      <c r="AS62" s="5"/>
      <c r="AT62" s="5"/>
      <c r="AU62" s="5"/>
      <c r="AV62" s="5"/>
      <c r="AW62" s="5">
        <v>0</v>
      </c>
      <c r="AX62" s="3" t="s">
        <v>44</v>
      </c>
      <c r="AY62" s="5" t="s">
        <v>823</v>
      </c>
      <c r="AZ62" s="3" t="s">
        <v>1220</v>
      </c>
      <c r="BA62" s="5" t="s">
        <v>1221</v>
      </c>
      <c r="BB62" s="3" t="s">
        <v>742</v>
      </c>
      <c r="BC62" s="4" t="s">
        <v>892</v>
      </c>
      <c r="BD62" s="4" t="s">
        <v>785</v>
      </c>
      <c r="BE62" s="3" t="s">
        <v>72</v>
      </c>
      <c r="BF62" s="3" t="s">
        <v>1222</v>
      </c>
      <c r="BG62" s="3" t="s">
        <v>746</v>
      </c>
      <c r="BH62" s="3" t="s">
        <v>747</v>
      </c>
      <c r="BI62" s="5"/>
      <c r="BJ62" s="5"/>
      <c r="BK62" s="3" t="s">
        <v>840</v>
      </c>
      <c r="BL62" s="4" t="s">
        <v>797</v>
      </c>
      <c r="BM62" s="10"/>
      <c r="BN62" s="10"/>
      <c r="BO62" s="10"/>
      <c r="BP62" s="10">
        <v>5</v>
      </c>
      <c r="BQ62" s="10"/>
      <c r="BR62" s="10"/>
      <c r="BS62" s="10"/>
      <c r="BT62" s="10"/>
      <c r="BU62" s="10"/>
      <c r="BV62" s="10"/>
      <c r="BW62" s="10"/>
      <c r="BX62" s="10"/>
      <c r="BY62" s="3" t="s">
        <v>750</v>
      </c>
      <c r="BZ62" s="5"/>
      <c r="CA62" s="3" t="s">
        <v>72</v>
      </c>
      <c r="CB62" s="5"/>
      <c r="CC62" s="3" t="s">
        <v>842</v>
      </c>
      <c r="CD62" s="5"/>
      <c r="CE62" s="5"/>
      <c r="CF62" s="3" t="s">
        <v>751</v>
      </c>
      <c r="CG62" s="3" t="s">
        <v>752</v>
      </c>
      <c r="CH62" s="5"/>
      <c r="CI62" s="3" t="s">
        <v>1223</v>
      </c>
      <c r="CJ62" s="3" t="s">
        <v>55</v>
      </c>
      <c r="CK62" s="3" t="s">
        <v>56</v>
      </c>
      <c r="CL62" s="3" t="s">
        <v>56</v>
      </c>
      <c r="CM62" s="5" t="s">
        <v>754</v>
      </c>
      <c r="CN62" s="3" t="s">
        <v>755</v>
      </c>
      <c r="CO62" s="3" t="s">
        <v>756</v>
      </c>
      <c r="CP62" s="5"/>
      <c r="CQ62" s="3" t="s">
        <v>1224</v>
      </c>
      <c r="CR62" s="3" t="s">
        <v>1225</v>
      </c>
      <c r="CS62" s="3" t="s">
        <v>1218</v>
      </c>
      <c r="CT62" s="3" t="s">
        <v>44</v>
      </c>
      <c r="CU62" s="5"/>
      <c r="CV62" s="5"/>
      <c r="CW62" s="4" t="s">
        <v>792</v>
      </c>
      <c r="CX62" s="5" t="s">
        <v>1226</v>
      </c>
      <c r="CY62" s="11"/>
    </row>
    <row r="63" ht="12" customHeight="1" spans="1:103" x14ac:dyDescent="0.25">
      <c r="A63" s="8" t="s">
        <v>136</v>
      </c>
      <c r="B63" s="3" t="s">
        <v>1227</v>
      </c>
      <c r="C63" s="5">
        <v>20</v>
      </c>
      <c r="D63" s="5">
        <v>20</v>
      </c>
      <c r="E63" s="5" t="s">
        <v>52</v>
      </c>
      <c r="F63" s="5">
        <v>0</v>
      </c>
      <c r="G63" s="5">
        <v>0</v>
      </c>
      <c r="H63" s="5">
        <v>0</v>
      </c>
      <c r="I63" s="5">
        <v>20</v>
      </c>
      <c r="J63" s="5">
        <v>40</v>
      </c>
      <c r="K63" s="3" t="s">
        <v>44</v>
      </c>
      <c r="L63" s="3" t="s">
        <v>728</v>
      </c>
      <c r="M63" s="3" t="s">
        <v>31</v>
      </c>
      <c r="N63" s="3" t="s">
        <v>32</v>
      </c>
      <c r="O63" s="3" t="s">
        <v>35</v>
      </c>
      <c r="P63" s="3" t="s">
        <v>40</v>
      </c>
      <c r="Q63" s="3" t="s">
        <v>729</v>
      </c>
      <c r="R63" s="4" t="s">
        <v>30</v>
      </c>
      <c r="S63" s="3" t="s">
        <v>36</v>
      </c>
      <c r="T63" s="3" t="s">
        <v>50</v>
      </c>
      <c r="U63" s="3" t="s">
        <v>36</v>
      </c>
      <c r="V63" s="4" t="s">
        <v>730</v>
      </c>
      <c r="W63" s="3" t="s">
        <v>731</v>
      </c>
      <c r="X63" s="5"/>
      <c r="Y63" s="5"/>
      <c r="Z63" s="5"/>
      <c r="AA63" s="3" t="s">
        <v>1218</v>
      </c>
      <c r="AB63" s="3" t="s">
        <v>55</v>
      </c>
      <c r="AC63" s="9">
        <v>312000</v>
      </c>
      <c r="AD63" s="9">
        <v>392000</v>
      </c>
      <c r="AE63" s="3" t="s">
        <v>734</v>
      </c>
      <c r="AF63" s="3"/>
      <c r="AG63" s="5"/>
      <c r="AH63" s="3" t="s">
        <v>666</v>
      </c>
      <c r="AI63" s="5" t="s">
        <v>734</v>
      </c>
      <c r="AJ63" s="5"/>
      <c r="AK63" s="5"/>
      <c r="AL63" s="5"/>
      <c r="AM63" s="3" t="s">
        <v>998</v>
      </c>
      <c r="AN63" s="3" t="s">
        <v>999</v>
      </c>
      <c r="AO63" s="3" t="s">
        <v>1228</v>
      </c>
      <c r="AP63" s="3" t="s">
        <v>738</v>
      </c>
      <c r="AQ63" s="5"/>
      <c r="AR63" s="5"/>
      <c r="AS63" s="5"/>
      <c r="AT63" s="5"/>
      <c r="AU63" s="5"/>
      <c r="AV63" s="5"/>
      <c r="AW63" s="5">
        <v>0</v>
      </c>
      <c r="AX63" s="3" t="s">
        <v>44</v>
      </c>
      <c r="AY63" s="5" t="s">
        <v>823</v>
      </c>
      <c r="AZ63" s="3" t="s">
        <v>1229</v>
      </c>
      <c r="BA63" s="5" t="s">
        <v>1230</v>
      </c>
      <c r="BB63" s="3" t="s">
        <v>742</v>
      </c>
      <c r="BC63" s="4" t="s">
        <v>892</v>
      </c>
      <c r="BD63" s="4" t="s">
        <v>785</v>
      </c>
      <c r="BE63" s="3" t="s">
        <v>72</v>
      </c>
      <c r="BF63" s="3" t="s">
        <v>1222</v>
      </c>
      <c r="BG63" s="3" t="s">
        <v>746</v>
      </c>
      <c r="BH63" s="3" t="s">
        <v>747</v>
      </c>
      <c r="BI63" s="5"/>
      <c r="BJ63" s="5"/>
      <c r="BK63" s="3" t="s">
        <v>840</v>
      </c>
      <c r="BL63" s="4" t="s">
        <v>828</v>
      </c>
      <c r="BM63" s="10"/>
      <c r="BN63" s="10"/>
      <c r="BO63" s="10"/>
      <c r="BP63" s="10">
        <v>20</v>
      </c>
      <c r="BQ63" s="10"/>
      <c r="BR63" s="10"/>
      <c r="BS63" s="10"/>
      <c r="BT63" s="10"/>
      <c r="BU63" s="10"/>
      <c r="BV63" s="10"/>
      <c r="BW63" s="10"/>
      <c r="BX63" s="10"/>
      <c r="BY63" s="3" t="s">
        <v>750</v>
      </c>
      <c r="BZ63" s="5"/>
      <c r="CA63" s="3" t="s">
        <v>72</v>
      </c>
      <c r="CB63" s="5"/>
      <c r="CC63" s="3" t="s">
        <v>842</v>
      </c>
      <c r="CD63" s="5"/>
      <c r="CE63" s="5"/>
      <c r="CF63" s="3" t="s">
        <v>751</v>
      </c>
      <c r="CG63" s="3" t="s">
        <v>752</v>
      </c>
      <c r="CH63" s="5"/>
      <c r="CI63" s="3" t="s">
        <v>1223</v>
      </c>
      <c r="CJ63" s="3" t="s">
        <v>55</v>
      </c>
      <c r="CK63" s="3" t="s">
        <v>56</v>
      </c>
      <c r="CL63" s="3" t="s">
        <v>56</v>
      </c>
      <c r="CM63" s="5" t="s">
        <v>754</v>
      </c>
      <c r="CN63" s="3" t="s">
        <v>755</v>
      </c>
      <c r="CO63" s="3" t="s">
        <v>756</v>
      </c>
      <c r="CP63" s="5"/>
      <c r="CQ63" s="3" t="s">
        <v>1224</v>
      </c>
      <c r="CR63" s="3" t="s">
        <v>1225</v>
      </c>
      <c r="CS63" s="3" t="s">
        <v>1218</v>
      </c>
      <c r="CT63" s="3" t="s">
        <v>44</v>
      </c>
      <c r="CU63" s="5"/>
      <c r="CV63" s="5"/>
      <c r="CW63" s="4" t="s">
        <v>792</v>
      </c>
      <c r="CX63" s="5" t="s">
        <v>1226</v>
      </c>
      <c r="CY63" s="11"/>
    </row>
    <row r="64" ht="12" customHeight="1" spans="1:103" x14ac:dyDescent="0.25">
      <c r="A64" s="8" t="s">
        <v>53</v>
      </c>
      <c r="B64" s="3" t="s">
        <v>1231</v>
      </c>
      <c r="C64" s="5">
        <v>10</v>
      </c>
      <c r="D64" s="5">
        <v>10</v>
      </c>
      <c r="E64" s="5" t="s">
        <v>52</v>
      </c>
      <c r="F64" s="5">
        <v>0</v>
      </c>
      <c r="G64" s="5">
        <v>0</v>
      </c>
      <c r="H64" s="5">
        <v>0</v>
      </c>
      <c r="I64" s="5">
        <v>10</v>
      </c>
      <c r="J64" s="5">
        <v>20</v>
      </c>
      <c r="K64" s="3" t="s">
        <v>44</v>
      </c>
      <c r="L64" s="3" t="s">
        <v>728</v>
      </c>
      <c r="M64" s="3" t="s">
        <v>31</v>
      </c>
      <c r="N64" s="3" t="s">
        <v>32</v>
      </c>
      <c r="O64" s="3" t="s">
        <v>35</v>
      </c>
      <c r="P64" s="3" t="s">
        <v>40</v>
      </c>
      <c r="Q64" s="3" t="s">
        <v>729</v>
      </c>
      <c r="R64" s="4" t="s">
        <v>30</v>
      </c>
      <c r="S64" s="3" t="s">
        <v>36</v>
      </c>
      <c r="T64" s="3" t="s">
        <v>50</v>
      </c>
      <c r="U64" s="3" t="s">
        <v>36</v>
      </c>
      <c r="V64" s="4" t="s">
        <v>730</v>
      </c>
      <c r="W64" s="3" t="s">
        <v>731</v>
      </c>
      <c r="X64" s="5"/>
      <c r="Y64" s="5"/>
      <c r="Z64" s="5"/>
      <c r="AA64" s="3" t="s">
        <v>1218</v>
      </c>
      <c r="AB64" s="3" t="s">
        <v>55</v>
      </c>
      <c r="AC64" s="9">
        <v>147097.08</v>
      </c>
      <c r="AD64" s="9">
        <v>187097.08</v>
      </c>
      <c r="AE64" s="3" t="s">
        <v>734</v>
      </c>
      <c r="AF64" s="3"/>
      <c r="AG64" s="5"/>
      <c r="AH64" s="3" t="s">
        <v>666</v>
      </c>
      <c r="AI64" s="5" t="s">
        <v>734</v>
      </c>
      <c r="AJ64" s="5"/>
      <c r="AK64" s="5"/>
      <c r="AL64" s="5"/>
      <c r="AM64" s="3" t="s">
        <v>998</v>
      </c>
      <c r="AN64" s="3" t="s">
        <v>999</v>
      </c>
      <c r="AO64" s="3" t="s">
        <v>1228</v>
      </c>
      <c r="AP64" s="3" t="s">
        <v>738</v>
      </c>
      <c r="AQ64" s="5"/>
      <c r="AR64" s="5"/>
      <c r="AS64" s="5"/>
      <c r="AT64" s="5"/>
      <c r="AU64" s="5"/>
      <c r="AV64" s="5"/>
      <c r="AW64" s="5">
        <v>0</v>
      </c>
      <c r="AX64" s="3" t="s">
        <v>44</v>
      </c>
      <c r="AY64" s="5" t="s">
        <v>823</v>
      </c>
      <c r="AZ64" s="3" t="s">
        <v>1232</v>
      </c>
      <c r="BA64" s="5"/>
      <c r="BB64" s="3" t="s">
        <v>742</v>
      </c>
      <c r="BC64" s="4" t="s">
        <v>787</v>
      </c>
      <c r="BD64" s="4" t="s">
        <v>785</v>
      </c>
      <c r="BE64" s="3" t="s">
        <v>72</v>
      </c>
      <c r="BF64" s="3" t="s">
        <v>1233</v>
      </c>
      <c r="BG64" s="3" t="s">
        <v>746</v>
      </c>
      <c r="BH64" s="3" t="s">
        <v>747</v>
      </c>
      <c r="BI64" s="5"/>
      <c r="BJ64" s="5"/>
      <c r="BK64" s="3" t="s">
        <v>840</v>
      </c>
      <c r="BL64" s="4" t="s">
        <v>797</v>
      </c>
      <c r="BM64" s="10"/>
      <c r="BN64" s="10"/>
      <c r="BO64" s="10"/>
      <c r="BP64" s="10">
        <v>10</v>
      </c>
      <c r="BQ64" s="10"/>
      <c r="BR64" s="10"/>
      <c r="BS64" s="10"/>
      <c r="BT64" s="10"/>
      <c r="BU64" s="10"/>
      <c r="BV64" s="10"/>
      <c r="BW64" s="10"/>
      <c r="BX64" s="10"/>
      <c r="BY64" s="3" t="s">
        <v>750</v>
      </c>
      <c r="BZ64" s="5"/>
      <c r="CA64" s="3" t="s">
        <v>72</v>
      </c>
      <c r="CB64" s="5"/>
      <c r="CC64" s="3" t="s">
        <v>842</v>
      </c>
      <c r="CD64" s="5"/>
      <c r="CE64" s="5"/>
      <c r="CF64" s="3" t="s">
        <v>751</v>
      </c>
      <c r="CG64" s="3" t="s">
        <v>752</v>
      </c>
      <c r="CH64" s="5"/>
      <c r="CI64" s="3" t="s">
        <v>1223</v>
      </c>
      <c r="CJ64" s="3" t="s">
        <v>55</v>
      </c>
      <c r="CK64" s="3" t="s">
        <v>56</v>
      </c>
      <c r="CL64" s="3" t="s">
        <v>56</v>
      </c>
      <c r="CM64" s="5" t="s">
        <v>754</v>
      </c>
      <c r="CN64" s="3" t="s">
        <v>755</v>
      </c>
      <c r="CO64" s="3" t="s">
        <v>756</v>
      </c>
      <c r="CP64" s="5"/>
      <c r="CQ64" s="3" t="s">
        <v>1234</v>
      </c>
      <c r="CR64" s="3" t="s">
        <v>1225</v>
      </c>
      <c r="CS64" s="3" t="s">
        <v>1218</v>
      </c>
      <c r="CT64" s="3" t="s">
        <v>44</v>
      </c>
      <c r="CU64" s="5"/>
      <c r="CV64" s="5"/>
      <c r="CW64" s="4" t="s">
        <v>759</v>
      </c>
      <c r="CX64" s="5" t="s">
        <v>1226</v>
      </c>
      <c r="CY64" s="11"/>
    </row>
    <row r="65" ht="12" customHeight="1" spans="1:103" x14ac:dyDescent="0.25">
      <c r="A65" s="8" t="s">
        <v>103</v>
      </c>
      <c r="B65" s="3" t="s">
        <v>762</v>
      </c>
      <c r="C65" s="5">
        <v>1</v>
      </c>
      <c r="D65" s="5">
        <v>1</v>
      </c>
      <c r="E65" s="5"/>
      <c r="F65" s="5">
        <v>0</v>
      </c>
      <c r="G65" s="5">
        <v>1</v>
      </c>
      <c r="H65" s="5">
        <v>0</v>
      </c>
      <c r="I65" s="5">
        <v>0</v>
      </c>
      <c r="J65" s="5">
        <v>1</v>
      </c>
      <c r="K65" s="3" t="s">
        <v>44</v>
      </c>
      <c r="L65" s="3" t="s">
        <v>728</v>
      </c>
      <c r="M65" s="3" t="s">
        <v>31</v>
      </c>
      <c r="N65" s="3" t="s">
        <v>32</v>
      </c>
      <c r="O65" s="3" t="s">
        <v>35</v>
      </c>
      <c r="P65" s="3" t="s">
        <v>40</v>
      </c>
      <c r="Q65" s="3" t="s">
        <v>729</v>
      </c>
      <c r="R65" s="4" t="s">
        <v>30</v>
      </c>
      <c r="S65" s="3" t="s">
        <v>36</v>
      </c>
      <c r="T65" s="3" t="s">
        <v>50</v>
      </c>
      <c r="U65" s="3" t="s">
        <v>36</v>
      </c>
      <c r="V65" s="4" t="s">
        <v>730</v>
      </c>
      <c r="W65" s="3" t="s">
        <v>731</v>
      </c>
      <c r="X65" s="5"/>
      <c r="Y65" s="5"/>
      <c r="Z65" s="5"/>
      <c r="AA65" s="3" t="s">
        <v>1235</v>
      </c>
      <c r="AB65" s="3" t="s">
        <v>1236</v>
      </c>
      <c r="AC65" s="9">
        <v>7983.5</v>
      </c>
      <c r="AD65" s="9">
        <v>10183.5</v>
      </c>
      <c r="AE65" s="3" t="s">
        <v>734</v>
      </c>
      <c r="AF65" s="3"/>
      <c r="AG65" s="5"/>
      <c r="AH65" s="3" t="s">
        <v>666</v>
      </c>
      <c r="AI65" s="5" t="s">
        <v>734</v>
      </c>
      <c r="AJ65" s="5"/>
      <c r="AK65" s="5"/>
      <c r="AL65" s="5"/>
      <c r="AM65" s="3" t="s">
        <v>1237</v>
      </c>
      <c r="AN65" s="3" t="s">
        <v>1238</v>
      </c>
      <c r="AO65" s="3" t="s">
        <v>1239</v>
      </c>
      <c r="AP65" s="3" t="s">
        <v>738</v>
      </c>
      <c r="AQ65" s="5"/>
      <c r="AR65" s="5"/>
      <c r="AS65" s="5"/>
      <c r="AT65" s="5"/>
      <c r="AU65" s="5"/>
      <c r="AV65" s="5"/>
      <c r="AW65" s="5">
        <v>0</v>
      </c>
      <c r="AX65" s="3" t="s">
        <v>44</v>
      </c>
      <c r="AY65" s="5" t="s">
        <v>739</v>
      </c>
      <c r="AZ65" s="3" t="s">
        <v>1240</v>
      </c>
      <c r="BA65" s="5"/>
      <c r="BB65" s="3" t="s">
        <v>742</v>
      </c>
      <c r="BC65" s="4" t="s">
        <v>787</v>
      </c>
      <c r="BD65" s="4" t="s">
        <v>785</v>
      </c>
      <c r="BE65" s="3" t="s">
        <v>72</v>
      </c>
      <c r="BF65" s="3" t="s">
        <v>1241</v>
      </c>
      <c r="BG65" s="3" t="s">
        <v>746</v>
      </c>
      <c r="BH65" s="3" t="s">
        <v>747</v>
      </c>
      <c r="BI65" s="5"/>
      <c r="BJ65" s="5"/>
      <c r="BK65" s="3" t="s">
        <v>748</v>
      </c>
      <c r="BL65" s="4" t="s">
        <v>797</v>
      </c>
      <c r="BM65" s="10"/>
      <c r="BN65" s="10">
        <v>1</v>
      </c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3" t="s">
        <v>750</v>
      </c>
      <c r="BZ65" s="5"/>
      <c r="CA65" s="3" t="s">
        <v>72</v>
      </c>
      <c r="CB65" s="5"/>
      <c r="CC65" s="3" t="s">
        <v>40</v>
      </c>
      <c r="CD65" s="5"/>
      <c r="CE65" s="5"/>
      <c r="CF65" s="3" t="s">
        <v>751</v>
      </c>
      <c r="CG65" s="3" t="s">
        <v>752</v>
      </c>
      <c r="CH65" s="5"/>
      <c r="CI65" s="3" t="s">
        <v>1242</v>
      </c>
      <c r="CJ65" s="3" t="s">
        <v>105</v>
      </c>
      <c r="CK65" s="3" t="s">
        <v>106</v>
      </c>
      <c r="CL65" s="3" t="s">
        <v>106</v>
      </c>
      <c r="CM65" s="5" t="s">
        <v>754</v>
      </c>
      <c r="CN65" s="3" t="s">
        <v>755</v>
      </c>
      <c r="CO65" s="3" t="s">
        <v>756</v>
      </c>
      <c r="CP65" s="5"/>
      <c r="CQ65" s="3" t="s">
        <v>1243</v>
      </c>
      <c r="CR65" s="3" t="s">
        <v>1244</v>
      </c>
      <c r="CS65" s="3" t="s">
        <v>1235</v>
      </c>
      <c r="CT65" s="3" t="s">
        <v>44</v>
      </c>
      <c r="CU65" s="5"/>
      <c r="CV65" s="5"/>
      <c r="CW65" s="4" t="s">
        <v>759</v>
      </c>
      <c r="CX65" s="5" t="s">
        <v>1245</v>
      </c>
      <c r="CY65" s="11"/>
    </row>
    <row r="66" ht="12" customHeight="1" spans="1:103" x14ac:dyDescent="0.25">
      <c r="A66" s="8" t="s">
        <v>200</v>
      </c>
      <c r="B66" s="3" t="s">
        <v>727</v>
      </c>
      <c r="C66" s="5">
        <v>1</v>
      </c>
      <c r="D66" s="5">
        <v>1</v>
      </c>
      <c r="E66" s="5" t="s">
        <v>52</v>
      </c>
      <c r="F66" s="5">
        <v>0</v>
      </c>
      <c r="G66" s="5">
        <v>0</v>
      </c>
      <c r="H66" s="5">
        <v>0</v>
      </c>
      <c r="I66" s="5">
        <v>1</v>
      </c>
      <c r="J66" s="5">
        <v>2</v>
      </c>
      <c r="K66" s="3" t="s">
        <v>44</v>
      </c>
      <c r="L66" s="3" t="s">
        <v>728</v>
      </c>
      <c r="M66" s="3" t="s">
        <v>31</v>
      </c>
      <c r="N66" s="3" t="s">
        <v>32</v>
      </c>
      <c r="O66" s="3" t="s">
        <v>35</v>
      </c>
      <c r="P66" s="3" t="s">
        <v>40</v>
      </c>
      <c r="Q66" s="3" t="s">
        <v>729</v>
      </c>
      <c r="R66" s="4" t="s">
        <v>30</v>
      </c>
      <c r="S66" s="3" t="s">
        <v>36</v>
      </c>
      <c r="T66" s="3" t="s">
        <v>50</v>
      </c>
      <c r="U66" s="3" t="s">
        <v>36</v>
      </c>
      <c r="V66" s="4" t="s">
        <v>730</v>
      </c>
      <c r="W66" s="3" t="s">
        <v>731</v>
      </c>
      <c r="X66" s="5"/>
      <c r="Y66" s="5"/>
      <c r="Z66" s="5"/>
      <c r="AA66" s="3" t="s">
        <v>1246</v>
      </c>
      <c r="AB66" s="3" t="s">
        <v>1247</v>
      </c>
      <c r="AC66" s="9">
        <v>4387</v>
      </c>
      <c r="AD66" s="9">
        <v>8387</v>
      </c>
      <c r="AE66" s="3" t="s">
        <v>734</v>
      </c>
      <c r="AF66" s="3" t="s">
        <v>663</v>
      </c>
      <c r="AG66" s="5"/>
      <c r="AH66" s="3" t="s">
        <v>666</v>
      </c>
      <c r="AI66" s="5" t="s">
        <v>734</v>
      </c>
      <c r="AJ66" s="5"/>
      <c r="AK66" s="5"/>
      <c r="AL66" s="5"/>
      <c r="AM66" s="3" t="s">
        <v>1237</v>
      </c>
      <c r="AN66" s="3" t="s">
        <v>1238</v>
      </c>
      <c r="AO66" s="3" t="s">
        <v>1248</v>
      </c>
      <c r="AP66" s="3" t="s">
        <v>738</v>
      </c>
      <c r="AQ66" s="5"/>
      <c r="AR66" s="5"/>
      <c r="AS66" s="5"/>
      <c r="AT66" s="5"/>
      <c r="AU66" s="5"/>
      <c r="AV66" s="5"/>
      <c r="AW66" s="5">
        <v>0</v>
      </c>
      <c r="AX66" s="3" t="s">
        <v>44</v>
      </c>
      <c r="AY66" s="5" t="s">
        <v>739</v>
      </c>
      <c r="AZ66" s="3" t="s">
        <v>1249</v>
      </c>
      <c r="BA66" s="5"/>
      <c r="BB66" s="3" t="s">
        <v>742</v>
      </c>
      <c r="BC66" s="4" t="s">
        <v>787</v>
      </c>
      <c r="BD66" s="4" t="s">
        <v>785</v>
      </c>
      <c r="BE66" s="3" t="s">
        <v>72</v>
      </c>
      <c r="BF66" s="3" t="s">
        <v>1248</v>
      </c>
      <c r="BG66" s="3" t="s">
        <v>746</v>
      </c>
      <c r="BH66" s="3" t="s">
        <v>747</v>
      </c>
      <c r="BI66" s="5"/>
      <c r="BJ66" s="5"/>
      <c r="BK66" s="3" t="s">
        <v>840</v>
      </c>
      <c r="BL66" s="4" t="s">
        <v>769</v>
      </c>
      <c r="BM66" s="10"/>
      <c r="BN66" s="10"/>
      <c r="BO66" s="10"/>
      <c r="BP66" s="10">
        <v>1</v>
      </c>
      <c r="BQ66" s="10"/>
      <c r="BR66" s="10"/>
      <c r="BS66" s="10"/>
      <c r="BT66" s="10"/>
      <c r="BU66" s="10"/>
      <c r="BV66" s="10"/>
      <c r="BW66" s="10"/>
      <c r="BX66" s="10"/>
      <c r="BY66" s="3" t="s">
        <v>750</v>
      </c>
      <c r="BZ66" s="5"/>
      <c r="CA66" s="3" t="s">
        <v>72</v>
      </c>
      <c r="CB66" s="5"/>
      <c r="CC66" s="3" t="s">
        <v>842</v>
      </c>
      <c r="CD66" s="5"/>
      <c r="CE66" s="5"/>
      <c r="CF66" s="3" t="s">
        <v>751</v>
      </c>
      <c r="CG66" s="3" t="s">
        <v>752</v>
      </c>
      <c r="CH66" s="5"/>
      <c r="CI66" s="3" t="s">
        <v>1250</v>
      </c>
      <c r="CJ66" s="3" t="s">
        <v>201</v>
      </c>
      <c r="CK66" s="3" t="s">
        <v>202</v>
      </c>
      <c r="CL66" s="3" t="s">
        <v>202</v>
      </c>
      <c r="CM66" s="5" t="s">
        <v>754</v>
      </c>
      <c r="CN66" s="3" t="s">
        <v>755</v>
      </c>
      <c r="CO66" s="3" t="s">
        <v>756</v>
      </c>
      <c r="CP66" s="5"/>
      <c r="CQ66" s="3" t="s">
        <v>1251</v>
      </c>
      <c r="CR66" s="3" t="s">
        <v>1252</v>
      </c>
      <c r="CS66" s="3" t="s">
        <v>1246</v>
      </c>
      <c r="CT66" s="3" t="s">
        <v>44</v>
      </c>
      <c r="CU66" s="5"/>
      <c r="CV66" s="5"/>
      <c r="CW66" s="4" t="s">
        <v>846</v>
      </c>
      <c r="CX66" s="5" t="s">
        <v>1253</v>
      </c>
      <c r="CY66" s="11"/>
    </row>
    <row r="67" ht="12" customHeight="1" spans="1:103" x14ac:dyDescent="0.25">
      <c r="A67" s="8" t="s">
        <v>113</v>
      </c>
      <c r="B67" s="3" t="s">
        <v>833</v>
      </c>
      <c r="C67" s="5">
        <v>2</v>
      </c>
      <c r="D67" s="5">
        <v>2</v>
      </c>
      <c r="E67" s="5" t="s">
        <v>52</v>
      </c>
      <c r="F67" s="5">
        <v>0</v>
      </c>
      <c r="G67" s="5">
        <v>0</v>
      </c>
      <c r="H67" s="5">
        <v>0</v>
      </c>
      <c r="I67" s="5">
        <v>2</v>
      </c>
      <c r="J67" s="5">
        <v>4</v>
      </c>
      <c r="K67" s="3" t="s">
        <v>44</v>
      </c>
      <c r="L67" s="3" t="s">
        <v>728</v>
      </c>
      <c r="M67" s="3" t="s">
        <v>31</v>
      </c>
      <c r="N67" s="3" t="s">
        <v>32</v>
      </c>
      <c r="O67" s="3" t="s">
        <v>35</v>
      </c>
      <c r="P67" s="3" t="s">
        <v>40</v>
      </c>
      <c r="Q67" s="3" t="s">
        <v>729</v>
      </c>
      <c r="R67" s="4" t="s">
        <v>30</v>
      </c>
      <c r="S67" s="3" t="s">
        <v>36</v>
      </c>
      <c r="T67" s="3" t="s">
        <v>50</v>
      </c>
      <c r="U67" s="3" t="s">
        <v>36</v>
      </c>
      <c r="V67" s="4" t="s">
        <v>730</v>
      </c>
      <c r="W67" s="3" t="s">
        <v>731</v>
      </c>
      <c r="X67" s="5"/>
      <c r="Y67" s="5"/>
      <c r="Z67" s="5"/>
      <c r="AA67" s="3" t="s">
        <v>1254</v>
      </c>
      <c r="AB67" s="3" t="s">
        <v>1255</v>
      </c>
      <c r="AC67" s="9">
        <v>19324.28</v>
      </c>
      <c r="AD67" s="9">
        <v>27324.28</v>
      </c>
      <c r="AE67" s="3" t="s">
        <v>734</v>
      </c>
      <c r="AF67" s="3"/>
      <c r="AG67" s="5"/>
      <c r="AH67" s="3" t="s">
        <v>666</v>
      </c>
      <c r="AI67" s="5" t="s">
        <v>734</v>
      </c>
      <c r="AJ67" s="5"/>
      <c r="AK67" s="5"/>
      <c r="AL67" s="5"/>
      <c r="AM67" s="3" t="s">
        <v>804</v>
      </c>
      <c r="AN67" s="3" t="s">
        <v>805</v>
      </c>
      <c r="AO67" s="3" t="s">
        <v>1256</v>
      </c>
      <c r="AP67" s="3" t="s">
        <v>738</v>
      </c>
      <c r="AQ67" s="5"/>
      <c r="AR67" s="5"/>
      <c r="AS67" s="5"/>
      <c r="AT67" s="5"/>
      <c r="AU67" s="5"/>
      <c r="AV67" s="5"/>
      <c r="AW67" s="5">
        <v>0</v>
      </c>
      <c r="AX67" s="3" t="s">
        <v>44</v>
      </c>
      <c r="AY67" s="5" t="s">
        <v>823</v>
      </c>
      <c r="AZ67" s="3" t="s">
        <v>1257</v>
      </c>
      <c r="BA67" s="5"/>
      <c r="BB67" s="3" t="s">
        <v>742</v>
      </c>
      <c r="BC67" s="4" t="s">
        <v>909</v>
      </c>
      <c r="BD67" s="4" t="s">
        <v>792</v>
      </c>
      <c r="BE67" s="3" t="s">
        <v>72</v>
      </c>
      <c r="BF67" s="3" t="s">
        <v>1258</v>
      </c>
      <c r="BG67" s="3" t="s">
        <v>746</v>
      </c>
      <c r="BH67" s="3" t="s">
        <v>747</v>
      </c>
      <c r="BI67" s="5"/>
      <c r="BJ67" s="5"/>
      <c r="BK67" s="3" t="s">
        <v>840</v>
      </c>
      <c r="BL67" s="4" t="s">
        <v>841</v>
      </c>
      <c r="BM67" s="10"/>
      <c r="BN67" s="10"/>
      <c r="BO67" s="10"/>
      <c r="BP67" s="10">
        <v>2</v>
      </c>
      <c r="BQ67" s="10"/>
      <c r="BR67" s="10"/>
      <c r="BS67" s="10"/>
      <c r="BT67" s="10"/>
      <c r="BU67" s="10"/>
      <c r="BV67" s="10"/>
      <c r="BW67" s="10"/>
      <c r="BX67" s="10"/>
      <c r="BY67" s="3" t="s">
        <v>750</v>
      </c>
      <c r="BZ67" s="5"/>
      <c r="CA67" s="3" t="s">
        <v>72</v>
      </c>
      <c r="CB67" s="5"/>
      <c r="CC67" s="3" t="s">
        <v>842</v>
      </c>
      <c r="CD67" s="5"/>
      <c r="CE67" s="5"/>
      <c r="CF67" s="3" t="s">
        <v>751</v>
      </c>
      <c r="CG67" s="3" t="s">
        <v>752</v>
      </c>
      <c r="CH67" s="5"/>
      <c r="CI67" s="3" t="s">
        <v>1259</v>
      </c>
      <c r="CJ67" s="3" t="s">
        <v>114</v>
      </c>
      <c r="CK67" s="3" t="s">
        <v>115</v>
      </c>
      <c r="CL67" s="3" t="s">
        <v>115</v>
      </c>
      <c r="CM67" s="5" t="s">
        <v>754</v>
      </c>
      <c r="CN67" s="3" t="s">
        <v>755</v>
      </c>
      <c r="CO67" s="3" t="s">
        <v>756</v>
      </c>
      <c r="CP67" s="5"/>
      <c r="CQ67" s="3" t="s">
        <v>1260</v>
      </c>
      <c r="CR67" s="3" t="s">
        <v>1261</v>
      </c>
      <c r="CS67" s="3" t="s">
        <v>1254</v>
      </c>
      <c r="CT67" s="3" t="s">
        <v>44</v>
      </c>
      <c r="CU67" s="5"/>
      <c r="CV67" s="5"/>
      <c r="CW67" s="4" t="s">
        <v>1057</v>
      </c>
      <c r="CX67" s="5" t="s">
        <v>1262</v>
      </c>
      <c r="CY67" s="11"/>
    </row>
    <row r="68" ht="12" customHeight="1" spans="1:103" x14ac:dyDescent="0.25">
      <c r="A68" s="8" t="s">
        <v>218</v>
      </c>
      <c r="B68" s="3" t="s">
        <v>818</v>
      </c>
      <c r="C68" s="5">
        <v>4</v>
      </c>
      <c r="D68" s="5">
        <v>4</v>
      </c>
      <c r="E68" s="5"/>
      <c r="F68" s="5">
        <v>0</v>
      </c>
      <c r="G68" s="5">
        <v>0</v>
      </c>
      <c r="H68" s="5">
        <v>0</v>
      </c>
      <c r="I68" s="5">
        <v>4</v>
      </c>
      <c r="J68" s="5">
        <v>8</v>
      </c>
      <c r="K68" s="3" t="s">
        <v>44</v>
      </c>
      <c r="L68" s="3" t="s">
        <v>728</v>
      </c>
      <c r="M68" s="3" t="s">
        <v>31</v>
      </c>
      <c r="N68" s="3" t="s">
        <v>32</v>
      </c>
      <c r="O68" s="3" t="s">
        <v>35</v>
      </c>
      <c r="P68" s="3" t="s">
        <v>40</v>
      </c>
      <c r="Q68" s="3" t="s">
        <v>729</v>
      </c>
      <c r="R68" s="4" t="s">
        <v>30</v>
      </c>
      <c r="S68" s="3" t="s">
        <v>36</v>
      </c>
      <c r="T68" s="3" t="s">
        <v>50</v>
      </c>
      <c r="U68" s="3" t="s">
        <v>36</v>
      </c>
      <c r="V68" s="4" t="s">
        <v>730</v>
      </c>
      <c r="W68" s="3" t="s">
        <v>731</v>
      </c>
      <c r="X68" s="5"/>
      <c r="Y68" s="5"/>
      <c r="Z68" s="5"/>
      <c r="AA68" s="3" t="s">
        <v>1263</v>
      </c>
      <c r="AB68" s="3" t="s">
        <v>1264</v>
      </c>
      <c r="AC68" s="9">
        <v>81600</v>
      </c>
      <c r="AD68" s="9">
        <v>97600</v>
      </c>
      <c r="AE68" s="3" t="s">
        <v>734</v>
      </c>
      <c r="AF68" s="3" t="s">
        <v>663</v>
      </c>
      <c r="AG68" s="5"/>
      <c r="AH68" s="3" t="s">
        <v>666</v>
      </c>
      <c r="AI68" s="5" t="s">
        <v>734</v>
      </c>
      <c r="AJ68" s="5"/>
      <c r="AK68" s="5"/>
      <c r="AL68" s="5"/>
      <c r="AM68" s="3" t="s">
        <v>804</v>
      </c>
      <c r="AN68" s="3" t="s">
        <v>805</v>
      </c>
      <c r="AO68" s="3" t="s">
        <v>1265</v>
      </c>
      <c r="AP68" s="3" t="s">
        <v>738</v>
      </c>
      <c r="AQ68" s="5"/>
      <c r="AR68" s="5"/>
      <c r="AS68" s="5"/>
      <c r="AT68" s="5"/>
      <c r="AU68" s="5"/>
      <c r="AV68" s="5"/>
      <c r="AW68" s="5">
        <v>0</v>
      </c>
      <c r="AX68" s="3" t="s">
        <v>44</v>
      </c>
      <c r="AY68" s="5" t="s">
        <v>739</v>
      </c>
      <c r="AZ68" s="3" t="s">
        <v>1266</v>
      </c>
      <c r="BA68" s="5" t="s">
        <v>1267</v>
      </c>
      <c r="BB68" s="3" t="s">
        <v>742</v>
      </c>
      <c r="BC68" s="4" t="s">
        <v>909</v>
      </c>
      <c r="BD68" s="4" t="s">
        <v>785</v>
      </c>
      <c r="BE68" s="3" t="s">
        <v>72</v>
      </c>
      <c r="BF68" s="3" t="s">
        <v>1268</v>
      </c>
      <c r="BG68" s="3" t="s">
        <v>746</v>
      </c>
      <c r="BH68" s="3" t="s">
        <v>747</v>
      </c>
      <c r="BI68" s="5"/>
      <c r="BJ68" s="5"/>
      <c r="BK68" s="3" t="s">
        <v>748</v>
      </c>
      <c r="BL68" s="4" t="s">
        <v>769</v>
      </c>
      <c r="BM68" s="10"/>
      <c r="BN68" s="10"/>
      <c r="BO68" s="10"/>
      <c r="BP68" s="10">
        <v>4</v>
      </c>
      <c r="BQ68" s="10"/>
      <c r="BR68" s="10"/>
      <c r="BS68" s="10"/>
      <c r="BT68" s="10"/>
      <c r="BU68" s="10"/>
      <c r="BV68" s="10"/>
      <c r="BW68" s="10"/>
      <c r="BX68" s="10"/>
      <c r="BY68" s="3" t="s">
        <v>750</v>
      </c>
      <c r="BZ68" s="5"/>
      <c r="CA68" s="3" t="s">
        <v>72</v>
      </c>
      <c r="CB68" s="5"/>
      <c r="CC68" s="3" t="s">
        <v>40</v>
      </c>
      <c r="CD68" s="5"/>
      <c r="CE68" s="5"/>
      <c r="CF68" s="3" t="s">
        <v>751</v>
      </c>
      <c r="CG68" s="3" t="s">
        <v>752</v>
      </c>
      <c r="CH68" s="5"/>
      <c r="CI68" s="3" t="s">
        <v>1269</v>
      </c>
      <c r="CJ68" s="3" t="s">
        <v>219</v>
      </c>
      <c r="CK68" s="3" t="s">
        <v>220</v>
      </c>
      <c r="CL68" s="3" t="s">
        <v>220</v>
      </c>
      <c r="CM68" s="5" t="s">
        <v>754</v>
      </c>
      <c r="CN68" s="3" t="s">
        <v>755</v>
      </c>
      <c r="CO68" s="3" t="s">
        <v>756</v>
      </c>
      <c r="CP68" s="5"/>
      <c r="CQ68" s="3" t="s">
        <v>1270</v>
      </c>
      <c r="CR68" s="3" t="s">
        <v>1271</v>
      </c>
      <c r="CS68" s="3" t="s">
        <v>1263</v>
      </c>
      <c r="CT68" s="3" t="s">
        <v>44</v>
      </c>
      <c r="CU68" s="5"/>
      <c r="CV68" s="5"/>
      <c r="CW68" s="4" t="s">
        <v>1057</v>
      </c>
      <c r="CX68" s="5" t="s">
        <v>1272</v>
      </c>
      <c r="CY68" s="11"/>
    </row>
    <row r="69" ht="12" customHeight="1" spans="1:103" x14ac:dyDescent="0.25">
      <c r="A69" s="8" t="s">
        <v>407</v>
      </c>
      <c r="B69" s="3" t="s">
        <v>762</v>
      </c>
      <c r="C69" s="5">
        <v>1</v>
      </c>
      <c r="D69" s="5">
        <v>1</v>
      </c>
      <c r="E69" s="5"/>
      <c r="F69" s="5">
        <v>0</v>
      </c>
      <c r="G69" s="5">
        <v>1</v>
      </c>
      <c r="H69" s="5">
        <v>0</v>
      </c>
      <c r="I69" s="5">
        <v>0</v>
      </c>
      <c r="J69" s="5">
        <v>1</v>
      </c>
      <c r="K69" s="3" t="s">
        <v>44</v>
      </c>
      <c r="L69" s="3" t="s">
        <v>728</v>
      </c>
      <c r="M69" s="3" t="s">
        <v>31</v>
      </c>
      <c r="N69" s="3" t="s">
        <v>32</v>
      </c>
      <c r="O69" s="3" t="s">
        <v>35</v>
      </c>
      <c r="P69" s="3" t="s">
        <v>40</v>
      </c>
      <c r="Q69" s="3" t="s">
        <v>729</v>
      </c>
      <c r="R69" s="4" t="s">
        <v>30</v>
      </c>
      <c r="S69" s="3" t="s">
        <v>36</v>
      </c>
      <c r="T69" s="3" t="s">
        <v>50</v>
      </c>
      <c r="U69" s="3" t="s">
        <v>36</v>
      </c>
      <c r="V69" s="4" t="s">
        <v>730</v>
      </c>
      <c r="W69" s="3" t="s">
        <v>731</v>
      </c>
      <c r="X69" s="5"/>
      <c r="Y69" s="5"/>
      <c r="Z69" s="5"/>
      <c r="AA69" s="3" t="s">
        <v>490</v>
      </c>
      <c r="AB69" s="3" t="s">
        <v>1273</v>
      </c>
      <c r="AC69" s="9">
        <v>18125</v>
      </c>
      <c r="AD69" s="9">
        <v>20325</v>
      </c>
      <c r="AE69" s="3" t="s">
        <v>734</v>
      </c>
      <c r="AF69" s="3" t="s">
        <v>663</v>
      </c>
      <c r="AG69" s="5"/>
      <c r="AH69" s="3" t="s">
        <v>666</v>
      </c>
      <c r="AI69" s="5" t="s">
        <v>734</v>
      </c>
      <c r="AJ69" s="5"/>
      <c r="AK69" s="5"/>
      <c r="AL69" s="5"/>
      <c r="AM69" s="3" t="s">
        <v>895</v>
      </c>
      <c r="AN69" s="3" t="s">
        <v>896</v>
      </c>
      <c r="AO69" s="3" t="s">
        <v>1274</v>
      </c>
      <c r="AP69" s="3" t="s">
        <v>738</v>
      </c>
      <c r="AQ69" s="5"/>
      <c r="AR69" s="5"/>
      <c r="AS69" s="5"/>
      <c r="AT69" s="5"/>
      <c r="AU69" s="5"/>
      <c r="AV69" s="5"/>
      <c r="AW69" s="5">
        <v>0</v>
      </c>
      <c r="AX69" s="3" t="s">
        <v>44</v>
      </c>
      <c r="AY69" s="5" t="s">
        <v>739</v>
      </c>
      <c r="AZ69" s="3" t="s">
        <v>1275</v>
      </c>
      <c r="BA69" s="5" t="s">
        <v>1276</v>
      </c>
      <c r="BB69" s="3" t="s">
        <v>742</v>
      </c>
      <c r="BC69" s="4" t="s">
        <v>909</v>
      </c>
      <c r="BD69" s="4" t="s">
        <v>785</v>
      </c>
      <c r="BE69" s="3" t="s">
        <v>72</v>
      </c>
      <c r="BF69" s="3" t="s">
        <v>1274</v>
      </c>
      <c r="BG69" s="3" t="s">
        <v>746</v>
      </c>
      <c r="BH69" s="3" t="s">
        <v>747</v>
      </c>
      <c r="BI69" s="5"/>
      <c r="BJ69" s="5"/>
      <c r="BK69" s="3" t="s">
        <v>748</v>
      </c>
      <c r="BL69" s="4" t="s">
        <v>769</v>
      </c>
      <c r="BM69" s="10"/>
      <c r="BN69" s="10">
        <v>1</v>
      </c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3" t="s">
        <v>750</v>
      </c>
      <c r="BZ69" s="5"/>
      <c r="CA69" s="3" t="s">
        <v>72</v>
      </c>
      <c r="CB69" s="5"/>
      <c r="CC69" s="3" t="s">
        <v>40</v>
      </c>
      <c r="CD69" s="5"/>
      <c r="CE69" s="5"/>
      <c r="CF69" s="3" t="s">
        <v>751</v>
      </c>
      <c r="CG69" s="3" t="s">
        <v>752</v>
      </c>
      <c r="CH69" s="5"/>
      <c r="CI69" s="3" t="s">
        <v>1184</v>
      </c>
      <c r="CJ69" s="3" t="s">
        <v>408</v>
      </c>
      <c r="CK69" s="3" t="s">
        <v>409</v>
      </c>
      <c r="CL69" s="3" t="s">
        <v>409</v>
      </c>
      <c r="CM69" s="5" t="s">
        <v>754</v>
      </c>
      <c r="CN69" s="3" t="s">
        <v>755</v>
      </c>
      <c r="CO69" s="3" t="s">
        <v>756</v>
      </c>
      <c r="CP69" s="5"/>
      <c r="CQ69" s="3" t="s">
        <v>1185</v>
      </c>
      <c r="CR69" s="3" t="s">
        <v>1186</v>
      </c>
      <c r="CS69" s="3" t="s">
        <v>490</v>
      </c>
      <c r="CT69" s="3" t="s">
        <v>44</v>
      </c>
      <c r="CU69" s="5"/>
      <c r="CV69" s="5"/>
      <c r="CW69" s="4" t="s">
        <v>1057</v>
      </c>
      <c r="CX69" s="5"/>
      <c r="CY69" s="11"/>
    </row>
    <row r="70" ht="12" customHeight="1" spans="1:103" x14ac:dyDescent="0.25">
      <c r="A70" s="8" t="s">
        <v>296</v>
      </c>
      <c r="B70" s="3" t="s">
        <v>762</v>
      </c>
      <c r="C70" s="5">
        <v>1</v>
      </c>
      <c r="D70" s="5">
        <v>1</v>
      </c>
      <c r="E70" s="5"/>
      <c r="F70" s="5">
        <v>0</v>
      </c>
      <c r="G70" s="5">
        <v>1</v>
      </c>
      <c r="H70" s="5">
        <v>0</v>
      </c>
      <c r="I70" s="5">
        <v>0</v>
      </c>
      <c r="J70" s="5">
        <v>1</v>
      </c>
      <c r="K70" s="3" t="s">
        <v>44</v>
      </c>
      <c r="L70" s="3" t="s">
        <v>728</v>
      </c>
      <c r="M70" s="3" t="s">
        <v>31</v>
      </c>
      <c r="N70" s="3" t="s">
        <v>32</v>
      </c>
      <c r="O70" s="3" t="s">
        <v>35</v>
      </c>
      <c r="P70" s="3" t="s">
        <v>40</v>
      </c>
      <c r="Q70" s="3" t="s">
        <v>729</v>
      </c>
      <c r="R70" s="4" t="s">
        <v>30</v>
      </c>
      <c r="S70" s="3" t="s">
        <v>36</v>
      </c>
      <c r="T70" s="3" t="s">
        <v>50</v>
      </c>
      <c r="U70" s="3" t="s">
        <v>36</v>
      </c>
      <c r="V70" s="4" t="s">
        <v>730</v>
      </c>
      <c r="W70" s="3" t="s">
        <v>731</v>
      </c>
      <c r="X70" s="5"/>
      <c r="Y70" s="5"/>
      <c r="Z70" s="5"/>
      <c r="AA70" s="3" t="s">
        <v>47</v>
      </c>
      <c r="AB70" s="3" t="s">
        <v>47</v>
      </c>
      <c r="AC70" s="9">
        <v>24960</v>
      </c>
      <c r="AD70" s="9">
        <v>27160</v>
      </c>
      <c r="AE70" s="3" t="s">
        <v>734</v>
      </c>
      <c r="AF70" s="3" t="s">
        <v>663</v>
      </c>
      <c r="AG70" s="5"/>
      <c r="AH70" s="3" t="s">
        <v>666</v>
      </c>
      <c r="AI70" s="5" t="s">
        <v>734</v>
      </c>
      <c r="AJ70" s="5"/>
      <c r="AK70" s="5"/>
      <c r="AL70" s="5"/>
      <c r="AM70" s="3" t="s">
        <v>804</v>
      </c>
      <c r="AN70" s="3" t="s">
        <v>805</v>
      </c>
      <c r="AO70" s="3" t="s">
        <v>1277</v>
      </c>
      <c r="AP70" s="3" t="s">
        <v>738</v>
      </c>
      <c r="AQ70" s="5"/>
      <c r="AR70" s="5"/>
      <c r="AS70" s="5"/>
      <c r="AT70" s="5"/>
      <c r="AU70" s="5"/>
      <c r="AV70" s="5"/>
      <c r="AW70" s="5">
        <v>0</v>
      </c>
      <c r="AX70" s="3" t="s">
        <v>44</v>
      </c>
      <c r="AY70" s="5" t="s">
        <v>823</v>
      </c>
      <c r="AZ70" s="3" t="s">
        <v>1278</v>
      </c>
      <c r="BA70" s="5" t="s">
        <v>1279</v>
      </c>
      <c r="BB70" s="3" t="s">
        <v>742</v>
      </c>
      <c r="BC70" s="4" t="s">
        <v>909</v>
      </c>
      <c r="BD70" s="4" t="s">
        <v>827</v>
      </c>
      <c r="BE70" s="3" t="s">
        <v>72</v>
      </c>
      <c r="BF70" s="3" t="s">
        <v>1277</v>
      </c>
      <c r="BG70" s="3" t="s">
        <v>746</v>
      </c>
      <c r="BH70" s="3" t="s">
        <v>747</v>
      </c>
      <c r="BI70" s="5"/>
      <c r="BJ70" s="5"/>
      <c r="BK70" s="3" t="s">
        <v>748</v>
      </c>
      <c r="BL70" s="4" t="s">
        <v>785</v>
      </c>
      <c r="BM70" s="10"/>
      <c r="BN70" s="10">
        <v>1</v>
      </c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3" t="s">
        <v>750</v>
      </c>
      <c r="BZ70" s="5"/>
      <c r="CA70" s="3" t="s">
        <v>72</v>
      </c>
      <c r="CB70" s="5"/>
      <c r="CC70" s="3" t="s">
        <v>40</v>
      </c>
      <c r="CD70" s="5"/>
      <c r="CE70" s="5"/>
      <c r="CF70" s="3" t="s">
        <v>751</v>
      </c>
      <c r="CG70" s="3" t="s">
        <v>752</v>
      </c>
      <c r="CH70" s="5"/>
      <c r="CI70" s="3" t="s">
        <v>1280</v>
      </c>
      <c r="CJ70" s="3" t="s">
        <v>47</v>
      </c>
      <c r="CK70" s="3" t="s">
        <v>297</v>
      </c>
      <c r="CL70" s="3" t="s">
        <v>297</v>
      </c>
      <c r="CM70" s="5" t="s">
        <v>754</v>
      </c>
      <c r="CN70" s="3" t="s">
        <v>755</v>
      </c>
      <c r="CO70" s="3" t="s">
        <v>756</v>
      </c>
      <c r="CP70" s="5"/>
      <c r="CQ70" s="3" t="s">
        <v>993</v>
      </c>
      <c r="CR70" s="3" t="s">
        <v>994</v>
      </c>
      <c r="CS70" s="3" t="s">
        <v>47</v>
      </c>
      <c r="CT70" s="3" t="s">
        <v>44</v>
      </c>
      <c r="CU70" s="5"/>
      <c r="CV70" s="5"/>
      <c r="CW70" s="4" t="s">
        <v>1057</v>
      </c>
      <c r="CX70" s="5" t="s">
        <v>1281</v>
      </c>
      <c r="CY70" s="11"/>
    </row>
    <row r="71" ht="12" customHeight="1" spans="1:103" x14ac:dyDescent="0.25">
      <c r="A71" s="8" t="s">
        <v>391</v>
      </c>
      <c r="B71" s="3" t="s">
        <v>762</v>
      </c>
      <c r="C71" s="5">
        <v>1</v>
      </c>
      <c r="D71" s="5">
        <v>1</v>
      </c>
      <c r="E71" s="5" t="s">
        <v>52</v>
      </c>
      <c r="F71" s="5">
        <v>0</v>
      </c>
      <c r="G71" s="5">
        <v>1</v>
      </c>
      <c r="H71" s="5">
        <v>0</v>
      </c>
      <c r="I71" s="5">
        <v>0</v>
      </c>
      <c r="J71" s="5">
        <v>1</v>
      </c>
      <c r="K71" s="3" t="s">
        <v>44</v>
      </c>
      <c r="L71" s="3" t="s">
        <v>728</v>
      </c>
      <c r="M71" s="3" t="s">
        <v>31</v>
      </c>
      <c r="N71" s="3" t="s">
        <v>32</v>
      </c>
      <c r="O71" s="3" t="s">
        <v>35</v>
      </c>
      <c r="P71" s="3" t="s">
        <v>40</v>
      </c>
      <c r="Q71" s="3" t="s">
        <v>729</v>
      </c>
      <c r="R71" s="4" t="s">
        <v>30</v>
      </c>
      <c r="S71" s="3" t="s">
        <v>36</v>
      </c>
      <c r="T71" s="3" t="s">
        <v>50</v>
      </c>
      <c r="U71" s="3" t="s">
        <v>36</v>
      </c>
      <c r="V71" s="4" t="s">
        <v>730</v>
      </c>
      <c r="W71" s="3" t="s">
        <v>731</v>
      </c>
      <c r="X71" s="5"/>
      <c r="Y71" s="5"/>
      <c r="Z71" s="5"/>
      <c r="AA71" s="3" t="s">
        <v>1282</v>
      </c>
      <c r="AB71" s="3" t="s">
        <v>1283</v>
      </c>
      <c r="AC71" s="9">
        <v>2448</v>
      </c>
      <c r="AD71" s="9">
        <v>4648</v>
      </c>
      <c r="AE71" s="3" t="s">
        <v>734</v>
      </c>
      <c r="AF71" s="3" t="s">
        <v>663</v>
      </c>
      <c r="AG71" s="5"/>
      <c r="AH71" s="3" t="s">
        <v>666</v>
      </c>
      <c r="AI71" s="5" t="s">
        <v>734</v>
      </c>
      <c r="AJ71" s="5"/>
      <c r="AK71" s="5"/>
      <c r="AL71" s="5"/>
      <c r="AM71" s="3" t="s">
        <v>820</v>
      </c>
      <c r="AN71" s="3" t="s">
        <v>821</v>
      </c>
      <c r="AO71" s="3" t="s">
        <v>1284</v>
      </c>
      <c r="AP71" s="3" t="s">
        <v>738</v>
      </c>
      <c r="AQ71" s="5"/>
      <c r="AR71" s="5"/>
      <c r="AS71" s="5"/>
      <c r="AT71" s="5"/>
      <c r="AU71" s="5"/>
      <c r="AV71" s="5"/>
      <c r="AW71" s="5">
        <v>0</v>
      </c>
      <c r="AX71" s="3" t="s">
        <v>44</v>
      </c>
      <c r="AY71" s="5" t="s">
        <v>739</v>
      </c>
      <c r="AZ71" s="3" t="s">
        <v>1285</v>
      </c>
      <c r="BA71" s="5" t="s">
        <v>1286</v>
      </c>
      <c r="BB71" s="3" t="s">
        <v>742</v>
      </c>
      <c r="BC71" s="4" t="s">
        <v>909</v>
      </c>
      <c r="BD71" s="4" t="s">
        <v>785</v>
      </c>
      <c r="BE71" s="3" t="s">
        <v>72</v>
      </c>
      <c r="BF71" s="3" t="s">
        <v>1284</v>
      </c>
      <c r="BG71" s="3" t="s">
        <v>746</v>
      </c>
      <c r="BH71" s="3" t="s">
        <v>747</v>
      </c>
      <c r="BI71" s="5"/>
      <c r="BJ71" s="5"/>
      <c r="BK71" s="3" t="s">
        <v>840</v>
      </c>
      <c r="BL71" s="4" t="s">
        <v>769</v>
      </c>
      <c r="BM71" s="10"/>
      <c r="BN71" s="10">
        <v>1</v>
      </c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3" t="s">
        <v>750</v>
      </c>
      <c r="BZ71" s="5"/>
      <c r="CA71" s="3" t="s">
        <v>72</v>
      </c>
      <c r="CB71" s="5"/>
      <c r="CC71" s="3" t="s">
        <v>842</v>
      </c>
      <c r="CD71" s="5"/>
      <c r="CE71" s="5"/>
      <c r="CF71" s="3" t="s">
        <v>751</v>
      </c>
      <c r="CG71" s="3" t="s">
        <v>752</v>
      </c>
      <c r="CH71" s="5"/>
      <c r="CI71" s="3" t="s">
        <v>1287</v>
      </c>
      <c r="CJ71" s="3" t="s">
        <v>392</v>
      </c>
      <c r="CK71" s="3" t="s">
        <v>393</v>
      </c>
      <c r="CL71" s="3" t="s">
        <v>393</v>
      </c>
      <c r="CM71" s="5" t="s">
        <v>754</v>
      </c>
      <c r="CN71" s="3" t="s">
        <v>755</v>
      </c>
      <c r="CO71" s="3" t="s">
        <v>756</v>
      </c>
      <c r="CP71" s="5"/>
      <c r="CQ71" s="3" t="s">
        <v>1288</v>
      </c>
      <c r="CR71" s="3" t="s">
        <v>1289</v>
      </c>
      <c r="CS71" s="3" t="s">
        <v>1282</v>
      </c>
      <c r="CT71" s="3" t="s">
        <v>44</v>
      </c>
      <c r="CU71" s="5"/>
      <c r="CV71" s="5"/>
      <c r="CW71" s="4" t="s">
        <v>1057</v>
      </c>
      <c r="CX71" s="5" t="s">
        <v>1290</v>
      </c>
      <c r="CY71" s="11"/>
    </row>
    <row r="72" ht="12" customHeight="1" spans="1:103" x14ac:dyDescent="0.25">
      <c r="A72" s="8" t="s">
        <v>161</v>
      </c>
      <c r="B72" s="3" t="s">
        <v>833</v>
      </c>
      <c r="C72" s="5">
        <v>2</v>
      </c>
      <c r="D72" s="5">
        <v>2</v>
      </c>
      <c r="E72" s="5" t="s">
        <v>52</v>
      </c>
      <c r="F72" s="5">
        <v>0</v>
      </c>
      <c r="G72" s="5">
        <v>0</v>
      </c>
      <c r="H72" s="5">
        <v>0</v>
      </c>
      <c r="I72" s="5">
        <v>2</v>
      </c>
      <c r="J72" s="5">
        <v>4</v>
      </c>
      <c r="K72" s="3" t="s">
        <v>44</v>
      </c>
      <c r="L72" s="3" t="s">
        <v>728</v>
      </c>
      <c r="M72" s="3" t="s">
        <v>31</v>
      </c>
      <c r="N72" s="3" t="s">
        <v>32</v>
      </c>
      <c r="O72" s="3" t="s">
        <v>35</v>
      </c>
      <c r="P72" s="3" t="s">
        <v>40</v>
      </c>
      <c r="Q72" s="3" t="s">
        <v>729</v>
      </c>
      <c r="R72" s="4" t="s">
        <v>30</v>
      </c>
      <c r="S72" s="3" t="s">
        <v>36</v>
      </c>
      <c r="T72" s="3" t="s">
        <v>50</v>
      </c>
      <c r="U72" s="3" t="s">
        <v>36</v>
      </c>
      <c r="V72" s="4" t="s">
        <v>730</v>
      </c>
      <c r="W72" s="3" t="s">
        <v>731</v>
      </c>
      <c r="X72" s="5"/>
      <c r="Y72" s="5"/>
      <c r="Z72" s="5"/>
      <c r="AA72" s="3" t="s">
        <v>1291</v>
      </c>
      <c r="AB72" s="3" t="s">
        <v>162</v>
      </c>
      <c r="AC72" s="9">
        <v>8855</v>
      </c>
      <c r="AD72" s="9">
        <v>16855</v>
      </c>
      <c r="AE72" s="3" t="s">
        <v>734</v>
      </c>
      <c r="AF72" s="3" t="s">
        <v>663</v>
      </c>
      <c r="AG72" s="5"/>
      <c r="AH72" s="3" t="s">
        <v>666</v>
      </c>
      <c r="AI72" s="5" t="s">
        <v>734</v>
      </c>
      <c r="AJ72" s="5"/>
      <c r="AK72" s="5"/>
      <c r="AL72" s="5"/>
      <c r="AM72" s="3" t="s">
        <v>1292</v>
      </c>
      <c r="AN72" s="3" t="s">
        <v>1293</v>
      </c>
      <c r="AO72" s="3" t="s">
        <v>1294</v>
      </c>
      <c r="AP72" s="3" t="s">
        <v>738</v>
      </c>
      <c r="AQ72" s="5"/>
      <c r="AR72" s="5"/>
      <c r="AS72" s="5"/>
      <c r="AT72" s="5"/>
      <c r="AU72" s="5"/>
      <c r="AV72" s="5"/>
      <c r="AW72" s="5">
        <v>0</v>
      </c>
      <c r="AX72" s="3" t="s">
        <v>44</v>
      </c>
      <c r="AY72" s="5" t="s">
        <v>739</v>
      </c>
      <c r="AZ72" s="3" t="s">
        <v>1285</v>
      </c>
      <c r="BA72" s="5" t="s">
        <v>1295</v>
      </c>
      <c r="BB72" s="3" t="s">
        <v>742</v>
      </c>
      <c r="BC72" s="4" t="s">
        <v>909</v>
      </c>
      <c r="BD72" s="4" t="s">
        <v>785</v>
      </c>
      <c r="BE72" s="3" t="s">
        <v>72</v>
      </c>
      <c r="BF72" s="3" t="s">
        <v>1296</v>
      </c>
      <c r="BG72" s="3" t="s">
        <v>746</v>
      </c>
      <c r="BH72" s="3" t="s">
        <v>747</v>
      </c>
      <c r="BI72" s="5"/>
      <c r="BJ72" s="5"/>
      <c r="BK72" s="3" t="s">
        <v>840</v>
      </c>
      <c r="BL72" s="4" t="s">
        <v>769</v>
      </c>
      <c r="BM72" s="10"/>
      <c r="BN72" s="10"/>
      <c r="BO72" s="10"/>
      <c r="BP72" s="10">
        <v>2</v>
      </c>
      <c r="BQ72" s="10"/>
      <c r="BR72" s="10"/>
      <c r="BS72" s="10"/>
      <c r="BT72" s="10"/>
      <c r="BU72" s="10"/>
      <c r="BV72" s="10"/>
      <c r="BW72" s="10"/>
      <c r="BX72" s="10"/>
      <c r="BY72" s="3" t="s">
        <v>750</v>
      </c>
      <c r="BZ72" s="5"/>
      <c r="CA72" s="3" t="s">
        <v>72</v>
      </c>
      <c r="CB72" s="5"/>
      <c r="CC72" s="3" t="s">
        <v>842</v>
      </c>
      <c r="CD72" s="5"/>
      <c r="CE72" s="5"/>
      <c r="CF72" s="3" t="s">
        <v>751</v>
      </c>
      <c r="CG72" s="3" t="s">
        <v>752</v>
      </c>
      <c r="CH72" s="5"/>
      <c r="CI72" s="3" t="s">
        <v>1297</v>
      </c>
      <c r="CJ72" s="3" t="s">
        <v>162</v>
      </c>
      <c r="CK72" s="3" t="s">
        <v>163</v>
      </c>
      <c r="CL72" s="3" t="s">
        <v>163</v>
      </c>
      <c r="CM72" s="5" t="s">
        <v>754</v>
      </c>
      <c r="CN72" s="3" t="s">
        <v>755</v>
      </c>
      <c r="CO72" s="3" t="s">
        <v>756</v>
      </c>
      <c r="CP72" s="5"/>
      <c r="CQ72" s="3" t="s">
        <v>1298</v>
      </c>
      <c r="CR72" s="3" t="s">
        <v>1299</v>
      </c>
      <c r="CS72" s="3" t="s">
        <v>1291</v>
      </c>
      <c r="CT72" s="3" t="s">
        <v>44</v>
      </c>
      <c r="CU72" s="5"/>
      <c r="CV72" s="5"/>
      <c r="CW72" s="4" t="s">
        <v>1057</v>
      </c>
      <c r="CX72" s="5" t="s">
        <v>1300</v>
      </c>
      <c r="CY72" s="11"/>
    </row>
    <row r="73" ht="12" customHeight="1" spans="1:103" x14ac:dyDescent="0.25">
      <c r="A73" s="8" t="s">
        <v>430</v>
      </c>
      <c r="B73" s="3" t="s">
        <v>762</v>
      </c>
      <c r="C73" s="5">
        <v>1</v>
      </c>
      <c r="D73" s="5">
        <v>1</v>
      </c>
      <c r="E73" s="5"/>
      <c r="F73" s="5">
        <v>0</v>
      </c>
      <c r="G73" s="5">
        <v>1</v>
      </c>
      <c r="H73" s="5">
        <v>0</v>
      </c>
      <c r="I73" s="5">
        <v>0</v>
      </c>
      <c r="J73" s="5">
        <v>1</v>
      </c>
      <c r="K73" s="3" t="s">
        <v>44</v>
      </c>
      <c r="L73" s="3" t="s">
        <v>728</v>
      </c>
      <c r="M73" s="3" t="s">
        <v>31</v>
      </c>
      <c r="N73" s="3" t="s">
        <v>32</v>
      </c>
      <c r="O73" s="3" t="s">
        <v>35</v>
      </c>
      <c r="P73" s="3" t="s">
        <v>40</v>
      </c>
      <c r="Q73" s="3" t="s">
        <v>729</v>
      </c>
      <c r="R73" s="4" t="s">
        <v>30</v>
      </c>
      <c r="S73" s="3" t="s">
        <v>36</v>
      </c>
      <c r="T73" s="3" t="s">
        <v>50</v>
      </c>
      <c r="U73" s="3" t="s">
        <v>36</v>
      </c>
      <c r="V73" s="4" t="s">
        <v>730</v>
      </c>
      <c r="W73" s="3" t="s">
        <v>731</v>
      </c>
      <c r="X73" s="5"/>
      <c r="Y73" s="5"/>
      <c r="Z73" s="5"/>
      <c r="AA73" s="3" t="s">
        <v>1301</v>
      </c>
      <c r="AB73" s="3" t="s">
        <v>1302</v>
      </c>
      <c r="AC73" s="9">
        <v>12099.9</v>
      </c>
      <c r="AD73" s="9">
        <v>14299.9</v>
      </c>
      <c r="AE73" s="3" t="s">
        <v>734</v>
      </c>
      <c r="AF73" s="3" t="s">
        <v>663</v>
      </c>
      <c r="AG73" s="5"/>
      <c r="AH73" s="3" t="s">
        <v>666</v>
      </c>
      <c r="AI73" s="5" t="s">
        <v>734</v>
      </c>
      <c r="AJ73" s="5"/>
      <c r="AK73" s="5"/>
      <c r="AL73" s="5"/>
      <c r="AM73" s="3" t="s">
        <v>895</v>
      </c>
      <c r="AN73" s="3" t="s">
        <v>896</v>
      </c>
      <c r="AO73" s="3" t="s">
        <v>1303</v>
      </c>
      <c r="AP73" s="3" t="s">
        <v>738</v>
      </c>
      <c r="AQ73" s="5"/>
      <c r="AR73" s="5"/>
      <c r="AS73" s="5"/>
      <c r="AT73" s="5"/>
      <c r="AU73" s="5"/>
      <c r="AV73" s="5"/>
      <c r="AW73" s="5">
        <v>0</v>
      </c>
      <c r="AX73" s="3" t="s">
        <v>44</v>
      </c>
      <c r="AY73" s="5" t="s">
        <v>739</v>
      </c>
      <c r="AZ73" s="3" t="s">
        <v>1304</v>
      </c>
      <c r="BA73" s="5"/>
      <c r="BB73" s="3" t="s">
        <v>742</v>
      </c>
      <c r="BC73" s="4" t="s">
        <v>828</v>
      </c>
      <c r="BD73" s="4" t="s">
        <v>785</v>
      </c>
      <c r="BE73" s="3" t="s">
        <v>72</v>
      </c>
      <c r="BF73" s="3" t="s">
        <v>1303</v>
      </c>
      <c r="BG73" s="3" t="s">
        <v>746</v>
      </c>
      <c r="BH73" s="3" t="s">
        <v>747</v>
      </c>
      <c r="BI73" s="5"/>
      <c r="BJ73" s="5"/>
      <c r="BK73" s="3" t="s">
        <v>748</v>
      </c>
      <c r="BL73" s="4" t="s">
        <v>792</v>
      </c>
      <c r="BM73" s="10"/>
      <c r="BN73" s="10">
        <v>1</v>
      </c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3" t="s">
        <v>750</v>
      </c>
      <c r="BZ73" s="5"/>
      <c r="CA73" s="3" t="s">
        <v>72</v>
      </c>
      <c r="CB73" s="5"/>
      <c r="CC73" s="3" t="s">
        <v>40</v>
      </c>
      <c r="CD73" s="5"/>
      <c r="CE73" s="5"/>
      <c r="CF73" s="3" t="s">
        <v>751</v>
      </c>
      <c r="CG73" s="3" t="s">
        <v>752</v>
      </c>
      <c r="CH73" s="5"/>
      <c r="CI73" s="3" t="s">
        <v>1305</v>
      </c>
      <c r="CJ73" s="3" t="s">
        <v>431</v>
      </c>
      <c r="CK73" s="3" t="s">
        <v>432</v>
      </c>
      <c r="CL73" s="3" t="s">
        <v>432</v>
      </c>
      <c r="CM73" s="5" t="s">
        <v>754</v>
      </c>
      <c r="CN73" s="3" t="s">
        <v>755</v>
      </c>
      <c r="CO73" s="3" t="s">
        <v>756</v>
      </c>
      <c r="CP73" s="5"/>
      <c r="CQ73" s="3" t="s">
        <v>1306</v>
      </c>
      <c r="CR73" s="3" t="s">
        <v>1307</v>
      </c>
      <c r="CS73" s="3" t="s">
        <v>1301</v>
      </c>
      <c r="CT73" s="3" t="s">
        <v>44</v>
      </c>
      <c r="CU73" s="5"/>
      <c r="CV73" s="5"/>
      <c r="CW73" s="4" t="s">
        <v>846</v>
      </c>
      <c r="CX73" s="5" t="s">
        <v>1308</v>
      </c>
      <c r="CY73" s="11"/>
    </row>
    <row r="74" ht="12" customHeight="1" spans="1:103" x14ac:dyDescent="0.25">
      <c r="A74" s="8" t="s">
        <v>266</v>
      </c>
      <c r="B74" s="3" t="s">
        <v>1097</v>
      </c>
      <c r="C74" s="5">
        <v>2</v>
      </c>
      <c r="D74" s="5">
        <v>2</v>
      </c>
      <c r="E74" s="5" t="s">
        <v>52</v>
      </c>
      <c r="F74" s="5">
        <v>0</v>
      </c>
      <c r="G74" s="5">
        <v>1</v>
      </c>
      <c r="H74" s="5">
        <v>0</v>
      </c>
      <c r="I74" s="5">
        <v>1</v>
      </c>
      <c r="J74" s="5">
        <v>3</v>
      </c>
      <c r="K74" s="3" t="s">
        <v>44</v>
      </c>
      <c r="L74" s="3" t="s">
        <v>728</v>
      </c>
      <c r="M74" s="3" t="s">
        <v>31</v>
      </c>
      <c r="N74" s="3" t="s">
        <v>32</v>
      </c>
      <c r="O74" s="3" t="s">
        <v>35</v>
      </c>
      <c r="P74" s="3" t="s">
        <v>40</v>
      </c>
      <c r="Q74" s="3" t="s">
        <v>729</v>
      </c>
      <c r="R74" s="4" t="s">
        <v>30</v>
      </c>
      <c r="S74" s="3" t="s">
        <v>36</v>
      </c>
      <c r="T74" s="3" t="s">
        <v>50</v>
      </c>
      <c r="U74" s="3" t="s">
        <v>36</v>
      </c>
      <c r="V74" s="4" t="s">
        <v>730</v>
      </c>
      <c r="W74" s="3" t="s">
        <v>731</v>
      </c>
      <c r="X74" s="5"/>
      <c r="Y74" s="5"/>
      <c r="Z74" s="5"/>
      <c r="AA74" s="3" t="s">
        <v>1098</v>
      </c>
      <c r="AB74" s="3" t="s">
        <v>1309</v>
      </c>
      <c r="AC74" s="9">
        <v>20857.5</v>
      </c>
      <c r="AD74" s="9">
        <v>27057.5</v>
      </c>
      <c r="AE74" s="3" t="s">
        <v>734</v>
      </c>
      <c r="AF74" s="3"/>
      <c r="AG74" s="5"/>
      <c r="AH74" s="3" t="s">
        <v>918</v>
      </c>
      <c r="AI74" s="5" t="s">
        <v>734</v>
      </c>
      <c r="AJ74" s="5"/>
      <c r="AK74" s="5"/>
      <c r="AL74" s="5"/>
      <c r="AM74" s="3" t="s">
        <v>820</v>
      </c>
      <c r="AN74" s="3" t="s">
        <v>821</v>
      </c>
      <c r="AO74" s="3" t="s">
        <v>1310</v>
      </c>
      <c r="AP74" s="3" t="s">
        <v>738</v>
      </c>
      <c r="AQ74" s="5"/>
      <c r="AR74" s="5"/>
      <c r="AS74" s="5"/>
      <c r="AT74" s="5"/>
      <c r="AU74" s="5"/>
      <c r="AV74" s="5"/>
      <c r="AW74" s="5">
        <v>0</v>
      </c>
      <c r="AX74" s="3" t="s">
        <v>44</v>
      </c>
      <c r="AY74" s="5" t="s">
        <v>739</v>
      </c>
      <c r="AZ74" s="3" t="s">
        <v>1311</v>
      </c>
      <c r="BA74" s="5" t="s">
        <v>1312</v>
      </c>
      <c r="BB74" s="3" t="s">
        <v>742</v>
      </c>
      <c r="BC74" s="4" t="s">
        <v>828</v>
      </c>
      <c r="BD74" s="4" t="s">
        <v>846</v>
      </c>
      <c r="BE74" s="3" t="s">
        <v>72</v>
      </c>
      <c r="BF74" s="3" t="s">
        <v>1310</v>
      </c>
      <c r="BG74" s="3" t="s">
        <v>746</v>
      </c>
      <c r="BH74" s="3" t="s">
        <v>747</v>
      </c>
      <c r="BI74" s="5"/>
      <c r="BJ74" s="5"/>
      <c r="BK74" s="3" t="s">
        <v>840</v>
      </c>
      <c r="BL74" s="4" t="s">
        <v>769</v>
      </c>
      <c r="BM74" s="10"/>
      <c r="BN74" s="10">
        <v>1</v>
      </c>
      <c r="BO74" s="10"/>
      <c r="BP74" s="10">
        <v>1</v>
      </c>
      <c r="BQ74" s="10"/>
      <c r="BR74" s="10"/>
      <c r="BS74" s="10"/>
      <c r="BT74" s="10"/>
      <c r="BU74" s="10"/>
      <c r="BV74" s="10"/>
      <c r="BW74" s="10"/>
      <c r="BX74" s="10"/>
      <c r="BY74" s="3" t="s">
        <v>750</v>
      </c>
      <c r="BZ74" s="5"/>
      <c r="CA74" s="3" t="s">
        <v>72</v>
      </c>
      <c r="CB74" s="5"/>
      <c r="CC74" s="3" t="s">
        <v>842</v>
      </c>
      <c r="CD74" s="5"/>
      <c r="CE74" s="5"/>
      <c r="CF74" s="3" t="s">
        <v>751</v>
      </c>
      <c r="CG74" s="3" t="s">
        <v>752</v>
      </c>
      <c r="CH74" s="5"/>
      <c r="CI74" s="3" t="s">
        <v>1103</v>
      </c>
      <c r="CJ74" s="3" t="s">
        <v>195</v>
      </c>
      <c r="CK74" s="3" t="s">
        <v>196</v>
      </c>
      <c r="CL74" s="3" t="s">
        <v>196</v>
      </c>
      <c r="CM74" s="5" t="s">
        <v>754</v>
      </c>
      <c r="CN74" s="3" t="s">
        <v>755</v>
      </c>
      <c r="CO74" s="3" t="s">
        <v>756</v>
      </c>
      <c r="CP74" s="5"/>
      <c r="CQ74" s="3" t="s">
        <v>1104</v>
      </c>
      <c r="CR74" s="3" t="s">
        <v>1105</v>
      </c>
      <c r="CS74" s="3" t="s">
        <v>1098</v>
      </c>
      <c r="CT74" s="3" t="s">
        <v>44</v>
      </c>
      <c r="CU74" s="5"/>
      <c r="CV74" s="5"/>
      <c r="CW74" s="4" t="s">
        <v>846</v>
      </c>
      <c r="CX74" s="5" t="s">
        <v>1313</v>
      </c>
      <c r="CY74" s="11"/>
    </row>
    <row r="75" ht="12" customHeight="1" spans="1:103" x14ac:dyDescent="0.25">
      <c r="A75" s="8" t="s">
        <v>379</v>
      </c>
      <c r="B75" s="3" t="s">
        <v>762</v>
      </c>
      <c r="C75" s="5">
        <v>1</v>
      </c>
      <c r="D75" s="5">
        <v>1</v>
      </c>
      <c r="E75" s="5" t="s">
        <v>52</v>
      </c>
      <c r="F75" s="5">
        <v>0</v>
      </c>
      <c r="G75" s="5">
        <v>1</v>
      </c>
      <c r="H75" s="5">
        <v>0</v>
      </c>
      <c r="I75" s="5">
        <v>0</v>
      </c>
      <c r="J75" s="5">
        <v>1</v>
      </c>
      <c r="K75" s="3" t="s">
        <v>44</v>
      </c>
      <c r="L75" s="3" t="s">
        <v>728</v>
      </c>
      <c r="M75" s="3" t="s">
        <v>31</v>
      </c>
      <c r="N75" s="3" t="s">
        <v>32</v>
      </c>
      <c r="O75" s="3" t="s">
        <v>35</v>
      </c>
      <c r="P75" s="3" t="s">
        <v>40</v>
      </c>
      <c r="Q75" s="3" t="s">
        <v>729</v>
      </c>
      <c r="R75" s="4" t="s">
        <v>30</v>
      </c>
      <c r="S75" s="3" t="s">
        <v>36</v>
      </c>
      <c r="T75" s="3" t="s">
        <v>50</v>
      </c>
      <c r="U75" s="3" t="s">
        <v>36</v>
      </c>
      <c r="V75" s="4" t="s">
        <v>730</v>
      </c>
      <c r="W75" s="3" t="s">
        <v>731</v>
      </c>
      <c r="X75" s="5"/>
      <c r="Y75" s="5"/>
      <c r="Z75" s="5"/>
      <c r="AA75" s="3" t="s">
        <v>958</v>
      </c>
      <c r="AB75" s="3" t="s">
        <v>1314</v>
      </c>
      <c r="AC75" s="9">
        <v>1050.14</v>
      </c>
      <c r="AD75" s="9">
        <v>3250.14</v>
      </c>
      <c r="AE75" s="3" t="s">
        <v>734</v>
      </c>
      <c r="AF75" s="3" t="s">
        <v>663</v>
      </c>
      <c r="AG75" s="5"/>
      <c r="AH75" s="3" t="s">
        <v>666</v>
      </c>
      <c r="AI75" s="5" t="s">
        <v>734</v>
      </c>
      <c r="AJ75" s="5"/>
      <c r="AK75" s="5"/>
      <c r="AL75" s="5"/>
      <c r="AM75" s="3" t="s">
        <v>895</v>
      </c>
      <c r="AN75" s="3" t="s">
        <v>896</v>
      </c>
      <c r="AO75" s="3" t="s">
        <v>1315</v>
      </c>
      <c r="AP75" s="3" t="s">
        <v>738</v>
      </c>
      <c r="AQ75" s="5"/>
      <c r="AR75" s="5"/>
      <c r="AS75" s="5"/>
      <c r="AT75" s="5"/>
      <c r="AU75" s="5"/>
      <c r="AV75" s="5"/>
      <c r="AW75" s="5">
        <v>0</v>
      </c>
      <c r="AX75" s="3" t="s">
        <v>44</v>
      </c>
      <c r="AY75" s="5" t="s">
        <v>739</v>
      </c>
      <c r="AZ75" s="3" t="s">
        <v>1316</v>
      </c>
      <c r="BA75" s="5" t="s">
        <v>1317</v>
      </c>
      <c r="BB75" s="3" t="s">
        <v>742</v>
      </c>
      <c r="BC75" s="4" t="s">
        <v>828</v>
      </c>
      <c r="BD75" s="4" t="s">
        <v>785</v>
      </c>
      <c r="BE75" s="3" t="s">
        <v>72</v>
      </c>
      <c r="BF75" s="3" t="s">
        <v>1318</v>
      </c>
      <c r="BG75" s="3" t="s">
        <v>746</v>
      </c>
      <c r="BH75" s="3" t="s">
        <v>747</v>
      </c>
      <c r="BI75" s="5"/>
      <c r="BJ75" s="5"/>
      <c r="BK75" s="3" t="s">
        <v>840</v>
      </c>
      <c r="BL75" s="4" t="s">
        <v>785</v>
      </c>
      <c r="BM75" s="10"/>
      <c r="BN75" s="10">
        <v>1</v>
      </c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3" t="s">
        <v>750</v>
      </c>
      <c r="BZ75" s="5"/>
      <c r="CA75" s="3" t="s">
        <v>72</v>
      </c>
      <c r="CB75" s="5"/>
      <c r="CC75" s="3" t="s">
        <v>842</v>
      </c>
      <c r="CD75" s="5"/>
      <c r="CE75" s="5"/>
      <c r="CF75" s="3" t="s">
        <v>751</v>
      </c>
      <c r="CG75" s="3" t="s">
        <v>752</v>
      </c>
      <c r="CH75" s="5"/>
      <c r="CI75" s="3" t="s">
        <v>1319</v>
      </c>
      <c r="CJ75" s="3" t="s">
        <v>86</v>
      </c>
      <c r="CK75" s="3" t="s">
        <v>87</v>
      </c>
      <c r="CL75" s="3" t="s">
        <v>87</v>
      </c>
      <c r="CM75" s="5" t="s">
        <v>754</v>
      </c>
      <c r="CN75" s="3" t="s">
        <v>755</v>
      </c>
      <c r="CO75" s="3" t="s">
        <v>756</v>
      </c>
      <c r="CP75" s="5"/>
      <c r="CQ75" s="3" t="s">
        <v>963</v>
      </c>
      <c r="CR75" s="3" t="s">
        <v>964</v>
      </c>
      <c r="CS75" s="3" t="s">
        <v>958</v>
      </c>
      <c r="CT75" s="3" t="s">
        <v>44</v>
      </c>
      <c r="CU75" s="5"/>
      <c r="CV75" s="5"/>
      <c r="CW75" s="4" t="s">
        <v>846</v>
      </c>
      <c r="CX75" s="5" t="s">
        <v>1320</v>
      </c>
      <c r="CY75" s="11"/>
    </row>
    <row r="76" ht="12" customHeight="1" spans="1:103" x14ac:dyDescent="0.25">
      <c r="A76" s="8" t="s">
        <v>182</v>
      </c>
      <c r="B76" s="3" t="s">
        <v>833</v>
      </c>
      <c r="C76" s="5">
        <v>2</v>
      </c>
      <c r="D76" s="5">
        <v>2</v>
      </c>
      <c r="E76" s="5" t="s">
        <v>52</v>
      </c>
      <c r="F76" s="5">
        <v>0</v>
      </c>
      <c r="G76" s="5">
        <v>0</v>
      </c>
      <c r="H76" s="5">
        <v>0</v>
      </c>
      <c r="I76" s="5">
        <v>2</v>
      </c>
      <c r="J76" s="5">
        <v>4</v>
      </c>
      <c r="K76" s="3" t="s">
        <v>44</v>
      </c>
      <c r="L76" s="3" t="s">
        <v>728</v>
      </c>
      <c r="M76" s="3" t="s">
        <v>31</v>
      </c>
      <c r="N76" s="3" t="s">
        <v>32</v>
      </c>
      <c r="O76" s="3" t="s">
        <v>35</v>
      </c>
      <c r="P76" s="3" t="s">
        <v>40</v>
      </c>
      <c r="Q76" s="3" t="s">
        <v>729</v>
      </c>
      <c r="R76" s="4" t="s">
        <v>30</v>
      </c>
      <c r="S76" s="3" t="s">
        <v>36</v>
      </c>
      <c r="T76" s="3" t="s">
        <v>50</v>
      </c>
      <c r="U76" s="3" t="s">
        <v>36</v>
      </c>
      <c r="V76" s="4" t="s">
        <v>730</v>
      </c>
      <c r="W76" s="3" t="s">
        <v>731</v>
      </c>
      <c r="X76" s="5"/>
      <c r="Y76" s="5"/>
      <c r="Z76" s="5"/>
      <c r="AA76" s="3" t="s">
        <v>1321</v>
      </c>
      <c r="AB76" s="3" t="s">
        <v>1321</v>
      </c>
      <c r="AC76" s="9">
        <v>54200</v>
      </c>
      <c r="AD76" s="9">
        <v>62200</v>
      </c>
      <c r="AE76" s="3" t="s">
        <v>734</v>
      </c>
      <c r="AF76" s="3"/>
      <c r="AG76" s="5"/>
      <c r="AH76" s="3" t="s">
        <v>666</v>
      </c>
      <c r="AI76" s="5" t="s">
        <v>734</v>
      </c>
      <c r="AJ76" s="5"/>
      <c r="AK76" s="5"/>
      <c r="AL76" s="5"/>
      <c r="AM76" s="3" t="s">
        <v>804</v>
      </c>
      <c r="AN76" s="3" t="s">
        <v>805</v>
      </c>
      <c r="AO76" s="3" t="s">
        <v>1322</v>
      </c>
      <c r="AP76" s="3" t="s">
        <v>738</v>
      </c>
      <c r="AQ76" s="5"/>
      <c r="AR76" s="5"/>
      <c r="AS76" s="5"/>
      <c r="AT76" s="5"/>
      <c r="AU76" s="5"/>
      <c r="AV76" s="5"/>
      <c r="AW76" s="5">
        <v>0</v>
      </c>
      <c r="AX76" s="3" t="s">
        <v>44</v>
      </c>
      <c r="AY76" s="5" t="s">
        <v>823</v>
      </c>
      <c r="AZ76" s="3" t="s">
        <v>1323</v>
      </c>
      <c r="BA76" s="5" t="s">
        <v>1324</v>
      </c>
      <c r="BB76" s="3" t="s">
        <v>742</v>
      </c>
      <c r="BC76" s="4" t="s">
        <v>774</v>
      </c>
      <c r="BD76" s="4" t="s">
        <v>792</v>
      </c>
      <c r="BE76" s="3" t="s">
        <v>72</v>
      </c>
      <c r="BF76" s="3" t="s">
        <v>1325</v>
      </c>
      <c r="BG76" s="3" t="s">
        <v>746</v>
      </c>
      <c r="BH76" s="3" t="s">
        <v>747</v>
      </c>
      <c r="BI76" s="5"/>
      <c r="BJ76" s="5"/>
      <c r="BK76" s="3" t="s">
        <v>840</v>
      </c>
      <c r="BL76" s="4" t="s">
        <v>769</v>
      </c>
      <c r="BM76" s="10"/>
      <c r="BN76" s="10"/>
      <c r="BO76" s="10"/>
      <c r="BP76" s="10">
        <v>2</v>
      </c>
      <c r="BQ76" s="10"/>
      <c r="BR76" s="10"/>
      <c r="BS76" s="10"/>
      <c r="BT76" s="10"/>
      <c r="BU76" s="10"/>
      <c r="BV76" s="10"/>
      <c r="BW76" s="10"/>
      <c r="BX76" s="10"/>
      <c r="BY76" s="3" t="s">
        <v>750</v>
      </c>
      <c r="BZ76" s="5"/>
      <c r="CA76" s="3" t="s">
        <v>72</v>
      </c>
      <c r="CB76" s="5"/>
      <c r="CC76" s="3" t="s">
        <v>842</v>
      </c>
      <c r="CD76" s="5"/>
      <c r="CE76" s="5"/>
      <c r="CF76" s="3" t="s">
        <v>751</v>
      </c>
      <c r="CG76" s="3" t="s">
        <v>752</v>
      </c>
      <c r="CH76" s="5"/>
      <c r="CI76" s="3" t="s">
        <v>1326</v>
      </c>
      <c r="CJ76" s="3" t="s">
        <v>183</v>
      </c>
      <c r="CK76" s="3" t="s">
        <v>184</v>
      </c>
      <c r="CL76" s="3" t="s">
        <v>184</v>
      </c>
      <c r="CM76" s="5" t="s">
        <v>754</v>
      </c>
      <c r="CN76" s="3" t="s">
        <v>755</v>
      </c>
      <c r="CO76" s="3" t="s">
        <v>756</v>
      </c>
      <c r="CP76" s="5"/>
      <c r="CQ76" s="3" t="s">
        <v>1327</v>
      </c>
      <c r="CR76" s="3" t="s">
        <v>1328</v>
      </c>
      <c r="CS76" s="3" t="s">
        <v>1321</v>
      </c>
      <c r="CT76" s="3" t="s">
        <v>44</v>
      </c>
      <c r="CU76" s="5"/>
      <c r="CV76" s="5"/>
      <c r="CW76" s="4" t="s">
        <v>846</v>
      </c>
      <c r="CX76" s="5" t="s">
        <v>1329</v>
      </c>
      <c r="CY76" s="11"/>
    </row>
    <row r="77" ht="12" customHeight="1" spans="1:103" x14ac:dyDescent="0.25">
      <c r="A77" s="8" t="s">
        <v>519</v>
      </c>
      <c r="B77" s="3" t="s">
        <v>727</v>
      </c>
      <c r="C77" s="5">
        <v>1</v>
      </c>
      <c r="D77" s="5">
        <v>1</v>
      </c>
      <c r="E77" s="5" t="s">
        <v>52</v>
      </c>
      <c r="F77" s="5">
        <v>0</v>
      </c>
      <c r="G77" s="5">
        <v>0</v>
      </c>
      <c r="H77" s="5">
        <v>0</v>
      </c>
      <c r="I77" s="5">
        <v>1</v>
      </c>
      <c r="J77" s="5">
        <v>2</v>
      </c>
      <c r="K77" s="3" t="s">
        <v>44</v>
      </c>
      <c r="L77" s="3" t="s">
        <v>728</v>
      </c>
      <c r="M77" s="3" t="s">
        <v>31</v>
      </c>
      <c r="N77" s="3" t="s">
        <v>32</v>
      </c>
      <c r="O77" s="3" t="s">
        <v>35</v>
      </c>
      <c r="P77" s="3" t="s">
        <v>40</v>
      </c>
      <c r="Q77" s="3" t="s">
        <v>729</v>
      </c>
      <c r="R77" s="4" t="s">
        <v>30</v>
      </c>
      <c r="S77" s="3" t="s">
        <v>36</v>
      </c>
      <c r="T77" s="3" t="s">
        <v>50</v>
      </c>
      <c r="U77" s="3" t="s">
        <v>36</v>
      </c>
      <c r="V77" s="4" t="s">
        <v>730</v>
      </c>
      <c r="W77" s="3" t="s">
        <v>731</v>
      </c>
      <c r="X77" s="5"/>
      <c r="Y77" s="5"/>
      <c r="Z77" s="5"/>
      <c r="AA77" s="3" t="s">
        <v>1330</v>
      </c>
      <c r="AB77" s="3" t="s">
        <v>1331</v>
      </c>
      <c r="AC77" s="9">
        <v>26000</v>
      </c>
      <c r="AD77" s="9">
        <v>30000</v>
      </c>
      <c r="AE77" s="3" t="s">
        <v>734</v>
      </c>
      <c r="AF77" s="3"/>
      <c r="AG77" s="5"/>
      <c r="AH77" s="3" t="s">
        <v>666</v>
      </c>
      <c r="AI77" s="5" t="s">
        <v>734</v>
      </c>
      <c r="AJ77" s="5"/>
      <c r="AK77" s="5"/>
      <c r="AL77" s="5"/>
      <c r="AM77" s="3" t="s">
        <v>804</v>
      </c>
      <c r="AN77" s="3" t="s">
        <v>805</v>
      </c>
      <c r="AO77" s="3" t="s">
        <v>1332</v>
      </c>
      <c r="AP77" s="3" t="s">
        <v>738</v>
      </c>
      <c r="AQ77" s="5"/>
      <c r="AR77" s="5"/>
      <c r="AS77" s="5"/>
      <c r="AT77" s="5"/>
      <c r="AU77" s="5"/>
      <c r="AV77" s="5"/>
      <c r="AW77" s="5">
        <v>0</v>
      </c>
      <c r="AX77" s="3" t="s">
        <v>44</v>
      </c>
      <c r="AY77" s="5" t="s">
        <v>823</v>
      </c>
      <c r="AZ77" s="3" t="s">
        <v>1323</v>
      </c>
      <c r="BA77" s="5" t="s">
        <v>1333</v>
      </c>
      <c r="BB77" s="3" t="s">
        <v>742</v>
      </c>
      <c r="BC77" s="4" t="s">
        <v>797</v>
      </c>
      <c r="BD77" s="4" t="s">
        <v>785</v>
      </c>
      <c r="BE77" s="3" t="s">
        <v>72</v>
      </c>
      <c r="BF77" s="3" t="s">
        <v>1332</v>
      </c>
      <c r="BG77" s="3" t="s">
        <v>746</v>
      </c>
      <c r="BH77" s="3" t="s">
        <v>747</v>
      </c>
      <c r="BI77" s="5"/>
      <c r="BJ77" s="5"/>
      <c r="BK77" s="3" t="s">
        <v>840</v>
      </c>
      <c r="BL77" s="4" t="s">
        <v>769</v>
      </c>
      <c r="BM77" s="10"/>
      <c r="BN77" s="10"/>
      <c r="BO77" s="10"/>
      <c r="BP77" s="10">
        <v>1</v>
      </c>
      <c r="BQ77" s="10"/>
      <c r="BR77" s="10"/>
      <c r="BS77" s="10"/>
      <c r="BT77" s="10"/>
      <c r="BU77" s="10"/>
      <c r="BV77" s="10"/>
      <c r="BW77" s="10"/>
      <c r="BX77" s="10"/>
      <c r="BY77" s="3" t="s">
        <v>750</v>
      </c>
      <c r="BZ77" s="5"/>
      <c r="CA77" s="3" t="s">
        <v>72</v>
      </c>
      <c r="CB77" s="5"/>
      <c r="CC77" s="3" t="s">
        <v>842</v>
      </c>
      <c r="CD77" s="5"/>
      <c r="CE77" s="5"/>
      <c r="CF77" s="3" t="s">
        <v>751</v>
      </c>
      <c r="CG77" s="3" t="s">
        <v>752</v>
      </c>
      <c r="CH77" s="5"/>
      <c r="CI77" s="3" t="s">
        <v>1334</v>
      </c>
      <c r="CJ77" s="3" t="s">
        <v>520</v>
      </c>
      <c r="CK77" s="3" t="s">
        <v>521</v>
      </c>
      <c r="CL77" s="3" t="s">
        <v>521</v>
      </c>
      <c r="CM77" s="5" t="s">
        <v>754</v>
      </c>
      <c r="CN77" s="3" t="s">
        <v>755</v>
      </c>
      <c r="CO77" s="3" t="s">
        <v>756</v>
      </c>
      <c r="CP77" s="5"/>
      <c r="CQ77" s="3" t="s">
        <v>1335</v>
      </c>
      <c r="CR77" s="3" t="s">
        <v>1336</v>
      </c>
      <c r="CS77" s="3" t="s">
        <v>1330</v>
      </c>
      <c r="CT77" s="3" t="s">
        <v>44</v>
      </c>
      <c r="CU77" s="5"/>
      <c r="CV77" s="5"/>
      <c r="CW77" s="4" t="s">
        <v>846</v>
      </c>
      <c r="CX77" s="5" t="s">
        <v>1337</v>
      </c>
      <c r="CY77" s="11"/>
    </row>
    <row r="78" ht="12" customHeight="1" spans="1:103" x14ac:dyDescent="0.25">
      <c r="A78" s="8" t="s">
        <v>583</v>
      </c>
      <c r="B78" s="3" t="s">
        <v>762</v>
      </c>
      <c r="C78" s="5">
        <v>1</v>
      </c>
      <c r="D78" s="5">
        <v>1</v>
      </c>
      <c r="E78" s="5" t="s">
        <v>52</v>
      </c>
      <c r="F78" s="5">
        <v>0</v>
      </c>
      <c r="G78" s="5">
        <v>1</v>
      </c>
      <c r="H78" s="5">
        <v>0</v>
      </c>
      <c r="I78" s="5">
        <v>0</v>
      </c>
      <c r="J78" s="5">
        <v>1</v>
      </c>
      <c r="K78" s="3" t="s">
        <v>44</v>
      </c>
      <c r="L78" s="3" t="s">
        <v>728</v>
      </c>
      <c r="M78" s="3" t="s">
        <v>31</v>
      </c>
      <c r="N78" s="3" t="s">
        <v>32</v>
      </c>
      <c r="O78" s="3" t="s">
        <v>35</v>
      </c>
      <c r="P78" s="3" t="s">
        <v>40</v>
      </c>
      <c r="Q78" s="3" t="s">
        <v>729</v>
      </c>
      <c r="R78" s="4" t="s">
        <v>30</v>
      </c>
      <c r="S78" s="3" t="s">
        <v>36</v>
      </c>
      <c r="T78" s="3" t="s">
        <v>50</v>
      </c>
      <c r="U78" s="3" t="s">
        <v>36</v>
      </c>
      <c r="V78" s="4" t="s">
        <v>730</v>
      </c>
      <c r="W78" s="3" t="s">
        <v>731</v>
      </c>
      <c r="X78" s="5"/>
      <c r="Y78" s="5"/>
      <c r="Z78" s="5"/>
      <c r="AA78" s="3" t="s">
        <v>1338</v>
      </c>
      <c r="AB78" s="3" t="s">
        <v>1339</v>
      </c>
      <c r="AC78" s="9">
        <v>2100</v>
      </c>
      <c r="AD78" s="9">
        <v>4300</v>
      </c>
      <c r="AE78" s="3" t="s">
        <v>734</v>
      </c>
      <c r="AF78" s="3" t="s">
        <v>663</v>
      </c>
      <c r="AG78" s="5"/>
      <c r="AH78" s="3" t="s">
        <v>918</v>
      </c>
      <c r="AI78" s="5" t="s">
        <v>734</v>
      </c>
      <c r="AJ78" s="5"/>
      <c r="AK78" s="5"/>
      <c r="AL78" s="5"/>
      <c r="AM78" s="3" t="s">
        <v>1292</v>
      </c>
      <c r="AN78" s="3" t="s">
        <v>1293</v>
      </c>
      <c r="AO78" s="3" t="s">
        <v>1340</v>
      </c>
      <c r="AP78" s="3" t="s">
        <v>738</v>
      </c>
      <c r="AQ78" s="5"/>
      <c r="AR78" s="5"/>
      <c r="AS78" s="5"/>
      <c r="AT78" s="5"/>
      <c r="AU78" s="5"/>
      <c r="AV78" s="5"/>
      <c r="AW78" s="5">
        <v>0</v>
      </c>
      <c r="AX78" s="3" t="s">
        <v>44</v>
      </c>
      <c r="AY78" s="5" t="s">
        <v>739</v>
      </c>
      <c r="AZ78" s="3" t="s">
        <v>1341</v>
      </c>
      <c r="BA78" s="5" t="s">
        <v>1342</v>
      </c>
      <c r="BB78" s="3" t="s">
        <v>742</v>
      </c>
      <c r="BC78" s="4" t="s">
        <v>797</v>
      </c>
      <c r="BD78" s="4" t="s">
        <v>785</v>
      </c>
      <c r="BE78" s="3" t="s">
        <v>72</v>
      </c>
      <c r="BF78" s="3" t="s">
        <v>1340</v>
      </c>
      <c r="BG78" s="3" t="s">
        <v>746</v>
      </c>
      <c r="BH78" s="3" t="s">
        <v>747</v>
      </c>
      <c r="BI78" s="5"/>
      <c r="BJ78" s="5"/>
      <c r="BK78" s="3" t="s">
        <v>840</v>
      </c>
      <c r="BL78" s="4" t="s">
        <v>785</v>
      </c>
      <c r="BM78" s="10"/>
      <c r="BN78" s="10">
        <v>1</v>
      </c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3" t="s">
        <v>750</v>
      </c>
      <c r="BZ78" s="5"/>
      <c r="CA78" s="3" t="s">
        <v>72</v>
      </c>
      <c r="CB78" s="5"/>
      <c r="CC78" s="3" t="s">
        <v>842</v>
      </c>
      <c r="CD78" s="5"/>
      <c r="CE78" s="5"/>
      <c r="CF78" s="3" t="s">
        <v>751</v>
      </c>
      <c r="CG78" s="3" t="s">
        <v>752</v>
      </c>
      <c r="CH78" s="5"/>
      <c r="CI78" s="3" t="s">
        <v>1343</v>
      </c>
      <c r="CJ78" s="3" t="s">
        <v>585</v>
      </c>
      <c r="CK78" s="3" t="s">
        <v>586</v>
      </c>
      <c r="CL78" s="3" t="s">
        <v>586</v>
      </c>
      <c r="CM78" s="5" t="s">
        <v>754</v>
      </c>
      <c r="CN78" s="3" t="s">
        <v>755</v>
      </c>
      <c r="CO78" s="3" t="s">
        <v>756</v>
      </c>
      <c r="CP78" s="5"/>
      <c r="CQ78" s="3" t="s">
        <v>1344</v>
      </c>
      <c r="CR78" s="3" t="s">
        <v>1345</v>
      </c>
      <c r="CS78" s="3" t="s">
        <v>1338</v>
      </c>
      <c r="CT78" s="3" t="s">
        <v>44</v>
      </c>
      <c r="CU78" s="5"/>
      <c r="CV78" s="5"/>
      <c r="CW78" s="4" t="s">
        <v>846</v>
      </c>
      <c r="CX78" s="5" t="s">
        <v>1346</v>
      </c>
      <c r="CY78" s="11"/>
    </row>
    <row r="79" ht="12" customHeight="1" spans="1:103" x14ac:dyDescent="0.25">
      <c r="A79" s="8" t="s">
        <v>173</v>
      </c>
      <c r="B79" s="3" t="s">
        <v>833</v>
      </c>
      <c r="C79" s="5">
        <v>2</v>
      </c>
      <c r="D79" s="5">
        <v>2</v>
      </c>
      <c r="E79" s="5"/>
      <c r="F79" s="5">
        <v>0</v>
      </c>
      <c r="G79" s="5">
        <v>0</v>
      </c>
      <c r="H79" s="5">
        <v>0</v>
      </c>
      <c r="I79" s="5">
        <v>2</v>
      </c>
      <c r="J79" s="5">
        <v>4</v>
      </c>
      <c r="K79" s="3" t="s">
        <v>44</v>
      </c>
      <c r="L79" s="3" t="s">
        <v>728</v>
      </c>
      <c r="M79" s="3" t="s">
        <v>31</v>
      </c>
      <c r="N79" s="3" t="s">
        <v>32</v>
      </c>
      <c r="O79" s="3" t="s">
        <v>35</v>
      </c>
      <c r="P79" s="3" t="s">
        <v>40</v>
      </c>
      <c r="Q79" s="3" t="s">
        <v>729</v>
      </c>
      <c r="R79" s="4" t="s">
        <v>30</v>
      </c>
      <c r="S79" s="3" t="s">
        <v>36</v>
      </c>
      <c r="T79" s="3" t="s">
        <v>50</v>
      </c>
      <c r="U79" s="3" t="s">
        <v>36</v>
      </c>
      <c r="V79" s="4" t="s">
        <v>730</v>
      </c>
      <c r="W79" s="3" t="s">
        <v>731</v>
      </c>
      <c r="X79" s="5"/>
      <c r="Y79" s="5"/>
      <c r="Z79" s="5"/>
      <c r="AA79" s="3" t="s">
        <v>1028</v>
      </c>
      <c r="AB79" s="3" t="s">
        <v>174</v>
      </c>
      <c r="AC79" s="9">
        <v>54160</v>
      </c>
      <c r="AD79" s="9">
        <v>62160</v>
      </c>
      <c r="AE79" s="3" t="s">
        <v>734</v>
      </c>
      <c r="AF79" s="3" t="s">
        <v>663</v>
      </c>
      <c r="AG79" s="5"/>
      <c r="AH79" s="3" t="s">
        <v>666</v>
      </c>
      <c r="AI79" s="5" t="s">
        <v>734</v>
      </c>
      <c r="AJ79" s="5"/>
      <c r="AK79" s="5"/>
      <c r="AL79" s="5"/>
      <c r="AM79" s="3" t="s">
        <v>804</v>
      </c>
      <c r="AN79" s="3" t="s">
        <v>805</v>
      </c>
      <c r="AO79" s="3" t="s">
        <v>1032</v>
      </c>
      <c r="AP79" s="3" t="s">
        <v>738</v>
      </c>
      <c r="AQ79" s="5"/>
      <c r="AR79" s="5"/>
      <c r="AS79" s="5"/>
      <c r="AT79" s="5"/>
      <c r="AU79" s="5"/>
      <c r="AV79" s="5"/>
      <c r="AW79" s="5">
        <v>0</v>
      </c>
      <c r="AX79" s="3" t="s">
        <v>44</v>
      </c>
      <c r="AY79" s="5" t="s">
        <v>823</v>
      </c>
      <c r="AZ79" s="3" t="s">
        <v>1347</v>
      </c>
      <c r="BA79" s="5" t="s">
        <v>832</v>
      </c>
      <c r="BB79" s="3" t="s">
        <v>742</v>
      </c>
      <c r="BC79" s="4" t="s">
        <v>797</v>
      </c>
      <c r="BD79" s="4" t="s">
        <v>827</v>
      </c>
      <c r="BE79" s="3" t="s">
        <v>72</v>
      </c>
      <c r="BF79" s="3" t="s">
        <v>1032</v>
      </c>
      <c r="BG79" s="3" t="s">
        <v>746</v>
      </c>
      <c r="BH79" s="3" t="s">
        <v>747</v>
      </c>
      <c r="BI79" s="5"/>
      <c r="BJ79" s="5"/>
      <c r="BK79" s="3" t="s">
        <v>748</v>
      </c>
      <c r="BL79" s="4" t="s">
        <v>785</v>
      </c>
      <c r="BM79" s="10"/>
      <c r="BN79" s="10"/>
      <c r="BO79" s="10"/>
      <c r="BP79" s="10">
        <v>2</v>
      </c>
      <c r="BQ79" s="10"/>
      <c r="BR79" s="10"/>
      <c r="BS79" s="10"/>
      <c r="BT79" s="10"/>
      <c r="BU79" s="10"/>
      <c r="BV79" s="10"/>
      <c r="BW79" s="10"/>
      <c r="BX79" s="10"/>
      <c r="BY79" s="3" t="s">
        <v>750</v>
      </c>
      <c r="BZ79" s="5"/>
      <c r="CA79" s="3" t="s">
        <v>72</v>
      </c>
      <c r="CB79" s="5"/>
      <c r="CC79" s="3" t="s">
        <v>40</v>
      </c>
      <c r="CD79" s="5"/>
      <c r="CE79" s="5"/>
      <c r="CF79" s="3" t="s">
        <v>751</v>
      </c>
      <c r="CG79" s="3" t="s">
        <v>752</v>
      </c>
      <c r="CH79" s="5"/>
      <c r="CI79" s="3" t="s">
        <v>1034</v>
      </c>
      <c r="CJ79" s="3" t="s">
        <v>174</v>
      </c>
      <c r="CK79" s="3" t="s">
        <v>175</v>
      </c>
      <c r="CL79" s="3" t="s">
        <v>175</v>
      </c>
      <c r="CM79" s="5" t="s">
        <v>754</v>
      </c>
      <c r="CN79" s="3" t="s">
        <v>755</v>
      </c>
      <c r="CO79" s="3" t="s">
        <v>756</v>
      </c>
      <c r="CP79" s="5"/>
      <c r="CQ79" s="3" t="s">
        <v>1035</v>
      </c>
      <c r="CR79" s="3" t="s">
        <v>1036</v>
      </c>
      <c r="CS79" s="3" t="s">
        <v>1028</v>
      </c>
      <c r="CT79" s="3" t="s">
        <v>44</v>
      </c>
      <c r="CU79" s="5"/>
      <c r="CV79" s="5"/>
      <c r="CW79" s="4" t="s">
        <v>30</v>
      </c>
      <c r="CX79" s="5" t="s">
        <v>1272</v>
      </c>
      <c r="CY79" s="11" t="s">
        <v>832</v>
      </c>
    </row>
    <row r="80" ht="12" customHeight="1" spans="1:103" x14ac:dyDescent="0.25">
      <c r="A80" s="8" t="s">
        <v>125</v>
      </c>
      <c r="B80" s="3" t="s">
        <v>1007</v>
      </c>
      <c r="C80" s="5">
        <v>3</v>
      </c>
      <c r="D80" s="5">
        <v>3</v>
      </c>
      <c r="E80" s="5"/>
      <c r="F80" s="5">
        <v>0</v>
      </c>
      <c r="G80" s="5">
        <v>0</v>
      </c>
      <c r="H80" s="5">
        <v>0</v>
      </c>
      <c r="I80" s="5">
        <v>3</v>
      </c>
      <c r="J80" s="5">
        <v>6</v>
      </c>
      <c r="K80" s="3" t="s">
        <v>44</v>
      </c>
      <c r="L80" s="3" t="s">
        <v>728</v>
      </c>
      <c r="M80" s="3" t="s">
        <v>31</v>
      </c>
      <c r="N80" s="3" t="s">
        <v>32</v>
      </c>
      <c r="O80" s="3" t="s">
        <v>35</v>
      </c>
      <c r="P80" s="3" t="s">
        <v>40</v>
      </c>
      <c r="Q80" s="3" t="s">
        <v>729</v>
      </c>
      <c r="R80" s="4" t="s">
        <v>30</v>
      </c>
      <c r="S80" s="3" t="s">
        <v>36</v>
      </c>
      <c r="T80" s="3" t="s">
        <v>50</v>
      </c>
      <c r="U80" s="3" t="s">
        <v>36</v>
      </c>
      <c r="V80" s="4" t="s">
        <v>730</v>
      </c>
      <c r="W80" s="3" t="s">
        <v>731</v>
      </c>
      <c r="X80" s="5"/>
      <c r="Y80" s="5"/>
      <c r="Z80" s="5"/>
      <c r="AA80" s="3" t="s">
        <v>1348</v>
      </c>
      <c r="AB80" s="3" t="s">
        <v>1349</v>
      </c>
      <c r="AC80" s="9">
        <v>5234.8</v>
      </c>
      <c r="AD80" s="9">
        <v>17234.8</v>
      </c>
      <c r="AE80" s="3" t="s">
        <v>734</v>
      </c>
      <c r="AF80" s="3"/>
      <c r="AG80" s="5"/>
      <c r="AH80" s="3" t="s">
        <v>666</v>
      </c>
      <c r="AI80" s="5" t="s">
        <v>734</v>
      </c>
      <c r="AJ80" s="5"/>
      <c r="AK80" s="5"/>
      <c r="AL80" s="5"/>
      <c r="AM80" s="3" t="s">
        <v>804</v>
      </c>
      <c r="AN80" s="3" t="s">
        <v>805</v>
      </c>
      <c r="AO80" s="3" t="s">
        <v>1350</v>
      </c>
      <c r="AP80" s="3" t="s">
        <v>738</v>
      </c>
      <c r="AQ80" s="5"/>
      <c r="AR80" s="5"/>
      <c r="AS80" s="5"/>
      <c r="AT80" s="5"/>
      <c r="AU80" s="5"/>
      <c r="AV80" s="5"/>
      <c r="AW80" s="5">
        <v>0</v>
      </c>
      <c r="AX80" s="3" t="s">
        <v>44</v>
      </c>
      <c r="AY80" s="5" t="s">
        <v>739</v>
      </c>
      <c r="AZ80" s="3" t="s">
        <v>1351</v>
      </c>
      <c r="BA80" s="5" t="s">
        <v>832</v>
      </c>
      <c r="BB80" s="3" t="s">
        <v>742</v>
      </c>
      <c r="BC80" s="4" t="s">
        <v>785</v>
      </c>
      <c r="BD80" s="4" t="s">
        <v>827</v>
      </c>
      <c r="BE80" s="3" t="s">
        <v>72</v>
      </c>
      <c r="BF80" s="3" t="s">
        <v>1352</v>
      </c>
      <c r="BG80" s="3" t="s">
        <v>746</v>
      </c>
      <c r="BH80" s="3" t="s">
        <v>747</v>
      </c>
      <c r="BI80" s="5"/>
      <c r="BJ80" s="5"/>
      <c r="BK80" s="3" t="s">
        <v>748</v>
      </c>
      <c r="BL80" s="4" t="s">
        <v>827</v>
      </c>
      <c r="BM80" s="10"/>
      <c r="BN80" s="10"/>
      <c r="BO80" s="10"/>
      <c r="BP80" s="10">
        <v>3</v>
      </c>
      <c r="BQ80" s="10"/>
      <c r="BR80" s="10"/>
      <c r="BS80" s="10"/>
      <c r="BT80" s="10"/>
      <c r="BU80" s="10"/>
      <c r="BV80" s="10"/>
      <c r="BW80" s="10"/>
      <c r="BX80" s="10"/>
      <c r="BY80" s="3" t="s">
        <v>750</v>
      </c>
      <c r="BZ80" s="5"/>
      <c r="CA80" s="3" t="s">
        <v>72</v>
      </c>
      <c r="CB80" s="5"/>
      <c r="CC80" s="3" t="s">
        <v>40</v>
      </c>
      <c r="CD80" s="5"/>
      <c r="CE80" s="5"/>
      <c r="CF80" s="3" t="s">
        <v>751</v>
      </c>
      <c r="CG80" s="3" t="s">
        <v>752</v>
      </c>
      <c r="CH80" s="5"/>
      <c r="CI80" s="3" t="s">
        <v>1353</v>
      </c>
      <c r="CJ80" s="3" t="s">
        <v>126</v>
      </c>
      <c r="CK80" s="3" t="s">
        <v>127</v>
      </c>
      <c r="CL80" s="3" t="s">
        <v>127</v>
      </c>
      <c r="CM80" s="5" t="s">
        <v>754</v>
      </c>
      <c r="CN80" s="3" t="s">
        <v>755</v>
      </c>
      <c r="CO80" s="3" t="s">
        <v>756</v>
      </c>
      <c r="CP80" s="5"/>
      <c r="CQ80" s="3" t="s">
        <v>1354</v>
      </c>
      <c r="CR80" s="3" t="s">
        <v>1355</v>
      </c>
      <c r="CS80" s="3" t="s">
        <v>1348</v>
      </c>
      <c r="CT80" s="3" t="s">
        <v>44</v>
      </c>
      <c r="CU80" s="5"/>
      <c r="CV80" s="5"/>
      <c r="CW80" s="4" t="s">
        <v>30</v>
      </c>
      <c r="CX80" s="5" t="s">
        <v>1356</v>
      </c>
      <c r="CY80" s="11" t="s">
        <v>832</v>
      </c>
    </row>
    <row r="81" ht="12" customHeight="1" spans="1:103" x14ac:dyDescent="0.25">
      <c r="A81" s="8" t="s">
        <v>269</v>
      </c>
      <c r="B81" s="3" t="s">
        <v>1357</v>
      </c>
      <c r="C81" s="5">
        <v>1</v>
      </c>
      <c r="D81" s="5">
        <v>1</v>
      </c>
      <c r="E81" s="5"/>
      <c r="F81" s="5">
        <v>0</v>
      </c>
      <c r="G81" s="5">
        <v>0</v>
      </c>
      <c r="H81" s="5">
        <v>0</v>
      </c>
      <c r="I81" s="5">
        <v>1</v>
      </c>
      <c r="J81" s="5">
        <v>2</v>
      </c>
      <c r="K81" s="3" t="s">
        <v>44</v>
      </c>
      <c r="L81" s="3" t="s">
        <v>728</v>
      </c>
      <c r="M81" s="3" t="s">
        <v>31</v>
      </c>
      <c r="N81" s="3" t="s">
        <v>32</v>
      </c>
      <c r="O81" s="3" t="s">
        <v>35</v>
      </c>
      <c r="P81" s="3" t="s">
        <v>40</v>
      </c>
      <c r="Q81" s="3" t="s">
        <v>729</v>
      </c>
      <c r="R81" s="4" t="s">
        <v>30</v>
      </c>
      <c r="S81" s="3" t="s">
        <v>69</v>
      </c>
      <c r="T81" s="3" t="s">
        <v>274</v>
      </c>
      <c r="U81" s="3" t="s">
        <v>69</v>
      </c>
      <c r="V81" s="4" t="s">
        <v>966</v>
      </c>
      <c r="W81" s="3" t="s">
        <v>967</v>
      </c>
      <c r="X81" s="5"/>
      <c r="Y81" s="5"/>
      <c r="Z81" s="5"/>
      <c r="AA81" s="3" t="s">
        <v>1358</v>
      </c>
      <c r="AB81" s="3" t="s">
        <v>271</v>
      </c>
      <c r="AC81" s="9">
        <v>24960</v>
      </c>
      <c r="AD81" s="9">
        <v>28960</v>
      </c>
      <c r="AE81" s="3" t="s">
        <v>734</v>
      </c>
      <c r="AF81" s="3" t="s">
        <v>663</v>
      </c>
      <c r="AG81" s="5"/>
      <c r="AH81" s="3" t="s">
        <v>666</v>
      </c>
      <c r="AI81" s="5" t="s">
        <v>734</v>
      </c>
      <c r="AJ81" s="5"/>
      <c r="AK81" s="5"/>
      <c r="AL81" s="5"/>
      <c r="AM81" s="3" t="s">
        <v>779</v>
      </c>
      <c r="AN81" s="3" t="s">
        <v>780</v>
      </c>
      <c r="AO81" s="3" t="s">
        <v>1359</v>
      </c>
      <c r="AP81" s="3" t="s">
        <v>738</v>
      </c>
      <c r="AQ81" s="5"/>
      <c r="AR81" s="5"/>
      <c r="AS81" s="5" t="s">
        <v>1360</v>
      </c>
      <c r="AT81" s="5" t="s">
        <v>1361</v>
      </c>
      <c r="AU81" s="5"/>
      <c r="AV81" s="5"/>
      <c r="AW81" s="5">
        <v>0</v>
      </c>
      <c r="AX81" s="3" t="s">
        <v>44</v>
      </c>
      <c r="AY81" s="5" t="s">
        <v>823</v>
      </c>
      <c r="AZ81" s="3" t="s">
        <v>1362</v>
      </c>
      <c r="BA81" s="5" t="s">
        <v>1363</v>
      </c>
      <c r="BB81" s="3" t="s">
        <v>742</v>
      </c>
      <c r="BC81" s="4" t="s">
        <v>785</v>
      </c>
      <c r="BD81" s="4" t="s">
        <v>1057</v>
      </c>
      <c r="BE81" s="3" t="s">
        <v>72</v>
      </c>
      <c r="BF81" s="3" t="s">
        <v>1364</v>
      </c>
      <c r="BG81" s="3" t="s">
        <v>746</v>
      </c>
      <c r="BH81" s="3" t="s">
        <v>747</v>
      </c>
      <c r="BI81" s="5"/>
      <c r="BJ81" s="5"/>
      <c r="BK81" s="3" t="s">
        <v>949</v>
      </c>
      <c r="BL81" s="4" t="s">
        <v>792</v>
      </c>
      <c r="BM81" s="10"/>
      <c r="BN81" s="10"/>
      <c r="BO81" s="10"/>
      <c r="BP81" s="10"/>
      <c r="BQ81" s="10"/>
      <c r="BR81" s="10">
        <v>1</v>
      </c>
      <c r="BS81" s="10"/>
      <c r="BT81" s="10"/>
      <c r="BU81" s="10"/>
      <c r="BV81" s="10"/>
      <c r="BW81" s="10"/>
      <c r="BX81" s="10"/>
      <c r="BY81" s="3" t="s">
        <v>750</v>
      </c>
      <c r="BZ81" s="5"/>
      <c r="CA81" s="3" t="s">
        <v>72</v>
      </c>
      <c r="CB81" s="5"/>
      <c r="CC81" s="3" t="s">
        <v>40</v>
      </c>
      <c r="CD81" s="5"/>
      <c r="CE81" s="5"/>
      <c r="CF81" s="3" t="s">
        <v>751</v>
      </c>
      <c r="CG81" s="3" t="s">
        <v>752</v>
      </c>
      <c r="CH81" s="5"/>
      <c r="CI81" s="3" t="s">
        <v>1365</v>
      </c>
      <c r="CJ81" s="3" t="s">
        <v>271</v>
      </c>
      <c r="CK81" s="3" t="s">
        <v>272</v>
      </c>
      <c r="CL81" s="3" t="s">
        <v>273</v>
      </c>
      <c r="CM81" s="5" t="s">
        <v>754</v>
      </c>
      <c r="CN81" s="3" t="s">
        <v>755</v>
      </c>
      <c r="CO81" s="3" t="s">
        <v>756</v>
      </c>
      <c r="CP81" s="5" t="s">
        <v>1366</v>
      </c>
      <c r="CQ81" s="3" t="s">
        <v>1367</v>
      </c>
      <c r="CR81" s="3" t="s">
        <v>1368</v>
      </c>
      <c r="CS81" s="3" t="s">
        <v>1358</v>
      </c>
      <c r="CT81" s="3" t="s">
        <v>44</v>
      </c>
      <c r="CU81" s="5"/>
      <c r="CV81" s="5"/>
      <c r="CW81" s="4" t="s">
        <v>846</v>
      </c>
      <c r="CX81" s="5"/>
      <c r="CY81" s="11"/>
    </row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2" t="s">
        <v>1369</v>
      </c>
      <c r="B1" s="12" t="s">
        <v>13</v>
      </c>
      <c r="C1" s="12" t="s">
        <v>1370</v>
      </c>
      <c r="D1" s="12" t="s">
        <v>1371</v>
      </c>
      <c r="E1" s="12" t="s">
        <v>1372</v>
      </c>
      <c r="F1" s="12" t="s">
        <v>1373</v>
      </c>
      <c r="G1" s="12" t="s">
        <v>22</v>
      </c>
      <c r="H1" s="12" t="s">
        <v>1374</v>
      </c>
      <c r="I1" s="12" t="s">
        <v>20</v>
      </c>
      <c r="J1" s="12" t="s">
        <v>1375</v>
      </c>
      <c r="K1" s="12" t="s">
        <v>1376</v>
      </c>
      <c r="L1" s="12" t="s">
        <v>10</v>
      </c>
      <c r="M1" s="12" t="s">
        <v>1377</v>
      </c>
      <c r="N1" s="12" t="s">
        <v>1378</v>
      </c>
      <c r="O1" s="12" t="s">
        <v>1379</v>
      </c>
      <c r="P1" s="12" t="s">
        <v>1380</v>
      </c>
      <c r="Q1" s="12" t="s">
        <v>1381</v>
      </c>
      <c r="R1" s="12" t="s">
        <v>2</v>
      </c>
      <c r="S1" s="12" t="s">
        <v>3</v>
      </c>
      <c r="T1" s="12" t="s">
        <v>1382</v>
      </c>
      <c r="U1" s="12" t="s">
        <v>647</v>
      </c>
      <c r="V1" s="12" t="s">
        <v>1383</v>
      </c>
      <c r="W1" s="12" t="s">
        <v>651</v>
      </c>
      <c r="X1" s="12" t="s">
        <v>1384</v>
      </c>
      <c r="Y1" s="12" t="s">
        <v>643</v>
      </c>
      <c r="Z1" s="12" t="s">
        <v>1385</v>
      </c>
      <c r="AA1" s="12" t="s">
        <v>1386</v>
      </c>
      <c r="AB1" s="12" t="s">
        <v>1387</v>
      </c>
      <c r="AC1" s="12" t="s">
        <v>1388</v>
      </c>
      <c r="AD1" s="12" t="s">
        <v>1389</v>
      </c>
      <c r="AE1" s="12" t="s">
        <v>1390</v>
      </c>
      <c r="AF1" s="12" t="s">
        <v>1391</v>
      </c>
      <c r="AG1" s="12" t="s">
        <v>1392</v>
      </c>
      <c r="AH1" s="12" t="s">
        <v>1393</v>
      </c>
      <c r="AI1" s="12" t="s">
        <v>1394</v>
      </c>
      <c r="AJ1" s="12" t="s">
        <v>1395</v>
      </c>
      <c r="AK1" s="12" t="s">
        <v>1396</v>
      </c>
    </row>
    <row r="2" ht="12" customHeight="1" spans="1:37" x14ac:dyDescent="0.25">
      <c r="A2" s="13" t="s">
        <v>94</v>
      </c>
      <c r="B2" s="13" t="s">
        <v>40</v>
      </c>
      <c r="C2" s="13" t="s">
        <v>1397</v>
      </c>
      <c r="D2" s="14" t="s">
        <v>774</v>
      </c>
      <c r="E2" s="15" t="s">
        <v>1398</v>
      </c>
      <c r="F2" s="3" t="s">
        <v>97</v>
      </c>
      <c r="G2" s="3" t="s">
        <v>778</v>
      </c>
      <c r="H2" s="16" t="s">
        <v>95</v>
      </c>
      <c r="I2" s="3" t="s">
        <v>1399</v>
      </c>
      <c r="J2" s="3" t="s">
        <v>1400</v>
      </c>
      <c r="K2" s="3"/>
      <c r="L2" s="16" t="s">
        <v>1401</v>
      </c>
      <c r="M2" s="3" t="s">
        <v>97</v>
      </c>
      <c r="N2" s="3" t="s">
        <v>1402</v>
      </c>
      <c r="O2" s="16" t="s">
        <v>1403</v>
      </c>
      <c r="P2" s="16"/>
      <c r="Q2" s="16"/>
      <c r="R2" s="3" t="s">
        <v>31</v>
      </c>
      <c r="S2" s="3" t="s">
        <v>32</v>
      </c>
      <c r="T2" s="3" t="s">
        <v>40</v>
      </c>
      <c r="U2" s="3" t="s">
        <v>35</v>
      </c>
      <c r="V2" s="4" t="s">
        <v>30</v>
      </c>
      <c r="W2" s="3" t="s">
        <v>96</v>
      </c>
      <c r="X2" s="4" t="s">
        <v>966</v>
      </c>
      <c r="Y2" s="5"/>
      <c r="Z2" s="5"/>
      <c r="AA2" s="5"/>
      <c r="AB2" s="5"/>
      <c r="AC2" s="5"/>
      <c r="AD2" s="4" t="s">
        <v>774</v>
      </c>
      <c r="AE2" s="17" t="s">
        <v>1404</v>
      </c>
      <c r="AF2" s="3" t="s">
        <v>1400</v>
      </c>
      <c r="AG2" s="5"/>
      <c r="AH2" s="5"/>
      <c r="AI2" s="5"/>
      <c r="AJ2" s="3" t="s">
        <v>100</v>
      </c>
      <c r="AK2" s="18"/>
    </row>
    <row r="3" ht="12" customHeight="1" spans="1:37" x14ac:dyDescent="0.25">
      <c r="A3" s="13" t="s">
        <v>154</v>
      </c>
      <c r="B3" s="13" t="s">
        <v>40</v>
      </c>
      <c r="C3" s="13" t="s">
        <v>1397</v>
      </c>
      <c r="D3" s="14" t="s">
        <v>1405</v>
      </c>
      <c r="E3" s="15" t="s">
        <v>1406</v>
      </c>
      <c r="F3" s="3" t="s">
        <v>155</v>
      </c>
      <c r="G3" s="3" t="s">
        <v>1218</v>
      </c>
      <c r="H3" s="16" t="s">
        <v>33</v>
      </c>
      <c r="I3" s="3" t="s">
        <v>1399</v>
      </c>
      <c r="J3" s="3" t="s">
        <v>1400</v>
      </c>
      <c r="K3" s="3"/>
      <c r="L3" s="16" t="s">
        <v>1401</v>
      </c>
      <c r="M3" s="3" t="s">
        <v>155</v>
      </c>
      <c r="N3" s="3" t="s">
        <v>1407</v>
      </c>
      <c r="O3" s="16" t="s">
        <v>1403</v>
      </c>
      <c r="P3" s="16"/>
      <c r="Q3" s="16"/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36</v>
      </c>
      <c r="X3" s="4" t="s">
        <v>730</v>
      </c>
      <c r="Y3" s="5"/>
      <c r="Z3" s="5"/>
      <c r="AA3" s="5"/>
      <c r="AB3" s="5"/>
      <c r="AC3" s="5"/>
      <c r="AD3" s="4" t="s">
        <v>1405</v>
      </c>
      <c r="AE3" s="17" t="s">
        <v>1408</v>
      </c>
      <c r="AF3" s="3" t="s">
        <v>1400</v>
      </c>
      <c r="AG3" s="5"/>
      <c r="AH3" s="5"/>
      <c r="AI3" s="5"/>
      <c r="AJ3" s="3" t="s">
        <v>56</v>
      </c>
      <c r="AK3" s="18"/>
    </row>
    <row r="4" ht="12" customHeight="1" spans="1:37" x14ac:dyDescent="0.25">
      <c r="A4" s="13" t="s">
        <v>78</v>
      </c>
      <c r="B4" s="13" t="s">
        <v>40</v>
      </c>
      <c r="C4" s="13" t="s">
        <v>1397</v>
      </c>
      <c r="D4" s="14" t="s">
        <v>1033</v>
      </c>
      <c r="E4" s="15" t="s">
        <v>1409</v>
      </c>
      <c r="F4" s="3" t="s">
        <v>79</v>
      </c>
      <c r="G4" s="3" t="s">
        <v>802</v>
      </c>
      <c r="H4" s="16" t="s">
        <v>33</v>
      </c>
      <c r="I4" s="3" t="s">
        <v>1399</v>
      </c>
      <c r="J4" s="3" t="s">
        <v>1400</v>
      </c>
      <c r="K4" s="3"/>
      <c r="L4" s="16" t="s">
        <v>1401</v>
      </c>
      <c r="M4" s="3" t="s">
        <v>79</v>
      </c>
      <c r="N4" s="3" t="s">
        <v>1410</v>
      </c>
      <c r="O4" s="16" t="s">
        <v>1411</v>
      </c>
      <c r="P4" s="16"/>
      <c r="Q4" s="16"/>
      <c r="R4" s="3" t="s">
        <v>1412</v>
      </c>
      <c r="S4" s="3" t="s">
        <v>32</v>
      </c>
      <c r="T4" s="3" t="s">
        <v>40</v>
      </c>
      <c r="U4" s="3" t="s">
        <v>35</v>
      </c>
      <c r="V4" s="4" t="s">
        <v>30</v>
      </c>
      <c r="W4" s="3" t="s">
        <v>36</v>
      </c>
      <c r="X4" s="4" t="s">
        <v>730</v>
      </c>
      <c r="Y4" s="5"/>
      <c r="Z4" s="5"/>
      <c r="AA4" s="5"/>
      <c r="AB4" s="5"/>
      <c r="AC4" s="5"/>
      <c r="AD4" s="4" t="s">
        <v>1033</v>
      </c>
      <c r="AE4" s="17" t="s">
        <v>1413</v>
      </c>
      <c r="AF4" s="3" t="s">
        <v>1400</v>
      </c>
      <c r="AG4" s="5"/>
      <c r="AH4" s="5"/>
      <c r="AI4" s="5"/>
      <c r="AJ4" s="3" t="s">
        <v>83</v>
      </c>
      <c r="AK4" s="18"/>
    </row>
    <row r="5" ht="12" customHeight="1" spans="1:37" x14ac:dyDescent="0.25">
      <c r="A5" s="13" t="s">
        <v>84</v>
      </c>
      <c r="B5" s="13" t="s">
        <v>40</v>
      </c>
      <c r="C5" s="13" t="s">
        <v>1397</v>
      </c>
      <c r="D5" s="14" t="s">
        <v>797</v>
      </c>
      <c r="E5" s="15" t="s">
        <v>1414</v>
      </c>
      <c r="F5" s="3" t="s">
        <v>85</v>
      </c>
      <c r="G5" s="3" t="s">
        <v>958</v>
      </c>
      <c r="H5" s="16" t="s">
        <v>33</v>
      </c>
      <c r="I5" s="3" t="s">
        <v>1399</v>
      </c>
      <c r="J5" s="3" t="s">
        <v>1400</v>
      </c>
      <c r="K5" s="3"/>
      <c r="L5" s="16" t="s">
        <v>1401</v>
      </c>
      <c r="M5" s="3" t="s">
        <v>85</v>
      </c>
      <c r="N5" s="3" t="s">
        <v>1415</v>
      </c>
      <c r="O5" s="16" t="s">
        <v>1411</v>
      </c>
      <c r="P5" s="16"/>
      <c r="Q5" s="16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36</v>
      </c>
      <c r="X5" s="4" t="s">
        <v>730</v>
      </c>
      <c r="Y5" s="5"/>
      <c r="Z5" s="5"/>
      <c r="AA5" s="5"/>
      <c r="AB5" s="5"/>
      <c r="AC5" s="5"/>
      <c r="AD5" s="4" t="s">
        <v>797</v>
      </c>
      <c r="AE5" s="17" t="s">
        <v>1416</v>
      </c>
      <c r="AF5" s="3" t="s">
        <v>1400</v>
      </c>
      <c r="AG5" s="5"/>
      <c r="AH5" s="5"/>
      <c r="AI5" s="5"/>
      <c r="AJ5" s="3" t="s">
        <v>87</v>
      </c>
      <c r="AK5" s="18"/>
    </row>
    <row r="6" ht="12" customHeight="1" spans="1:37" x14ac:dyDescent="0.25">
      <c r="A6" s="13" t="s">
        <v>181</v>
      </c>
      <c r="B6" s="13" t="s">
        <v>40</v>
      </c>
      <c r="C6" s="13" t="s">
        <v>1397</v>
      </c>
      <c r="D6" s="14" t="s">
        <v>759</v>
      </c>
      <c r="E6" s="15" t="s">
        <v>1417</v>
      </c>
      <c r="F6" s="3" t="s">
        <v>182</v>
      </c>
      <c r="G6" s="3" t="s">
        <v>1321</v>
      </c>
      <c r="H6" s="16" t="s">
        <v>33</v>
      </c>
      <c r="I6" s="3" t="s">
        <v>1399</v>
      </c>
      <c r="J6" s="3" t="s">
        <v>1400</v>
      </c>
      <c r="K6" s="3"/>
      <c r="L6" s="16" t="s">
        <v>1401</v>
      </c>
      <c r="M6" s="3" t="s">
        <v>182</v>
      </c>
      <c r="N6" s="3" t="s">
        <v>1418</v>
      </c>
      <c r="O6" s="16" t="s">
        <v>1403</v>
      </c>
      <c r="P6" s="16"/>
      <c r="Q6" s="16"/>
      <c r="R6" s="3" t="s">
        <v>31</v>
      </c>
      <c r="S6" s="3" t="s">
        <v>32</v>
      </c>
      <c r="T6" s="3" t="s">
        <v>40</v>
      </c>
      <c r="U6" s="3" t="s">
        <v>35</v>
      </c>
      <c r="V6" s="4" t="s">
        <v>30</v>
      </c>
      <c r="W6" s="3" t="s">
        <v>36</v>
      </c>
      <c r="X6" s="4" t="s">
        <v>730</v>
      </c>
      <c r="Y6" s="5"/>
      <c r="Z6" s="5"/>
      <c r="AA6" s="5"/>
      <c r="AB6" s="5"/>
      <c r="AC6" s="5"/>
      <c r="AD6" s="4" t="s">
        <v>759</v>
      </c>
      <c r="AE6" s="17" t="s">
        <v>1419</v>
      </c>
      <c r="AF6" s="3" t="s">
        <v>1400</v>
      </c>
      <c r="AG6" s="5"/>
      <c r="AH6" s="5"/>
      <c r="AI6" s="5"/>
      <c r="AJ6" s="3" t="s">
        <v>184</v>
      </c>
      <c r="AK6" s="18"/>
    </row>
    <row r="7" ht="12" customHeight="1" spans="1:37" x14ac:dyDescent="0.25">
      <c r="A7" s="13" t="s">
        <v>267</v>
      </c>
      <c r="B7" s="13" t="s">
        <v>40</v>
      </c>
      <c r="C7" s="13" t="s">
        <v>1397</v>
      </c>
      <c r="D7" s="14" t="s">
        <v>759</v>
      </c>
      <c r="E7" s="15" t="s">
        <v>1420</v>
      </c>
      <c r="F7" s="3" t="s">
        <v>269</v>
      </c>
      <c r="G7" s="3" t="s">
        <v>1358</v>
      </c>
      <c r="H7" s="16" t="s">
        <v>268</v>
      </c>
      <c r="I7" s="3" t="s">
        <v>1399</v>
      </c>
      <c r="J7" s="3" t="s">
        <v>1400</v>
      </c>
      <c r="K7" s="3"/>
      <c r="L7" s="16" t="s">
        <v>1401</v>
      </c>
      <c r="M7" s="3" t="s">
        <v>269</v>
      </c>
      <c r="N7" s="3" t="s">
        <v>1421</v>
      </c>
      <c r="O7" s="16" t="s">
        <v>1422</v>
      </c>
      <c r="P7" s="16" t="s">
        <v>1423</v>
      </c>
      <c r="Q7" s="16" t="s">
        <v>1424</v>
      </c>
      <c r="R7" s="3" t="s">
        <v>31</v>
      </c>
      <c r="S7" s="3" t="s">
        <v>32</v>
      </c>
      <c r="T7" s="3" t="s">
        <v>40</v>
      </c>
      <c r="U7" s="3" t="s">
        <v>35</v>
      </c>
      <c r="V7" s="4" t="s">
        <v>30</v>
      </c>
      <c r="W7" s="3" t="s">
        <v>69</v>
      </c>
      <c r="X7" s="4" t="s">
        <v>966</v>
      </c>
      <c r="Y7" s="5"/>
      <c r="Z7" s="5"/>
      <c r="AA7" s="5"/>
      <c r="AB7" s="5"/>
      <c r="AC7" s="5"/>
      <c r="AD7" s="4" t="s">
        <v>1057</v>
      </c>
      <c r="AE7" s="17" t="s">
        <v>1425</v>
      </c>
      <c r="AF7" s="3" t="s">
        <v>1400</v>
      </c>
      <c r="AG7" s="5"/>
      <c r="AH7" s="5"/>
      <c r="AI7" s="5" t="s">
        <v>1426</v>
      </c>
      <c r="AJ7" s="3" t="s">
        <v>272</v>
      </c>
      <c r="AK7" s="18"/>
    </row>
    <row r="8" ht="12" customHeight="1" spans="1:37" x14ac:dyDescent="0.25">
      <c r="A8" s="13" t="s">
        <v>134</v>
      </c>
      <c r="B8" s="13" t="s">
        <v>40</v>
      </c>
      <c r="C8" s="13" t="s">
        <v>1397</v>
      </c>
      <c r="D8" s="14" t="s">
        <v>841</v>
      </c>
      <c r="E8" s="15" t="s">
        <v>1427</v>
      </c>
      <c r="F8" s="3" t="s">
        <v>43</v>
      </c>
      <c r="G8" s="3" t="s">
        <v>47</v>
      </c>
      <c r="H8" s="16" t="s">
        <v>33</v>
      </c>
      <c r="I8" s="3" t="s">
        <v>1399</v>
      </c>
      <c r="J8" s="3" t="s">
        <v>1400</v>
      </c>
      <c r="K8" s="3"/>
      <c r="L8" s="16" t="s">
        <v>1401</v>
      </c>
      <c r="M8" s="3" t="s">
        <v>43</v>
      </c>
      <c r="N8" s="3" t="s">
        <v>1428</v>
      </c>
      <c r="O8" s="16" t="s">
        <v>1429</v>
      </c>
      <c r="P8" s="16"/>
      <c r="Q8" s="16"/>
      <c r="R8" s="3" t="s">
        <v>31</v>
      </c>
      <c r="S8" s="3" t="s">
        <v>32</v>
      </c>
      <c r="T8" s="3" t="s">
        <v>40</v>
      </c>
      <c r="U8" s="3" t="s">
        <v>35</v>
      </c>
      <c r="V8" s="4" t="s">
        <v>30</v>
      </c>
      <c r="W8" s="3" t="s">
        <v>36</v>
      </c>
      <c r="X8" s="4" t="s">
        <v>730</v>
      </c>
      <c r="Y8" s="5"/>
      <c r="Z8" s="5"/>
      <c r="AA8" s="5"/>
      <c r="AB8" s="5"/>
      <c r="AC8" s="5"/>
      <c r="AD8" s="4" t="s">
        <v>841</v>
      </c>
      <c r="AE8" s="17" t="s">
        <v>1430</v>
      </c>
      <c r="AF8" s="3" t="s">
        <v>1400</v>
      </c>
      <c r="AG8" s="5"/>
      <c r="AH8" s="5"/>
      <c r="AI8" s="5"/>
      <c r="AJ8" s="3" t="s">
        <v>49</v>
      </c>
      <c r="AK8" s="18"/>
    </row>
    <row r="9" ht="12" customHeight="1" spans="1:37" x14ac:dyDescent="0.25">
      <c r="A9" s="13" t="s">
        <v>90</v>
      </c>
      <c r="B9" s="13" t="s">
        <v>40</v>
      </c>
      <c r="C9" s="13" t="s">
        <v>1397</v>
      </c>
      <c r="D9" s="14" t="s">
        <v>769</v>
      </c>
      <c r="E9" s="15" t="s">
        <v>1431</v>
      </c>
      <c r="F9" s="3" t="s">
        <v>43</v>
      </c>
      <c r="G9" s="3" t="s">
        <v>47</v>
      </c>
      <c r="H9" s="16" t="s">
        <v>33</v>
      </c>
      <c r="I9" s="3" t="s">
        <v>1399</v>
      </c>
      <c r="J9" s="3" t="s">
        <v>1400</v>
      </c>
      <c r="K9" s="3"/>
      <c r="L9" s="16" t="s">
        <v>1401</v>
      </c>
      <c r="M9" s="3" t="s">
        <v>43</v>
      </c>
      <c r="N9" s="3" t="s">
        <v>1428</v>
      </c>
      <c r="O9" s="16" t="s">
        <v>1432</v>
      </c>
      <c r="P9" s="16"/>
      <c r="Q9" s="16"/>
      <c r="R9" s="3" t="s">
        <v>31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36</v>
      </c>
      <c r="X9" s="4" t="s">
        <v>730</v>
      </c>
      <c r="Y9" s="5"/>
      <c r="Z9" s="5"/>
      <c r="AA9" s="5"/>
      <c r="AB9" s="5"/>
      <c r="AC9" s="5"/>
      <c r="AD9" s="4" t="s">
        <v>769</v>
      </c>
      <c r="AE9" s="17" t="s">
        <v>1433</v>
      </c>
      <c r="AF9" s="3" t="s">
        <v>1400</v>
      </c>
      <c r="AG9" s="5"/>
      <c r="AH9" s="5"/>
      <c r="AI9" s="5"/>
      <c r="AJ9" s="3" t="s">
        <v>49</v>
      </c>
      <c r="AK9" s="18"/>
    </row>
    <row r="10" ht="12" customHeight="1" spans="1:37" x14ac:dyDescent="0.25">
      <c r="A10" s="13" t="s">
        <v>246</v>
      </c>
      <c r="B10" s="13" t="s">
        <v>40</v>
      </c>
      <c r="C10" s="13" t="s">
        <v>1397</v>
      </c>
      <c r="D10" s="14" t="s">
        <v>1405</v>
      </c>
      <c r="E10" s="15" t="s">
        <v>1434</v>
      </c>
      <c r="F10" s="3" t="s">
        <v>136</v>
      </c>
      <c r="G10" s="3" t="s">
        <v>1218</v>
      </c>
      <c r="H10" s="16" t="s">
        <v>33</v>
      </c>
      <c r="I10" s="3" t="s">
        <v>1399</v>
      </c>
      <c r="J10" s="3" t="s">
        <v>1400</v>
      </c>
      <c r="K10" s="3"/>
      <c r="L10" s="16" t="s">
        <v>1401</v>
      </c>
      <c r="M10" s="3" t="s">
        <v>136</v>
      </c>
      <c r="N10" s="3" t="s">
        <v>1435</v>
      </c>
      <c r="O10" s="16" t="s">
        <v>1411</v>
      </c>
      <c r="P10" s="16"/>
      <c r="Q10" s="16"/>
      <c r="R10" s="3" t="s">
        <v>31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36</v>
      </c>
      <c r="X10" s="4" t="s">
        <v>730</v>
      </c>
      <c r="Y10" s="5"/>
      <c r="Z10" s="5"/>
      <c r="AA10" s="5"/>
      <c r="AB10" s="5"/>
      <c r="AC10" s="5"/>
      <c r="AD10" s="4" t="s">
        <v>1405</v>
      </c>
      <c r="AE10" s="17" t="s">
        <v>1436</v>
      </c>
      <c r="AF10" s="3" t="s">
        <v>1400</v>
      </c>
      <c r="AG10" s="5"/>
      <c r="AH10" s="5"/>
      <c r="AI10" s="5"/>
      <c r="AJ10" s="3" t="s">
        <v>56</v>
      </c>
      <c r="AK10" s="18"/>
    </row>
    <row r="11" ht="12" customHeight="1" spans="1:37" x14ac:dyDescent="0.25">
      <c r="A11" s="13" t="s">
        <v>304</v>
      </c>
      <c r="B11" s="13" t="s">
        <v>40</v>
      </c>
      <c r="C11" s="13" t="s">
        <v>1397</v>
      </c>
      <c r="D11" s="14" t="s">
        <v>769</v>
      </c>
      <c r="E11" s="15" t="s">
        <v>1437</v>
      </c>
      <c r="F11" s="3" t="s">
        <v>305</v>
      </c>
      <c r="G11" s="3" t="s">
        <v>968</v>
      </c>
      <c r="H11" s="16" t="s">
        <v>95</v>
      </c>
      <c r="I11" s="3" t="s">
        <v>1399</v>
      </c>
      <c r="J11" s="3" t="s">
        <v>1400</v>
      </c>
      <c r="K11" s="3"/>
      <c r="L11" s="16" t="s">
        <v>1401</v>
      </c>
      <c r="M11" s="3" t="s">
        <v>305</v>
      </c>
      <c r="N11" s="3" t="s">
        <v>1438</v>
      </c>
      <c r="O11" s="16" t="s">
        <v>1439</v>
      </c>
      <c r="P11" s="16"/>
      <c r="Q11" s="16"/>
      <c r="R11" s="3" t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r="W11" s="3" t="s">
        <v>69</v>
      </c>
      <c r="X11" s="4" t="s">
        <v>966</v>
      </c>
      <c r="Y11" s="5"/>
      <c r="Z11" s="5"/>
      <c r="AA11" s="5"/>
      <c r="AB11" s="5"/>
      <c r="AC11" s="5"/>
      <c r="AD11" s="4" t="s">
        <v>769</v>
      </c>
      <c r="AE11" s="17" t="s">
        <v>1440</v>
      </c>
      <c r="AF11" s="3" t="s">
        <v>1400</v>
      </c>
      <c r="AG11" s="5"/>
      <c r="AH11" s="5"/>
      <c r="AI11" s="5" t="s">
        <v>1441</v>
      </c>
      <c r="AJ11" s="3" t="s">
        <v>307</v>
      </c>
      <c r="AK11" s="18"/>
    </row>
    <row r="12" ht="12" customHeight="1" spans="1:37" x14ac:dyDescent="0.25">
      <c r="A12" s="13" t="s">
        <v>128</v>
      </c>
      <c r="B12" s="13" t="s">
        <v>40</v>
      </c>
      <c r="C12" s="13" t="s">
        <v>1397</v>
      </c>
      <c r="D12" s="14" t="s">
        <v>792</v>
      </c>
      <c r="E12" s="15" t="s">
        <v>1442</v>
      </c>
      <c r="F12" s="3" t="s">
        <v>129</v>
      </c>
      <c r="G12" s="3" t="s">
        <v>819</v>
      </c>
      <c r="H12" s="16" t="s">
        <v>33</v>
      </c>
      <c r="I12" s="3" t="s">
        <v>1399</v>
      </c>
      <c r="J12" s="3" t="s">
        <v>1400</v>
      </c>
      <c r="K12" s="3"/>
      <c r="L12" s="16" t="s">
        <v>1401</v>
      </c>
      <c r="M12" s="3" t="s">
        <v>129</v>
      </c>
      <c r="N12" s="3" t="s">
        <v>1443</v>
      </c>
      <c r="O12" s="16" t="s">
        <v>1429</v>
      </c>
      <c r="P12" s="16"/>
      <c r="Q12" s="16"/>
      <c r="R12" s="3" t="s">
        <v>31</v>
      </c>
      <c r="S12" s="3" t="s">
        <v>32</v>
      </c>
      <c r="T12" s="3" t="s">
        <v>40</v>
      </c>
      <c r="U12" s="3" t="s">
        <v>35</v>
      </c>
      <c r="V12" s="4" t="s">
        <v>30</v>
      </c>
      <c r="W12" s="3" t="s">
        <v>36</v>
      </c>
      <c r="X12" s="4" t="s">
        <v>730</v>
      </c>
      <c r="Y12" s="5"/>
      <c r="Z12" s="5"/>
      <c r="AA12" s="5"/>
      <c r="AB12" s="5"/>
      <c r="AC12" s="5"/>
      <c r="AD12" s="4" t="s">
        <v>792</v>
      </c>
      <c r="AE12" s="17" t="s">
        <v>1444</v>
      </c>
      <c r="AF12" s="3" t="s">
        <v>1400</v>
      </c>
      <c r="AG12" s="5"/>
      <c r="AH12" s="5"/>
      <c r="AI12" s="5"/>
      <c r="AJ12" s="3" t="s">
        <v>131</v>
      </c>
      <c r="AK12" s="18"/>
    </row>
    <row r="13" ht="12" customHeight="1" spans="1:37" x14ac:dyDescent="0.25">
      <c r="A13" s="13" t="s">
        <v>133</v>
      </c>
      <c r="B13" s="13" t="s">
        <v>40</v>
      </c>
      <c r="C13" s="13" t="s">
        <v>1397</v>
      </c>
      <c r="D13" s="14" t="s">
        <v>841</v>
      </c>
      <c r="E13" s="15" t="s">
        <v>1445</v>
      </c>
      <c r="F13" s="3" t="s">
        <v>43</v>
      </c>
      <c r="G13" s="3" t="s">
        <v>47</v>
      </c>
      <c r="H13" s="16" t="s">
        <v>33</v>
      </c>
      <c r="I13" s="3" t="s">
        <v>1399</v>
      </c>
      <c r="J13" s="3" t="s">
        <v>1400</v>
      </c>
      <c r="K13" s="3"/>
      <c r="L13" s="16" t="s">
        <v>1401</v>
      </c>
      <c r="M13" s="3" t="s">
        <v>43</v>
      </c>
      <c r="N13" s="3" t="s">
        <v>1428</v>
      </c>
      <c r="O13" s="16" t="s">
        <v>1429</v>
      </c>
      <c r="P13" s="16"/>
      <c r="Q13" s="16"/>
      <c r="R13" s="3" t="s">
        <v>31</v>
      </c>
      <c r="S13" s="3" t="s">
        <v>32</v>
      </c>
      <c r="T13" s="3" t="s">
        <v>40</v>
      </c>
      <c r="U13" s="3" t="s">
        <v>35</v>
      </c>
      <c r="V13" s="4" t="s">
        <v>30</v>
      </c>
      <c r="W13" s="3" t="s">
        <v>36</v>
      </c>
      <c r="X13" s="4" t="s">
        <v>730</v>
      </c>
      <c r="Y13" s="5"/>
      <c r="Z13" s="5"/>
      <c r="AA13" s="5"/>
      <c r="AB13" s="5"/>
      <c r="AC13" s="5"/>
      <c r="AD13" s="4" t="s">
        <v>841</v>
      </c>
      <c r="AE13" s="17" t="s">
        <v>1446</v>
      </c>
      <c r="AF13" s="3" t="s">
        <v>1400</v>
      </c>
      <c r="AG13" s="5"/>
      <c r="AH13" s="5"/>
      <c r="AI13" s="5"/>
      <c r="AJ13" s="3" t="s">
        <v>49</v>
      </c>
      <c r="AK13" s="18"/>
    </row>
    <row r="14" ht="12" customHeight="1" spans="1:37" x14ac:dyDescent="0.25">
      <c r="A14" s="13" t="s">
        <v>303</v>
      </c>
      <c r="B14" s="13" t="s">
        <v>40</v>
      </c>
      <c r="C14" s="13" t="s">
        <v>1397</v>
      </c>
      <c r="D14" s="14" t="s">
        <v>774</v>
      </c>
      <c r="E14" s="15" t="s">
        <v>1447</v>
      </c>
      <c r="F14" s="3" t="s">
        <v>97</v>
      </c>
      <c r="G14" s="3" t="s">
        <v>778</v>
      </c>
      <c r="H14" s="16" t="s">
        <v>95</v>
      </c>
      <c r="I14" s="3" t="s">
        <v>1399</v>
      </c>
      <c r="J14" s="3" t="s">
        <v>1400</v>
      </c>
      <c r="K14" s="3"/>
      <c r="L14" s="16" t="s">
        <v>1401</v>
      </c>
      <c r="M14" s="3" t="s">
        <v>97</v>
      </c>
      <c r="N14" s="3" t="s">
        <v>1402</v>
      </c>
      <c r="O14" s="16" t="s">
        <v>1429</v>
      </c>
      <c r="P14" s="16"/>
      <c r="Q14" s="16"/>
      <c r="R14" s="3" t="s">
        <v>31</v>
      </c>
      <c r="S14" s="3" t="s">
        <v>32</v>
      </c>
      <c r="T14" s="3" t="s">
        <v>40</v>
      </c>
      <c r="U14" s="3" t="s">
        <v>35</v>
      </c>
      <c r="V14" s="4" t="s">
        <v>30</v>
      </c>
      <c r="W14" s="3" t="s">
        <v>96</v>
      </c>
      <c r="X14" s="4" t="s">
        <v>966</v>
      </c>
      <c r="Y14" s="5"/>
      <c r="Z14" s="5"/>
      <c r="AA14" s="5"/>
      <c r="AB14" s="5"/>
      <c r="AC14" s="5"/>
      <c r="AD14" s="4" t="s">
        <v>774</v>
      </c>
      <c r="AE14" s="17" t="s">
        <v>1448</v>
      </c>
      <c r="AF14" s="3" t="s">
        <v>1400</v>
      </c>
      <c r="AG14" s="5"/>
      <c r="AH14" s="5"/>
      <c r="AI14" s="5"/>
      <c r="AJ14" s="3" t="s">
        <v>100</v>
      </c>
      <c r="AK14" s="18"/>
    </row>
    <row r="15" ht="12" customHeight="1" spans="1:37" x14ac:dyDescent="0.25">
      <c r="A15" s="13" t="s">
        <v>384</v>
      </c>
      <c r="B15" s="13" t="s">
        <v>40</v>
      </c>
      <c r="C15" s="13" t="s">
        <v>1397</v>
      </c>
      <c r="D15" s="14" t="s">
        <v>797</v>
      </c>
      <c r="E15" s="15" t="s">
        <v>1449</v>
      </c>
      <c r="F15" s="3" t="s">
        <v>97</v>
      </c>
      <c r="G15" s="3" t="s">
        <v>778</v>
      </c>
      <c r="H15" s="16" t="s">
        <v>95</v>
      </c>
      <c r="I15" s="3" t="s">
        <v>1399</v>
      </c>
      <c r="J15" s="3" t="s">
        <v>1400</v>
      </c>
      <c r="K15" s="3"/>
      <c r="L15" s="16" t="s">
        <v>1401</v>
      </c>
      <c r="M15" s="3" t="s">
        <v>97</v>
      </c>
      <c r="N15" s="3" t="s">
        <v>1402</v>
      </c>
      <c r="O15" s="16" t="s">
        <v>1429</v>
      </c>
      <c r="P15" s="16"/>
      <c r="Q15" s="16"/>
      <c r="R15" s="3" t="s">
        <v>31</v>
      </c>
      <c r="S15" s="3" t="s">
        <v>32</v>
      </c>
      <c r="T15" s="3" t="s">
        <v>40</v>
      </c>
      <c r="U15" s="3" t="s">
        <v>35</v>
      </c>
      <c r="V15" s="4" t="s">
        <v>30</v>
      </c>
      <c r="W15" s="3" t="s">
        <v>96</v>
      </c>
      <c r="X15" s="4" t="s">
        <v>966</v>
      </c>
      <c r="Y15" s="5"/>
      <c r="Z15" s="5"/>
      <c r="AA15" s="5"/>
      <c r="AB15" s="5"/>
      <c r="AC15" s="5"/>
      <c r="AD15" s="4" t="s">
        <v>797</v>
      </c>
      <c r="AE15" s="17" t="s">
        <v>1450</v>
      </c>
      <c r="AF15" s="3" t="s">
        <v>1400</v>
      </c>
      <c r="AG15" s="5"/>
      <c r="AH15" s="5"/>
      <c r="AI15" s="5"/>
      <c r="AJ15" s="3" t="s">
        <v>100</v>
      </c>
      <c r="AK15" s="18"/>
    </row>
    <row r="16" ht="12" customHeight="1" spans="1:37" x14ac:dyDescent="0.25">
      <c r="A16" s="13" t="s">
        <v>385</v>
      </c>
      <c r="B16" s="13" t="s">
        <v>40</v>
      </c>
      <c r="C16" s="13" t="s">
        <v>1397</v>
      </c>
      <c r="D16" s="14" t="s">
        <v>774</v>
      </c>
      <c r="E16" s="15" t="s">
        <v>1451</v>
      </c>
      <c r="F16" s="3" t="s">
        <v>97</v>
      </c>
      <c r="G16" s="3" t="s">
        <v>778</v>
      </c>
      <c r="H16" s="16" t="s">
        <v>95</v>
      </c>
      <c r="I16" s="3" t="s">
        <v>1399</v>
      </c>
      <c r="J16" s="3" t="s">
        <v>1400</v>
      </c>
      <c r="K16" s="3"/>
      <c r="L16" s="16" t="s">
        <v>1401</v>
      </c>
      <c r="M16" s="3" t="s">
        <v>97</v>
      </c>
      <c r="N16" s="3" t="s">
        <v>1402</v>
      </c>
      <c r="O16" s="16" t="s">
        <v>1429</v>
      </c>
      <c r="P16" s="16"/>
      <c r="Q16" s="16"/>
      <c r="R16" s="3" t="s">
        <v>31</v>
      </c>
      <c r="S16" s="3" t="s">
        <v>32</v>
      </c>
      <c r="T16" s="3" t="s">
        <v>40</v>
      </c>
      <c r="U16" s="3" t="s">
        <v>35</v>
      </c>
      <c r="V16" s="4" t="s">
        <v>30</v>
      </c>
      <c r="W16" s="3" t="s">
        <v>96</v>
      </c>
      <c r="X16" s="4" t="s">
        <v>966</v>
      </c>
      <c r="Y16" s="5"/>
      <c r="Z16" s="5"/>
      <c r="AA16" s="5"/>
      <c r="AB16" s="5"/>
      <c r="AC16" s="5"/>
      <c r="AD16" s="4" t="s">
        <v>797</v>
      </c>
      <c r="AE16" s="17" t="s">
        <v>1452</v>
      </c>
      <c r="AF16" s="3" t="s">
        <v>1400</v>
      </c>
      <c r="AG16" s="5"/>
      <c r="AH16" s="5"/>
      <c r="AI16" s="5"/>
      <c r="AJ16" s="3" t="s">
        <v>100</v>
      </c>
      <c r="AK16" s="18"/>
    </row>
    <row r="17" ht="12" customHeight="1" spans="1:37" x14ac:dyDescent="0.25">
      <c r="A17" s="13" t="s">
        <v>102</v>
      </c>
      <c r="B17" s="13" t="s">
        <v>40</v>
      </c>
      <c r="C17" s="13" t="s">
        <v>1397</v>
      </c>
      <c r="D17" s="14" t="s">
        <v>769</v>
      </c>
      <c r="E17" s="15" t="s">
        <v>1453</v>
      </c>
      <c r="F17" s="3" t="s">
        <v>103</v>
      </c>
      <c r="G17" s="3" t="s">
        <v>1235</v>
      </c>
      <c r="H17" s="16" t="s">
        <v>95</v>
      </c>
      <c r="I17" s="3" t="s">
        <v>1399</v>
      </c>
      <c r="J17" s="3" t="s">
        <v>1400</v>
      </c>
      <c r="K17" s="3"/>
      <c r="L17" s="16" t="s">
        <v>1401</v>
      </c>
      <c r="M17" s="3" t="s">
        <v>103</v>
      </c>
      <c r="N17" s="3" t="s">
        <v>1438</v>
      </c>
      <c r="O17" s="16" t="s">
        <v>1411</v>
      </c>
      <c r="P17" s="16"/>
      <c r="Q17" s="16"/>
      <c r="R17" s="3" t="s">
        <v>31</v>
      </c>
      <c r="S17" s="3" t="s">
        <v>32</v>
      </c>
      <c r="T17" s="3" t="s">
        <v>40</v>
      </c>
      <c r="U17" s="3" t="s">
        <v>35</v>
      </c>
      <c r="V17" s="4" t="s">
        <v>30</v>
      </c>
      <c r="W17" s="3" t="s">
        <v>36</v>
      </c>
      <c r="X17" s="4" t="s">
        <v>730</v>
      </c>
      <c r="Y17" s="5"/>
      <c r="Z17" s="5"/>
      <c r="AA17" s="5"/>
      <c r="AB17" s="5"/>
      <c r="AC17" s="5"/>
      <c r="AD17" s="4" t="s">
        <v>769</v>
      </c>
      <c r="AE17" s="17" t="s">
        <v>1454</v>
      </c>
      <c r="AF17" s="3" t="s">
        <v>1400</v>
      </c>
      <c r="AG17" s="5"/>
      <c r="AH17" s="5"/>
      <c r="AI17" s="5"/>
      <c r="AJ17" s="3" t="s">
        <v>106</v>
      </c>
      <c r="AK17" s="18"/>
    </row>
    <row r="18" ht="12" customHeight="1" spans="1:37" x14ac:dyDescent="0.25">
      <c r="A18" s="13" t="s">
        <v>468</v>
      </c>
      <c r="B18" s="13" t="s">
        <v>40</v>
      </c>
      <c r="C18" s="13" t="s">
        <v>1397</v>
      </c>
      <c r="D18" s="14" t="s">
        <v>744</v>
      </c>
      <c r="E18" s="15" t="s">
        <v>1455</v>
      </c>
      <c r="F18" s="3" t="s">
        <v>370</v>
      </c>
      <c r="G18" s="3" t="s">
        <v>855</v>
      </c>
      <c r="H18" s="16" t="s">
        <v>95</v>
      </c>
      <c r="I18" s="3" t="s">
        <v>1399</v>
      </c>
      <c r="J18" s="3" t="s">
        <v>1400</v>
      </c>
      <c r="K18" s="3"/>
      <c r="L18" s="16" t="s">
        <v>1401</v>
      </c>
      <c r="M18" s="3" t="s">
        <v>370</v>
      </c>
      <c r="N18" s="3" t="s">
        <v>1456</v>
      </c>
      <c r="O18" s="16" t="s">
        <v>1422</v>
      </c>
      <c r="P18" s="16"/>
      <c r="Q18" s="16"/>
      <c r="R18" s="3" t="s">
        <v>1412</v>
      </c>
      <c r="S18" s="3" t="s">
        <v>32</v>
      </c>
      <c r="T18" s="3" t="s">
        <v>40</v>
      </c>
      <c r="U18" s="3" t="s">
        <v>35</v>
      </c>
      <c r="V18" s="4" t="s">
        <v>30</v>
      </c>
      <c r="W18" s="3" t="s">
        <v>36</v>
      </c>
      <c r="X18" s="4" t="s">
        <v>730</v>
      </c>
      <c r="Y18" s="5"/>
      <c r="Z18" s="5"/>
      <c r="AA18" s="5"/>
      <c r="AB18" s="5"/>
      <c r="AC18" s="5"/>
      <c r="AD18" s="4" t="s">
        <v>744</v>
      </c>
      <c r="AE18" s="17" t="s">
        <v>1457</v>
      </c>
      <c r="AF18" s="3" t="s">
        <v>1400</v>
      </c>
      <c r="AG18" s="5"/>
      <c r="AH18" s="5"/>
      <c r="AI18" s="5"/>
      <c r="AJ18" s="3" t="s">
        <v>371</v>
      </c>
      <c r="AK18" s="18"/>
    </row>
    <row r="19" ht="12" customHeight="1" spans="1:37" x14ac:dyDescent="0.25">
      <c r="A19" s="13" t="s">
        <v>478</v>
      </c>
      <c r="B19" s="13" t="s">
        <v>40</v>
      </c>
      <c r="C19" s="13" t="s">
        <v>1397</v>
      </c>
      <c r="D19" s="14" t="s">
        <v>769</v>
      </c>
      <c r="E19" s="15" t="s">
        <v>1458</v>
      </c>
      <c r="F19" s="3" t="s">
        <v>413</v>
      </c>
      <c r="G19" s="3" t="s">
        <v>1189</v>
      </c>
      <c r="H19" s="16" t="s">
        <v>95</v>
      </c>
      <c r="I19" s="3" t="s">
        <v>1399</v>
      </c>
      <c r="J19" s="3" t="s">
        <v>1400</v>
      </c>
      <c r="K19" s="3"/>
      <c r="L19" s="16" t="s">
        <v>1401</v>
      </c>
      <c r="M19" s="3" t="s">
        <v>413</v>
      </c>
      <c r="N19" s="3" t="s">
        <v>1459</v>
      </c>
      <c r="O19" s="16" t="s">
        <v>1460</v>
      </c>
      <c r="P19" s="16"/>
      <c r="Q19" s="16"/>
      <c r="R19" s="3" t="s">
        <v>31</v>
      </c>
      <c r="S19" s="3" t="s">
        <v>32</v>
      </c>
      <c r="T19" s="3" t="s">
        <v>40</v>
      </c>
      <c r="U19" s="3" t="s">
        <v>35</v>
      </c>
      <c r="V19" s="4" t="s">
        <v>30</v>
      </c>
      <c r="W19" s="3" t="s">
        <v>36</v>
      </c>
      <c r="X19" s="4" t="s">
        <v>730</v>
      </c>
      <c r="Y19" s="5"/>
      <c r="Z19" s="5"/>
      <c r="AA19" s="5"/>
      <c r="AB19" s="5"/>
      <c r="AC19" s="5"/>
      <c r="AD19" s="4" t="s">
        <v>769</v>
      </c>
      <c r="AE19" s="17" t="s">
        <v>1461</v>
      </c>
      <c r="AF19" s="3" t="s">
        <v>1400</v>
      </c>
      <c r="AG19" s="5"/>
      <c r="AH19" s="5"/>
      <c r="AI19" s="5"/>
      <c r="AJ19" s="3" t="s">
        <v>131</v>
      </c>
      <c r="AK19" s="18"/>
    </row>
    <row r="20" ht="12" customHeight="1" spans="1:37" x14ac:dyDescent="0.25">
      <c r="A20" s="13" t="s">
        <v>476</v>
      </c>
      <c r="B20" s="13" t="s">
        <v>40</v>
      </c>
      <c r="C20" s="13" t="s">
        <v>1397</v>
      </c>
      <c r="D20" s="14" t="s">
        <v>774</v>
      </c>
      <c r="E20" s="15" t="s">
        <v>1462</v>
      </c>
      <c r="F20" s="3" t="s">
        <v>97</v>
      </c>
      <c r="G20" s="3" t="s">
        <v>778</v>
      </c>
      <c r="H20" s="16" t="s">
        <v>95</v>
      </c>
      <c r="I20" s="3" t="s">
        <v>1399</v>
      </c>
      <c r="J20" s="3" t="s">
        <v>1400</v>
      </c>
      <c r="K20" s="3"/>
      <c r="L20" s="16" t="s">
        <v>1401</v>
      </c>
      <c r="M20" s="3" t="s">
        <v>97</v>
      </c>
      <c r="N20" s="3" t="s">
        <v>1402</v>
      </c>
      <c r="O20" s="16" t="s">
        <v>1460</v>
      </c>
      <c r="P20" s="16"/>
      <c r="Q20" s="16"/>
      <c r="R20" s="3" t="s">
        <v>31</v>
      </c>
      <c r="S20" s="3" t="s">
        <v>32</v>
      </c>
      <c r="T20" s="3" t="s">
        <v>40</v>
      </c>
      <c r="U20" s="3" t="s">
        <v>35</v>
      </c>
      <c r="V20" s="4" t="s">
        <v>30</v>
      </c>
      <c r="W20" s="3" t="s">
        <v>96</v>
      </c>
      <c r="X20" s="4" t="s">
        <v>966</v>
      </c>
      <c r="Y20" s="5"/>
      <c r="Z20" s="5"/>
      <c r="AA20" s="5"/>
      <c r="AB20" s="5"/>
      <c r="AC20" s="5"/>
      <c r="AD20" s="4" t="s">
        <v>797</v>
      </c>
      <c r="AE20" s="17" t="s">
        <v>1463</v>
      </c>
      <c r="AF20" s="3" t="s">
        <v>1400</v>
      </c>
      <c r="AG20" s="5"/>
      <c r="AH20" s="5"/>
      <c r="AI20" s="5"/>
      <c r="AJ20" s="3" t="s">
        <v>100</v>
      </c>
      <c r="AK20" s="18"/>
    </row>
    <row r="21" ht="12" customHeight="1" spans="1:37" x14ac:dyDescent="0.25">
      <c r="A21" s="13" t="s">
        <v>472</v>
      </c>
      <c r="B21" s="13" t="s">
        <v>40</v>
      </c>
      <c r="C21" s="13" t="s">
        <v>1397</v>
      </c>
      <c r="D21" s="14" t="s">
        <v>769</v>
      </c>
      <c r="E21" s="15" t="s">
        <v>1464</v>
      </c>
      <c r="F21" s="3" t="s">
        <v>413</v>
      </c>
      <c r="G21" s="3" t="s">
        <v>1189</v>
      </c>
      <c r="H21" s="16" t="s">
        <v>95</v>
      </c>
      <c r="I21" s="3" t="s">
        <v>1399</v>
      </c>
      <c r="J21" s="3" t="s">
        <v>1400</v>
      </c>
      <c r="K21" s="3"/>
      <c r="L21" s="16" t="s">
        <v>1401</v>
      </c>
      <c r="M21" s="3" t="s">
        <v>413</v>
      </c>
      <c r="N21" s="3" t="s">
        <v>1459</v>
      </c>
      <c r="O21" s="16" t="s">
        <v>1460</v>
      </c>
      <c r="P21" s="16"/>
      <c r="Q21" s="16"/>
      <c r="R21" s="3" t="s">
        <v>31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36</v>
      </c>
      <c r="X21" s="4" t="s">
        <v>730</v>
      </c>
      <c r="Y21" s="5"/>
      <c r="Z21" s="5"/>
      <c r="AA21" s="5"/>
      <c r="AB21" s="5"/>
      <c r="AC21" s="5"/>
      <c r="AD21" s="4" t="s">
        <v>769</v>
      </c>
      <c r="AE21" s="17" t="s">
        <v>1465</v>
      </c>
      <c r="AF21" s="3" t="s">
        <v>1400</v>
      </c>
      <c r="AG21" s="5"/>
      <c r="AH21" s="5"/>
      <c r="AI21" s="5"/>
      <c r="AJ21" s="3" t="s">
        <v>131</v>
      </c>
      <c r="AK21" s="18"/>
    </row>
    <row r="22" ht="12" customHeight="1" spans="1:37" x14ac:dyDescent="0.25">
      <c r="A22" s="13" t="s">
        <v>470</v>
      </c>
      <c r="B22" s="13" t="s">
        <v>40</v>
      </c>
      <c r="C22" s="13" t="s">
        <v>1397</v>
      </c>
      <c r="D22" s="14" t="s">
        <v>797</v>
      </c>
      <c r="E22" s="15" t="s">
        <v>1466</v>
      </c>
      <c r="F22" s="3" t="s">
        <v>97</v>
      </c>
      <c r="G22" s="3" t="s">
        <v>778</v>
      </c>
      <c r="H22" s="16" t="s">
        <v>95</v>
      </c>
      <c r="I22" s="3" t="s">
        <v>1399</v>
      </c>
      <c r="J22" s="3" t="s">
        <v>1400</v>
      </c>
      <c r="K22" s="3"/>
      <c r="L22" s="16" t="s">
        <v>1401</v>
      </c>
      <c r="M22" s="3" t="s">
        <v>97</v>
      </c>
      <c r="N22" s="3" t="s">
        <v>1402</v>
      </c>
      <c r="O22" s="16" t="s">
        <v>1460</v>
      </c>
      <c r="P22" s="16"/>
      <c r="Q22" s="16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96</v>
      </c>
      <c r="X22" s="4" t="s">
        <v>966</v>
      </c>
      <c r="Y22" s="5"/>
      <c r="Z22" s="5"/>
      <c r="AA22" s="5"/>
      <c r="AB22" s="5"/>
      <c r="AC22" s="5"/>
      <c r="AD22" s="4" t="s">
        <v>797</v>
      </c>
      <c r="AE22" s="17" t="s">
        <v>1467</v>
      </c>
      <c r="AF22" s="3" t="s">
        <v>1400</v>
      </c>
      <c r="AG22" s="5"/>
      <c r="AH22" s="5"/>
      <c r="AI22" s="5"/>
      <c r="AJ22" s="3" t="s">
        <v>100</v>
      </c>
      <c r="AK22" s="18"/>
    </row>
    <row r="23" ht="12" customHeight="1" spans="1:37" x14ac:dyDescent="0.25">
      <c r="A23" s="13" t="s">
        <v>500</v>
      </c>
      <c r="B23" s="13" t="s">
        <v>40</v>
      </c>
      <c r="C23" s="13" t="s">
        <v>1397</v>
      </c>
      <c r="D23" s="14" t="s">
        <v>759</v>
      </c>
      <c r="E23" s="15" t="s">
        <v>1468</v>
      </c>
      <c r="F23" s="3" t="s">
        <v>280</v>
      </c>
      <c r="G23" s="3" t="s">
        <v>732</v>
      </c>
      <c r="H23" s="16" t="s">
        <v>95</v>
      </c>
      <c r="I23" s="3" t="s">
        <v>1399</v>
      </c>
      <c r="J23" s="3" t="s">
        <v>1400</v>
      </c>
      <c r="K23" s="3"/>
      <c r="L23" s="16" t="s">
        <v>1401</v>
      </c>
      <c r="M23" s="3" t="s">
        <v>280</v>
      </c>
      <c r="N23" s="3" t="s">
        <v>1469</v>
      </c>
      <c r="O23" s="16" t="s">
        <v>1460</v>
      </c>
      <c r="P23" s="16"/>
      <c r="Q23" s="16"/>
      <c r="R23" s="3" t="s">
        <v>1470</v>
      </c>
      <c r="S23" s="3" t="s">
        <v>1471</v>
      </c>
      <c r="T23" s="3" t="s">
        <v>40</v>
      </c>
      <c r="U23" s="3" t="s">
        <v>35</v>
      </c>
      <c r="V23" s="4" t="s">
        <v>30</v>
      </c>
      <c r="W23" s="3" t="s">
        <v>279</v>
      </c>
      <c r="X23" s="4" t="s">
        <v>966</v>
      </c>
      <c r="Y23" s="5"/>
      <c r="Z23" s="5"/>
      <c r="AA23" s="5"/>
      <c r="AB23" s="5"/>
      <c r="AC23" s="5"/>
      <c r="AD23" s="4" t="s">
        <v>1057</v>
      </c>
      <c r="AE23" s="17" t="s">
        <v>1472</v>
      </c>
      <c r="AF23" s="3" t="s">
        <v>1400</v>
      </c>
      <c r="AG23" s="5"/>
      <c r="AH23" s="5"/>
      <c r="AI23" s="5"/>
      <c r="AJ23" s="3" t="s">
        <v>282</v>
      </c>
      <c r="AK23" s="18"/>
    </row>
    <row r="24" ht="12" customHeight="1" spans="1:37" x14ac:dyDescent="0.25">
      <c r="A24" s="13" t="s">
        <v>532</v>
      </c>
      <c r="B24" s="13" t="s">
        <v>40</v>
      </c>
      <c r="C24" s="13" t="s">
        <v>1397</v>
      </c>
      <c r="D24" s="14" t="s">
        <v>759</v>
      </c>
      <c r="E24" s="15" t="s">
        <v>1473</v>
      </c>
      <c r="F24" s="3" t="s">
        <v>280</v>
      </c>
      <c r="G24" s="3" t="s">
        <v>732</v>
      </c>
      <c r="H24" s="16" t="s">
        <v>95</v>
      </c>
      <c r="I24" s="3" t="s">
        <v>1399</v>
      </c>
      <c r="J24" s="3" t="s">
        <v>1400</v>
      </c>
      <c r="K24" s="3"/>
      <c r="L24" s="16" t="s">
        <v>1401</v>
      </c>
      <c r="M24" s="3" t="s">
        <v>280</v>
      </c>
      <c r="N24" s="3" t="s">
        <v>1469</v>
      </c>
      <c r="O24" s="16" t="s">
        <v>1460</v>
      </c>
      <c r="P24" s="16"/>
      <c r="Q24" s="16"/>
      <c r="R24" s="3" t="s">
        <v>1470</v>
      </c>
      <c r="S24" s="3" t="s">
        <v>1471</v>
      </c>
      <c r="T24" s="3" t="s">
        <v>40</v>
      </c>
      <c r="U24" s="3" t="s">
        <v>35</v>
      </c>
      <c r="V24" s="4" t="s">
        <v>30</v>
      </c>
      <c r="W24" s="3" t="s">
        <v>279</v>
      </c>
      <c r="X24" s="4" t="s">
        <v>966</v>
      </c>
      <c r="Y24" s="5"/>
      <c r="Z24" s="5"/>
      <c r="AA24" s="5"/>
      <c r="AB24" s="5"/>
      <c r="AC24" s="5"/>
      <c r="AD24" s="4" t="s">
        <v>1057</v>
      </c>
      <c r="AE24" s="17" t="s">
        <v>1472</v>
      </c>
      <c r="AF24" s="3" t="s">
        <v>1400</v>
      </c>
      <c r="AG24" s="5"/>
      <c r="AH24" s="5"/>
      <c r="AI24" s="5"/>
      <c r="AJ24" s="3" t="s">
        <v>282</v>
      </c>
      <c r="AK24" s="18"/>
    </row>
    <row r="25" ht="12" customHeight="1" spans="1:37" x14ac:dyDescent="0.25">
      <c r="A25" s="13" t="s">
        <v>482</v>
      </c>
      <c r="B25" s="13" t="s">
        <v>40</v>
      </c>
      <c r="C25" s="13" t="s">
        <v>1397</v>
      </c>
      <c r="D25" s="14" t="s">
        <v>744</v>
      </c>
      <c r="E25" s="15" t="s">
        <v>1474</v>
      </c>
      <c r="F25" s="3" t="s">
        <v>370</v>
      </c>
      <c r="G25" s="3" t="s">
        <v>855</v>
      </c>
      <c r="H25" s="16" t="s">
        <v>95</v>
      </c>
      <c r="I25" s="3" t="s">
        <v>1399</v>
      </c>
      <c r="J25" s="3" t="s">
        <v>1400</v>
      </c>
      <c r="K25" s="3"/>
      <c r="L25" s="16" t="s">
        <v>1401</v>
      </c>
      <c r="M25" s="3" t="s">
        <v>370</v>
      </c>
      <c r="N25" s="3" t="s">
        <v>1456</v>
      </c>
      <c r="O25" s="16" t="s">
        <v>1460</v>
      </c>
      <c r="P25" s="16"/>
      <c r="Q25" s="16"/>
      <c r="R25" s="3" t="s">
        <v>1412</v>
      </c>
      <c r="S25" s="3" t="s">
        <v>32</v>
      </c>
      <c r="T25" s="3" t="s">
        <v>40</v>
      </c>
      <c r="U25" s="3" t="s">
        <v>35</v>
      </c>
      <c r="V25" s="4" t="s">
        <v>30</v>
      </c>
      <c r="W25" s="3" t="s">
        <v>36</v>
      </c>
      <c r="X25" s="4" t="s">
        <v>730</v>
      </c>
      <c r="Y25" s="5"/>
      <c r="Z25" s="5"/>
      <c r="AA25" s="5"/>
      <c r="AB25" s="5"/>
      <c r="AC25" s="5"/>
      <c r="AD25" s="4" t="s">
        <v>744</v>
      </c>
      <c r="AE25" s="17" t="s">
        <v>1475</v>
      </c>
      <c r="AF25" s="3" t="s">
        <v>1400</v>
      </c>
      <c r="AG25" s="5"/>
      <c r="AH25" s="5"/>
      <c r="AI25" s="5"/>
      <c r="AJ25" s="3" t="s">
        <v>371</v>
      </c>
      <c r="AK25" s="18"/>
    </row>
    <row r="26" ht="12" customHeight="1" spans="1:37" x14ac:dyDescent="0.25">
      <c r="A26" s="13" t="s">
        <v>484</v>
      </c>
      <c r="B26" s="13" t="s">
        <v>40</v>
      </c>
      <c r="C26" s="13" t="s">
        <v>1397</v>
      </c>
      <c r="D26" s="14" t="s">
        <v>769</v>
      </c>
      <c r="E26" s="15" t="s">
        <v>1476</v>
      </c>
      <c r="F26" s="3" t="s">
        <v>413</v>
      </c>
      <c r="G26" s="3" t="s">
        <v>1189</v>
      </c>
      <c r="H26" s="16" t="s">
        <v>95</v>
      </c>
      <c r="I26" s="3" t="s">
        <v>1399</v>
      </c>
      <c r="J26" s="3" t="s">
        <v>1400</v>
      </c>
      <c r="K26" s="3"/>
      <c r="L26" s="16" t="s">
        <v>1401</v>
      </c>
      <c r="M26" s="3" t="s">
        <v>413</v>
      </c>
      <c r="N26" s="3" t="s">
        <v>1459</v>
      </c>
      <c r="O26" s="16" t="s">
        <v>1460</v>
      </c>
      <c r="P26" s="16"/>
      <c r="Q26" s="16"/>
      <c r="R26" s="3" t="s">
        <v>31</v>
      </c>
      <c r="S26" s="3" t="s">
        <v>32</v>
      </c>
      <c r="T26" s="3" t="s">
        <v>40</v>
      </c>
      <c r="U26" s="3" t="s">
        <v>35</v>
      </c>
      <c r="V26" s="4" t="s">
        <v>30</v>
      </c>
      <c r="W26" s="3" t="s">
        <v>36</v>
      </c>
      <c r="X26" s="4" t="s">
        <v>730</v>
      </c>
      <c r="Y26" s="5"/>
      <c r="Z26" s="5"/>
      <c r="AA26" s="5"/>
      <c r="AB26" s="5"/>
      <c r="AC26" s="5"/>
      <c r="AD26" s="4" t="s">
        <v>769</v>
      </c>
      <c r="AE26" s="17" t="s">
        <v>1461</v>
      </c>
      <c r="AF26" s="3" t="s">
        <v>1400</v>
      </c>
      <c r="AG26" s="5"/>
      <c r="AH26" s="5"/>
      <c r="AI26" s="5"/>
      <c r="AJ26" s="3" t="s">
        <v>131</v>
      </c>
      <c r="AK26" s="18"/>
    </row>
    <row r="27" ht="12" customHeight="1" spans="1:37" x14ac:dyDescent="0.25">
      <c r="A27" s="13" t="s">
        <v>494</v>
      </c>
      <c r="B27" s="13" t="s">
        <v>40</v>
      </c>
      <c r="C27" s="13" t="s">
        <v>1397</v>
      </c>
      <c r="D27" s="14" t="s">
        <v>769</v>
      </c>
      <c r="E27" s="15" t="s">
        <v>1477</v>
      </c>
      <c r="F27" s="3" t="s">
        <v>413</v>
      </c>
      <c r="G27" s="3" t="s">
        <v>1189</v>
      </c>
      <c r="H27" s="16" t="s">
        <v>95</v>
      </c>
      <c r="I27" s="3" t="s">
        <v>1399</v>
      </c>
      <c r="J27" s="3" t="s">
        <v>1400</v>
      </c>
      <c r="K27" s="3"/>
      <c r="L27" s="16" t="s">
        <v>1401</v>
      </c>
      <c r="M27" s="3" t="s">
        <v>413</v>
      </c>
      <c r="N27" s="3" t="s">
        <v>1459</v>
      </c>
      <c r="O27" s="16" t="s">
        <v>1460</v>
      </c>
      <c r="P27" s="16"/>
      <c r="Q27" s="16"/>
      <c r="R27" s="3" t="s">
        <v>31</v>
      </c>
      <c r="S27" s="3" t="s">
        <v>32</v>
      </c>
      <c r="T27" s="3" t="s">
        <v>40</v>
      </c>
      <c r="U27" s="3" t="s">
        <v>35</v>
      </c>
      <c r="V27" s="4" t="s">
        <v>30</v>
      </c>
      <c r="W27" s="3" t="s">
        <v>36</v>
      </c>
      <c r="X27" s="4" t="s">
        <v>730</v>
      </c>
      <c r="Y27" s="5"/>
      <c r="Z27" s="5"/>
      <c r="AA27" s="5"/>
      <c r="AB27" s="5"/>
      <c r="AC27" s="5"/>
      <c r="AD27" s="4" t="s">
        <v>769</v>
      </c>
      <c r="AE27" s="17" t="s">
        <v>1468</v>
      </c>
      <c r="AF27" s="3" t="s">
        <v>1400</v>
      </c>
      <c r="AG27" s="5"/>
      <c r="AH27" s="5"/>
      <c r="AI27" s="5"/>
      <c r="AJ27" s="3" t="s">
        <v>131</v>
      </c>
      <c r="AK27" s="18"/>
    </row>
    <row r="28" ht="12" customHeight="1" spans="1:37" x14ac:dyDescent="0.25">
      <c r="A28" s="13" t="s">
        <v>496</v>
      </c>
      <c r="B28" s="13" t="s">
        <v>40</v>
      </c>
      <c r="C28" s="13" t="s">
        <v>1397</v>
      </c>
      <c r="D28" s="14" t="s">
        <v>769</v>
      </c>
      <c r="E28" s="15" t="s">
        <v>1478</v>
      </c>
      <c r="F28" s="3" t="s">
        <v>413</v>
      </c>
      <c r="G28" s="3" t="s">
        <v>1189</v>
      </c>
      <c r="H28" s="16" t="s">
        <v>95</v>
      </c>
      <c r="I28" s="3" t="s">
        <v>1399</v>
      </c>
      <c r="J28" s="3" t="s">
        <v>1400</v>
      </c>
      <c r="K28" s="3"/>
      <c r="L28" s="16" t="s">
        <v>1401</v>
      </c>
      <c r="M28" s="3" t="s">
        <v>413</v>
      </c>
      <c r="N28" s="3" t="s">
        <v>1459</v>
      </c>
      <c r="O28" s="16" t="s">
        <v>1460</v>
      </c>
      <c r="P28" s="16"/>
      <c r="Q28" s="16"/>
      <c r="R28" s="3" t="s">
        <v>31</v>
      </c>
      <c r="S28" s="3" t="s">
        <v>32</v>
      </c>
      <c r="T28" s="3" t="s">
        <v>40</v>
      </c>
      <c r="U28" s="3" t="s">
        <v>35</v>
      </c>
      <c r="V28" s="4" t="s">
        <v>30</v>
      </c>
      <c r="W28" s="3" t="s">
        <v>36</v>
      </c>
      <c r="X28" s="4" t="s">
        <v>730</v>
      </c>
      <c r="Y28" s="5"/>
      <c r="Z28" s="5"/>
      <c r="AA28" s="5"/>
      <c r="AB28" s="5"/>
      <c r="AC28" s="5"/>
      <c r="AD28" s="4" t="s">
        <v>785</v>
      </c>
      <c r="AE28" s="17" t="s">
        <v>1479</v>
      </c>
      <c r="AF28" s="3" t="s">
        <v>1400</v>
      </c>
      <c r="AG28" s="5"/>
      <c r="AH28" s="5"/>
      <c r="AI28" s="5"/>
      <c r="AJ28" s="3" t="s">
        <v>131</v>
      </c>
      <c r="AK28" s="18"/>
    </row>
    <row r="29" ht="12" customHeight="1" spans="1:37" x14ac:dyDescent="0.25">
      <c r="A29" s="13" t="s">
        <v>497</v>
      </c>
      <c r="B29" s="13" t="s">
        <v>40</v>
      </c>
      <c r="C29" s="13" t="s">
        <v>1397</v>
      </c>
      <c r="D29" s="14" t="s">
        <v>759</v>
      </c>
      <c r="E29" s="15" t="s">
        <v>1480</v>
      </c>
      <c r="F29" s="3" t="s">
        <v>266</v>
      </c>
      <c r="G29" s="3" t="s">
        <v>1098</v>
      </c>
      <c r="H29" s="16" t="s">
        <v>95</v>
      </c>
      <c r="I29" s="3" t="s">
        <v>1399</v>
      </c>
      <c r="J29" s="3" t="s">
        <v>1400</v>
      </c>
      <c r="K29" s="3"/>
      <c r="L29" s="16" t="s">
        <v>1401</v>
      </c>
      <c r="M29" s="3" t="s">
        <v>266</v>
      </c>
      <c r="N29" s="3" t="s">
        <v>1481</v>
      </c>
      <c r="O29" s="16" t="s">
        <v>1460</v>
      </c>
      <c r="P29" s="16"/>
      <c r="Q29" s="16"/>
      <c r="R29" s="3" t="s">
        <v>31</v>
      </c>
      <c r="S29" s="3" t="s">
        <v>32</v>
      </c>
      <c r="T29" s="3" t="s">
        <v>40</v>
      </c>
      <c r="U29" s="3" t="s">
        <v>35</v>
      </c>
      <c r="V29" s="4" t="s">
        <v>30</v>
      </c>
      <c r="W29" s="3" t="s">
        <v>36</v>
      </c>
      <c r="X29" s="4" t="s">
        <v>730</v>
      </c>
      <c r="Y29" s="5"/>
      <c r="Z29" s="5"/>
      <c r="AA29" s="5"/>
      <c r="AB29" s="5"/>
      <c r="AC29" s="5"/>
      <c r="AD29" s="4" t="s">
        <v>759</v>
      </c>
      <c r="AE29" s="17" t="s">
        <v>1482</v>
      </c>
      <c r="AF29" s="3" t="s">
        <v>1400</v>
      </c>
      <c r="AG29" s="5"/>
      <c r="AH29" s="5"/>
      <c r="AI29" s="5"/>
      <c r="AJ29" s="3" t="s">
        <v>196</v>
      </c>
      <c r="AK29" s="18"/>
    </row>
    <row r="30" ht="12" customHeight="1" spans="1:37" x14ac:dyDescent="0.25">
      <c r="A30" s="13" t="s">
        <v>493</v>
      </c>
      <c r="B30" s="13" t="s">
        <v>40</v>
      </c>
      <c r="C30" s="13" t="s">
        <v>1397</v>
      </c>
      <c r="D30" s="14" t="s">
        <v>774</v>
      </c>
      <c r="E30" s="15" t="s">
        <v>1483</v>
      </c>
      <c r="F30" s="3" t="s">
        <v>97</v>
      </c>
      <c r="G30" s="3" t="s">
        <v>778</v>
      </c>
      <c r="H30" s="16" t="s">
        <v>95</v>
      </c>
      <c r="I30" s="3" t="s">
        <v>1399</v>
      </c>
      <c r="J30" s="3" t="s">
        <v>1400</v>
      </c>
      <c r="K30" s="3"/>
      <c r="L30" s="16" t="s">
        <v>1401</v>
      </c>
      <c r="M30" s="3" t="s">
        <v>97</v>
      </c>
      <c r="N30" s="3" t="s">
        <v>1402</v>
      </c>
      <c r="O30" s="16" t="s">
        <v>1460</v>
      </c>
      <c r="P30" s="16"/>
      <c r="Q30" s="16"/>
      <c r="R30" s="3" t="s">
        <v>31</v>
      </c>
      <c r="S30" s="3" t="s">
        <v>32</v>
      </c>
      <c r="T30" s="3" t="s">
        <v>40</v>
      </c>
      <c r="U30" s="3" t="s">
        <v>35</v>
      </c>
      <c r="V30" s="4" t="s">
        <v>30</v>
      </c>
      <c r="W30" s="3" t="s">
        <v>96</v>
      </c>
      <c r="X30" s="4" t="s">
        <v>966</v>
      </c>
      <c r="Y30" s="5"/>
      <c r="Z30" s="5"/>
      <c r="AA30" s="5"/>
      <c r="AB30" s="5"/>
      <c r="AC30" s="5"/>
      <c r="AD30" s="4" t="s">
        <v>774</v>
      </c>
      <c r="AE30" s="17" t="s">
        <v>1484</v>
      </c>
      <c r="AF30" s="3" t="s">
        <v>1400</v>
      </c>
      <c r="AG30" s="5"/>
      <c r="AH30" s="5"/>
      <c r="AI30" s="5"/>
      <c r="AJ30" s="3" t="s">
        <v>100</v>
      </c>
      <c r="AK30" s="18"/>
    </row>
    <row r="31" ht="12" customHeight="1" spans="1:37" x14ac:dyDescent="0.25">
      <c r="A31" s="13" t="s">
        <v>487</v>
      </c>
      <c r="B31" s="13" t="s">
        <v>40</v>
      </c>
      <c r="C31" s="13" t="s">
        <v>1397</v>
      </c>
      <c r="D31" s="14" t="s">
        <v>1405</v>
      </c>
      <c r="E31" s="15" t="s">
        <v>1485</v>
      </c>
      <c r="F31" s="3" t="s">
        <v>488</v>
      </c>
      <c r="G31" s="3" t="s">
        <v>490</v>
      </c>
      <c r="H31" s="16" t="s">
        <v>95</v>
      </c>
      <c r="I31" s="3" t="s">
        <v>1399</v>
      </c>
      <c r="J31" s="3" t="s">
        <v>1400</v>
      </c>
      <c r="K31" s="3"/>
      <c r="L31" s="16" t="s">
        <v>1401</v>
      </c>
      <c r="M31" s="3" t="s">
        <v>488</v>
      </c>
      <c r="N31" s="3" t="s">
        <v>1438</v>
      </c>
      <c r="O31" s="16" t="s">
        <v>1460</v>
      </c>
      <c r="P31" s="16"/>
      <c r="Q31" s="16"/>
      <c r="R31" s="3" t="s">
        <v>31</v>
      </c>
      <c r="S31" s="3" t="s">
        <v>32</v>
      </c>
      <c r="T31" s="3" t="s">
        <v>40</v>
      </c>
      <c r="U31" s="3" t="s">
        <v>35</v>
      </c>
      <c r="V31" s="4" t="s">
        <v>30</v>
      </c>
      <c r="W31" s="3" t="s">
        <v>36</v>
      </c>
      <c r="X31" s="4" t="s">
        <v>730</v>
      </c>
      <c r="Y31" s="5"/>
      <c r="Z31" s="5"/>
      <c r="AA31" s="5"/>
      <c r="AB31" s="5"/>
      <c r="AC31" s="5"/>
      <c r="AD31" s="4" t="s">
        <v>1405</v>
      </c>
      <c r="AE31" s="17" t="s">
        <v>1486</v>
      </c>
      <c r="AF31" s="3" t="s">
        <v>1400</v>
      </c>
      <c r="AG31" s="5"/>
      <c r="AH31" s="5"/>
      <c r="AI31" s="5"/>
      <c r="AJ31" s="3" t="s">
        <v>491</v>
      </c>
      <c r="AK31" s="18"/>
    </row>
    <row r="32" ht="12" customHeight="1" spans="1:37" x14ac:dyDescent="0.25">
      <c r="A32" s="13" t="s">
        <v>508</v>
      </c>
      <c r="B32" s="13" t="s">
        <v>40</v>
      </c>
      <c r="C32" s="13" t="s">
        <v>1397</v>
      </c>
      <c r="D32" s="14" t="s">
        <v>744</v>
      </c>
      <c r="E32" s="15" t="s">
        <v>1487</v>
      </c>
      <c r="F32" s="3" t="s">
        <v>509</v>
      </c>
      <c r="G32" s="3" t="s">
        <v>1069</v>
      </c>
      <c r="H32" s="16" t="s">
        <v>95</v>
      </c>
      <c r="I32" s="3" t="s">
        <v>1399</v>
      </c>
      <c r="J32" s="3" t="s">
        <v>1400</v>
      </c>
      <c r="K32" s="3"/>
      <c r="L32" s="16" t="s">
        <v>1401</v>
      </c>
      <c r="M32" s="3" t="s">
        <v>509</v>
      </c>
      <c r="N32" s="3" t="s">
        <v>1438</v>
      </c>
      <c r="O32" s="16" t="s">
        <v>1460</v>
      </c>
      <c r="P32" s="16"/>
      <c r="Q32" s="16"/>
      <c r="R32" s="3" t="s">
        <v>1412</v>
      </c>
      <c r="S32" s="3" t="s">
        <v>32</v>
      </c>
      <c r="T32" s="3" t="s">
        <v>40</v>
      </c>
      <c r="U32" s="3" t="s">
        <v>35</v>
      </c>
      <c r="V32" s="4" t="s">
        <v>30</v>
      </c>
      <c r="W32" s="3" t="s">
        <v>36</v>
      </c>
      <c r="X32" s="4" t="s">
        <v>730</v>
      </c>
      <c r="Y32" s="5"/>
      <c r="Z32" s="5"/>
      <c r="AA32" s="5"/>
      <c r="AB32" s="5"/>
      <c r="AC32" s="5"/>
      <c r="AD32" s="4" t="s">
        <v>744</v>
      </c>
      <c r="AE32" s="17" t="s">
        <v>1488</v>
      </c>
      <c r="AF32" s="3" t="s">
        <v>1400</v>
      </c>
      <c r="AG32" s="5"/>
      <c r="AH32" s="5"/>
      <c r="AI32" s="5"/>
      <c r="AJ32" s="3" t="s">
        <v>512</v>
      </c>
      <c r="AK32" s="18"/>
    </row>
    <row r="33" ht="12" customHeight="1" spans="1:37" x14ac:dyDescent="0.25">
      <c r="A33" s="13" t="s">
        <v>534</v>
      </c>
      <c r="B33" s="13" t="s">
        <v>40</v>
      </c>
      <c r="C33" s="13" t="s">
        <v>1397</v>
      </c>
      <c r="D33" s="14" t="s">
        <v>841</v>
      </c>
      <c r="E33" s="15" t="s">
        <v>1489</v>
      </c>
      <c r="F33" s="3" t="s">
        <v>348</v>
      </c>
      <c r="G33" s="3" t="s">
        <v>1016</v>
      </c>
      <c r="H33" s="16" t="s">
        <v>95</v>
      </c>
      <c r="I33" s="3" t="s">
        <v>1399</v>
      </c>
      <c r="J33" s="3" t="s">
        <v>1400</v>
      </c>
      <c r="K33" s="3"/>
      <c r="L33" s="16" t="s">
        <v>1401</v>
      </c>
      <c r="M33" s="3" t="s">
        <v>348</v>
      </c>
      <c r="N33" s="3" t="s">
        <v>1490</v>
      </c>
      <c r="O33" s="16" t="s">
        <v>1460</v>
      </c>
      <c r="P33" s="16"/>
      <c r="Q33" s="16"/>
      <c r="R33" s="3" t="s">
        <v>31</v>
      </c>
      <c r="S33" s="3" t="s">
        <v>32</v>
      </c>
      <c r="T33" s="3" t="s">
        <v>40</v>
      </c>
      <c r="U33" s="3" t="s">
        <v>35</v>
      </c>
      <c r="V33" s="4" t="s">
        <v>30</v>
      </c>
      <c r="W33" s="3" t="s">
        <v>319</v>
      </c>
      <c r="X33" s="4" t="s">
        <v>966</v>
      </c>
      <c r="Y33" s="5"/>
      <c r="Z33" s="5"/>
      <c r="AA33" s="5"/>
      <c r="AB33" s="5"/>
      <c r="AC33" s="5"/>
      <c r="AD33" s="4" t="s">
        <v>774</v>
      </c>
      <c r="AE33" s="17" t="s">
        <v>1491</v>
      </c>
      <c r="AF33" s="3" t="s">
        <v>1400</v>
      </c>
      <c r="AG33" s="5"/>
      <c r="AH33" s="5"/>
      <c r="AI33" s="5"/>
      <c r="AJ33" s="3" t="s">
        <v>350</v>
      </c>
      <c r="AK33" s="18"/>
    </row>
    <row r="34" ht="12" customHeight="1" spans="1:37" x14ac:dyDescent="0.25">
      <c r="A34" s="13" t="s">
        <v>580</v>
      </c>
      <c r="B34" s="13" t="s">
        <v>40</v>
      </c>
      <c r="C34" s="13" t="s">
        <v>1397</v>
      </c>
      <c r="D34" s="14" t="s">
        <v>769</v>
      </c>
      <c r="E34" s="15" t="s">
        <v>1492</v>
      </c>
      <c r="F34" s="3" t="s">
        <v>413</v>
      </c>
      <c r="G34" s="3" t="s">
        <v>1189</v>
      </c>
      <c r="H34" s="16" t="s">
        <v>95</v>
      </c>
      <c r="I34" s="3" t="s">
        <v>1399</v>
      </c>
      <c r="J34" s="3" t="s">
        <v>1400</v>
      </c>
      <c r="K34" s="3"/>
      <c r="L34" s="16" t="s">
        <v>1401</v>
      </c>
      <c r="M34" s="3" t="s">
        <v>413</v>
      </c>
      <c r="N34" s="3" t="s">
        <v>1459</v>
      </c>
      <c r="O34" s="16" t="s">
        <v>1439</v>
      </c>
      <c r="P34" s="16"/>
      <c r="Q34" s="16"/>
      <c r="R34" s="3" t="s">
        <v>31</v>
      </c>
      <c r="S34" s="3" t="s">
        <v>32</v>
      </c>
      <c r="T34" s="3" t="s">
        <v>40</v>
      </c>
      <c r="U34" s="3" t="s">
        <v>35</v>
      </c>
      <c r="V34" s="4" t="s">
        <v>30</v>
      </c>
      <c r="W34" s="3" t="s">
        <v>36</v>
      </c>
      <c r="X34" s="4" t="s">
        <v>730</v>
      </c>
      <c r="Y34" s="5"/>
      <c r="Z34" s="5"/>
      <c r="AA34" s="5"/>
      <c r="AB34" s="5"/>
      <c r="AC34" s="5"/>
      <c r="AD34" s="4" t="s">
        <v>769</v>
      </c>
      <c r="AE34" s="17" t="s">
        <v>1461</v>
      </c>
      <c r="AF34" s="3" t="s">
        <v>1400</v>
      </c>
      <c r="AG34" s="5"/>
      <c r="AH34" s="5"/>
      <c r="AI34" s="5"/>
      <c r="AJ34" s="3" t="s">
        <v>131</v>
      </c>
      <c r="AK34" s="18"/>
    </row>
    <row r="35" ht="12" customHeight="1" spans="1:37" x14ac:dyDescent="0.25">
      <c r="A35" s="13" t="s">
        <v>579</v>
      </c>
      <c r="B35" s="13" t="s">
        <v>40</v>
      </c>
      <c r="C35" s="13" t="s">
        <v>1397</v>
      </c>
      <c r="D35" s="14" t="s">
        <v>1405</v>
      </c>
      <c r="E35" s="15" t="s">
        <v>1493</v>
      </c>
      <c r="F35" s="3" t="s">
        <v>361</v>
      </c>
      <c r="G35" s="3" t="s">
        <v>855</v>
      </c>
      <c r="H35" s="16" t="s">
        <v>95</v>
      </c>
      <c r="I35" s="3" t="s">
        <v>1399</v>
      </c>
      <c r="J35" s="3" t="s">
        <v>1400</v>
      </c>
      <c r="K35" s="3"/>
      <c r="L35" s="16" t="s">
        <v>1401</v>
      </c>
      <c r="M35" s="3" t="s">
        <v>361</v>
      </c>
      <c r="N35" s="3" t="s">
        <v>1494</v>
      </c>
      <c r="O35" s="16" t="s">
        <v>1439</v>
      </c>
      <c r="P35" s="16"/>
      <c r="Q35" s="16"/>
      <c r="R35" s="3" t="s">
        <v>31</v>
      </c>
      <c r="S35" s="3" t="s">
        <v>32</v>
      </c>
      <c r="T35" s="3" t="s">
        <v>40</v>
      </c>
      <c r="U35" s="3" t="s">
        <v>35</v>
      </c>
      <c r="V35" s="4" t="s">
        <v>30</v>
      </c>
      <c r="W35" s="3" t="s">
        <v>36</v>
      </c>
      <c r="X35" s="4" t="s">
        <v>730</v>
      </c>
      <c r="Y35" s="5"/>
      <c r="Z35" s="5"/>
      <c r="AA35" s="5"/>
      <c r="AB35" s="5"/>
      <c r="AC35" s="5"/>
      <c r="AD35" s="4" t="s">
        <v>1405</v>
      </c>
      <c r="AE35" s="17" t="s">
        <v>1486</v>
      </c>
      <c r="AF35" s="3" t="s">
        <v>1400</v>
      </c>
      <c r="AG35" s="5"/>
      <c r="AH35" s="5"/>
      <c r="AI35" s="5"/>
      <c r="AJ35" s="3" t="s">
        <v>363</v>
      </c>
      <c r="AK35" s="18"/>
    </row>
    <row r="36" ht="12" customHeight="1" spans="1:37" x14ac:dyDescent="0.25">
      <c r="A36" s="13" t="s">
        <v>575</v>
      </c>
      <c r="B36" s="13" t="s">
        <v>40</v>
      </c>
      <c r="C36" s="13" t="s">
        <v>1397</v>
      </c>
      <c r="D36" s="14" t="s">
        <v>1405</v>
      </c>
      <c r="E36" s="15" t="s">
        <v>1495</v>
      </c>
      <c r="F36" s="3" t="s">
        <v>576</v>
      </c>
      <c r="G36" s="3" t="s">
        <v>1117</v>
      </c>
      <c r="H36" s="16" t="s">
        <v>95</v>
      </c>
      <c r="I36" s="3" t="s">
        <v>1399</v>
      </c>
      <c r="J36" s="3" t="s">
        <v>1400</v>
      </c>
      <c r="K36" s="3"/>
      <c r="L36" s="16" t="s">
        <v>1401</v>
      </c>
      <c r="M36" s="3" t="s">
        <v>576</v>
      </c>
      <c r="N36" s="3" t="s">
        <v>1438</v>
      </c>
      <c r="O36" s="16" t="s">
        <v>1439</v>
      </c>
      <c r="P36" s="16"/>
      <c r="Q36" s="16"/>
      <c r="R36" s="3" t="s">
        <v>31</v>
      </c>
      <c r="S36" s="3" t="s">
        <v>32</v>
      </c>
      <c r="T36" s="3" t="s">
        <v>40</v>
      </c>
      <c r="U36" s="3" t="s">
        <v>35</v>
      </c>
      <c r="V36" s="4" t="s">
        <v>30</v>
      </c>
      <c r="W36" s="3" t="s">
        <v>328</v>
      </c>
      <c r="X36" s="4" t="s">
        <v>966</v>
      </c>
      <c r="Y36" s="5"/>
      <c r="Z36" s="5"/>
      <c r="AA36" s="5"/>
      <c r="AB36" s="5"/>
      <c r="AC36" s="5"/>
      <c r="AD36" s="4" t="s">
        <v>1405</v>
      </c>
      <c r="AE36" s="17" t="s">
        <v>1486</v>
      </c>
      <c r="AF36" s="3" t="s">
        <v>1400</v>
      </c>
      <c r="AG36" s="5"/>
      <c r="AH36" s="5"/>
      <c r="AI36" s="5"/>
      <c r="AJ36" s="3" t="s">
        <v>453</v>
      </c>
      <c r="AK36" s="18"/>
    </row>
    <row r="37" ht="12" customHeight="1" spans="1:37" x14ac:dyDescent="0.25">
      <c r="A37" s="13" t="s">
        <v>578</v>
      </c>
      <c r="B37" s="13" t="s">
        <v>40</v>
      </c>
      <c r="C37" s="13" t="s">
        <v>1397</v>
      </c>
      <c r="D37" s="14" t="s">
        <v>828</v>
      </c>
      <c r="E37" s="15" t="s">
        <v>1496</v>
      </c>
      <c r="F37" s="3" t="s">
        <v>329</v>
      </c>
      <c r="G37" s="3" t="s">
        <v>732</v>
      </c>
      <c r="H37" s="16" t="s">
        <v>95</v>
      </c>
      <c r="I37" s="3" t="s">
        <v>1399</v>
      </c>
      <c r="J37" s="3" t="s">
        <v>1400</v>
      </c>
      <c r="K37" s="3"/>
      <c r="L37" s="16" t="s">
        <v>1401</v>
      </c>
      <c r="M37" s="3" t="s">
        <v>329</v>
      </c>
      <c r="N37" s="3" t="s">
        <v>1497</v>
      </c>
      <c r="O37" s="16" t="s">
        <v>1439</v>
      </c>
      <c r="P37" s="16"/>
      <c r="Q37" s="16"/>
      <c r="R37" s="3" t="s">
        <v>31</v>
      </c>
      <c r="S37" s="3" t="s">
        <v>32</v>
      </c>
      <c r="T37" s="3" t="s">
        <v>40</v>
      </c>
      <c r="U37" s="3" t="s">
        <v>35</v>
      </c>
      <c r="V37" s="4" t="s">
        <v>30</v>
      </c>
      <c r="W37" s="3" t="s">
        <v>328</v>
      </c>
      <c r="X37" s="4" t="s">
        <v>966</v>
      </c>
      <c r="Y37" s="5"/>
      <c r="Z37" s="5"/>
      <c r="AA37" s="5"/>
      <c r="AB37" s="5"/>
      <c r="AC37" s="5"/>
      <c r="AD37" s="4" t="s">
        <v>828</v>
      </c>
      <c r="AE37" s="17" t="s">
        <v>1444</v>
      </c>
      <c r="AF37" s="3" t="s">
        <v>1400</v>
      </c>
      <c r="AG37" s="5"/>
      <c r="AH37" s="5"/>
      <c r="AI37" s="5"/>
      <c r="AJ37" s="3" t="s">
        <v>330</v>
      </c>
      <c r="AK37" s="18"/>
    </row>
    <row r="38" ht="12" customHeight="1" spans="1:37" x14ac:dyDescent="0.25">
      <c r="A38" s="13" t="s">
        <v>581</v>
      </c>
      <c r="B38" s="13" t="s">
        <v>40</v>
      </c>
      <c r="C38" s="13" t="s">
        <v>1397</v>
      </c>
      <c r="D38" s="14" t="s">
        <v>841</v>
      </c>
      <c r="E38" s="15" t="s">
        <v>1498</v>
      </c>
      <c r="F38" s="3" t="s">
        <v>439</v>
      </c>
      <c r="G38" s="3" t="s">
        <v>732</v>
      </c>
      <c r="H38" s="16" t="s">
        <v>95</v>
      </c>
      <c r="I38" s="3" t="s">
        <v>1399</v>
      </c>
      <c r="J38" s="3" t="s">
        <v>1400</v>
      </c>
      <c r="K38" s="3"/>
      <c r="L38" s="16" t="s">
        <v>1401</v>
      </c>
      <c r="M38" s="3" t="s">
        <v>439</v>
      </c>
      <c r="N38" s="3" t="s">
        <v>1469</v>
      </c>
      <c r="O38" s="16" t="s">
        <v>1439</v>
      </c>
      <c r="P38" s="16"/>
      <c r="Q38" s="16"/>
      <c r="R38" s="3" t="s">
        <v>31</v>
      </c>
      <c r="S38" s="3" t="s">
        <v>32</v>
      </c>
      <c r="T38" s="3" t="s">
        <v>40</v>
      </c>
      <c r="U38" s="3" t="s">
        <v>35</v>
      </c>
      <c r="V38" s="4" t="s">
        <v>30</v>
      </c>
      <c r="W38" s="3" t="s">
        <v>328</v>
      </c>
      <c r="X38" s="4" t="s">
        <v>966</v>
      </c>
      <c r="Y38" s="5"/>
      <c r="Z38" s="5"/>
      <c r="AA38" s="5"/>
      <c r="AB38" s="5"/>
      <c r="AC38" s="5"/>
      <c r="AD38" s="4" t="s">
        <v>841</v>
      </c>
      <c r="AE38" s="17" t="s">
        <v>1499</v>
      </c>
      <c r="AF38" s="3" t="s">
        <v>1400</v>
      </c>
      <c r="AG38" s="5"/>
      <c r="AH38" s="5"/>
      <c r="AI38" s="5"/>
      <c r="AJ38" s="3" t="s">
        <v>440</v>
      </c>
      <c r="AK38" s="18"/>
    </row>
    <row r="39" ht="12" customHeight="1" spans="1:37" x14ac:dyDescent="0.25">
      <c r="A39" s="13" t="s">
        <v>587</v>
      </c>
      <c r="B39" s="13" t="s">
        <v>40</v>
      </c>
      <c r="C39" s="13" t="s">
        <v>1397</v>
      </c>
      <c r="D39" s="14" t="s">
        <v>797</v>
      </c>
      <c r="E39" s="15" t="s">
        <v>1500</v>
      </c>
      <c r="F39" s="3" t="s">
        <v>588</v>
      </c>
      <c r="G39" s="3" t="s">
        <v>732</v>
      </c>
      <c r="H39" s="16" t="s">
        <v>95</v>
      </c>
      <c r="I39" s="3" t="s">
        <v>1399</v>
      </c>
      <c r="J39" s="3" t="s">
        <v>1400</v>
      </c>
      <c r="K39" s="3"/>
      <c r="L39" s="16" t="s">
        <v>1401</v>
      </c>
      <c r="M39" s="3" t="s">
        <v>588</v>
      </c>
      <c r="N39" s="3" t="s">
        <v>1438</v>
      </c>
      <c r="O39" s="16" t="s">
        <v>1439</v>
      </c>
      <c r="P39" s="16"/>
      <c r="Q39" s="16"/>
      <c r="R39" s="3" t="s">
        <v>31</v>
      </c>
      <c r="S39" s="3" t="s">
        <v>32</v>
      </c>
      <c r="T39" s="3" t="s">
        <v>40</v>
      </c>
      <c r="U39" s="3" t="s">
        <v>35</v>
      </c>
      <c r="V39" s="4" t="s">
        <v>30</v>
      </c>
      <c r="W39" s="3" t="s">
        <v>387</v>
      </c>
      <c r="X39" s="4" t="s">
        <v>966</v>
      </c>
      <c r="Y39" s="5"/>
      <c r="Z39" s="5"/>
      <c r="AA39" s="5"/>
      <c r="AB39" s="5"/>
      <c r="AC39" s="5"/>
      <c r="AD39" s="4" t="s">
        <v>797</v>
      </c>
      <c r="AE39" s="17" t="s">
        <v>1458</v>
      </c>
      <c r="AF39" s="3" t="s">
        <v>1400</v>
      </c>
      <c r="AG39" s="5"/>
      <c r="AH39" s="5"/>
      <c r="AI39" s="5"/>
      <c r="AJ39" s="3" t="s">
        <v>440</v>
      </c>
      <c r="AK39" s="18"/>
    </row>
    <row r="40" ht="12" customHeight="1" spans="1:37" x14ac:dyDescent="0.25">
      <c r="A40" s="13" t="s">
        <v>591</v>
      </c>
      <c r="B40" s="13" t="s">
        <v>40</v>
      </c>
      <c r="C40" s="13" t="s">
        <v>1397</v>
      </c>
      <c r="D40" s="14" t="s">
        <v>1405</v>
      </c>
      <c r="E40" s="15" t="s">
        <v>1501</v>
      </c>
      <c r="F40" s="3" t="s">
        <v>592</v>
      </c>
      <c r="G40" s="3" t="s">
        <v>935</v>
      </c>
      <c r="H40" s="16" t="s">
        <v>95</v>
      </c>
      <c r="I40" s="3" t="s">
        <v>1399</v>
      </c>
      <c r="J40" s="3" t="s">
        <v>1400</v>
      </c>
      <c r="K40" s="3"/>
      <c r="L40" s="16" t="s">
        <v>1401</v>
      </c>
      <c r="M40" s="3" t="s">
        <v>592</v>
      </c>
      <c r="N40" s="3" t="s">
        <v>1438</v>
      </c>
      <c r="O40" s="16" t="s">
        <v>1439</v>
      </c>
      <c r="P40" s="16"/>
      <c r="Q40" s="16"/>
      <c r="R40" s="3" t="s">
        <v>31</v>
      </c>
      <c r="S40" s="3" t="s">
        <v>32</v>
      </c>
      <c r="T40" s="3" t="s">
        <v>40</v>
      </c>
      <c r="U40" s="3" t="s">
        <v>35</v>
      </c>
      <c r="V40" s="4" t="s">
        <v>30</v>
      </c>
      <c r="W40" s="3" t="s">
        <v>36</v>
      </c>
      <c r="X40" s="4" t="s">
        <v>730</v>
      </c>
      <c r="Y40" s="5"/>
      <c r="Z40" s="5"/>
      <c r="AA40" s="5"/>
      <c r="AB40" s="5"/>
      <c r="AC40" s="5"/>
      <c r="AD40" s="4" t="s">
        <v>1405</v>
      </c>
      <c r="AE40" s="17" t="s">
        <v>1502</v>
      </c>
      <c r="AF40" s="3" t="s">
        <v>1400</v>
      </c>
      <c r="AG40" s="5"/>
      <c r="AH40" s="5"/>
      <c r="AI40" s="5"/>
      <c r="AJ40" s="3" t="s">
        <v>594</v>
      </c>
      <c r="AK40" s="18"/>
    </row>
    <row r="41" ht="12" customHeight="1" spans="1:37" x14ac:dyDescent="0.25">
      <c r="A41" s="13" t="s">
        <v>582</v>
      </c>
      <c r="B41" s="13" t="s">
        <v>40</v>
      </c>
      <c r="C41" s="13" t="s">
        <v>1397</v>
      </c>
      <c r="D41" s="14" t="s">
        <v>1405</v>
      </c>
      <c r="E41" s="15" t="s">
        <v>1503</v>
      </c>
      <c r="F41" s="3" t="s">
        <v>583</v>
      </c>
      <c r="G41" s="3" t="s">
        <v>1338</v>
      </c>
      <c r="H41" s="16" t="s">
        <v>95</v>
      </c>
      <c r="I41" s="3" t="s">
        <v>1399</v>
      </c>
      <c r="J41" s="3" t="s">
        <v>1400</v>
      </c>
      <c r="K41" s="3"/>
      <c r="L41" s="16" t="s">
        <v>1401</v>
      </c>
      <c r="M41" s="3" t="s">
        <v>583</v>
      </c>
      <c r="N41" s="3" t="s">
        <v>1438</v>
      </c>
      <c r="O41" s="16" t="s">
        <v>1439</v>
      </c>
      <c r="P41" s="16"/>
      <c r="Q41" s="16"/>
      <c r="R41" s="3" t="s">
        <v>31</v>
      </c>
      <c r="S41" s="3" t="s">
        <v>32</v>
      </c>
      <c r="T41" s="3" t="s">
        <v>40</v>
      </c>
      <c r="U41" s="3" t="s">
        <v>35</v>
      </c>
      <c r="V41" s="4" t="s">
        <v>30</v>
      </c>
      <c r="W41" s="3" t="s">
        <v>36</v>
      </c>
      <c r="X41" s="4" t="s">
        <v>730</v>
      </c>
      <c r="Y41" s="5"/>
      <c r="Z41" s="5"/>
      <c r="AA41" s="5"/>
      <c r="AB41" s="5"/>
      <c r="AC41" s="5"/>
      <c r="AD41" s="4" t="s">
        <v>1405</v>
      </c>
      <c r="AE41" s="17" t="s">
        <v>1486</v>
      </c>
      <c r="AF41" s="3" t="s">
        <v>1400</v>
      </c>
      <c r="AG41" s="5"/>
      <c r="AH41" s="5"/>
      <c r="AI41" s="5"/>
      <c r="AJ41" s="3" t="s">
        <v>586</v>
      </c>
      <c r="AK41" s="18"/>
    </row>
    <row r="42" ht="12" customHeight="1" spans="1:37" x14ac:dyDescent="0.25">
      <c r="A42" s="13" t="s">
        <v>589</v>
      </c>
      <c r="B42" s="13" t="s">
        <v>40</v>
      </c>
      <c r="C42" s="13" t="s">
        <v>1397</v>
      </c>
      <c r="D42" s="14" t="s">
        <v>797</v>
      </c>
      <c r="E42" s="15" t="s">
        <v>1504</v>
      </c>
      <c r="F42" s="3" t="s">
        <v>590</v>
      </c>
      <c r="G42" s="3" t="s">
        <v>968</v>
      </c>
      <c r="H42" s="16" t="s">
        <v>95</v>
      </c>
      <c r="I42" s="3" t="s">
        <v>1399</v>
      </c>
      <c r="J42" s="3" t="s">
        <v>1400</v>
      </c>
      <c r="K42" s="3"/>
      <c r="L42" s="16" t="s">
        <v>1401</v>
      </c>
      <c r="M42" s="3" t="s">
        <v>590</v>
      </c>
      <c r="N42" s="3" t="s">
        <v>1438</v>
      </c>
      <c r="O42" s="16" t="s">
        <v>1439</v>
      </c>
      <c r="P42" s="16"/>
      <c r="Q42" s="16"/>
      <c r="R42" s="3" t="s">
        <v>31</v>
      </c>
      <c r="S42" s="3" t="s">
        <v>32</v>
      </c>
      <c r="T42" s="3" t="s">
        <v>40</v>
      </c>
      <c r="U42" s="3" t="s">
        <v>35</v>
      </c>
      <c r="V42" s="4" t="s">
        <v>30</v>
      </c>
      <c r="W42" s="3" t="s">
        <v>69</v>
      </c>
      <c r="X42" s="4" t="s">
        <v>966</v>
      </c>
      <c r="Y42" s="5"/>
      <c r="Z42" s="5"/>
      <c r="AA42" s="5"/>
      <c r="AB42" s="5"/>
      <c r="AC42" s="5"/>
      <c r="AD42" s="4" t="s">
        <v>797</v>
      </c>
      <c r="AE42" s="17" t="s">
        <v>1439</v>
      </c>
      <c r="AF42" s="3" t="s">
        <v>1400</v>
      </c>
      <c r="AG42" s="5"/>
      <c r="AH42" s="5"/>
      <c r="AI42" s="5" t="s">
        <v>1441</v>
      </c>
      <c r="AJ42" s="3" t="s">
        <v>307</v>
      </c>
      <c r="AK42" s="18"/>
    </row>
    <row r="43" ht="12" customHeight="1" spans="1:37" x14ac:dyDescent="0.25">
      <c r="A43" s="13" t="s">
        <v>600</v>
      </c>
      <c r="B43" s="13" t="s">
        <v>40</v>
      </c>
      <c r="C43" s="13" t="s">
        <v>1397</v>
      </c>
      <c r="D43" s="14" t="s">
        <v>785</v>
      </c>
      <c r="E43" s="15" t="s">
        <v>1505</v>
      </c>
      <c r="F43" s="3" t="s">
        <v>413</v>
      </c>
      <c r="G43" s="3" t="s">
        <v>1189</v>
      </c>
      <c r="H43" s="16" t="s">
        <v>95</v>
      </c>
      <c r="I43" s="3" t="s">
        <v>1399</v>
      </c>
      <c r="J43" s="3" t="s">
        <v>1400</v>
      </c>
      <c r="K43" s="3"/>
      <c r="L43" s="16" t="s">
        <v>1401</v>
      </c>
      <c r="M43" s="3" t="s">
        <v>413</v>
      </c>
      <c r="N43" s="3" t="s">
        <v>1459</v>
      </c>
      <c r="O43" s="16" t="s">
        <v>1439</v>
      </c>
      <c r="P43" s="16"/>
      <c r="Q43" s="16"/>
      <c r="R43" s="3" t="s">
        <v>31</v>
      </c>
      <c r="S43" s="3" t="s">
        <v>32</v>
      </c>
      <c r="T43" s="3" t="s">
        <v>40</v>
      </c>
      <c r="U43" s="3" t="s">
        <v>35</v>
      </c>
      <c r="V43" s="4" t="s">
        <v>30</v>
      </c>
      <c r="W43" s="3" t="s">
        <v>36</v>
      </c>
      <c r="X43" s="4" t="s">
        <v>730</v>
      </c>
      <c r="Y43" s="5"/>
      <c r="Z43" s="5"/>
      <c r="AA43" s="5"/>
      <c r="AB43" s="5"/>
      <c r="AC43" s="5"/>
      <c r="AD43" s="4" t="s">
        <v>785</v>
      </c>
      <c r="AE43" s="17" t="s">
        <v>1506</v>
      </c>
      <c r="AF43" s="3" t="s">
        <v>1400</v>
      </c>
      <c r="AG43" s="5"/>
      <c r="AH43" s="5"/>
      <c r="AI43" s="5"/>
      <c r="AJ43" s="3" t="s">
        <v>131</v>
      </c>
      <c r="AK43" s="18"/>
    </row>
    <row r="44" ht="12" customHeight="1" spans="1:37" x14ac:dyDescent="0.25">
      <c r="A44" s="13" t="s">
        <v>601</v>
      </c>
      <c r="B44" s="13" t="s">
        <v>40</v>
      </c>
      <c r="C44" s="13" t="s">
        <v>1397</v>
      </c>
      <c r="D44" s="14" t="s">
        <v>797</v>
      </c>
      <c r="E44" s="15" t="s">
        <v>1507</v>
      </c>
      <c r="F44" s="3" t="s">
        <v>439</v>
      </c>
      <c r="G44" s="3" t="s">
        <v>732</v>
      </c>
      <c r="H44" s="16" t="s">
        <v>95</v>
      </c>
      <c r="I44" s="3" t="s">
        <v>1399</v>
      </c>
      <c r="J44" s="3" t="s">
        <v>1400</v>
      </c>
      <c r="K44" s="3"/>
      <c r="L44" s="16" t="s">
        <v>1401</v>
      </c>
      <c r="M44" s="3" t="s">
        <v>439</v>
      </c>
      <c r="N44" s="3" t="s">
        <v>1469</v>
      </c>
      <c r="O44" s="16" t="s">
        <v>1439</v>
      </c>
      <c r="P44" s="16"/>
      <c r="Q44" s="16"/>
      <c r="R44" s="3" t="s">
        <v>31</v>
      </c>
      <c r="S44" s="3" t="s">
        <v>32</v>
      </c>
      <c r="T44" s="3" t="s">
        <v>40</v>
      </c>
      <c r="U44" s="3" t="s">
        <v>35</v>
      </c>
      <c r="V44" s="4" t="s">
        <v>30</v>
      </c>
      <c r="W44" s="3" t="s">
        <v>328</v>
      </c>
      <c r="X44" s="4" t="s">
        <v>966</v>
      </c>
      <c r="Y44" s="5"/>
      <c r="Z44" s="5"/>
      <c r="AA44" s="5"/>
      <c r="AB44" s="5"/>
      <c r="AC44" s="5"/>
      <c r="AD44" s="4" t="s">
        <v>797</v>
      </c>
      <c r="AE44" s="17" t="s">
        <v>1508</v>
      </c>
      <c r="AF44" s="3" t="s">
        <v>1400</v>
      </c>
      <c r="AG44" s="5"/>
      <c r="AH44" s="5"/>
      <c r="AI44" s="5"/>
      <c r="AJ44" s="3" t="s">
        <v>440</v>
      </c>
      <c r="AK44" s="18"/>
    </row>
    <row r="45" ht="12" customHeight="1" spans="1:37" x14ac:dyDescent="0.25">
      <c r="A45" s="13" t="s">
        <v>599</v>
      </c>
      <c r="B45" s="13" t="s">
        <v>40</v>
      </c>
      <c r="C45" s="13" t="s">
        <v>1397</v>
      </c>
      <c r="D45" s="14" t="s">
        <v>785</v>
      </c>
      <c r="E45" s="15" t="s">
        <v>1509</v>
      </c>
      <c r="F45" s="3" t="s">
        <v>413</v>
      </c>
      <c r="G45" s="3" t="s">
        <v>1189</v>
      </c>
      <c r="H45" s="16" t="s">
        <v>95</v>
      </c>
      <c r="I45" s="3" t="s">
        <v>1399</v>
      </c>
      <c r="J45" s="3" t="s">
        <v>1400</v>
      </c>
      <c r="K45" s="3"/>
      <c r="L45" s="16" t="s">
        <v>1401</v>
      </c>
      <c r="M45" s="3" t="s">
        <v>413</v>
      </c>
      <c r="N45" s="3" t="s">
        <v>1459</v>
      </c>
      <c r="O45" s="16" t="s">
        <v>1439</v>
      </c>
      <c r="P45" s="16"/>
      <c r="Q45" s="16"/>
      <c r="R45" s="3" t="s">
        <v>31</v>
      </c>
      <c r="S45" s="3" t="s">
        <v>32</v>
      </c>
      <c r="T45" s="3" t="s">
        <v>40</v>
      </c>
      <c r="U45" s="3" t="s">
        <v>35</v>
      </c>
      <c r="V45" s="4" t="s">
        <v>30</v>
      </c>
      <c r="W45" s="3" t="s">
        <v>36</v>
      </c>
      <c r="X45" s="4" t="s">
        <v>730</v>
      </c>
      <c r="Y45" s="5"/>
      <c r="Z45" s="5"/>
      <c r="AA45" s="5"/>
      <c r="AB45" s="5"/>
      <c r="AC45" s="5"/>
      <c r="AD45" s="4" t="s">
        <v>785</v>
      </c>
      <c r="AE45" s="17" t="s">
        <v>1510</v>
      </c>
      <c r="AF45" s="3" t="s">
        <v>1400</v>
      </c>
      <c r="AG45" s="5"/>
      <c r="AH45" s="5"/>
      <c r="AI45" s="5"/>
      <c r="AJ45" s="3" t="s">
        <v>131</v>
      </c>
      <c r="AK45" s="18"/>
    </row>
    <row r="46" ht="12" customHeight="1" spans="1:37" x14ac:dyDescent="0.25">
      <c r="A46" s="13" t="s">
        <v>597</v>
      </c>
      <c r="B46" s="13" t="s">
        <v>40</v>
      </c>
      <c r="C46" s="13" t="s">
        <v>1397</v>
      </c>
      <c r="D46" s="14" t="s">
        <v>797</v>
      </c>
      <c r="E46" s="15" t="s">
        <v>1448</v>
      </c>
      <c r="F46" s="3" t="s">
        <v>403</v>
      </c>
      <c r="G46" s="3" t="s">
        <v>732</v>
      </c>
      <c r="H46" s="16" t="s">
        <v>95</v>
      </c>
      <c r="I46" s="3" t="s">
        <v>1399</v>
      </c>
      <c r="J46" s="3" t="s">
        <v>1400</v>
      </c>
      <c r="K46" s="3"/>
      <c r="L46" s="16" t="s">
        <v>1401</v>
      </c>
      <c r="M46" s="3" t="s">
        <v>403</v>
      </c>
      <c r="N46" s="3" t="s">
        <v>1511</v>
      </c>
      <c r="O46" s="16" t="s">
        <v>1439</v>
      </c>
      <c r="P46" s="16"/>
      <c r="Q46" s="16"/>
      <c r="R46" s="3" t="s">
        <v>31</v>
      </c>
      <c r="S46" s="3" t="s">
        <v>32</v>
      </c>
      <c r="T46" s="3" t="s">
        <v>40</v>
      </c>
      <c r="U46" s="3" t="s">
        <v>35</v>
      </c>
      <c r="V46" s="4" t="s">
        <v>30</v>
      </c>
      <c r="W46" s="3" t="s">
        <v>36</v>
      </c>
      <c r="X46" s="4" t="s">
        <v>730</v>
      </c>
      <c r="Y46" s="5"/>
      <c r="Z46" s="5"/>
      <c r="AA46" s="5"/>
      <c r="AB46" s="5"/>
      <c r="AC46" s="5"/>
      <c r="AD46" s="4" t="s">
        <v>797</v>
      </c>
      <c r="AE46" s="17" t="s">
        <v>1512</v>
      </c>
      <c r="AF46" s="3" t="s">
        <v>1400</v>
      </c>
      <c r="AG46" s="5"/>
      <c r="AH46" s="5"/>
      <c r="AI46" s="5"/>
      <c r="AJ46" s="3" t="s">
        <v>404</v>
      </c>
      <c r="AK46" s="18"/>
    </row>
    <row r="47" ht="12" customHeight="1" spans="1:37" x14ac:dyDescent="0.25">
      <c r="A47" s="13" t="s">
        <v>595</v>
      </c>
      <c r="B47" s="13" t="s">
        <v>40</v>
      </c>
      <c r="C47" s="13" t="s">
        <v>1397</v>
      </c>
      <c r="D47" s="14" t="s">
        <v>1405</v>
      </c>
      <c r="E47" s="15" t="s">
        <v>1513</v>
      </c>
      <c r="F47" s="3" t="s">
        <v>194</v>
      </c>
      <c r="G47" s="3" t="s">
        <v>1098</v>
      </c>
      <c r="H47" s="16" t="s">
        <v>95</v>
      </c>
      <c r="I47" s="3" t="s">
        <v>1399</v>
      </c>
      <c r="J47" s="3" t="s">
        <v>1400</v>
      </c>
      <c r="K47" s="3"/>
      <c r="L47" s="16" t="s">
        <v>1401</v>
      </c>
      <c r="M47" s="3" t="s">
        <v>194</v>
      </c>
      <c r="N47" s="3" t="s">
        <v>1481</v>
      </c>
      <c r="O47" s="16" t="s">
        <v>1439</v>
      </c>
      <c r="P47" s="16"/>
      <c r="Q47" s="16"/>
      <c r="R47" s="3" t="s">
        <v>31</v>
      </c>
      <c r="S47" s="3" t="s">
        <v>32</v>
      </c>
      <c r="T47" s="3" t="s">
        <v>40</v>
      </c>
      <c r="U47" s="3" t="s">
        <v>35</v>
      </c>
      <c r="V47" s="4" t="s">
        <v>30</v>
      </c>
      <c r="W47" s="3" t="s">
        <v>36</v>
      </c>
      <c r="X47" s="4" t="s">
        <v>730</v>
      </c>
      <c r="Y47" s="5"/>
      <c r="Z47" s="5"/>
      <c r="AA47" s="5"/>
      <c r="AB47" s="5"/>
      <c r="AC47" s="5"/>
      <c r="AD47" s="4" t="s">
        <v>1405</v>
      </c>
      <c r="AE47" s="17" t="s">
        <v>1486</v>
      </c>
      <c r="AF47" s="3" t="s">
        <v>1400</v>
      </c>
      <c r="AG47" s="5"/>
      <c r="AH47" s="5"/>
      <c r="AI47" s="5"/>
      <c r="AJ47" s="3" t="s">
        <v>196</v>
      </c>
      <c r="AK47" s="18"/>
    </row>
    <row r="48" ht="12" customHeight="1" spans="1:37" x14ac:dyDescent="0.25">
      <c r="A48" s="13" t="s">
        <v>549</v>
      </c>
      <c r="B48" s="13" t="s">
        <v>40</v>
      </c>
      <c r="C48" s="13" t="s">
        <v>1397</v>
      </c>
      <c r="D48" s="14" t="s">
        <v>744</v>
      </c>
      <c r="E48" s="15" t="s">
        <v>1514</v>
      </c>
      <c r="F48" s="3" t="s">
        <v>370</v>
      </c>
      <c r="G48" s="3" t="s">
        <v>855</v>
      </c>
      <c r="H48" s="16" t="s">
        <v>95</v>
      </c>
      <c r="I48" s="3" t="s">
        <v>1399</v>
      </c>
      <c r="J48" s="3" t="s">
        <v>1400</v>
      </c>
      <c r="K48" s="3"/>
      <c r="L48" s="16" t="s">
        <v>1401</v>
      </c>
      <c r="M48" s="3" t="s">
        <v>370</v>
      </c>
      <c r="N48" s="3" t="s">
        <v>1456</v>
      </c>
      <c r="O48" s="16" t="s">
        <v>1515</v>
      </c>
      <c r="P48" s="16"/>
      <c r="Q48" s="16"/>
      <c r="R48" s="3" t="s">
        <v>1412</v>
      </c>
      <c r="S48" s="3" t="s">
        <v>32</v>
      </c>
      <c r="T48" s="3" t="s">
        <v>40</v>
      </c>
      <c r="U48" s="3" t="s">
        <v>35</v>
      </c>
      <c r="V48" s="4" t="s">
        <v>30</v>
      </c>
      <c r="W48" s="3" t="s">
        <v>36</v>
      </c>
      <c r="X48" s="4" t="s">
        <v>730</v>
      </c>
      <c r="Y48" s="5"/>
      <c r="Z48" s="5"/>
      <c r="AA48" s="5"/>
      <c r="AB48" s="5"/>
      <c r="AC48" s="5"/>
      <c r="AD48" s="4" t="s">
        <v>744</v>
      </c>
      <c r="AE48" s="17" t="s">
        <v>1475</v>
      </c>
      <c r="AF48" s="3" t="s">
        <v>1400</v>
      </c>
      <c r="AG48" s="5"/>
      <c r="AH48" s="5"/>
      <c r="AI48" s="5"/>
      <c r="AJ48" s="3" t="s">
        <v>371</v>
      </c>
      <c r="AK48" s="18"/>
    </row>
    <row r="49" ht="12" customHeight="1" spans="1:37" x14ac:dyDescent="0.25">
      <c r="A49" s="13" t="s">
        <v>554</v>
      </c>
      <c r="B49" s="13" t="s">
        <v>40</v>
      </c>
      <c r="C49" s="13" t="s">
        <v>1397</v>
      </c>
      <c r="D49" s="14" t="s">
        <v>785</v>
      </c>
      <c r="E49" s="15" t="s">
        <v>1516</v>
      </c>
      <c r="F49" s="3" t="s">
        <v>413</v>
      </c>
      <c r="G49" s="3" t="s">
        <v>1189</v>
      </c>
      <c r="H49" s="16" t="s">
        <v>95</v>
      </c>
      <c r="I49" s="3" t="s">
        <v>1399</v>
      </c>
      <c r="J49" s="3" t="s">
        <v>1400</v>
      </c>
      <c r="K49" s="3"/>
      <c r="L49" s="16" t="s">
        <v>1401</v>
      </c>
      <c r="M49" s="3" t="s">
        <v>413</v>
      </c>
      <c r="N49" s="3" t="s">
        <v>1459</v>
      </c>
      <c r="O49" s="16" t="s">
        <v>1515</v>
      </c>
      <c r="P49" s="16"/>
      <c r="Q49" s="16"/>
      <c r="R49" s="3" t="s">
        <v>31</v>
      </c>
      <c r="S49" s="3" t="s">
        <v>32</v>
      </c>
      <c r="T49" s="3" t="s">
        <v>40</v>
      </c>
      <c r="U49" s="3" t="s">
        <v>35</v>
      </c>
      <c r="V49" s="4" t="s">
        <v>30</v>
      </c>
      <c r="W49" s="3" t="s">
        <v>36</v>
      </c>
      <c r="X49" s="4" t="s">
        <v>730</v>
      </c>
      <c r="Y49" s="5"/>
      <c r="Z49" s="5"/>
      <c r="AA49" s="5"/>
      <c r="AB49" s="5"/>
      <c r="AC49" s="5"/>
      <c r="AD49" s="4" t="s">
        <v>785</v>
      </c>
      <c r="AE49" s="17" t="s">
        <v>1517</v>
      </c>
      <c r="AF49" s="3" t="s">
        <v>1400</v>
      </c>
      <c r="AG49" s="5"/>
      <c r="AH49" s="5"/>
      <c r="AI49" s="5"/>
      <c r="AJ49" s="3" t="s">
        <v>131</v>
      </c>
      <c r="AK49" s="18"/>
    </row>
    <row r="50" ht="12" customHeight="1" spans="1:37" x14ac:dyDescent="0.25">
      <c r="A50" s="13" t="s">
        <v>551</v>
      </c>
      <c r="B50" s="13" t="s">
        <v>40</v>
      </c>
      <c r="C50" s="13" t="s">
        <v>1397</v>
      </c>
      <c r="D50" s="14" t="s">
        <v>797</v>
      </c>
      <c r="E50" s="15" t="s">
        <v>1518</v>
      </c>
      <c r="F50" s="3" t="s">
        <v>403</v>
      </c>
      <c r="G50" s="3" t="s">
        <v>732</v>
      </c>
      <c r="H50" s="16" t="s">
        <v>95</v>
      </c>
      <c r="I50" s="3" t="s">
        <v>1399</v>
      </c>
      <c r="J50" s="3" t="s">
        <v>1400</v>
      </c>
      <c r="K50" s="3"/>
      <c r="L50" s="16" t="s">
        <v>1401</v>
      </c>
      <c r="M50" s="3" t="s">
        <v>403</v>
      </c>
      <c r="N50" s="3" t="s">
        <v>1511</v>
      </c>
      <c r="O50" s="16" t="s">
        <v>1515</v>
      </c>
      <c r="P50" s="16"/>
      <c r="Q50" s="16"/>
      <c r="R50" s="3" t="s">
        <v>31</v>
      </c>
      <c r="S50" s="3" t="s">
        <v>32</v>
      </c>
      <c r="T50" s="3" t="s">
        <v>40</v>
      </c>
      <c r="U50" s="3" t="s">
        <v>35</v>
      </c>
      <c r="V50" s="4" t="s">
        <v>30</v>
      </c>
      <c r="W50" s="3" t="s">
        <v>36</v>
      </c>
      <c r="X50" s="4" t="s">
        <v>730</v>
      </c>
      <c r="Y50" s="5"/>
      <c r="Z50" s="5"/>
      <c r="AA50" s="5"/>
      <c r="AB50" s="5"/>
      <c r="AC50" s="5"/>
      <c r="AD50" s="4" t="s">
        <v>797</v>
      </c>
      <c r="AE50" s="17" t="s">
        <v>1519</v>
      </c>
      <c r="AF50" s="3" t="s">
        <v>1400</v>
      </c>
      <c r="AG50" s="5"/>
      <c r="AH50" s="5"/>
      <c r="AI50" s="5"/>
      <c r="AJ50" s="3" t="s">
        <v>404</v>
      </c>
      <c r="AK50" s="18"/>
    </row>
    <row r="51" ht="12" customHeight="1" spans="1:37" x14ac:dyDescent="0.25">
      <c r="A51" s="13" t="s">
        <v>550</v>
      </c>
      <c r="B51" s="13" t="s">
        <v>40</v>
      </c>
      <c r="C51" s="13" t="s">
        <v>1397</v>
      </c>
      <c r="D51" s="14" t="s">
        <v>797</v>
      </c>
      <c r="E51" s="15" t="s">
        <v>1520</v>
      </c>
      <c r="F51" s="3" t="s">
        <v>97</v>
      </c>
      <c r="G51" s="3" t="s">
        <v>778</v>
      </c>
      <c r="H51" s="16" t="s">
        <v>95</v>
      </c>
      <c r="I51" s="3" t="s">
        <v>1399</v>
      </c>
      <c r="J51" s="3" t="s">
        <v>1400</v>
      </c>
      <c r="K51" s="3"/>
      <c r="L51" s="16" t="s">
        <v>1401</v>
      </c>
      <c r="M51" s="3" t="s">
        <v>97</v>
      </c>
      <c r="N51" s="3" t="s">
        <v>1402</v>
      </c>
      <c r="O51" s="16" t="s">
        <v>1515</v>
      </c>
      <c r="P51" s="16"/>
      <c r="Q51" s="16"/>
      <c r="R51" s="3" t="s">
        <v>31</v>
      </c>
      <c r="S51" s="3" t="s">
        <v>32</v>
      </c>
      <c r="T51" s="3" t="s">
        <v>40</v>
      </c>
      <c r="U51" s="3" t="s">
        <v>35</v>
      </c>
      <c r="V51" s="4" t="s">
        <v>30</v>
      </c>
      <c r="W51" s="3" t="s">
        <v>96</v>
      </c>
      <c r="X51" s="4" t="s">
        <v>966</v>
      </c>
      <c r="Y51" s="5"/>
      <c r="Z51" s="5"/>
      <c r="AA51" s="5"/>
      <c r="AB51" s="5"/>
      <c r="AC51" s="5"/>
      <c r="AD51" s="4" t="s">
        <v>797</v>
      </c>
      <c r="AE51" s="17" t="s">
        <v>1521</v>
      </c>
      <c r="AF51" s="3" t="s">
        <v>1400</v>
      </c>
      <c r="AG51" s="5"/>
      <c r="AH51" s="5"/>
      <c r="AI51" s="5"/>
      <c r="AJ51" s="3" t="s">
        <v>100</v>
      </c>
      <c r="AK51" s="18"/>
    </row>
    <row r="52" ht="12" customHeight="1" spans="1:37" x14ac:dyDescent="0.25">
      <c r="A52" s="13" t="s">
        <v>558</v>
      </c>
      <c r="B52" s="13" t="s">
        <v>40</v>
      </c>
      <c r="C52" s="13" t="s">
        <v>1397</v>
      </c>
      <c r="D52" s="14" t="s">
        <v>774</v>
      </c>
      <c r="E52" s="15" t="s">
        <v>1522</v>
      </c>
      <c r="F52" s="3" t="s">
        <v>449</v>
      </c>
      <c r="G52" s="3" t="s">
        <v>732</v>
      </c>
      <c r="H52" s="16" t="s">
        <v>95</v>
      </c>
      <c r="I52" s="3" t="s">
        <v>1399</v>
      </c>
      <c r="J52" s="3" t="s">
        <v>1400</v>
      </c>
      <c r="K52" s="3"/>
      <c r="L52" s="16" t="s">
        <v>1401</v>
      </c>
      <c r="M52" s="3" t="s">
        <v>449</v>
      </c>
      <c r="N52" s="3" t="s">
        <v>1456</v>
      </c>
      <c r="O52" s="16" t="s">
        <v>1515</v>
      </c>
      <c r="P52" s="16"/>
      <c r="Q52" s="16"/>
      <c r="R52" s="3" t="s">
        <v>31</v>
      </c>
      <c r="S52" s="3" t="s">
        <v>32</v>
      </c>
      <c r="T52" s="3" t="s">
        <v>40</v>
      </c>
      <c r="U52" s="3" t="s">
        <v>35</v>
      </c>
      <c r="V52" s="4" t="s">
        <v>30</v>
      </c>
      <c r="W52" s="3" t="s">
        <v>36</v>
      </c>
      <c r="X52" s="4" t="s">
        <v>730</v>
      </c>
      <c r="Y52" s="5"/>
      <c r="Z52" s="5"/>
      <c r="AA52" s="5"/>
      <c r="AB52" s="5"/>
      <c r="AC52" s="5"/>
      <c r="AD52" s="4" t="s">
        <v>797</v>
      </c>
      <c r="AE52" s="17" t="s">
        <v>1523</v>
      </c>
      <c r="AF52" s="3" t="s">
        <v>1400</v>
      </c>
      <c r="AG52" s="5"/>
      <c r="AH52" s="5"/>
      <c r="AI52" s="5"/>
      <c r="AJ52" s="3" t="s">
        <v>404</v>
      </c>
      <c r="AK52" s="18"/>
    </row>
    <row r="53" ht="12" customHeight="1" spans="1:37" x14ac:dyDescent="0.25">
      <c r="A53" s="13" t="s">
        <v>552</v>
      </c>
      <c r="B53" s="13" t="s">
        <v>40</v>
      </c>
      <c r="C53" s="13" t="s">
        <v>1397</v>
      </c>
      <c r="D53" s="14" t="s">
        <v>797</v>
      </c>
      <c r="E53" s="15" t="s">
        <v>1524</v>
      </c>
      <c r="F53" s="3" t="s">
        <v>403</v>
      </c>
      <c r="G53" s="3" t="s">
        <v>732</v>
      </c>
      <c r="H53" s="16" t="s">
        <v>95</v>
      </c>
      <c r="I53" s="3" t="s">
        <v>1399</v>
      </c>
      <c r="J53" s="3" t="s">
        <v>1400</v>
      </c>
      <c r="K53" s="3"/>
      <c r="L53" s="16" t="s">
        <v>1401</v>
      </c>
      <c r="M53" s="3" t="s">
        <v>403</v>
      </c>
      <c r="N53" s="3" t="s">
        <v>1511</v>
      </c>
      <c r="O53" s="16" t="s">
        <v>1515</v>
      </c>
      <c r="P53" s="16"/>
      <c r="Q53" s="16"/>
      <c r="R53" s="3" t="s">
        <v>31</v>
      </c>
      <c r="S53" s="3" t="s">
        <v>32</v>
      </c>
      <c r="T53" s="3" t="s">
        <v>40</v>
      </c>
      <c r="U53" s="3" t="s">
        <v>35</v>
      </c>
      <c r="V53" s="4" t="s">
        <v>30</v>
      </c>
      <c r="W53" s="3" t="s">
        <v>36</v>
      </c>
      <c r="X53" s="4" t="s">
        <v>730</v>
      </c>
      <c r="Y53" s="5"/>
      <c r="Z53" s="5"/>
      <c r="AA53" s="5"/>
      <c r="AB53" s="5"/>
      <c r="AC53" s="5"/>
      <c r="AD53" s="4" t="s">
        <v>797</v>
      </c>
      <c r="AE53" s="17" t="s">
        <v>1440</v>
      </c>
      <c r="AF53" s="3" t="s">
        <v>1400</v>
      </c>
      <c r="AG53" s="5"/>
      <c r="AH53" s="5"/>
      <c r="AI53" s="5"/>
      <c r="AJ53" s="3" t="s">
        <v>404</v>
      </c>
      <c r="AK53" s="18"/>
    </row>
    <row r="54" ht="12" customHeight="1" spans="1:37" x14ac:dyDescent="0.25">
      <c r="A54" s="13" t="s">
        <v>557</v>
      </c>
      <c r="B54" s="13" t="s">
        <v>40</v>
      </c>
      <c r="C54" s="13" t="s">
        <v>1397</v>
      </c>
      <c r="D54" s="14" t="s">
        <v>841</v>
      </c>
      <c r="E54" s="15" t="s">
        <v>1525</v>
      </c>
      <c r="F54" s="3" t="s">
        <v>439</v>
      </c>
      <c r="G54" s="3" t="s">
        <v>732</v>
      </c>
      <c r="H54" s="16" t="s">
        <v>95</v>
      </c>
      <c r="I54" s="3" t="s">
        <v>1399</v>
      </c>
      <c r="J54" s="3" t="s">
        <v>1400</v>
      </c>
      <c r="K54" s="3"/>
      <c r="L54" s="16" t="s">
        <v>1401</v>
      </c>
      <c r="M54" s="3" t="s">
        <v>439</v>
      </c>
      <c r="N54" s="3" t="s">
        <v>1469</v>
      </c>
      <c r="O54" s="16" t="s">
        <v>1515</v>
      </c>
      <c r="P54" s="16"/>
      <c r="Q54" s="16"/>
      <c r="R54" s="3" t="s">
        <v>31</v>
      </c>
      <c r="S54" s="3" t="s">
        <v>32</v>
      </c>
      <c r="T54" s="3" t="s">
        <v>40</v>
      </c>
      <c r="U54" s="3" t="s">
        <v>35</v>
      </c>
      <c r="V54" s="4" t="s">
        <v>30</v>
      </c>
      <c r="W54" s="3" t="s">
        <v>328</v>
      </c>
      <c r="X54" s="4" t="s">
        <v>966</v>
      </c>
      <c r="Y54" s="5"/>
      <c r="Z54" s="5"/>
      <c r="AA54" s="5"/>
      <c r="AB54" s="5"/>
      <c r="AC54" s="5"/>
      <c r="AD54" s="4" t="s">
        <v>841</v>
      </c>
      <c r="AE54" s="17" t="s">
        <v>1526</v>
      </c>
      <c r="AF54" s="3" t="s">
        <v>1400</v>
      </c>
      <c r="AG54" s="5"/>
      <c r="AH54" s="5"/>
      <c r="AI54" s="5"/>
      <c r="AJ54" s="3" t="s">
        <v>440</v>
      </c>
      <c r="AK54" s="18"/>
    </row>
    <row r="55" ht="12" customHeight="1" spans="1:37" x14ac:dyDescent="0.25">
      <c r="A55" s="13" t="s">
        <v>555</v>
      </c>
      <c r="B55" s="13" t="s">
        <v>40</v>
      </c>
      <c r="C55" s="13" t="s">
        <v>1397</v>
      </c>
      <c r="D55" s="14" t="s">
        <v>769</v>
      </c>
      <c r="E55" s="15" t="s">
        <v>1527</v>
      </c>
      <c r="F55" s="3" t="s">
        <v>413</v>
      </c>
      <c r="G55" s="3" t="s">
        <v>1189</v>
      </c>
      <c r="H55" s="16" t="s">
        <v>95</v>
      </c>
      <c r="I55" s="3" t="s">
        <v>1399</v>
      </c>
      <c r="J55" s="3" t="s">
        <v>1400</v>
      </c>
      <c r="K55" s="3"/>
      <c r="L55" s="16" t="s">
        <v>1401</v>
      </c>
      <c r="M55" s="3" t="s">
        <v>413</v>
      </c>
      <c r="N55" s="3" t="s">
        <v>1459</v>
      </c>
      <c r="O55" s="16" t="s">
        <v>1515</v>
      </c>
      <c r="P55" s="16"/>
      <c r="Q55" s="16"/>
      <c r="R55" s="3" t="s">
        <v>31</v>
      </c>
      <c r="S55" s="3" t="s">
        <v>32</v>
      </c>
      <c r="T55" s="3" t="s">
        <v>40</v>
      </c>
      <c r="U55" s="3" t="s">
        <v>35</v>
      </c>
      <c r="V55" s="4" t="s">
        <v>30</v>
      </c>
      <c r="W55" s="3" t="s">
        <v>36</v>
      </c>
      <c r="X55" s="4" t="s">
        <v>730</v>
      </c>
      <c r="Y55" s="5"/>
      <c r="Z55" s="5"/>
      <c r="AA55" s="5"/>
      <c r="AB55" s="5"/>
      <c r="AC55" s="5"/>
      <c r="AD55" s="4" t="s">
        <v>785</v>
      </c>
      <c r="AE55" s="17" t="s">
        <v>1528</v>
      </c>
      <c r="AF55" s="3" t="s">
        <v>1400</v>
      </c>
      <c r="AG55" s="5"/>
      <c r="AH55" s="5"/>
      <c r="AI55" s="5"/>
      <c r="AJ55" s="3" t="s">
        <v>131</v>
      </c>
      <c r="AK55" s="18"/>
    </row>
    <row r="56" ht="12" customHeight="1" spans="1:37" x14ac:dyDescent="0.25">
      <c r="A56" s="13" t="s">
        <v>559</v>
      </c>
      <c r="B56" s="13" t="s">
        <v>40</v>
      </c>
      <c r="C56" s="13" t="s">
        <v>1397</v>
      </c>
      <c r="D56" s="14" t="s">
        <v>774</v>
      </c>
      <c r="E56" s="15" t="s">
        <v>1529</v>
      </c>
      <c r="F56" s="3" t="s">
        <v>449</v>
      </c>
      <c r="G56" s="3" t="s">
        <v>732</v>
      </c>
      <c r="H56" s="16" t="s">
        <v>95</v>
      </c>
      <c r="I56" s="3" t="s">
        <v>1399</v>
      </c>
      <c r="J56" s="3" t="s">
        <v>1400</v>
      </c>
      <c r="K56" s="3"/>
      <c r="L56" s="16" t="s">
        <v>1401</v>
      </c>
      <c r="M56" s="3" t="s">
        <v>449</v>
      </c>
      <c r="N56" s="3" t="s">
        <v>1456</v>
      </c>
      <c r="O56" s="16" t="s">
        <v>1515</v>
      </c>
      <c r="P56" s="16"/>
      <c r="Q56" s="16"/>
      <c r="R56" s="3" t="s">
        <v>31</v>
      </c>
      <c r="S56" s="3" t="s">
        <v>32</v>
      </c>
      <c r="T56" s="3" t="s">
        <v>40</v>
      </c>
      <c r="U56" s="3" t="s">
        <v>35</v>
      </c>
      <c r="V56" s="4" t="s">
        <v>30</v>
      </c>
      <c r="W56" s="3" t="s">
        <v>36</v>
      </c>
      <c r="X56" s="4" t="s">
        <v>730</v>
      </c>
      <c r="Y56" s="5"/>
      <c r="Z56" s="5"/>
      <c r="AA56" s="5"/>
      <c r="AB56" s="5"/>
      <c r="AC56" s="5"/>
      <c r="AD56" s="4" t="s">
        <v>774</v>
      </c>
      <c r="AE56" s="17" t="s">
        <v>1530</v>
      </c>
      <c r="AF56" s="3" t="s">
        <v>1400</v>
      </c>
      <c r="AG56" s="5"/>
      <c r="AH56" s="5"/>
      <c r="AI56" s="5"/>
      <c r="AJ56" s="3" t="s">
        <v>404</v>
      </c>
      <c r="AK56" s="18"/>
    </row>
    <row r="57" ht="12" customHeight="1" spans="1:37" x14ac:dyDescent="0.25">
      <c r="A57" s="13" t="s">
        <v>560</v>
      </c>
      <c r="B57" s="13" t="s">
        <v>40</v>
      </c>
      <c r="C57" s="13" t="s">
        <v>1397</v>
      </c>
      <c r="D57" s="14" t="s">
        <v>774</v>
      </c>
      <c r="E57" s="15" t="s">
        <v>1531</v>
      </c>
      <c r="F57" s="3" t="s">
        <v>449</v>
      </c>
      <c r="G57" s="3" t="s">
        <v>732</v>
      </c>
      <c r="H57" s="16" t="s">
        <v>95</v>
      </c>
      <c r="I57" s="3" t="s">
        <v>1399</v>
      </c>
      <c r="J57" s="3" t="s">
        <v>1400</v>
      </c>
      <c r="K57" s="3"/>
      <c r="L57" s="16" t="s">
        <v>1401</v>
      </c>
      <c r="M57" s="3" t="s">
        <v>449</v>
      </c>
      <c r="N57" s="3" t="s">
        <v>1456</v>
      </c>
      <c r="O57" s="16" t="s">
        <v>1515</v>
      </c>
      <c r="P57" s="16"/>
      <c r="Q57" s="16"/>
      <c r="R57" s="3" t="s">
        <v>31</v>
      </c>
      <c r="S57" s="3" t="s">
        <v>32</v>
      </c>
      <c r="T57" s="3" t="s">
        <v>40</v>
      </c>
      <c r="U57" s="3" t="s">
        <v>35</v>
      </c>
      <c r="V57" s="4" t="s">
        <v>30</v>
      </c>
      <c r="W57" s="3" t="s">
        <v>36</v>
      </c>
      <c r="X57" s="4" t="s">
        <v>730</v>
      </c>
      <c r="Y57" s="5"/>
      <c r="Z57" s="5"/>
      <c r="AA57" s="5"/>
      <c r="AB57" s="5"/>
      <c r="AC57" s="5"/>
      <c r="AD57" s="4" t="s">
        <v>774</v>
      </c>
      <c r="AE57" s="17" t="s">
        <v>1532</v>
      </c>
      <c r="AF57" s="3" t="s">
        <v>1400</v>
      </c>
      <c r="AG57" s="5"/>
      <c r="AH57" s="5"/>
      <c r="AI57" s="5"/>
      <c r="AJ57" s="3" t="s">
        <v>404</v>
      </c>
      <c r="AK57" s="18"/>
    </row>
    <row r="58" ht="12" customHeight="1" spans="1:37" x14ac:dyDescent="0.25">
      <c r="A58" s="13" t="s">
        <v>546</v>
      </c>
      <c r="B58" s="13" t="s">
        <v>40</v>
      </c>
      <c r="C58" s="13" t="s">
        <v>1397</v>
      </c>
      <c r="D58" s="14" t="s">
        <v>828</v>
      </c>
      <c r="E58" s="15" t="s">
        <v>1496</v>
      </c>
      <c r="F58" s="3" t="s">
        <v>329</v>
      </c>
      <c r="G58" s="3" t="s">
        <v>732</v>
      </c>
      <c r="H58" s="16" t="s">
        <v>95</v>
      </c>
      <c r="I58" s="3" t="s">
        <v>1399</v>
      </c>
      <c r="J58" s="3" t="s">
        <v>1400</v>
      </c>
      <c r="K58" s="3"/>
      <c r="L58" s="16" t="s">
        <v>1401</v>
      </c>
      <c r="M58" s="3" t="s">
        <v>329</v>
      </c>
      <c r="N58" s="3" t="s">
        <v>1497</v>
      </c>
      <c r="O58" s="16" t="s">
        <v>1515</v>
      </c>
      <c r="P58" s="16"/>
      <c r="Q58" s="16"/>
      <c r="R58" s="3" t="s">
        <v>31</v>
      </c>
      <c r="S58" s="3" t="s">
        <v>32</v>
      </c>
      <c r="T58" s="3" t="s">
        <v>40</v>
      </c>
      <c r="U58" s="3" t="s">
        <v>35</v>
      </c>
      <c r="V58" s="4" t="s">
        <v>30</v>
      </c>
      <c r="W58" s="3" t="s">
        <v>328</v>
      </c>
      <c r="X58" s="4" t="s">
        <v>966</v>
      </c>
      <c r="Y58" s="5"/>
      <c r="Z58" s="5"/>
      <c r="AA58" s="5"/>
      <c r="AB58" s="5"/>
      <c r="AC58" s="5"/>
      <c r="AD58" s="4" t="s">
        <v>828</v>
      </c>
      <c r="AE58" s="17" t="s">
        <v>1444</v>
      </c>
      <c r="AF58" s="3" t="s">
        <v>1400</v>
      </c>
      <c r="AG58" s="5"/>
      <c r="AH58" s="5"/>
      <c r="AI58" s="5"/>
      <c r="AJ58" s="3" t="s">
        <v>330</v>
      </c>
      <c r="AK58" s="18"/>
    </row>
    <row r="59" ht="12" customHeight="1" spans="1:37" x14ac:dyDescent="0.25">
      <c r="A59" s="13" t="s">
        <v>553</v>
      </c>
      <c r="B59" s="13" t="s">
        <v>40</v>
      </c>
      <c r="C59" s="13" t="s">
        <v>1397</v>
      </c>
      <c r="D59" s="14" t="s">
        <v>797</v>
      </c>
      <c r="E59" s="15" t="s">
        <v>1533</v>
      </c>
      <c r="F59" s="3" t="s">
        <v>403</v>
      </c>
      <c r="G59" s="3" t="s">
        <v>732</v>
      </c>
      <c r="H59" s="16" t="s">
        <v>95</v>
      </c>
      <c r="I59" s="3" t="s">
        <v>1399</v>
      </c>
      <c r="J59" s="3" t="s">
        <v>1400</v>
      </c>
      <c r="K59" s="3"/>
      <c r="L59" s="16" t="s">
        <v>1401</v>
      </c>
      <c r="M59" s="3" t="s">
        <v>403</v>
      </c>
      <c r="N59" s="3" t="s">
        <v>1511</v>
      </c>
      <c r="O59" s="16" t="s">
        <v>1515</v>
      </c>
      <c r="P59" s="16"/>
      <c r="Q59" s="16"/>
      <c r="R59" s="3" t="s">
        <v>31</v>
      </c>
      <c r="S59" s="3" t="s">
        <v>32</v>
      </c>
      <c r="T59" s="3" t="s">
        <v>40</v>
      </c>
      <c r="U59" s="3" t="s">
        <v>35</v>
      </c>
      <c r="V59" s="4" t="s">
        <v>30</v>
      </c>
      <c r="W59" s="3" t="s">
        <v>36</v>
      </c>
      <c r="X59" s="4" t="s">
        <v>730</v>
      </c>
      <c r="Y59" s="5"/>
      <c r="Z59" s="5"/>
      <c r="AA59" s="5"/>
      <c r="AB59" s="5"/>
      <c r="AC59" s="5"/>
      <c r="AD59" s="4" t="s">
        <v>797</v>
      </c>
      <c r="AE59" s="17" t="s">
        <v>1534</v>
      </c>
      <c r="AF59" s="3" t="s">
        <v>1400</v>
      </c>
      <c r="AG59" s="5"/>
      <c r="AH59" s="5"/>
      <c r="AI59" s="5"/>
      <c r="AJ59" s="3" t="s">
        <v>404</v>
      </c>
      <c r="AK59" s="18"/>
    </row>
    <row r="60" ht="12" customHeight="1" spans="1:37" x14ac:dyDescent="0.25">
      <c r="A60" s="13" t="s">
        <v>556</v>
      </c>
      <c r="B60" s="13" t="s">
        <v>40</v>
      </c>
      <c r="C60" s="13" t="s">
        <v>1397</v>
      </c>
      <c r="D60" s="14" t="s">
        <v>769</v>
      </c>
      <c r="E60" s="15" t="s">
        <v>1535</v>
      </c>
      <c r="F60" s="3" t="s">
        <v>413</v>
      </c>
      <c r="G60" s="3" t="s">
        <v>1189</v>
      </c>
      <c r="H60" s="16" t="s">
        <v>95</v>
      </c>
      <c r="I60" s="3" t="s">
        <v>1399</v>
      </c>
      <c r="J60" s="3" t="s">
        <v>1400</v>
      </c>
      <c r="K60" s="3"/>
      <c r="L60" s="16" t="s">
        <v>1401</v>
      </c>
      <c r="M60" s="3" t="s">
        <v>413</v>
      </c>
      <c r="N60" s="3" t="s">
        <v>1459</v>
      </c>
      <c r="O60" s="16" t="s">
        <v>1515</v>
      </c>
      <c r="P60" s="16"/>
      <c r="Q60" s="16"/>
      <c r="R60" s="3" t="s">
        <v>31</v>
      </c>
      <c r="S60" s="3" t="s">
        <v>32</v>
      </c>
      <c r="T60" s="3" t="s">
        <v>40</v>
      </c>
      <c r="U60" s="3" t="s">
        <v>35</v>
      </c>
      <c r="V60" s="4" t="s">
        <v>30</v>
      </c>
      <c r="W60" s="3" t="s">
        <v>36</v>
      </c>
      <c r="X60" s="4" t="s">
        <v>730</v>
      </c>
      <c r="Y60" s="5"/>
      <c r="Z60" s="5"/>
      <c r="AA60" s="5"/>
      <c r="AB60" s="5"/>
      <c r="AC60" s="5"/>
      <c r="AD60" s="4" t="s">
        <v>785</v>
      </c>
      <c r="AE60" s="17" t="s">
        <v>1536</v>
      </c>
      <c r="AF60" s="3" t="s">
        <v>1400</v>
      </c>
      <c r="AG60" s="5"/>
      <c r="AH60" s="5"/>
      <c r="AI60" s="5"/>
      <c r="AJ60" s="3" t="s">
        <v>131</v>
      </c>
      <c r="AK60" s="18"/>
    </row>
    <row r="61" ht="12" customHeight="1" spans="1:37" x14ac:dyDescent="0.25">
      <c r="A61" s="13" t="s">
        <v>561</v>
      </c>
      <c r="B61" s="13" t="s">
        <v>40</v>
      </c>
      <c r="C61" s="13" t="s">
        <v>1397</v>
      </c>
      <c r="D61" s="14" t="s">
        <v>774</v>
      </c>
      <c r="E61" s="15" t="s">
        <v>1522</v>
      </c>
      <c r="F61" s="3" t="s">
        <v>449</v>
      </c>
      <c r="G61" s="3" t="s">
        <v>732</v>
      </c>
      <c r="H61" s="16" t="s">
        <v>95</v>
      </c>
      <c r="I61" s="3" t="s">
        <v>1399</v>
      </c>
      <c r="J61" s="3" t="s">
        <v>1400</v>
      </c>
      <c r="K61" s="3"/>
      <c r="L61" s="16" t="s">
        <v>1401</v>
      </c>
      <c r="M61" s="3" t="s">
        <v>449</v>
      </c>
      <c r="N61" s="3" t="s">
        <v>1456</v>
      </c>
      <c r="O61" s="16" t="s">
        <v>1515</v>
      </c>
      <c r="P61" s="16"/>
      <c r="Q61" s="16"/>
      <c r="R61" s="3" t="s">
        <v>31</v>
      </c>
      <c r="S61" s="3" t="s">
        <v>32</v>
      </c>
      <c r="T61" s="3" t="s">
        <v>40</v>
      </c>
      <c r="U61" s="3" t="s">
        <v>35</v>
      </c>
      <c r="V61" s="4" t="s">
        <v>30</v>
      </c>
      <c r="W61" s="3" t="s">
        <v>36</v>
      </c>
      <c r="X61" s="4" t="s">
        <v>730</v>
      </c>
      <c r="Y61" s="5"/>
      <c r="Z61" s="5"/>
      <c r="AA61" s="5"/>
      <c r="AB61" s="5"/>
      <c r="AC61" s="5"/>
      <c r="AD61" s="4" t="s">
        <v>797</v>
      </c>
      <c r="AE61" s="17" t="s">
        <v>1523</v>
      </c>
      <c r="AF61" s="3" t="s">
        <v>1400</v>
      </c>
      <c r="AG61" s="5"/>
      <c r="AH61" s="5"/>
      <c r="AI61" s="5"/>
      <c r="AJ61" s="3" t="s">
        <v>404</v>
      </c>
      <c r="AK61" s="18"/>
    </row>
    <row r="62" ht="12" customHeight="1" spans="1:37" x14ac:dyDescent="0.25">
      <c r="A62" s="13" t="s">
        <v>548</v>
      </c>
      <c r="B62" s="13" t="s">
        <v>40</v>
      </c>
      <c r="C62" s="13" t="s">
        <v>1397</v>
      </c>
      <c r="D62" s="14" t="s">
        <v>841</v>
      </c>
      <c r="E62" s="15" t="s">
        <v>1537</v>
      </c>
      <c r="F62" s="3" t="s">
        <v>329</v>
      </c>
      <c r="G62" s="3" t="s">
        <v>732</v>
      </c>
      <c r="H62" s="16" t="s">
        <v>95</v>
      </c>
      <c r="I62" s="3" t="s">
        <v>1399</v>
      </c>
      <c r="J62" s="3" t="s">
        <v>1400</v>
      </c>
      <c r="K62" s="3"/>
      <c r="L62" s="16" t="s">
        <v>1401</v>
      </c>
      <c r="M62" s="3" t="s">
        <v>329</v>
      </c>
      <c r="N62" s="3" t="s">
        <v>1497</v>
      </c>
      <c r="O62" s="16" t="s">
        <v>1515</v>
      </c>
      <c r="P62" s="16"/>
      <c r="Q62" s="16"/>
      <c r="R62" s="3" t="s">
        <v>31</v>
      </c>
      <c r="S62" s="3" t="s">
        <v>32</v>
      </c>
      <c r="T62" s="3" t="s">
        <v>40</v>
      </c>
      <c r="U62" s="3" t="s">
        <v>35</v>
      </c>
      <c r="V62" s="4" t="s">
        <v>30</v>
      </c>
      <c r="W62" s="3" t="s">
        <v>328</v>
      </c>
      <c r="X62" s="4" t="s">
        <v>966</v>
      </c>
      <c r="Y62" s="5"/>
      <c r="Z62" s="5"/>
      <c r="AA62" s="5"/>
      <c r="AB62" s="5"/>
      <c r="AC62" s="5"/>
      <c r="AD62" s="4" t="s">
        <v>841</v>
      </c>
      <c r="AE62" s="17" t="s">
        <v>1538</v>
      </c>
      <c r="AF62" s="3" t="s">
        <v>1400</v>
      </c>
      <c r="AG62" s="5"/>
      <c r="AH62" s="5"/>
      <c r="AI62" s="5"/>
      <c r="AJ62" s="3" t="s">
        <v>330</v>
      </c>
      <c r="AK62" s="18"/>
    </row>
    <row r="63" ht="12" customHeight="1" spans="1:37" x14ac:dyDescent="0.25">
      <c r="A63" s="13" t="s">
        <v>564</v>
      </c>
      <c r="B63" s="13" t="s">
        <v>40</v>
      </c>
      <c r="C63" s="13" t="s">
        <v>1397</v>
      </c>
      <c r="D63" s="14" t="s">
        <v>797</v>
      </c>
      <c r="E63" s="15" t="s">
        <v>1477</v>
      </c>
      <c r="F63" s="3" t="s">
        <v>403</v>
      </c>
      <c r="G63" s="3" t="s">
        <v>732</v>
      </c>
      <c r="H63" s="16" t="s">
        <v>95</v>
      </c>
      <c r="I63" s="3" t="s">
        <v>1399</v>
      </c>
      <c r="J63" s="3" t="s">
        <v>1400</v>
      </c>
      <c r="K63" s="3"/>
      <c r="L63" s="16" t="s">
        <v>1401</v>
      </c>
      <c r="M63" s="3" t="s">
        <v>403</v>
      </c>
      <c r="N63" s="3" t="s">
        <v>1511</v>
      </c>
      <c r="O63" s="16" t="s">
        <v>1515</v>
      </c>
      <c r="P63" s="16"/>
      <c r="Q63" s="16"/>
      <c r="R63" s="3" t="s">
        <v>31</v>
      </c>
      <c r="S63" s="3" t="s">
        <v>32</v>
      </c>
      <c r="T63" s="3" t="s">
        <v>40</v>
      </c>
      <c r="U63" s="3" t="s">
        <v>35</v>
      </c>
      <c r="V63" s="4" t="s">
        <v>30</v>
      </c>
      <c r="W63" s="3" t="s">
        <v>36</v>
      </c>
      <c r="X63" s="4" t="s">
        <v>730</v>
      </c>
      <c r="Y63" s="5"/>
      <c r="Z63" s="5"/>
      <c r="AA63" s="5"/>
      <c r="AB63" s="5"/>
      <c r="AC63" s="5"/>
      <c r="AD63" s="4" t="s">
        <v>797</v>
      </c>
      <c r="AE63" s="17" t="s">
        <v>1539</v>
      </c>
      <c r="AF63" s="3" t="s">
        <v>1400</v>
      </c>
      <c r="AG63" s="5"/>
      <c r="AH63" s="5"/>
      <c r="AI63" s="5"/>
      <c r="AJ63" s="3" t="s">
        <v>404</v>
      </c>
      <c r="AK63" s="18"/>
    </row>
    <row r="64" ht="12" customHeight="1" spans="1:37" x14ac:dyDescent="0.25">
      <c r="A64" s="13" t="s">
        <v>565</v>
      </c>
      <c r="B64" s="13" t="s">
        <v>40</v>
      </c>
      <c r="C64" s="13" t="s">
        <v>1397</v>
      </c>
      <c r="D64" s="14" t="s">
        <v>797</v>
      </c>
      <c r="E64" s="15" t="s">
        <v>1524</v>
      </c>
      <c r="F64" s="3" t="s">
        <v>403</v>
      </c>
      <c r="G64" s="3" t="s">
        <v>732</v>
      </c>
      <c r="H64" s="16" t="s">
        <v>95</v>
      </c>
      <c r="I64" s="3" t="s">
        <v>1399</v>
      </c>
      <c r="J64" s="3" t="s">
        <v>1400</v>
      </c>
      <c r="K64" s="3"/>
      <c r="L64" s="16" t="s">
        <v>1401</v>
      </c>
      <c r="M64" s="3" t="s">
        <v>403</v>
      </c>
      <c r="N64" s="3" t="s">
        <v>1511</v>
      </c>
      <c r="O64" s="16" t="s">
        <v>1515</v>
      </c>
      <c r="P64" s="16"/>
      <c r="Q64" s="16"/>
      <c r="R64" s="3" t="s">
        <v>31</v>
      </c>
      <c r="S64" s="3" t="s">
        <v>32</v>
      </c>
      <c r="T64" s="3" t="s">
        <v>40</v>
      </c>
      <c r="U64" s="3" t="s">
        <v>35</v>
      </c>
      <c r="V64" s="4" t="s">
        <v>30</v>
      </c>
      <c r="W64" s="3" t="s">
        <v>36</v>
      </c>
      <c r="X64" s="4" t="s">
        <v>730</v>
      </c>
      <c r="Y64" s="5"/>
      <c r="Z64" s="5"/>
      <c r="AA64" s="5"/>
      <c r="AB64" s="5"/>
      <c r="AC64" s="5"/>
      <c r="AD64" s="4" t="s">
        <v>797</v>
      </c>
      <c r="AE64" s="17" t="s">
        <v>1440</v>
      </c>
      <c r="AF64" s="3" t="s">
        <v>1400</v>
      </c>
      <c r="AG64" s="5"/>
      <c r="AH64" s="5"/>
      <c r="AI64" s="5"/>
      <c r="AJ64" s="3" t="s">
        <v>404</v>
      </c>
      <c r="AK64" s="18"/>
    </row>
    <row r="65" ht="12" customHeight="1" spans="1:37" x14ac:dyDescent="0.25">
      <c r="A65" s="13" t="s">
        <v>562</v>
      </c>
      <c r="B65" s="13" t="s">
        <v>40</v>
      </c>
      <c r="C65" s="13" t="s">
        <v>1397</v>
      </c>
      <c r="D65" s="14" t="s">
        <v>1405</v>
      </c>
      <c r="E65" s="15" t="s">
        <v>1540</v>
      </c>
      <c r="F65" s="3" t="s">
        <v>361</v>
      </c>
      <c r="G65" s="3" t="s">
        <v>855</v>
      </c>
      <c r="H65" s="16" t="s">
        <v>95</v>
      </c>
      <c r="I65" s="3" t="s">
        <v>1399</v>
      </c>
      <c r="J65" s="3" t="s">
        <v>1400</v>
      </c>
      <c r="K65" s="3"/>
      <c r="L65" s="16" t="s">
        <v>1401</v>
      </c>
      <c r="M65" s="3" t="s">
        <v>361</v>
      </c>
      <c r="N65" s="3" t="s">
        <v>1494</v>
      </c>
      <c r="O65" s="16" t="s">
        <v>1515</v>
      </c>
      <c r="P65" s="16"/>
      <c r="Q65" s="16"/>
      <c r="R65" s="3" t="s">
        <v>31</v>
      </c>
      <c r="S65" s="3" t="s">
        <v>32</v>
      </c>
      <c r="T65" s="3" t="s">
        <v>40</v>
      </c>
      <c r="U65" s="3" t="s">
        <v>35</v>
      </c>
      <c r="V65" s="4" t="s">
        <v>30</v>
      </c>
      <c r="W65" s="3" t="s">
        <v>36</v>
      </c>
      <c r="X65" s="4" t="s">
        <v>730</v>
      </c>
      <c r="Y65" s="5"/>
      <c r="Z65" s="5"/>
      <c r="AA65" s="5"/>
      <c r="AB65" s="5"/>
      <c r="AC65" s="5"/>
      <c r="AD65" s="4" t="s">
        <v>1405</v>
      </c>
      <c r="AE65" s="17" t="s">
        <v>1486</v>
      </c>
      <c r="AF65" s="3" t="s">
        <v>1400</v>
      </c>
      <c r="AG65" s="5"/>
      <c r="AH65" s="5"/>
      <c r="AI65" s="5"/>
      <c r="AJ65" s="3" t="s">
        <v>363</v>
      </c>
      <c r="AK65" s="18"/>
    </row>
    <row r="66" ht="12" customHeight="1" spans="1:37" x14ac:dyDescent="0.25">
      <c r="A66" s="13" t="s">
        <v>566</v>
      </c>
      <c r="B66" s="13" t="s">
        <v>40</v>
      </c>
      <c r="C66" s="13" t="s">
        <v>1397</v>
      </c>
      <c r="D66" s="14" t="s">
        <v>910</v>
      </c>
      <c r="E66" s="15" t="s">
        <v>1541</v>
      </c>
      <c r="F66" s="3" t="s">
        <v>568</v>
      </c>
      <c r="G66" s="3" t="s">
        <v>732</v>
      </c>
      <c r="H66" s="16" t="s">
        <v>95</v>
      </c>
      <c r="I66" s="3" t="s">
        <v>1399</v>
      </c>
      <c r="J66" s="3" t="s">
        <v>1400</v>
      </c>
      <c r="K66" s="3"/>
      <c r="L66" s="16" t="s">
        <v>1401</v>
      </c>
      <c r="M66" s="3" t="s">
        <v>568</v>
      </c>
      <c r="N66" s="3" t="s">
        <v>1438</v>
      </c>
      <c r="O66" s="16" t="s">
        <v>1515</v>
      </c>
      <c r="P66" s="16"/>
      <c r="Q66" s="16"/>
      <c r="R66" s="3" t="s">
        <v>31</v>
      </c>
      <c r="S66" s="3" t="s">
        <v>32</v>
      </c>
      <c r="T66" s="3" t="s">
        <v>40</v>
      </c>
      <c r="U66" s="3" t="s">
        <v>35</v>
      </c>
      <c r="V66" s="4" t="s">
        <v>30</v>
      </c>
      <c r="W66" s="3" t="s">
        <v>567</v>
      </c>
      <c r="X66" s="4" t="s">
        <v>966</v>
      </c>
      <c r="Y66" s="5"/>
      <c r="Z66" s="5"/>
      <c r="AA66" s="5"/>
      <c r="AB66" s="5"/>
      <c r="AC66" s="5"/>
      <c r="AD66" s="4" t="s">
        <v>910</v>
      </c>
      <c r="AE66" s="17" t="s">
        <v>1542</v>
      </c>
      <c r="AF66" s="3" t="s">
        <v>1400</v>
      </c>
      <c r="AG66" s="5"/>
      <c r="AH66" s="5"/>
      <c r="AI66" s="5"/>
      <c r="AJ66" s="3" t="s">
        <v>330</v>
      </c>
      <c r="AK66" s="18"/>
    </row>
    <row r="67" ht="12" customHeight="1" spans="1:37" x14ac:dyDescent="0.25">
      <c r="A67" s="13" t="s">
        <v>632</v>
      </c>
      <c r="B67" s="13" t="s">
        <v>40</v>
      </c>
      <c r="C67" s="13" t="s">
        <v>1397</v>
      </c>
      <c r="D67" s="14" t="s">
        <v>1405</v>
      </c>
      <c r="E67" s="15" t="s">
        <v>1543</v>
      </c>
      <c r="F67" s="3" t="s">
        <v>399</v>
      </c>
      <c r="G67" s="3" t="s">
        <v>1161</v>
      </c>
      <c r="H67" s="16" t="s">
        <v>95</v>
      </c>
      <c r="I67" s="3" t="s">
        <v>1399</v>
      </c>
      <c r="J67" s="3" t="s">
        <v>1400</v>
      </c>
      <c r="K67" s="3"/>
      <c r="L67" s="16" t="s">
        <v>1401</v>
      </c>
      <c r="M67" s="3" t="s">
        <v>399</v>
      </c>
      <c r="N67" s="3" t="s">
        <v>1544</v>
      </c>
      <c r="O67" s="16" t="s">
        <v>1515</v>
      </c>
      <c r="P67" s="16"/>
      <c r="Q67" s="16"/>
      <c r="R67" s="3" t="s">
        <v>31</v>
      </c>
      <c r="S67" s="3" t="s">
        <v>32</v>
      </c>
      <c r="T67" s="3" t="s">
        <v>40</v>
      </c>
      <c r="U67" s="3" t="s">
        <v>35</v>
      </c>
      <c r="V67" s="4" t="s">
        <v>30</v>
      </c>
      <c r="W67" s="3" t="s">
        <v>36</v>
      </c>
      <c r="X67" s="4" t="s">
        <v>730</v>
      </c>
      <c r="Y67" s="5"/>
      <c r="Z67" s="5"/>
      <c r="AA67" s="5"/>
      <c r="AB67" s="5"/>
      <c r="AC67" s="5"/>
      <c r="AD67" s="4" t="s">
        <v>1405</v>
      </c>
      <c r="AE67" s="17" t="s">
        <v>1486</v>
      </c>
      <c r="AF67" s="3" t="s">
        <v>1400</v>
      </c>
      <c r="AG67" s="5"/>
      <c r="AH67" s="5"/>
      <c r="AI67" s="5"/>
      <c r="AJ67" s="3" t="s">
        <v>401</v>
      </c>
      <c r="AK67" s="18"/>
    </row>
    <row r="68" ht="12" customHeight="1" spans="1:37" x14ac:dyDescent="0.25">
      <c r="A68" s="13" t="s">
        <v>627</v>
      </c>
      <c r="B68" s="13" t="s">
        <v>40</v>
      </c>
      <c r="C68" s="13" t="s">
        <v>1397</v>
      </c>
      <c r="D68" s="14" t="s">
        <v>744</v>
      </c>
      <c r="E68" s="15" t="s">
        <v>1545</v>
      </c>
      <c r="F68" s="3" t="s">
        <v>628</v>
      </c>
      <c r="G68" s="3" t="s">
        <v>893</v>
      </c>
      <c r="H68" s="16" t="s">
        <v>95</v>
      </c>
      <c r="I68" s="3" t="s">
        <v>1399</v>
      </c>
      <c r="J68" s="3" t="s">
        <v>1400</v>
      </c>
      <c r="K68" s="3"/>
      <c r="L68" s="16" t="s">
        <v>1401</v>
      </c>
      <c r="M68" s="3" t="s">
        <v>628</v>
      </c>
      <c r="N68" s="3" t="s">
        <v>1438</v>
      </c>
      <c r="O68" s="16" t="s">
        <v>1515</v>
      </c>
      <c r="P68" s="16"/>
      <c r="Q68" s="16"/>
      <c r="R68" s="3" t="s">
        <v>1412</v>
      </c>
      <c r="S68" s="3" t="s">
        <v>32</v>
      </c>
      <c r="T68" s="3" t="s">
        <v>40</v>
      </c>
      <c r="U68" s="3" t="s">
        <v>35</v>
      </c>
      <c r="V68" s="4" t="s">
        <v>30</v>
      </c>
      <c r="W68" s="3" t="s">
        <v>36</v>
      </c>
      <c r="X68" s="4" t="s">
        <v>730</v>
      </c>
      <c r="Y68" s="5"/>
      <c r="Z68" s="5"/>
      <c r="AA68" s="5"/>
      <c r="AB68" s="5"/>
      <c r="AC68" s="5"/>
      <c r="AD68" s="4" t="s">
        <v>744</v>
      </c>
      <c r="AE68" s="17" t="s">
        <v>1475</v>
      </c>
      <c r="AF68" s="3" t="s">
        <v>1400</v>
      </c>
      <c r="AG68" s="5"/>
      <c r="AH68" s="5"/>
      <c r="AI68" s="5"/>
      <c r="AJ68" s="3" t="s">
        <v>631</v>
      </c>
      <c r="AK68" s="18"/>
    </row>
    <row r="69" ht="12" customHeight="1" spans="1:37" x14ac:dyDescent="0.25">
      <c r="A69" s="13" t="s">
        <v>68</v>
      </c>
      <c r="B69" s="13" t="s">
        <v>40</v>
      </c>
      <c r="C69" s="13" t="s">
        <v>1397</v>
      </c>
      <c r="D69" s="14" t="s">
        <v>774</v>
      </c>
      <c r="E69" s="15" t="s">
        <v>1546</v>
      </c>
      <c r="F69" s="3" t="s">
        <v>71</v>
      </c>
      <c r="G69" s="3" t="s">
        <v>732</v>
      </c>
      <c r="H69" s="16" t="s">
        <v>33</v>
      </c>
      <c r="I69" s="3" t="s">
        <v>1399</v>
      </c>
      <c r="J69" s="3" t="s">
        <v>1400</v>
      </c>
      <c r="K69" s="3"/>
      <c r="L69" s="16" t="s">
        <v>1401</v>
      </c>
      <c r="M69" s="3" t="s">
        <v>71</v>
      </c>
      <c r="N69" s="3" t="s">
        <v>1547</v>
      </c>
      <c r="O69" s="16" t="s">
        <v>1548</v>
      </c>
      <c r="P69" s="16"/>
      <c r="Q69" s="16"/>
      <c r="R69" s="3" t="s">
        <v>31</v>
      </c>
      <c r="S69" s="3" t="s">
        <v>32</v>
      </c>
      <c r="T69" s="3" t="s">
        <v>40</v>
      </c>
      <c r="U69" s="3" t="s">
        <v>35</v>
      </c>
      <c r="V69" s="4" t="s">
        <v>30</v>
      </c>
      <c r="W69" s="3" t="s">
        <v>70</v>
      </c>
      <c r="X69" s="4" t="s">
        <v>966</v>
      </c>
      <c r="Y69" s="5"/>
      <c r="Z69" s="5"/>
      <c r="AA69" s="5"/>
      <c r="AB69" s="5"/>
      <c r="AC69" s="5"/>
      <c r="AD69" s="4" t="s">
        <v>774</v>
      </c>
      <c r="AE69" s="17" t="s">
        <v>1476</v>
      </c>
      <c r="AF69" s="3" t="s">
        <v>1400</v>
      </c>
      <c r="AG69" s="5"/>
      <c r="AH69" s="5"/>
      <c r="AI69" s="5"/>
      <c r="AJ69" s="3" t="s">
        <v>76</v>
      </c>
      <c r="AK69" s="18"/>
    </row>
    <row r="70" ht="12" customHeight="1" spans="1:37" x14ac:dyDescent="0.25">
      <c r="A70" s="13" t="s">
        <v>92</v>
      </c>
      <c r="B70" s="13" t="s">
        <v>40</v>
      </c>
      <c r="C70" s="13" t="s">
        <v>1397</v>
      </c>
      <c r="D70" s="14" t="s">
        <v>841</v>
      </c>
      <c r="E70" s="15" t="s">
        <v>1549</v>
      </c>
      <c r="F70" s="3" t="s">
        <v>43</v>
      </c>
      <c r="G70" s="3" t="s">
        <v>47</v>
      </c>
      <c r="H70" s="16" t="s">
        <v>33</v>
      </c>
      <c r="I70" s="3" t="s">
        <v>1399</v>
      </c>
      <c r="J70" s="3" t="s">
        <v>1400</v>
      </c>
      <c r="K70" s="3"/>
      <c r="L70" s="16" t="s">
        <v>1401</v>
      </c>
      <c r="M70" s="3" t="s">
        <v>43</v>
      </c>
      <c r="N70" s="3" t="s">
        <v>1428</v>
      </c>
      <c r="O70" s="16" t="s">
        <v>1550</v>
      </c>
      <c r="P70" s="16"/>
      <c r="Q70" s="16"/>
      <c r="R70" s="3" t="s">
        <v>31</v>
      </c>
      <c r="S70" s="3" t="s">
        <v>32</v>
      </c>
      <c r="T70" s="3" t="s">
        <v>40</v>
      </c>
      <c r="U70" s="3" t="s">
        <v>35</v>
      </c>
      <c r="V70" s="4" t="s">
        <v>30</v>
      </c>
      <c r="W70" s="3" t="s">
        <v>36</v>
      </c>
      <c r="X70" s="4" t="s">
        <v>730</v>
      </c>
      <c r="Y70" s="5"/>
      <c r="Z70" s="5"/>
      <c r="AA70" s="5"/>
      <c r="AB70" s="5"/>
      <c r="AC70" s="5"/>
      <c r="AD70" s="4" t="s">
        <v>841</v>
      </c>
      <c r="AE70" s="17" t="s">
        <v>1551</v>
      </c>
      <c r="AF70" s="3" t="s">
        <v>1400</v>
      </c>
      <c r="AG70" s="5"/>
      <c r="AH70" s="5"/>
      <c r="AI70" s="5"/>
      <c r="AJ70" s="3" t="s">
        <v>49</v>
      </c>
      <c r="AK70" s="18"/>
    </row>
    <row r="71" ht="12" customHeight="1" spans="1:37" x14ac:dyDescent="0.25">
      <c r="A71" s="13" t="s">
        <v>29</v>
      </c>
      <c r="B71" s="13" t="s">
        <v>40</v>
      </c>
      <c r="C71" s="13" t="s">
        <v>1397</v>
      </c>
      <c r="D71" s="14" t="s">
        <v>841</v>
      </c>
      <c r="E71" s="15" t="s">
        <v>1552</v>
      </c>
      <c r="F71" s="3" t="s">
        <v>43</v>
      </c>
      <c r="G71" s="3" t="s">
        <v>47</v>
      </c>
      <c r="H71" s="16" t="s">
        <v>33</v>
      </c>
      <c r="I71" s="3" t="s">
        <v>1399</v>
      </c>
      <c r="J71" s="3" t="s">
        <v>1400</v>
      </c>
      <c r="K71" s="3"/>
      <c r="L71" s="16" t="s">
        <v>1401</v>
      </c>
      <c r="M71" s="3" t="s">
        <v>43</v>
      </c>
      <c r="N71" s="3" t="s">
        <v>1428</v>
      </c>
      <c r="O71" s="16" t="s">
        <v>1403</v>
      </c>
      <c r="P71" s="16"/>
      <c r="Q71" s="16"/>
      <c r="R71" s="3" t="s">
        <v>31</v>
      </c>
      <c r="S71" s="3" t="s">
        <v>32</v>
      </c>
      <c r="T71" s="3" t="s">
        <v>40</v>
      </c>
      <c r="U71" s="3" t="s">
        <v>35</v>
      </c>
      <c r="V71" s="4" t="s">
        <v>30</v>
      </c>
      <c r="W71" s="3" t="s">
        <v>36</v>
      </c>
      <c r="X71" s="4" t="s">
        <v>730</v>
      </c>
      <c r="Y71" s="5"/>
      <c r="Z71" s="5"/>
      <c r="AA71" s="5"/>
      <c r="AB71" s="5"/>
      <c r="AC71" s="5"/>
      <c r="AD71" s="4" t="s">
        <v>841</v>
      </c>
      <c r="AE71" s="17" t="s">
        <v>1553</v>
      </c>
      <c r="AF71" s="3" t="s">
        <v>1400</v>
      </c>
      <c r="AG71" s="5"/>
      <c r="AH71" s="5"/>
      <c r="AI71" s="5"/>
      <c r="AJ71" s="3" t="s">
        <v>49</v>
      </c>
      <c r="AK71" s="18"/>
    </row>
    <row r="72" ht="12" customHeight="1" spans="1:37" x14ac:dyDescent="0.25">
      <c r="A72" s="13" t="s">
        <v>185</v>
      </c>
      <c r="B72" s="13" t="s">
        <v>40</v>
      </c>
      <c r="C72" s="13" t="s">
        <v>1397</v>
      </c>
      <c r="D72" s="14" t="s">
        <v>1405</v>
      </c>
      <c r="E72" s="15" t="s">
        <v>1554</v>
      </c>
      <c r="F72" s="3" t="s">
        <v>186</v>
      </c>
      <c r="G72" s="3" t="s">
        <v>958</v>
      </c>
      <c r="H72" s="16" t="s">
        <v>33</v>
      </c>
      <c r="I72" s="3" t="s">
        <v>1399</v>
      </c>
      <c r="J72" s="3" t="s">
        <v>1400</v>
      </c>
      <c r="K72" s="3"/>
      <c r="L72" s="16" t="s">
        <v>1401</v>
      </c>
      <c r="M72" s="3" t="s">
        <v>186</v>
      </c>
      <c r="N72" s="3" t="s">
        <v>1415</v>
      </c>
      <c r="O72" s="16" t="s">
        <v>1429</v>
      </c>
      <c r="P72" s="16"/>
      <c r="Q72" s="16"/>
      <c r="R72" s="3" t="s">
        <v>31</v>
      </c>
      <c r="S72" s="3" t="s">
        <v>32</v>
      </c>
      <c r="T72" s="3" t="s">
        <v>40</v>
      </c>
      <c r="U72" s="3" t="s">
        <v>35</v>
      </c>
      <c r="V72" s="4" t="s">
        <v>30</v>
      </c>
      <c r="W72" s="3" t="s">
        <v>36</v>
      </c>
      <c r="X72" s="4" t="s">
        <v>730</v>
      </c>
      <c r="Y72" s="5"/>
      <c r="Z72" s="5"/>
      <c r="AA72" s="5"/>
      <c r="AB72" s="5"/>
      <c r="AC72" s="5"/>
      <c r="AD72" s="4" t="s">
        <v>1405</v>
      </c>
      <c r="AE72" s="17" t="s">
        <v>1555</v>
      </c>
      <c r="AF72" s="3" t="s">
        <v>1400</v>
      </c>
      <c r="AG72" s="5"/>
      <c r="AH72" s="5"/>
      <c r="AI72" s="5"/>
      <c r="AJ72" s="3" t="s">
        <v>187</v>
      </c>
      <c r="AK72" s="18"/>
    </row>
    <row r="73" ht="12" customHeight="1" spans="1:37" x14ac:dyDescent="0.25">
      <c r="A73" s="13" t="s">
        <v>176</v>
      </c>
      <c r="B73" s="13" t="s">
        <v>40</v>
      </c>
      <c r="C73" s="13" t="s">
        <v>1397</v>
      </c>
      <c r="D73" s="14" t="s">
        <v>774</v>
      </c>
      <c r="E73" s="15" t="s">
        <v>1556</v>
      </c>
      <c r="F73" s="3" t="s">
        <v>177</v>
      </c>
      <c r="G73" s="3" t="s">
        <v>732</v>
      </c>
      <c r="H73" s="16" t="s">
        <v>33</v>
      </c>
      <c r="I73" s="3" t="s">
        <v>1399</v>
      </c>
      <c r="J73" s="3" t="s">
        <v>1400</v>
      </c>
      <c r="K73" s="3"/>
      <c r="L73" s="16" t="s">
        <v>1401</v>
      </c>
      <c r="M73" s="3" t="s">
        <v>177</v>
      </c>
      <c r="N73" s="3" t="s">
        <v>1547</v>
      </c>
      <c r="O73" s="16" t="s">
        <v>1429</v>
      </c>
      <c r="P73" s="16"/>
      <c r="Q73" s="16"/>
      <c r="R73" s="3" t="s">
        <v>31</v>
      </c>
      <c r="S73" s="3" t="s">
        <v>32</v>
      </c>
      <c r="T73" s="3" t="s">
        <v>40</v>
      </c>
      <c r="U73" s="3" t="s">
        <v>35</v>
      </c>
      <c r="V73" s="4" t="s">
        <v>30</v>
      </c>
      <c r="W73" s="3" t="s">
        <v>70</v>
      </c>
      <c r="X73" s="4" t="s">
        <v>966</v>
      </c>
      <c r="Y73" s="5"/>
      <c r="Z73" s="5"/>
      <c r="AA73" s="5"/>
      <c r="AB73" s="5"/>
      <c r="AC73" s="5"/>
      <c r="AD73" s="4" t="s">
        <v>774</v>
      </c>
      <c r="AE73" s="17" t="s">
        <v>1484</v>
      </c>
      <c r="AF73" s="3" t="s">
        <v>1400</v>
      </c>
      <c r="AG73" s="5"/>
      <c r="AH73" s="5"/>
      <c r="AI73" s="5"/>
      <c r="AJ73" s="3" t="s">
        <v>76</v>
      </c>
      <c r="AK73" s="18"/>
    </row>
    <row r="74" ht="12" customHeight="1" spans="1:37" x14ac:dyDescent="0.25">
      <c r="A74" s="13" t="s">
        <v>51</v>
      </c>
      <c r="B74" s="13" t="s">
        <v>40</v>
      </c>
      <c r="C74" s="13" t="s">
        <v>1397</v>
      </c>
      <c r="D74" s="14" t="s">
        <v>1405</v>
      </c>
      <c r="E74" s="15" t="s">
        <v>1557</v>
      </c>
      <c r="F74" s="3" t="s">
        <v>53</v>
      </c>
      <c r="G74" s="3" t="s">
        <v>1218</v>
      </c>
      <c r="H74" s="16" t="s">
        <v>33</v>
      </c>
      <c r="I74" s="3" t="s">
        <v>1399</v>
      </c>
      <c r="J74" s="3" t="s">
        <v>1400</v>
      </c>
      <c r="K74" s="3"/>
      <c r="L74" s="16" t="s">
        <v>1401</v>
      </c>
      <c r="M74" s="3" t="s">
        <v>53</v>
      </c>
      <c r="N74" s="3" t="s">
        <v>1558</v>
      </c>
      <c r="O74" s="16" t="s">
        <v>1411</v>
      </c>
      <c r="P74" s="16"/>
      <c r="Q74" s="16"/>
      <c r="R74" s="3" t="s">
        <v>31</v>
      </c>
      <c r="S74" s="3" t="s">
        <v>32</v>
      </c>
      <c r="T74" s="3" t="s">
        <v>40</v>
      </c>
      <c r="U74" s="3" t="s">
        <v>35</v>
      </c>
      <c r="V74" s="4" t="s">
        <v>30</v>
      </c>
      <c r="W74" s="3" t="s">
        <v>36</v>
      </c>
      <c r="X74" s="4" t="s">
        <v>730</v>
      </c>
      <c r="Y74" s="5"/>
      <c r="Z74" s="5"/>
      <c r="AA74" s="5"/>
      <c r="AB74" s="5"/>
      <c r="AC74" s="5"/>
      <c r="AD74" s="4" t="s">
        <v>1405</v>
      </c>
      <c r="AE74" s="17" t="s">
        <v>1408</v>
      </c>
      <c r="AF74" s="3" t="s">
        <v>1400</v>
      </c>
      <c r="AG74" s="5"/>
      <c r="AH74" s="5"/>
      <c r="AI74" s="5"/>
      <c r="AJ74" s="3" t="s">
        <v>56</v>
      </c>
      <c r="AK74" s="18"/>
    </row>
    <row r="75" ht="12" customHeight="1" spans="1:37" x14ac:dyDescent="0.25">
      <c r="A75" s="13" t="s">
        <v>57</v>
      </c>
      <c r="B75" s="13" t="s">
        <v>40</v>
      </c>
      <c r="C75" s="13" t="s">
        <v>1397</v>
      </c>
      <c r="D75" s="14" t="s">
        <v>774</v>
      </c>
      <c r="E75" s="15" t="s">
        <v>1559</v>
      </c>
      <c r="F75" s="3" t="s">
        <v>43</v>
      </c>
      <c r="G75" s="3" t="s">
        <v>47</v>
      </c>
      <c r="H75" s="16" t="s">
        <v>33</v>
      </c>
      <c r="I75" s="3" t="s">
        <v>1399</v>
      </c>
      <c r="J75" s="3" t="s">
        <v>1400</v>
      </c>
      <c r="K75" s="3"/>
      <c r="L75" s="16" t="s">
        <v>1401</v>
      </c>
      <c r="M75" s="3" t="s">
        <v>43</v>
      </c>
      <c r="N75" s="3" t="s">
        <v>1428</v>
      </c>
      <c r="O75" s="16" t="s">
        <v>1411</v>
      </c>
      <c r="P75" s="16"/>
      <c r="Q75" s="16"/>
      <c r="R75" s="3" t="s">
        <v>31</v>
      </c>
      <c r="S75" s="3" t="s">
        <v>32</v>
      </c>
      <c r="T75" s="3" t="s">
        <v>40</v>
      </c>
      <c r="U75" s="3" t="s">
        <v>35</v>
      </c>
      <c r="V75" s="4" t="s">
        <v>30</v>
      </c>
      <c r="W75" s="3" t="s">
        <v>36</v>
      </c>
      <c r="X75" s="4" t="s">
        <v>730</v>
      </c>
      <c r="Y75" s="5"/>
      <c r="Z75" s="5"/>
      <c r="AA75" s="5"/>
      <c r="AB75" s="5"/>
      <c r="AC75" s="5"/>
      <c r="AD75" s="4" t="s">
        <v>774</v>
      </c>
      <c r="AE75" s="17" t="s">
        <v>1560</v>
      </c>
      <c r="AF75" s="3" t="s">
        <v>1400</v>
      </c>
      <c r="AG75" s="5"/>
      <c r="AH75" s="5"/>
      <c r="AI75" s="5"/>
      <c r="AJ75" s="3" t="s">
        <v>49</v>
      </c>
      <c r="AK75" s="18"/>
    </row>
    <row r="76" ht="12" customHeight="1" spans="1:37" x14ac:dyDescent="0.25">
      <c r="A76" s="13" t="s">
        <v>59</v>
      </c>
      <c r="B76" s="13" t="s">
        <v>40</v>
      </c>
      <c r="C76" s="13" t="s">
        <v>1397</v>
      </c>
      <c r="D76" s="14" t="s">
        <v>1405</v>
      </c>
      <c r="E76" s="15" t="s">
        <v>1561</v>
      </c>
      <c r="F76" s="3" t="s">
        <v>53</v>
      </c>
      <c r="G76" s="3" t="s">
        <v>1218</v>
      </c>
      <c r="H76" s="16" t="s">
        <v>33</v>
      </c>
      <c r="I76" s="3" t="s">
        <v>1399</v>
      </c>
      <c r="J76" s="3" t="s">
        <v>1400</v>
      </c>
      <c r="K76" s="3"/>
      <c r="L76" s="16" t="s">
        <v>1401</v>
      </c>
      <c r="M76" s="3" t="s">
        <v>53</v>
      </c>
      <c r="N76" s="3" t="s">
        <v>1558</v>
      </c>
      <c r="O76" s="16" t="s">
        <v>1411</v>
      </c>
      <c r="P76" s="16"/>
      <c r="Q76" s="16"/>
      <c r="R76" s="3" t="s">
        <v>31</v>
      </c>
      <c r="S76" s="3" t="s">
        <v>32</v>
      </c>
      <c r="T76" s="3" t="s">
        <v>40</v>
      </c>
      <c r="U76" s="3" t="s">
        <v>35</v>
      </c>
      <c r="V76" s="4" t="s">
        <v>30</v>
      </c>
      <c r="W76" s="3" t="s">
        <v>36</v>
      </c>
      <c r="X76" s="4" t="s">
        <v>730</v>
      </c>
      <c r="Y76" s="5"/>
      <c r="Z76" s="5"/>
      <c r="AA76" s="5"/>
      <c r="AB76" s="5"/>
      <c r="AC76" s="5"/>
      <c r="AD76" s="4" t="s">
        <v>1405</v>
      </c>
      <c r="AE76" s="17" t="s">
        <v>1562</v>
      </c>
      <c r="AF76" s="3" t="s">
        <v>1400</v>
      </c>
      <c r="AG76" s="5"/>
      <c r="AH76" s="5"/>
      <c r="AI76" s="5"/>
      <c r="AJ76" s="3" t="s">
        <v>56</v>
      </c>
      <c r="AK76" s="18"/>
    </row>
    <row r="77" ht="12" customHeight="1" spans="1:37" x14ac:dyDescent="0.25">
      <c r="A77" s="13" t="s">
        <v>88</v>
      </c>
      <c r="B77" s="13" t="s">
        <v>40</v>
      </c>
      <c r="C77" s="13" t="s">
        <v>1397</v>
      </c>
      <c r="D77" s="14" t="s">
        <v>769</v>
      </c>
      <c r="E77" s="15" t="s">
        <v>1563</v>
      </c>
      <c r="F77" s="3" t="s">
        <v>43</v>
      </c>
      <c r="G77" s="3" t="s">
        <v>47</v>
      </c>
      <c r="H77" s="16" t="s">
        <v>33</v>
      </c>
      <c r="I77" s="3" t="s">
        <v>1399</v>
      </c>
      <c r="J77" s="3" t="s">
        <v>1400</v>
      </c>
      <c r="K77" s="3"/>
      <c r="L77" s="16" t="s">
        <v>1401</v>
      </c>
      <c r="M77" s="3" t="s">
        <v>43</v>
      </c>
      <c r="N77" s="3" t="s">
        <v>1428</v>
      </c>
      <c r="O77" s="16" t="s">
        <v>1411</v>
      </c>
      <c r="P77" s="16"/>
      <c r="Q77" s="16"/>
      <c r="R77" s="3" t="s">
        <v>31</v>
      </c>
      <c r="S77" s="3" t="s">
        <v>32</v>
      </c>
      <c r="T77" s="3" t="s">
        <v>40</v>
      </c>
      <c r="U77" s="3" t="s">
        <v>35</v>
      </c>
      <c r="V77" s="4" t="s">
        <v>30</v>
      </c>
      <c r="W77" s="3" t="s">
        <v>36</v>
      </c>
      <c r="X77" s="4" t="s">
        <v>730</v>
      </c>
      <c r="Y77" s="5"/>
      <c r="Z77" s="5"/>
      <c r="AA77" s="5"/>
      <c r="AB77" s="5"/>
      <c r="AC77" s="5"/>
      <c r="AD77" s="4" t="s">
        <v>769</v>
      </c>
      <c r="AE77" s="17" t="s">
        <v>1433</v>
      </c>
      <c r="AF77" s="3" t="s">
        <v>1400</v>
      </c>
      <c r="AG77" s="5"/>
      <c r="AH77" s="5"/>
      <c r="AI77" s="5"/>
      <c r="AJ77" s="3" t="s">
        <v>49</v>
      </c>
      <c r="AK77" s="18"/>
    </row>
    <row r="78" ht="12" customHeight="1" spans="1:37" x14ac:dyDescent="0.25">
      <c r="A78" s="13" t="s">
        <v>570</v>
      </c>
      <c r="B78" s="13" t="s">
        <v>40</v>
      </c>
      <c r="C78" s="13" t="s">
        <v>1397</v>
      </c>
      <c r="D78" s="14" t="s">
        <v>841</v>
      </c>
      <c r="E78" s="15" t="s">
        <v>1564</v>
      </c>
      <c r="F78" s="3" t="s">
        <v>43</v>
      </c>
      <c r="G78" s="3" t="s">
        <v>47</v>
      </c>
      <c r="H78" s="16" t="s">
        <v>33</v>
      </c>
      <c r="I78" s="3" t="s">
        <v>1399</v>
      </c>
      <c r="J78" s="3" t="s">
        <v>1400</v>
      </c>
      <c r="K78" s="3"/>
      <c r="L78" s="16" t="s">
        <v>1401</v>
      </c>
      <c r="M78" s="3" t="s">
        <v>43</v>
      </c>
      <c r="N78" s="3" t="s">
        <v>1428</v>
      </c>
      <c r="O78" s="16" t="s">
        <v>1439</v>
      </c>
      <c r="P78" s="16"/>
      <c r="Q78" s="16"/>
      <c r="R78" s="3" t="s">
        <v>31</v>
      </c>
      <c r="S78" s="3" t="s">
        <v>32</v>
      </c>
      <c r="T78" s="3" t="s">
        <v>40</v>
      </c>
      <c r="U78" s="3" t="s">
        <v>35</v>
      </c>
      <c r="V78" s="4" t="s">
        <v>30</v>
      </c>
      <c r="W78" s="3" t="s">
        <v>36</v>
      </c>
      <c r="X78" s="4" t="s">
        <v>730</v>
      </c>
      <c r="Y78" s="5"/>
      <c r="Z78" s="5"/>
      <c r="AA78" s="5"/>
      <c r="AB78" s="5"/>
      <c r="AC78" s="5"/>
      <c r="AD78" s="4" t="s">
        <v>841</v>
      </c>
      <c r="AE78" s="17" t="s">
        <v>1565</v>
      </c>
      <c r="AF78" s="3" t="s">
        <v>1400</v>
      </c>
      <c r="AG78" s="5"/>
      <c r="AH78" s="5"/>
      <c r="AI78" s="5"/>
      <c r="AJ78" s="3" t="s">
        <v>49</v>
      </c>
      <c r="AK78" s="18"/>
    </row>
    <row r="79" ht="12" customHeight="1" spans="1:37" x14ac:dyDescent="0.25">
      <c r="A79" s="13" t="s">
        <v>573</v>
      </c>
      <c r="B79" s="13" t="s">
        <v>40</v>
      </c>
      <c r="C79" s="13" t="s">
        <v>1397</v>
      </c>
      <c r="D79" s="14" t="s">
        <v>1033</v>
      </c>
      <c r="E79" s="15" t="s">
        <v>1566</v>
      </c>
      <c r="F79" s="3" t="s">
        <v>79</v>
      </c>
      <c r="G79" s="3" t="s">
        <v>802</v>
      </c>
      <c r="H79" s="16" t="s">
        <v>33</v>
      </c>
      <c r="I79" s="3" t="s">
        <v>1399</v>
      </c>
      <c r="J79" s="3" t="s">
        <v>1400</v>
      </c>
      <c r="K79" s="3"/>
      <c r="L79" s="16" t="s">
        <v>1401</v>
      </c>
      <c r="M79" s="3" t="s">
        <v>79</v>
      </c>
      <c r="N79" s="3" t="s">
        <v>1410</v>
      </c>
      <c r="O79" s="16" t="s">
        <v>1439</v>
      </c>
      <c r="P79" s="16"/>
      <c r="Q79" s="16"/>
      <c r="R79" s="3" t="s">
        <v>1412</v>
      </c>
      <c r="S79" s="3" t="s">
        <v>32</v>
      </c>
      <c r="T79" s="3" t="s">
        <v>40</v>
      </c>
      <c r="U79" s="3" t="s">
        <v>35</v>
      </c>
      <c r="V79" s="4" t="s">
        <v>30</v>
      </c>
      <c r="W79" s="3" t="s">
        <v>36</v>
      </c>
      <c r="X79" s="4" t="s">
        <v>730</v>
      </c>
      <c r="Y79" s="5"/>
      <c r="Z79" s="5"/>
      <c r="AA79" s="5"/>
      <c r="AB79" s="5"/>
      <c r="AC79" s="5"/>
      <c r="AD79" s="4" t="s">
        <v>1033</v>
      </c>
      <c r="AE79" s="17" t="s">
        <v>1468</v>
      </c>
      <c r="AF79" s="3" t="s">
        <v>1400</v>
      </c>
      <c r="AG79" s="5"/>
      <c r="AH79" s="5"/>
      <c r="AI79" s="5"/>
      <c r="AJ79" s="3" t="s">
        <v>83</v>
      </c>
      <c r="AK79" s="18"/>
    </row>
    <row r="80" ht="12" customHeight="1" spans="1:37" x14ac:dyDescent="0.25">
      <c r="A80" s="13" t="s">
        <v>572</v>
      </c>
      <c r="B80" s="13" t="s">
        <v>40</v>
      </c>
      <c r="C80" s="13" t="s">
        <v>1397</v>
      </c>
      <c r="D80" s="14" t="s">
        <v>841</v>
      </c>
      <c r="E80" s="15" t="s">
        <v>1567</v>
      </c>
      <c r="F80" s="3" t="s">
        <v>43</v>
      </c>
      <c r="G80" s="3" t="s">
        <v>47</v>
      </c>
      <c r="H80" s="16" t="s">
        <v>33</v>
      </c>
      <c r="I80" s="3" t="s">
        <v>1399</v>
      </c>
      <c r="J80" s="3" t="s">
        <v>1400</v>
      </c>
      <c r="K80" s="3"/>
      <c r="L80" s="16" t="s">
        <v>1401</v>
      </c>
      <c r="M80" s="3" t="s">
        <v>43</v>
      </c>
      <c r="N80" s="3" t="s">
        <v>1428</v>
      </c>
      <c r="O80" s="16" t="s">
        <v>1439</v>
      </c>
      <c r="P80" s="16"/>
      <c r="Q80" s="16"/>
      <c r="R80" s="3" t="s">
        <v>31</v>
      </c>
      <c r="S80" s="3" t="s">
        <v>32</v>
      </c>
      <c r="T80" s="3" t="s">
        <v>40</v>
      </c>
      <c r="U80" s="3" t="s">
        <v>35</v>
      </c>
      <c r="V80" s="4" t="s">
        <v>30</v>
      </c>
      <c r="W80" s="3" t="s">
        <v>36</v>
      </c>
      <c r="X80" s="4" t="s">
        <v>730</v>
      </c>
      <c r="Y80" s="5"/>
      <c r="Z80" s="5"/>
      <c r="AA80" s="5"/>
      <c r="AB80" s="5"/>
      <c r="AC80" s="5"/>
      <c r="AD80" s="4" t="s">
        <v>841</v>
      </c>
      <c r="AE80" s="17" t="s">
        <v>1446</v>
      </c>
      <c r="AF80" s="3" t="s">
        <v>1400</v>
      </c>
      <c r="AG80" s="5"/>
      <c r="AH80" s="5"/>
      <c r="AI80" s="5"/>
      <c r="AJ80" s="3" t="s">
        <v>49</v>
      </c>
      <c r="AK80" s="18"/>
    </row>
    <row r="81" ht="12" customHeight="1" spans="1:37" x14ac:dyDescent="0.25">
      <c r="A81" s="13" t="s">
        <v>574</v>
      </c>
      <c r="B81" s="13" t="s">
        <v>40</v>
      </c>
      <c r="C81" s="13" t="s">
        <v>1397</v>
      </c>
      <c r="D81" s="14" t="s">
        <v>1568</v>
      </c>
      <c r="E81" s="15" t="s">
        <v>1569</v>
      </c>
      <c r="F81" s="3" t="s">
        <v>79</v>
      </c>
      <c r="G81" s="3" t="s">
        <v>802</v>
      </c>
      <c r="H81" s="16" t="s">
        <v>33</v>
      </c>
      <c r="I81" s="3" t="s">
        <v>1399</v>
      </c>
      <c r="J81" s="3" t="s">
        <v>1400</v>
      </c>
      <c r="K81" s="3"/>
      <c r="L81" s="16" t="s">
        <v>1401</v>
      </c>
      <c r="M81" s="3" t="s">
        <v>79</v>
      </c>
      <c r="N81" s="3" t="s">
        <v>1410</v>
      </c>
      <c r="O81" s="16" t="s">
        <v>1439</v>
      </c>
      <c r="P81" s="16"/>
      <c r="Q81" s="16"/>
      <c r="R81" s="3" t="s">
        <v>1412</v>
      </c>
      <c r="S81" s="3" t="s">
        <v>32</v>
      </c>
      <c r="T81" s="3" t="s">
        <v>40</v>
      </c>
      <c r="U81" s="3" t="s">
        <v>35</v>
      </c>
      <c r="V81" s="4" t="s">
        <v>30</v>
      </c>
      <c r="W81" s="3" t="s">
        <v>36</v>
      </c>
      <c r="X81" s="4" t="s">
        <v>730</v>
      </c>
      <c r="Y81" s="5"/>
      <c r="Z81" s="5"/>
      <c r="AA81" s="5"/>
      <c r="AB81" s="5"/>
      <c r="AC81" s="5"/>
      <c r="AD81" s="4" t="s">
        <v>1568</v>
      </c>
      <c r="AE81" s="17" t="s">
        <v>1570</v>
      </c>
      <c r="AF81" s="3" t="s">
        <v>1400</v>
      </c>
      <c r="AG81" s="5"/>
      <c r="AH81" s="5"/>
      <c r="AI81" s="5"/>
      <c r="AJ81" s="3" t="s">
        <v>83</v>
      </c>
      <c r="AK81" s="18"/>
    </row>
    <row r="82" ht="12" customHeight="1" spans="1:37" x14ac:dyDescent="0.25">
      <c r="A82" s="13" t="s">
        <v>467</v>
      </c>
      <c r="B82" s="13" t="s">
        <v>40</v>
      </c>
      <c r="C82" s="13" t="s">
        <v>1397</v>
      </c>
      <c r="D82" s="14" t="s">
        <v>1033</v>
      </c>
      <c r="E82" s="15" t="s">
        <v>1571</v>
      </c>
      <c r="F82" s="3" t="s">
        <v>79</v>
      </c>
      <c r="G82" s="3" t="s">
        <v>802</v>
      </c>
      <c r="H82" s="16" t="s">
        <v>33</v>
      </c>
      <c r="I82" s="3" t="s">
        <v>1399</v>
      </c>
      <c r="J82" s="3" t="s">
        <v>1400</v>
      </c>
      <c r="K82" s="3"/>
      <c r="L82" s="16" t="s">
        <v>1401</v>
      </c>
      <c r="M82" s="3" t="s">
        <v>79</v>
      </c>
      <c r="N82" s="3" t="s">
        <v>1410</v>
      </c>
      <c r="O82" s="16" t="s">
        <v>1422</v>
      </c>
      <c r="P82" s="16"/>
      <c r="Q82" s="16"/>
      <c r="R82" s="3" t="s">
        <v>1412</v>
      </c>
      <c r="S82" s="3" t="s">
        <v>32</v>
      </c>
      <c r="T82" s="3" t="s">
        <v>40</v>
      </c>
      <c r="U82" s="3" t="s">
        <v>35</v>
      </c>
      <c r="V82" s="4" t="s">
        <v>30</v>
      </c>
      <c r="W82" s="3" t="s">
        <v>36</v>
      </c>
      <c r="X82" s="4" t="s">
        <v>730</v>
      </c>
      <c r="Y82" s="5"/>
      <c r="Z82" s="5"/>
      <c r="AA82" s="5"/>
      <c r="AB82" s="5"/>
      <c r="AC82" s="5"/>
      <c r="AD82" s="4" t="s">
        <v>1033</v>
      </c>
      <c r="AE82" s="17" t="s">
        <v>1434</v>
      </c>
      <c r="AF82" s="3" t="s">
        <v>1400</v>
      </c>
      <c r="AG82" s="5"/>
      <c r="AH82" s="5"/>
      <c r="AI82" s="5"/>
      <c r="AJ82" s="3" t="s">
        <v>83</v>
      </c>
      <c r="AK82" s="18"/>
    </row>
    <row r="83" ht="12" customHeight="1" spans="1:37" x14ac:dyDescent="0.25">
      <c r="A83" s="13" t="s">
        <v>462</v>
      </c>
      <c r="B83" s="13" t="s">
        <v>40</v>
      </c>
      <c r="C83" s="13" t="s">
        <v>1397</v>
      </c>
      <c r="D83" s="14" t="s">
        <v>1405</v>
      </c>
      <c r="E83" s="15" t="s">
        <v>1572</v>
      </c>
      <c r="F83" s="3" t="s">
        <v>463</v>
      </c>
      <c r="G83" s="3" t="s">
        <v>1107</v>
      </c>
      <c r="H83" s="16" t="s">
        <v>33</v>
      </c>
      <c r="I83" s="3" t="s">
        <v>1399</v>
      </c>
      <c r="J83" s="3" t="s">
        <v>1573</v>
      </c>
      <c r="K83" s="3" t="s">
        <v>34</v>
      </c>
      <c r="L83" s="16" t="s">
        <v>1401</v>
      </c>
      <c r="M83" s="3" t="s">
        <v>463</v>
      </c>
      <c r="N83" s="3" t="s">
        <v>1418</v>
      </c>
      <c r="O83" s="16" t="s">
        <v>1422</v>
      </c>
      <c r="P83" s="16"/>
      <c r="Q83" s="16"/>
      <c r="R83" s="3" t="s">
        <v>31</v>
      </c>
      <c r="S83" s="3" t="s">
        <v>32</v>
      </c>
      <c r="T83" s="3" t="s">
        <v>40</v>
      </c>
      <c r="U83" s="3" t="s">
        <v>35</v>
      </c>
      <c r="V83" s="4" t="s">
        <v>30</v>
      </c>
      <c r="W83" s="3" t="s">
        <v>36</v>
      </c>
      <c r="X83" s="4" t="s">
        <v>730</v>
      </c>
      <c r="Y83" s="5"/>
      <c r="Z83" s="5"/>
      <c r="AA83" s="5"/>
      <c r="AB83" s="5"/>
      <c r="AC83" s="5"/>
      <c r="AD83" s="4" t="s">
        <v>759</v>
      </c>
      <c r="AE83" s="17" t="s">
        <v>1574</v>
      </c>
      <c r="AF83" s="3" t="s">
        <v>1575</v>
      </c>
      <c r="AG83" s="5"/>
      <c r="AH83" s="5"/>
      <c r="AI83" s="5"/>
      <c r="AJ83" s="3" t="s">
        <v>466</v>
      </c>
      <c r="AK83" s="18">
        <v>0</v>
      </c>
    </row>
    <row r="84" ht="12" customHeight="1" spans="1:37" x14ac:dyDescent="0.25">
      <c r="A84" s="13" t="s">
        <v>498</v>
      </c>
      <c r="B84" s="13" t="s">
        <v>40</v>
      </c>
      <c r="C84" s="13" t="s">
        <v>1397</v>
      </c>
      <c r="D84" s="14" t="s">
        <v>1033</v>
      </c>
      <c r="E84" s="15" t="s">
        <v>1576</v>
      </c>
      <c r="F84" s="3" t="s">
        <v>79</v>
      </c>
      <c r="G84" s="3" t="s">
        <v>802</v>
      </c>
      <c r="H84" s="16" t="s">
        <v>33</v>
      </c>
      <c r="I84" s="3" t="s">
        <v>1399</v>
      </c>
      <c r="J84" s="3" t="s">
        <v>1400</v>
      </c>
      <c r="K84" s="3"/>
      <c r="L84" s="16" t="s">
        <v>1401</v>
      </c>
      <c r="M84" s="3" t="s">
        <v>79</v>
      </c>
      <c r="N84" s="3" t="s">
        <v>1410</v>
      </c>
      <c r="O84" s="16" t="s">
        <v>1577</v>
      </c>
      <c r="P84" s="16"/>
      <c r="Q84" s="16"/>
      <c r="R84" s="3" t="s">
        <v>1412</v>
      </c>
      <c r="S84" s="3" t="s">
        <v>32</v>
      </c>
      <c r="T84" s="3" t="s">
        <v>40</v>
      </c>
      <c r="U84" s="3" t="s">
        <v>35</v>
      </c>
      <c r="V84" s="4" t="s">
        <v>30</v>
      </c>
      <c r="W84" s="3" t="s">
        <v>36</v>
      </c>
      <c r="X84" s="4" t="s">
        <v>730</v>
      </c>
      <c r="Y84" s="5"/>
      <c r="Z84" s="5"/>
      <c r="AA84" s="5"/>
      <c r="AB84" s="5"/>
      <c r="AC84" s="5"/>
      <c r="AD84" s="4" t="s">
        <v>1033</v>
      </c>
      <c r="AE84" s="17" t="s">
        <v>1578</v>
      </c>
      <c r="AF84" s="3" t="s">
        <v>1400</v>
      </c>
      <c r="AG84" s="5"/>
      <c r="AH84" s="5"/>
      <c r="AI84" s="5"/>
      <c r="AJ84" s="3" t="s">
        <v>83</v>
      </c>
      <c r="AK84" s="18"/>
    </row>
    <row r="85" ht="12" customHeight="1" spans="1:37" x14ac:dyDescent="0.25">
      <c r="A85" s="13" t="s">
        <v>479</v>
      </c>
      <c r="B85" s="13" t="s">
        <v>40</v>
      </c>
      <c r="C85" s="13" t="s">
        <v>1397</v>
      </c>
      <c r="D85" s="14" t="s">
        <v>774</v>
      </c>
      <c r="E85" s="15" t="s">
        <v>1579</v>
      </c>
      <c r="F85" s="3" t="s">
        <v>71</v>
      </c>
      <c r="G85" s="3" t="s">
        <v>732</v>
      </c>
      <c r="H85" s="16" t="s">
        <v>33</v>
      </c>
      <c r="I85" s="3" t="s">
        <v>1399</v>
      </c>
      <c r="J85" s="3" t="s">
        <v>1400</v>
      </c>
      <c r="K85" s="3"/>
      <c r="L85" s="16" t="s">
        <v>1401</v>
      </c>
      <c r="M85" s="3" t="s">
        <v>71</v>
      </c>
      <c r="N85" s="3" t="s">
        <v>1547</v>
      </c>
      <c r="O85" s="16" t="s">
        <v>1460</v>
      </c>
      <c r="P85" s="16"/>
      <c r="Q85" s="16"/>
      <c r="R85" s="3" t="s">
        <v>31</v>
      </c>
      <c r="S85" s="3" t="s">
        <v>32</v>
      </c>
      <c r="T85" s="3" t="s">
        <v>40</v>
      </c>
      <c r="U85" s="3" t="s">
        <v>35</v>
      </c>
      <c r="V85" s="4" t="s">
        <v>30</v>
      </c>
      <c r="W85" s="3" t="s">
        <v>70</v>
      </c>
      <c r="X85" s="4" t="s">
        <v>966</v>
      </c>
      <c r="Y85" s="5"/>
      <c r="Z85" s="5"/>
      <c r="AA85" s="5"/>
      <c r="AB85" s="5"/>
      <c r="AC85" s="5"/>
      <c r="AD85" s="4" t="s">
        <v>774</v>
      </c>
      <c r="AE85" s="17" t="s">
        <v>1476</v>
      </c>
      <c r="AF85" s="3" t="s">
        <v>1400</v>
      </c>
      <c r="AG85" s="5"/>
      <c r="AH85" s="5"/>
      <c r="AI85" s="5"/>
      <c r="AJ85" s="3" t="s">
        <v>76</v>
      </c>
      <c r="AK85" s="18"/>
    </row>
    <row r="86" ht="12" customHeight="1" spans="1:37" x14ac:dyDescent="0.25">
      <c r="A86" s="13" t="s">
        <v>481</v>
      </c>
      <c r="B86" s="13" t="s">
        <v>40</v>
      </c>
      <c r="C86" s="13" t="s">
        <v>1397</v>
      </c>
      <c r="D86" s="14" t="s">
        <v>1568</v>
      </c>
      <c r="E86" s="15" t="s">
        <v>1580</v>
      </c>
      <c r="F86" s="3" t="s">
        <v>79</v>
      </c>
      <c r="G86" s="3" t="s">
        <v>802</v>
      </c>
      <c r="H86" s="16" t="s">
        <v>33</v>
      </c>
      <c r="I86" s="3" t="s">
        <v>1399</v>
      </c>
      <c r="J86" s="3" t="s">
        <v>1400</v>
      </c>
      <c r="K86" s="3"/>
      <c r="L86" s="16" t="s">
        <v>1401</v>
      </c>
      <c r="M86" s="3" t="s">
        <v>79</v>
      </c>
      <c r="N86" s="3" t="s">
        <v>1410</v>
      </c>
      <c r="O86" s="16" t="s">
        <v>1460</v>
      </c>
      <c r="P86" s="16"/>
      <c r="Q86" s="16"/>
      <c r="R86" s="3" t="s">
        <v>1412</v>
      </c>
      <c r="S86" s="3" t="s">
        <v>32</v>
      </c>
      <c r="T86" s="3" t="s">
        <v>40</v>
      </c>
      <c r="U86" s="3" t="s">
        <v>35</v>
      </c>
      <c r="V86" s="4" t="s">
        <v>30</v>
      </c>
      <c r="W86" s="3" t="s">
        <v>36</v>
      </c>
      <c r="X86" s="4" t="s">
        <v>730</v>
      </c>
      <c r="Y86" s="5"/>
      <c r="Z86" s="5"/>
      <c r="AA86" s="5"/>
      <c r="AB86" s="5"/>
      <c r="AC86" s="5"/>
      <c r="AD86" s="4" t="s">
        <v>1033</v>
      </c>
      <c r="AE86" s="17" t="s">
        <v>1581</v>
      </c>
      <c r="AF86" s="3" t="s">
        <v>1400</v>
      </c>
      <c r="AG86" s="5"/>
      <c r="AH86" s="5"/>
      <c r="AI86" s="5"/>
      <c r="AJ86" s="3" t="s">
        <v>83</v>
      </c>
      <c r="AK86" s="18"/>
    </row>
    <row r="87" ht="12" customHeight="1" spans="1:37" x14ac:dyDescent="0.25">
      <c r="A87" s="13" t="s">
        <v>207</v>
      </c>
      <c r="B87" s="13" t="s">
        <v>40</v>
      </c>
      <c r="C87" s="13" t="s">
        <v>1397</v>
      </c>
      <c r="D87" s="14" t="s">
        <v>1568</v>
      </c>
      <c r="E87" s="15" t="s">
        <v>1582</v>
      </c>
      <c r="F87" s="3" t="s">
        <v>79</v>
      </c>
      <c r="G87" s="3" t="s">
        <v>802</v>
      </c>
      <c r="H87" s="16" t="s">
        <v>33</v>
      </c>
      <c r="I87" s="3" t="s">
        <v>1399</v>
      </c>
      <c r="J87" s="3" t="s">
        <v>1400</v>
      </c>
      <c r="K87" s="3"/>
      <c r="L87" s="16" t="s">
        <v>1401</v>
      </c>
      <c r="M87" s="3" t="s">
        <v>79</v>
      </c>
      <c r="N87" s="3" t="s">
        <v>1410</v>
      </c>
      <c r="O87" s="16" t="s">
        <v>1460</v>
      </c>
      <c r="P87" s="16"/>
      <c r="Q87" s="16"/>
      <c r="R87" s="3" t="s">
        <v>1412</v>
      </c>
      <c r="S87" s="3" t="s">
        <v>32</v>
      </c>
      <c r="T87" s="3" t="s">
        <v>40</v>
      </c>
      <c r="U87" s="3" t="s">
        <v>35</v>
      </c>
      <c r="V87" s="4" t="s">
        <v>30</v>
      </c>
      <c r="W87" s="3" t="s">
        <v>36</v>
      </c>
      <c r="X87" s="4" t="s">
        <v>730</v>
      </c>
      <c r="Y87" s="5"/>
      <c r="Z87" s="5"/>
      <c r="AA87" s="5"/>
      <c r="AB87" s="5"/>
      <c r="AC87" s="5"/>
      <c r="AD87" s="4" t="s">
        <v>1568</v>
      </c>
      <c r="AE87" s="17" t="s">
        <v>1583</v>
      </c>
      <c r="AF87" s="3" t="s">
        <v>1400</v>
      </c>
      <c r="AG87" s="5"/>
      <c r="AH87" s="5"/>
      <c r="AI87" s="5"/>
      <c r="AJ87" s="3" t="s">
        <v>83</v>
      </c>
      <c r="AK87" s="18"/>
    </row>
    <row r="88" ht="12" customHeight="1" spans="1:37" x14ac:dyDescent="0.25">
      <c r="A88" s="13" t="s">
        <v>473</v>
      </c>
      <c r="B88" s="13" t="s">
        <v>40</v>
      </c>
      <c r="C88" s="13" t="s">
        <v>1397</v>
      </c>
      <c r="D88" s="14" t="s">
        <v>1405</v>
      </c>
      <c r="E88" s="15" t="s">
        <v>1584</v>
      </c>
      <c r="F88" s="3" t="s">
        <v>232</v>
      </c>
      <c r="G88" s="3" t="s">
        <v>834</v>
      </c>
      <c r="H88" s="16" t="s">
        <v>33</v>
      </c>
      <c r="I88" s="3" t="s">
        <v>1399</v>
      </c>
      <c r="J88" s="3" t="s">
        <v>1400</v>
      </c>
      <c r="K88" s="3"/>
      <c r="L88" s="16" t="s">
        <v>1401</v>
      </c>
      <c r="M88" s="3" t="s">
        <v>232</v>
      </c>
      <c r="N88" s="3" t="s">
        <v>1418</v>
      </c>
      <c r="O88" s="16" t="s">
        <v>1460</v>
      </c>
      <c r="P88" s="16"/>
      <c r="Q88" s="16"/>
      <c r="R88" s="3" t="s">
        <v>31</v>
      </c>
      <c r="S88" s="3" t="s">
        <v>32</v>
      </c>
      <c r="T88" s="3" t="s">
        <v>40</v>
      </c>
      <c r="U88" s="3" t="s">
        <v>35</v>
      </c>
      <c r="V88" s="4" t="s">
        <v>30</v>
      </c>
      <c r="W88" s="3" t="s">
        <v>36</v>
      </c>
      <c r="X88" s="4" t="s">
        <v>730</v>
      </c>
      <c r="Y88" s="5"/>
      <c r="Z88" s="5"/>
      <c r="AA88" s="5"/>
      <c r="AB88" s="5"/>
      <c r="AC88" s="5"/>
      <c r="AD88" s="4" t="s">
        <v>759</v>
      </c>
      <c r="AE88" s="17" t="s">
        <v>1482</v>
      </c>
      <c r="AF88" s="3" t="s">
        <v>1400</v>
      </c>
      <c r="AG88" s="5"/>
      <c r="AH88" s="5"/>
      <c r="AI88" s="5"/>
      <c r="AJ88" s="3" t="s">
        <v>234</v>
      </c>
      <c r="AK88" s="18"/>
    </row>
    <row r="89" ht="12" customHeight="1" spans="1:37" x14ac:dyDescent="0.25">
      <c r="A89" s="13" t="s">
        <v>475</v>
      </c>
      <c r="B89" s="13" t="s">
        <v>40</v>
      </c>
      <c r="C89" s="13" t="s">
        <v>1397</v>
      </c>
      <c r="D89" s="14" t="s">
        <v>759</v>
      </c>
      <c r="E89" s="15" t="s">
        <v>1585</v>
      </c>
      <c r="F89" s="3" t="s">
        <v>136</v>
      </c>
      <c r="G89" s="3" t="s">
        <v>1218</v>
      </c>
      <c r="H89" s="16" t="s">
        <v>33</v>
      </c>
      <c r="I89" s="3" t="s">
        <v>1399</v>
      </c>
      <c r="J89" s="3" t="s">
        <v>1400</v>
      </c>
      <c r="K89" s="3"/>
      <c r="L89" s="16" t="s">
        <v>1401</v>
      </c>
      <c r="M89" s="3" t="s">
        <v>136</v>
      </c>
      <c r="N89" s="3" t="s">
        <v>1435</v>
      </c>
      <c r="O89" s="16" t="s">
        <v>1460</v>
      </c>
      <c r="P89" s="16"/>
      <c r="Q89" s="16"/>
      <c r="R89" s="3" t="s">
        <v>31</v>
      </c>
      <c r="S89" s="3" t="s">
        <v>32</v>
      </c>
      <c r="T89" s="3" t="s">
        <v>40</v>
      </c>
      <c r="U89" s="3" t="s">
        <v>35</v>
      </c>
      <c r="V89" s="4" t="s">
        <v>30</v>
      </c>
      <c r="W89" s="3" t="s">
        <v>36</v>
      </c>
      <c r="X89" s="4" t="s">
        <v>730</v>
      </c>
      <c r="Y89" s="5"/>
      <c r="Z89" s="5"/>
      <c r="AA89" s="5"/>
      <c r="AB89" s="5"/>
      <c r="AC89" s="5"/>
      <c r="AD89" s="4" t="s">
        <v>759</v>
      </c>
      <c r="AE89" s="17" t="s">
        <v>1576</v>
      </c>
      <c r="AF89" s="3" t="s">
        <v>1400</v>
      </c>
      <c r="AG89" s="5"/>
      <c r="AH89" s="5"/>
      <c r="AI89" s="5"/>
      <c r="AJ89" s="3" t="s">
        <v>56</v>
      </c>
      <c r="AK89" s="18"/>
    </row>
    <row r="90" ht="12" customHeight="1" spans="1:37" x14ac:dyDescent="0.25">
      <c r="A90" s="13" t="s">
        <v>506</v>
      </c>
      <c r="B90" s="13" t="s">
        <v>40</v>
      </c>
      <c r="C90" s="13" t="s">
        <v>1397</v>
      </c>
      <c r="D90" s="14" t="s">
        <v>774</v>
      </c>
      <c r="E90" s="15" t="s">
        <v>1586</v>
      </c>
      <c r="F90" s="3" t="s">
        <v>117</v>
      </c>
      <c r="G90" s="3" t="s">
        <v>732</v>
      </c>
      <c r="H90" s="16" t="s">
        <v>33</v>
      </c>
      <c r="I90" s="3" t="s">
        <v>1399</v>
      </c>
      <c r="J90" s="3" t="s">
        <v>1400</v>
      </c>
      <c r="K90" s="3"/>
      <c r="L90" s="16" t="s">
        <v>1401</v>
      </c>
      <c r="M90" s="3" t="s">
        <v>117</v>
      </c>
      <c r="N90" s="3" t="s">
        <v>1587</v>
      </c>
      <c r="O90" s="16" t="s">
        <v>1460</v>
      </c>
      <c r="P90" s="16"/>
      <c r="Q90" s="16"/>
      <c r="R90" s="3" t="s">
        <v>31</v>
      </c>
      <c r="S90" s="3" t="s">
        <v>32</v>
      </c>
      <c r="T90" s="3" t="s">
        <v>40</v>
      </c>
      <c r="U90" s="3" t="s">
        <v>35</v>
      </c>
      <c r="V90" s="4" t="s">
        <v>30</v>
      </c>
      <c r="W90" s="3" t="s">
        <v>36</v>
      </c>
      <c r="X90" s="4" t="s">
        <v>730</v>
      </c>
      <c r="Y90" s="5"/>
      <c r="Z90" s="5"/>
      <c r="AA90" s="5"/>
      <c r="AB90" s="5"/>
      <c r="AC90" s="5"/>
      <c r="AD90" s="4" t="s">
        <v>774</v>
      </c>
      <c r="AE90" s="17" t="s">
        <v>1588</v>
      </c>
      <c r="AF90" s="3" t="s">
        <v>1400</v>
      </c>
      <c r="AG90" s="5"/>
      <c r="AH90" s="5"/>
      <c r="AI90" s="5"/>
      <c r="AJ90" s="3" t="s">
        <v>111</v>
      </c>
      <c r="AK90" s="18"/>
    </row>
    <row r="91" ht="12" customHeight="1" spans="1:37" x14ac:dyDescent="0.25">
      <c r="A91" s="13" t="s">
        <v>485</v>
      </c>
      <c r="B91" s="13" t="s">
        <v>40</v>
      </c>
      <c r="C91" s="13" t="s">
        <v>1397</v>
      </c>
      <c r="D91" s="14" t="s">
        <v>797</v>
      </c>
      <c r="E91" s="15" t="s">
        <v>1589</v>
      </c>
      <c r="F91" s="3" t="s">
        <v>43</v>
      </c>
      <c r="G91" s="3" t="s">
        <v>47</v>
      </c>
      <c r="H91" s="16" t="s">
        <v>33</v>
      </c>
      <c r="I91" s="3" t="s">
        <v>1399</v>
      </c>
      <c r="J91" s="3" t="s">
        <v>1400</v>
      </c>
      <c r="K91" s="3"/>
      <c r="L91" s="16" t="s">
        <v>1401</v>
      </c>
      <c r="M91" s="3" t="s">
        <v>43</v>
      </c>
      <c r="N91" s="3" t="s">
        <v>1428</v>
      </c>
      <c r="O91" s="16" t="s">
        <v>1460</v>
      </c>
      <c r="P91" s="16"/>
      <c r="Q91" s="16"/>
      <c r="R91" s="3" t="s">
        <v>31</v>
      </c>
      <c r="S91" s="3" t="s">
        <v>32</v>
      </c>
      <c r="T91" s="3" t="s">
        <v>40</v>
      </c>
      <c r="U91" s="3" t="s">
        <v>35</v>
      </c>
      <c r="V91" s="4" t="s">
        <v>30</v>
      </c>
      <c r="W91" s="3" t="s">
        <v>36</v>
      </c>
      <c r="X91" s="4" t="s">
        <v>730</v>
      </c>
      <c r="Y91" s="5"/>
      <c r="Z91" s="5"/>
      <c r="AA91" s="5"/>
      <c r="AB91" s="5"/>
      <c r="AC91" s="5"/>
      <c r="AD91" s="4" t="s">
        <v>769</v>
      </c>
      <c r="AE91" s="17" t="s">
        <v>1590</v>
      </c>
      <c r="AF91" s="3" t="s">
        <v>1400</v>
      </c>
      <c r="AG91" s="5"/>
      <c r="AH91" s="5"/>
      <c r="AI91" s="5"/>
      <c r="AJ91" s="3" t="s">
        <v>49</v>
      </c>
      <c r="AK91" s="18"/>
    </row>
    <row r="92" ht="12" customHeight="1" spans="1:37" x14ac:dyDescent="0.25">
      <c r="A92" s="13" t="s">
        <v>502</v>
      </c>
      <c r="B92" s="13" t="s">
        <v>40</v>
      </c>
      <c r="C92" s="13" t="s">
        <v>1397</v>
      </c>
      <c r="D92" s="14" t="s">
        <v>744</v>
      </c>
      <c r="E92" s="15" t="s">
        <v>1591</v>
      </c>
      <c r="F92" s="3" t="s">
        <v>165</v>
      </c>
      <c r="G92" s="3" t="s">
        <v>1028</v>
      </c>
      <c r="H92" s="16" t="s">
        <v>33</v>
      </c>
      <c r="I92" s="3" t="s">
        <v>1399</v>
      </c>
      <c r="J92" s="3" t="s">
        <v>1400</v>
      </c>
      <c r="K92" s="3"/>
      <c r="L92" s="16" t="s">
        <v>1401</v>
      </c>
      <c r="M92" s="3" t="s">
        <v>165</v>
      </c>
      <c r="N92" s="3" t="s">
        <v>1418</v>
      </c>
      <c r="O92" s="16" t="s">
        <v>1460</v>
      </c>
      <c r="P92" s="16"/>
      <c r="Q92" s="16"/>
      <c r="R92" s="3" t="s">
        <v>1412</v>
      </c>
      <c r="S92" s="3" t="s">
        <v>32</v>
      </c>
      <c r="T92" s="3" t="s">
        <v>40</v>
      </c>
      <c r="U92" s="3" t="s">
        <v>35</v>
      </c>
      <c r="V92" s="4" t="s">
        <v>30</v>
      </c>
      <c r="W92" s="3" t="s">
        <v>36</v>
      </c>
      <c r="X92" s="4" t="s">
        <v>730</v>
      </c>
      <c r="Y92" s="5"/>
      <c r="Z92" s="5"/>
      <c r="AA92" s="5"/>
      <c r="AB92" s="5"/>
      <c r="AC92" s="5"/>
      <c r="AD92" s="4" t="s">
        <v>744</v>
      </c>
      <c r="AE92" s="17" t="s">
        <v>1592</v>
      </c>
      <c r="AF92" s="3" t="s">
        <v>1400</v>
      </c>
      <c r="AG92" s="5"/>
      <c r="AH92" s="5"/>
      <c r="AI92" s="5"/>
      <c r="AJ92" s="3" t="s">
        <v>167</v>
      </c>
      <c r="AK92" s="18"/>
    </row>
    <row r="93" ht="12" customHeight="1" spans="1:37" x14ac:dyDescent="0.25">
      <c r="A93" s="13" t="s">
        <v>504</v>
      </c>
      <c r="B93" s="13" t="s">
        <v>40</v>
      </c>
      <c r="C93" s="13" t="s">
        <v>1397</v>
      </c>
      <c r="D93" s="14" t="s">
        <v>1568</v>
      </c>
      <c r="E93" s="15" t="s">
        <v>1593</v>
      </c>
      <c r="F93" s="3" t="s">
        <v>79</v>
      </c>
      <c r="G93" s="3" t="s">
        <v>802</v>
      </c>
      <c r="H93" s="16" t="s">
        <v>33</v>
      </c>
      <c r="I93" s="3" t="s">
        <v>1399</v>
      </c>
      <c r="J93" s="3" t="s">
        <v>1400</v>
      </c>
      <c r="K93" s="3"/>
      <c r="L93" s="16" t="s">
        <v>1401</v>
      </c>
      <c r="M93" s="3" t="s">
        <v>79</v>
      </c>
      <c r="N93" s="3" t="s">
        <v>1410</v>
      </c>
      <c r="O93" s="16" t="s">
        <v>1460</v>
      </c>
      <c r="P93" s="16"/>
      <c r="Q93" s="16"/>
      <c r="R93" s="3" t="s">
        <v>1412</v>
      </c>
      <c r="S93" s="3" t="s">
        <v>32</v>
      </c>
      <c r="T93" s="3" t="s">
        <v>40</v>
      </c>
      <c r="U93" s="3" t="s">
        <v>35</v>
      </c>
      <c r="V93" s="4" t="s">
        <v>30</v>
      </c>
      <c r="W93" s="3" t="s">
        <v>36</v>
      </c>
      <c r="X93" s="4" t="s">
        <v>730</v>
      </c>
      <c r="Y93" s="5"/>
      <c r="Z93" s="5"/>
      <c r="AA93" s="5"/>
      <c r="AB93" s="5"/>
      <c r="AC93" s="5"/>
      <c r="AD93" s="4" t="s">
        <v>1568</v>
      </c>
      <c r="AE93" s="17" t="s">
        <v>1594</v>
      </c>
      <c r="AF93" s="3" t="s">
        <v>1400</v>
      </c>
      <c r="AG93" s="5"/>
      <c r="AH93" s="5"/>
      <c r="AI93" s="5"/>
      <c r="AJ93" s="3" t="s">
        <v>83</v>
      </c>
      <c r="AK93" s="18"/>
    </row>
    <row r="94" ht="12" customHeight="1" spans="1:37" x14ac:dyDescent="0.25">
      <c r="A94" s="13" t="s">
        <v>515</v>
      </c>
      <c r="B94" s="13" t="s">
        <v>40</v>
      </c>
      <c r="C94" s="13" t="s">
        <v>1397</v>
      </c>
      <c r="D94" s="14" t="s">
        <v>1568</v>
      </c>
      <c r="E94" s="15" t="s">
        <v>1595</v>
      </c>
      <c r="F94" s="3" t="s">
        <v>79</v>
      </c>
      <c r="G94" s="3" t="s">
        <v>802</v>
      </c>
      <c r="H94" s="16" t="s">
        <v>33</v>
      </c>
      <c r="I94" s="3" t="s">
        <v>1399</v>
      </c>
      <c r="J94" s="3" t="s">
        <v>1400</v>
      </c>
      <c r="K94" s="3"/>
      <c r="L94" s="16" t="s">
        <v>1401</v>
      </c>
      <c r="M94" s="3" t="s">
        <v>79</v>
      </c>
      <c r="N94" s="3" t="s">
        <v>1410</v>
      </c>
      <c r="O94" s="16" t="s">
        <v>1460</v>
      </c>
      <c r="P94" s="16"/>
      <c r="Q94" s="16"/>
      <c r="R94" s="3" t="s">
        <v>1412</v>
      </c>
      <c r="S94" s="3" t="s">
        <v>32</v>
      </c>
      <c r="T94" s="3" t="s">
        <v>40</v>
      </c>
      <c r="U94" s="3" t="s">
        <v>35</v>
      </c>
      <c r="V94" s="4" t="s">
        <v>30</v>
      </c>
      <c r="W94" s="3" t="s">
        <v>36</v>
      </c>
      <c r="X94" s="4" t="s">
        <v>730</v>
      </c>
      <c r="Y94" s="5"/>
      <c r="Z94" s="5"/>
      <c r="AA94" s="5"/>
      <c r="AB94" s="5"/>
      <c r="AC94" s="5"/>
      <c r="AD94" s="4" t="s">
        <v>1568</v>
      </c>
      <c r="AE94" s="17" t="s">
        <v>1583</v>
      </c>
      <c r="AF94" s="3" t="s">
        <v>1400</v>
      </c>
      <c r="AG94" s="5"/>
      <c r="AH94" s="5"/>
      <c r="AI94" s="5"/>
      <c r="AJ94" s="3" t="s">
        <v>83</v>
      </c>
      <c r="AK94" s="18"/>
    </row>
    <row r="95" ht="12" customHeight="1" spans="1:37" x14ac:dyDescent="0.25">
      <c r="A95" s="13" t="s">
        <v>513</v>
      </c>
      <c r="B95" s="13" t="s">
        <v>40</v>
      </c>
      <c r="C95" s="13" t="s">
        <v>1397</v>
      </c>
      <c r="D95" s="14" t="s">
        <v>841</v>
      </c>
      <c r="E95" s="15" t="s">
        <v>1596</v>
      </c>
      <c r="F95" s="3" t="s">
        <v>43</v>
      </c>
      <c r="G95" s="3" t="s">
        <v>47</v>
      </c>
      <c r="H95" s="16" t="s">
        <v>33</v>
      </c>
      <c r="I95" s="3" t="s">
        <v>1399</v>
      </c>
      <c r="J95" s="3" t="s">
        <v>1400</v>
      </c>
      <c r="K95" s="3"/>
      <c r="L95" s="16" t="s">
        <v>1401</v>
      </c>
      <c r="M95" s="3" t="s">
        <v>43</v>
      </c>
      <c r="N95" s="3" t="s">
        <v>1428</v>
      </c>
      <c r="O95" s="16" t="s">
        <v>1460</v>
      </c>
      <c r="P95" s="16"/>
      <c r="Q95" s="16"/>
      <c r="R95" s="3" t="s">
        <v>31</v>
      </c>
      <c r="S95" s="3" t="s">
        <v>32</v>
      </c>
      <c r="T95" s="3" t="s">
        <v>40</v>
      </c>
      <c r="U95" s="3" t="s">
        <v>35</v>
      </c>
      <c r="V95" s="4" t="s">
        <v>30</v>
      </c>
      <c r="W95" s="3" t="s">
        <v>36</v>
      </c>
      <c r="X95" s="4" t="s">
        <v>730</v>
      </c>
      <c r="Y95" s="5"/>
      <c r="Z95" s="5"/>
      <c r="AA95" s="5"/>
      <c r="AB95" s="5"/>
      <c r="AC95" s="5"/>
      <c r="AD95" s="4" t="s">
        <v>841</v>
      </c>
      <c r="AE95" s="17" t="s">
        <v>1526</v>
      </c>
      <c r="AF95" s="3" t="s">
        <v>1400</v>
      </c>
      <c r="AG95" s="5"/>
      <c r="AH95" s="5"/>
      <c r="AI95" s="5"/>
      <c r="AJ95" s="3" t="s">
        <v>49</v>
      </c>
      <c r="AK95" s="18"/>
    </row>
    <row r="96" ht="12" customHeight="1" spans="1:37" x14ac:dyDescent="0.25">
      <c r="A96" s="13" t="s">
        <v>530</v>
      </c>
      <c r="B96" s="13" t="s">
        <v>40</v>
      </c>
      <c r="C96" s="13" t="s">
        <v>1397</v>
      </c>
      <c r="D96" s="14" t="s">
        <v>1057</v>
      </c>
      <c r="E96" s="15" t="s">
        <v>1597</v>
      </c>
      <c r="F96" s="3" t="s">
        <v>257</v>
      </c>
      <c r="G96" s="3" t="s">
        <v>732</v>
      </c>
      <c r="H96" s="16" t="s">
        <v>33</v>
      </c>
      <c r="I96" s="3" t="s">
        <v>1399</v>
      </c>
      <c r="J96" s="3" t="s">
        <v>1400</v>
      </c>
      <c r="K96" s="3"/>
      <c r="L96" s="16" t="s">
        <v>1401</v>
      </c>
      <c r="M96" s="3" t="s">
        <v>257</v>
      </c>
      <c r="N96" s="3" t="s">
        <v>1598</v>
      </c>
      <c r="O96" s="16" t="s">
        <v>1439</v>
      </c>
      <c r="P96" s="16"/>
      <c r="Q96" s="16"/>
      <c r="R96" s="3" t="s">
        <v>1470</v>
      </c>
      <c r="S96" s="3" t="s">
        <v>1471</v>
      </c>
      <c r="T96" s="3" t="s">
        <v>40</v>
      </c>
      <c r="U96" s="3" t="s">
        <v>35</v>
      </c>
      <c r="V96" s="4" t="s">
        <v>30</v>
      </c>
      <c r="W96" s="3" t="s">
        <v>36</v>
      </c>
      <c r="X96" s="4" t="s">
        <v>730</v>
      </c>
      <c r="Y96" s="5"/>
      <c r="Z96" s="5"/>
      <c r="AA96" s="5"/>
      <c r="AB96" s="5"/>
      <c r="AC96" s="5"/>
      <c r="AD96" s="4" t="s">
        <v>1057</v>
      </c>
      <c r="AE96" s="17" t="s">
        <v>1599</v>
      </c>
      <c r="AF96" s="3" t="s">
        <v>1400</v>
      </c>
      <c r="AG96" s="5"/>
      <c r="AH96" s="5"/>
      <c r="AI96" s="5"/>
      <c r="AJ96" s="3" t="s">
        <v>111</v>
      </c>
      <c r="AK96" s="18"/>
    </row>
    <row r="97" ht="12" customHeight="1" spans="1:37" x14ac:dyDescent="0.25">
      <c r="A97" s="13" t="s">
        <v>525</v>
      </c>
      <c r="B97" s="13" t="s">
        <v>40</v>
      </c>
      <c r="C97" s="13" t="s">
        <v>1397</v>
      </c>
      <c r="D97" s="14" t="s">
        <v>1033</v>
      </c>
      <c r="E97" s="15" t="s">
        <v>1600</v>
      </c>
      <c r="F97" s="3" t="s">
        <v>79</v>
      </c>
      <c r="G97" s="3" t="s">
        <v>802</v>
      </c>
      <c r="H97" s="16" t="s">
        <v>33</v>
      </c>
      <c r="I97" s="3" t="s">
        <v>1399</v>
      </c>
      <c r="J97" s="3" t="s">
        <v>1400</v>
      </c>
      <c r="K97" s="3"/>
      <c r="L97" s="16" t="s">
        <v>1401</v>
      </c>
      <c r="M97" s="3" t="s">
        <v>79</v>
      </c>
      <c r="N97" s="3" t="s">
        <v>1410</v>
      </c>
      <c r="O97" s="16" t="s">
        <v>1439</v>
      </c>
      <c r="P97" s="16"/>
      <c r="Q97" s="16"/>
      <c r="R97" s="3" t="s">
        <v>1412</v>
      </c>
      <c r="S97" s="3" t="s">
        <v>32</v>
      </c>
      <c r="T97" s="3" t="s">
        <v>40</v>
      </c>
      <c r="U97" s="3" t="s">
        <v>35</v>
      </c>
      <c r="V97" s="4" t="s">
        <v>30</v>
      </c>
      <c r="W97" s="3" t="s">
        <v>36</v>
      </c>
      <c r="X97" s="4" t="s">
        <v>730</v>
      </c>
      <c r="Y97" s="5"/>
      <c r="Z97" s="5"/>
      <c r="AA97" s="5"/>
      <c r="AB97" s="5"/>
      <c r="AC97" s="5"/>
      <c r="AD97" s="4" t="s">
        <v>1033</v>
      </c>
      <c r="AE97" s="17" t="s">
        <v>1413</v>
      </c>
      <c r="AF97" s="3" t="s">
        <v>1400</v>
      </c>
      <c r="AG97" s="5"/>
      <c r="AH97" s="5"/>
      <c r="AI97" s="5"/>
      <c r="AJ97" s="3" t="s">
        <v>83</v>
      </c>
      <c r="AK97" s="18"/>
    </row>
    <row r="98" ht="12" customHeight="1" spans="1:37" x14ac:dyDescent="0.25">
      <c r="A98" s="13" t="s">
        <v>522</v>
      </c>
      <c r="B98" s="13" t="s">
        <v>40</v>
      </c>
      <c r="C98" s="13" t="s">
        <v>1397</v>
      </c>
      <c r="D98" s="14" t="s">
        <v>841</v>
      </c>
      <c r="E98" s="15" t="s">
        <v>1431</v>
      </c>
      <c r="F98" s="3" t="s">
        <v>43</v>
      </c>
      <c r="G98" s="3" t="s">
        <v>47</v>
      </c>
      <c r="H98" s="16" t="s">
        <v>33</v>
      </c>
      <c r="I98" s="3" t="s">
        <v>1399</v>
      </c>
      <c r="J98" s="3" t="s">
        <v>1400</v>
      </c>
      <c r="K98" s="3"/>
      <c r="L98" s="16" t="s">
        <v>1401</v>
      </c>
      <c r="M98" s="3" t="s">
        <v>43</v>
      </c>
      <c r="N98" s="3" t="s">
        <v>1428</v>
      </c>
      <c r="O98" s="16" t="s">
        <v>1439</v>
      </c>
      <c r="P98" s="16"/>
      <c r="Q98" s="16"/>
      <c r="R98" s="3" t="s">
        <v>31</v>
      </c>
      <c r="S98" s="3" t="s">
        <v>32</v>
      </c>
      <c r="T98" s="3" t="s">
        <v>40</v>
      </c>
      <c r="U98" s="3" t="s">
        <v>35</v>
      </c>
      <c r="V98" s="4" t="s">
        <v>30</v>
      </c>
      <c r="W98" s="3" t="s">
        <v>36</v>
      </c>
      <c r="X98" s="4" t="s">
        <v>730</v>
      </c>
      <c r="Y98" s="5"/>
      <c r="Z98" s="5"/>
      <c r="AA98" s="5"/>
      <c r="AB98" s="5"/>
      <c r="AC98" s="5"/>
      <c r="AD98" s="4" t="s">
        <v>841</v>
      </c>
      <c r="AE98" s="17" t="s">
        <v>1553</v>
      </c>
      <c r="AF98" s="3" t="s">
        <v>1400</v>
      </c>
      <c r="AG98" s="5"/>
      <c r="AH98" s="5"/>
      <c r="AI98" s="5"/>
      <c r="AJ98" s="3" t="s">
        <v>49</v>
      </c>
      <c r="AK98" s="18"/>
    </row>
    <row r="99" ht="12" customHeight="1" spans="1:37" x14ac:dyDescent="0.25">
      <c r="A99" s="13" t="s">
        <v>529</v>
      </c>
      <c r="B99" s="13" t="s">
        <v>40</v>
      </c>
      <c r="C99" s="13" t="s">
        <v>1397</v>
      </c>
      <c r="D99" s="14" t="s">
        <v>1405</v>
      </c>
      <c r="E99" s="15" t="s">
        <v>1601</v>
      </c>
      <c r="F99" s="3" t="s">
        <v>136</v>
      </c>
      <c r="G99" s="3" t="s">
        <v>1218</v>
      </c>
      <c r="H99" s="16" t="s">
        <v>33</v>
      </c>
      <c r="I99" s="3" t="s">
        <v>1399</v>
      </c>
      <c r="J99" s="3" t="s">
        <v>1400</v>
      </c>
      <c r="K99" s="3"/>
      <c r="L99" s="16" t="s">
        <v>1401</v>
      </c>
      <c r="M99" s="3" t="s">
        <v>136</v>
      </c>
      <c r="N99" s="3" t="s">
        <v>1435</v>
      </c>
      <c r="O99" s="16" t="s">
        <v>1439</v>
      </c>
      <c r="P99" s="16"/>
      <c r="Q99" s="16"/>
      <c r="R99" s="3" t="s">
        <v>31</v>
      </c>
      <c r="S99" s="3" t="s">
        <v>32</v>
      </c>
      <c r="T99" s="3" t="s">
        <v>40</v>
      </c>
      <c r="U99" s="3" t="s">
        <v>35</v>
      </c>
      <c r="V99" s="4" t="s">
        <v>30</v>
      </c>
      <c r="W99" s="3" t="s">
        <v>36</v>
      </c>
      <c r="X99" s="4" t="s">
        <v>730</v>
      </c>
      <c r="Y99" s="5"/>
      <c r="Z99" s="5"/>
      <c r="AA99" s="5"/>
      <c r="AB99" s="5"/>
      <c r="AC99" s="5"/>
      <c r="AD99" s="4" t="s">
        <v>1405</v>
      </c>
      <c r="AE99" s="17" t="s">
        <v>1408</v>
      </c>
      <c r="AF99" s="3" t="s">
        <v>1400</v>
      </c>
      <c r="AG99" s="5"/>
      <c r="AH99" s="5"/>
      <c r="AI99" s="5"/>
      <c r="AJ99" s="3" t="s">
        <v>56</v>
      </c>
      <c r="AK99" s="18"/>
    </row>
    <row r="100" ht="12" customHeight="1" spans="1:37" x14ac:dyDescent="0.25">
      <c r="A100" s="13" t="s">
        <v>528</v>
      </c>
      <c r="B100" s="13" t="s">
        <v>40</v>
      </c>
      <c r="C100" s="13" t="s">
        <v>1397</v>
      </c>
      <c r="D100" s="14" t="s">
        <v>1405</v>
      </c>
      <c r="E100" s="15" t="s">
        <v>1534</v>
      </c>
      <c r="F100" s="3" t="s">
        <v>53</v>
      </c>
      <c r="G100" s="3" t="s">
        <v>1218</v>
      </c>
      <c r="H100" s="16" t="s">
        <v>33</v>
      </c>
      <c r="I100" s="3" t="s">
        <v>1399</v>
      </c>
      <c r="J100" s="3" t="s">
        <v>1400</v>
      </c>
      <c r="K100" s="3"/>
      <c r="L100" s="16" t="s">
        <v>1401</v>
      </c>
      <c r="M100" s="3" t="s">
        <v>53</v>
      </c>
      <c r="N100" s="3" t="s">
        <v>1558</v>
      </c>
      <c r="O100" s="16" t="s">
        <v>1439</v>
      </c>
      <c r="P100" s="16"/>
      <c r="Q100" s="16"/>
      <c r="R100" s="3" t="s">
        <v>31</v>
      </c>
      <c r="S100" s="3" t="s">
        <v>32</v>
      </c>
      <c r="T100" s="3" t="s">
        <v>40</v>
      </c>
      <c r="U100" s="3" t="s">
        <v>35</v>
      </c>
      <c r="V100" s="4" t="s">
        <v>30</v>
      </c>
      <c r="W100" s="3" t="s">
        <v>36</v>
      </c>
      <c r="X100" s="4" t="s">
        <v>730</v>
      </c>
      <c r="Y100" s="5"/>
      <c r="Z100" s="5"/>
      <c r="AA100" s="5"/>
      <c r="AB100" s="5"/>
      <c r="AC100" s="5"/>
      <c r="AD100" s="4" t="s">
        <v>1405</v>
      </c>
      <c r="AE100" s="17" t="s">
        <v>1562</v>
      </c>
      <c r="AF100" s="3" t="s">
        <v>1400</v>
      </c>
      <c r="AG100" s="5"/>
      <c r="AH100" s="5"/>
      <c r="AI100" s="5"/>
      <c r="AJ100" s="3" t="s">
        <v>56</v>
      </c>
      <c r="AK100" s="18"/>
    </row>
    <row r="101" ht="12" customHeight="1" spans="1:37" x14ac:dyDescent="0.25">
      <c r="A101" s="13" t="s">
        <v>518</v>
      </c>
      <c r="B101" s="13" t="s">
        <v>40</v>
      </c>
      <c r="C101" s="13" t="s">
        <v>1397</v>
      </c>
      <c r="D101" s="14" t="s">
        <v>1405</v>
      </c>
      <c r="E101" s="15" t="s">
        <v>1602</v>
      </c>
      <c r="F101" s="3" t="s">
        <v>519</v>
      </c>
      <c r="G101" s="3" t="s">
        <v>1330</v>
      </c>
      <c r="H101" s="16" t="s">
        <v>33</v>
      </c>
      <c r="I101" s="3" t="s">
        <v>1399</v>
      </c>
      <c r="J101" s="3" t="s">
        <v>1400</v>
      </c>
      <c r="K101" s="3"/>
      <c r="L101" s="16" t="s">
        <v>1401</v>
      </c>
      <c r="M101" s="3" t="s">
        <v>519</v>
      </c>
      <c r="N101" s="3" t="s">
        <v>1415</v>
      </c>
      <c r="O101" s="16" t="s">
        <v>1439</v>
      </c>
      <c r="P101" s="16"/>
      <c r="Q101" s="16"/>
      <c r="R101" s="3" t="s">
        <v>31</v>
      </c>
      <c r="S101" s="3" t="s">
        <v>32</v>
      </c>
      <c r="T101" s="3" t="s">
        <v>40</v>
      </c>
      <c r="U101" s="3" t="s">
        <v>35</v>
      </c>
      <c r="V101" s="4" t="s">
        <v>30</v>
      </c>
      <c r="W101" s="3" t="s">
        <v>36</v>
      </c>
      <c r="X101" s="4" t="s">
        <v>730</v>
      </c>
      <c r="Y101" s="5"/>
      <c r="Z101" s="5"/>
      <c r="AA101" s="5"/>
      <c r="AB101" s="5"/>
      <c r="AC101" s="5"/>
      <c r="AD101" s="4" t="s">
        <v>759</v>
      </c>
      <c r="AE101" s="17" t="s">
        <v>1576</v>
      </c>
      <c r="AF101" s="3" t="s">
        <v>1400</v>
      </c>
      <c r="AG101" s="5"/>
      <c r="AH101" s="5"/>
      <c r="AI101" s="5"/>
      <c r="AJ101" s="3" t="s">
        <v>521</v>
      </c>
      <c r="AK101" s="18"/>
    </row>
    <row r="102" ht="12" customHeight="1" spans="1:37" x14ac:dyDescent="0.25">
      <c r="A102" s="13" t="s">
        <v>516</v>
      </c>
      <c r="B102" s="13" t="s">
        <v>40</v>
      </c>
      <c r="C102" s="13" t="s">
        <v>1397</v>
      </c>
      <c r="D102" s="14" t="s">
        <v>774</v>
      </c>
      <c r="E102" s="15" t="s">
        <v>1593</v>
      </c>
      <c r="F102" s="3" t="s">
        <v>117</v>
      </c>
      <c r="G102" s="3" t="s">
        <v>732</v>
      </c>
      <c r="H102" s="16" t="s">
        <v>33</v>
      </c>
      <c r="I102" s="3" t="s">
        <v>1399</v>
      </c>
      <c r="J102" s="3" t="s">
        <v>1400</v>
      </c>
      <c r="K102" s="3"/>
      <c r="L102" s="16" t="s">
        <v>1401</v>
      </c>
      <c r="M102" s="3" t="s">
        <v>117</v>
      </c>
      <c r="N102" s="3" t="s">
        <v>1587</v>
      </c>
      <c r="O102" s="16" t="s">
        <v>1439</v>
      </c>
      <c r="P102" s="16"/>
      <c r="Q102" s="16"/>
      <c r="R102" s="3" t="s">
        <v>31</v>
      </c>
      <c r="S102" s="3" t="s">
        <v>32</v>
      </c>
      <c r="T102" s="3" t="s">
        <v>40</v>
      </c>
      <c r="U102" s="3" t="s">
        <v>35</v>
      </c>
      <c r="V102" s="4" t="s">
        <v>30</v>
      </c>
      <c r="W102" s="3" t="s">
        <v>36</v>
      </c>
      <c r="X102" s="4" t="s">
        <v>730</v>
      </c>
      <c r="Y102" s="5"/>
      <c r="Z102" s="5"/>
      <c r="AA102" s="5"/>
      <c r="AB102" s="5"/>
      <c r="AC102" s="5"/>
      <c r="AD102" s="4" t="s">
        <v>774</v>
      </c>
      <c r="AE102" s="17" t="s">
        <v>1588</v>
      </c>
      <c r="AF102" s="3" t="s">
        <v>1400</v>
      </c>
      <c r="AG102" s="5"/>
      <c r="AH102" s="5"/>
      <c r="AI102" s="5"/>
      <c r="AJ102" s="3" t="s">
        <v>111</v>
      </c>
      <c r="AK102" s="18"/>
    </row>
    <row r="103" ht="12" customHeight="1" spans="1:37" x14ac:dyDescent="0.25">
      <c r="A103" s="13" t="s">
        <v>526</v>
      </c>
      <c r="B103" s="13" t="s">
        <v>40</v>
      </c>
      <c r="C103" s="13" t="s">
        <v>1397</v>
      </c>
      <c r="D103" s="14" t="s">
        <v>1568</v>
      </c>
      <c r="E103" s="15" t="s">
        <v>1404</v>
      </c>
      <c r="F103" s="3" t="s">
        <v>79</v>
      </c>
      <c r="G103" s="3" t="s">
        <v>802</v>
      </c>
      <c r="H103" s="16" t="s">
        <v>33</v>
      </c>
      <c r="I103" s="3" t="s">
        <v>1399</v>
      </c>
      <c r="J103" s="3" t="s">
        <v>1400</v>
      </c>
      <c r="K103" s="3"/>
      <c r="L103" s="16" t="s">
        <v>1401</v>
      </c>
      <c r="M103" s="3" t="s">
        <v>79</v>
      </c>
      <c r="N103" s="3" t="s">
        <v>1410</v>
      </c>
      <c r="O103" s="16" t="s">
        <v>1439</v>
      </c>
      <c r="P103" s="16"/>
      <c r="Q103" s="16"/>
      <c r="R103" s="3" t="s">
        <v>1412</v>
      </c>
      <c r="S103" s="3" t="s">
        <v>32</v>
      </c>
      <c r="T103" s="3" t="s">
        <v>40</v>
      </c>
      <c r="U103" s="3" t="s">
        <v>35</v>
      </c>
      <c r="V103" s="4" t="s">
        <v>30</v>
      </c>
      <c r="W103" s="3" t="s">
        <v>36</v>
      </c>
      <c r="X103" s="4" t="s">
        <v>730</v>
      </c>
      <c r="Y103" s="5"/>
      <c r="Z103" s="5"/>
      <c r="AA103" s="5"/>
      <c r="AB103" s="5"/>
      <c r="AC103" s="5"/>
      <c r="AD103" s="4" t="s">
        <v>1568</v>
      </c>
      <c r="AE103" s="17" t="s">
        <v>1603</v>
      </c>
      <c r="AF103" s="3" t="s">
        <v>1400</v>
      </c>
      <c r="AG103" s="5"/>
      <c r="AH103" s="5"/>
      <c r="AI103" s="5"/>
      <c r="AJ103" s="3" t="s">
        <v>83</v>
      </c>
      <c r="AK103" s="18"/>
    </row>
    <row r="104" ht="12" customHeight="1" spans="1:37" x14ac:dyDescent="0.25">
      <c r="A104" s="13" t="s">
        <v>531</v>
      </c>
      <c r="B104" s="13" t="s">
        <v>40</v>
      </c>
      <c r="C104" s="13" t="s">
        <v>1397</v>
      </c>
      <c r="D104" s="14" t="s">
        <v>1057</v>
      </c>
      <c r="E104" s="15" t="s">
        <v>1604</v>
      </c>
      <c r="F104" s="3" t="s">
        <v>257</v>
      </c>
      <c r="G104" s="3" t="s">
        <v>732</v>
      </c>
      <c r="H104" s="16" t="s">
        <v>33</v>
      </c>
      <c r="I104" s="3" t="s">
        <v>1399</v>
      </c>
      <c r="J104" s="3" t="s">
        <v>1400</v>
      </c>
      <c r="K104" s="3"/>
      <c r="L104" s="16" t="s">
        <v>1401</v>
      </c>
      <c r="M104" s="3" t="s">
        <v>257</v>
      </c>
      <c r="N104" s="3" t="s">
        <v>1598</v>
      </c>
      <c r="O104" s="16" t="s">
        <v>1439</v>
      </c>
      <c r="P104" s="16"/>
      <c r="Q104" s="16"/>
      <c r="R104" s="3" t="s">
        <v>1470</v>
      </c>
      <c r="S104" s="3" t="s">
        <v>1471</v>
      </c>
      <c r="T104" s="3" t="s">
        <v>40</v>
      </c>
      <c r="U104" s="3" t="s">
        <v>35</v>
      </c>
      <c r="V104" s="4" t="s">
        <v>30</v>
      </c>
      <c r="W104" s="3" t="s">
        <v>36</v>
      </c>
      <c r="X104" s="4" t="s">
        <v>730</v>
      </c>
      <c r="Y104" s="5"/>
      <c r="Z104" s="5"/>
      <c r="AA104" s="5"/>
      <c r="AB104" s="5"/>
      <c r="AC104" s="5"/>
      <c r="AD104" s="4" t="s">
        <v>1057</v>
      </c>
      <c r="AE104" s="17" t="s">
        <v>1599</v>
      </c>
      <c r="AF104" s="3" t="s">
        <v>1400</v>
      </c>
      <c r="AG104" s="5"/>
      <c r="AH104" s="5"/>
      <c r="AI104" s="5"/>
      <c r="AJ104" s="3" t="s">
        <v>111</v>
      </c>
      <c r="AK104" s="18"/>
    </row>
    <row r="105" ht="12" customHeight="1" spans="1:37" x14ac:dyDescent="0.25">
      <c r="A105" s="13" t="s">
        <v>527</v>
      </c>
      <c r="B105" s="13" t="s">
        <v>40</v>
      </c>
      <c r="C105" s="13" t="s">
        <v>1397</v>
      </c>
      <c r="D105" s="14" t="s">
        <v>1568</v>
      </c>
      <c r="E105" s="15" t="s">
        <v>1605</v>
      </c>
      <c r="F105" s="3" t="s">
        <v>79</v>
      </c>
      <c r="G105" s="3" t="s">
        <v>802</v>
      </c>
      <c r="H105" s="16" t="s">
        <v>33</v>
      </c>
      <c r="I105" s="3" t="s">
        <v>1399</v>
      </c>
      <c r="J105" s="3" t="s">
        <v>1400</v>
      </c>
      <c r="K105" s="3"/>
      <c r="L105" s="16" t="s">
        <v>1401</v>
      </c>
      <c r="M105" s="3" t="s">
        <v>79</v>
      </c>
      <c r="N105" s="3" t="s">
        <v>1410</v>
      </c>
      <c r="O105" s="16" t="s">
        <v>1439</v>
      </c>
      <c r="P105" s="16"/>
      <c r="Q105" s="16"/>
      <c r="R105" s="3" t="s">
        <v>1412</v>
      </c>
      <c r="S105" s="3" t="s">
        <v>32</v>
      </c>
      <c r="T105" s="3" t="s">
        <v>40</v>
      </c>
      <c r="U105" s="3" t="s">
        <v>35</v>
      </c>
      <c r="V105" s="4" t="s">
        <v>30</v>
      </c>
      <c r="W105" s="3" t="s">
        <v>36</v>
      </c>
      <c r="X105" s="4" t="s">
        <v>730</v>
      </c>
      <c r="Y105" s="5"/>
      <c r="Z105" s="5"/>
      <c r="AA105" s="5"/>
      <c r="AB105" s="5"/>
      <c r="AC105" s="5"/>
      <c r="AD105" s="4" t="s">
        <v>1568</v>
      </c>
      <c r="AE105" s="17" t="s">
        <v>1583</v>
      </c>
      <c r="AF105" s="3" t="s">
        <v>1400</v>
      </c>
      <c r="AG105" s="5"/>
      <c r="AH105" s="5"/>
      <c r="AI105" s="5"/>
      <c r="AJ105" s="3" t="s">
        <v>83</v>
      </c>
      <c r="AK105" s="18"/>
    </row>
    <row r="106" ht="12" customHeight="1" spans="1:37" x14ac:dyDescent="0.25">
      <c r="A106" s="13" t="s">
        <v>524</v>
      </c>
      <c r="B106" s="13" t="s">
        <v>40</v>
      </c>
      <c r="C106" s="13" t="s">
        <v>1397</v>
      </c>
      <c r="D106" s="14" t="s">
        <v>1568</v>
      </c>
      <c r="E106" s="15" t="s">
        <v>1508</v>
      </c>
      <c r="F106" s="3" t="s">
        <v>79</v>
      </c>
      <c r="G106" s="3" t="s">
        <v>802</v>
      </c>
      <c r="H106" s="16" t="s">
        <v>33</v>
      </c>
      <c r="I106" s="3" t="s">
        <v>1399</v>
      </c>
      <c r="J106" s="3" t="s">
        <v>1400</v>
      </c>
      <c r="K106" s="3"/>
      <c r="L106" s="16" t="s">
        <v>1401</v>
      </c>
      <c r="M106" s="3" t="s">
        <v>79</v>
      </c>
      <c r="N106" s="3" t="s">
        <v>1410</v>
      </c>
      <c r="O106" s="16" t="s">
        <v>1439</v>
      </c>
      <c r="P106" s="16"/>
      <c r="Q106" s="16"/>
      <c r="R106" s="3" t="s">
        <v>1412</v>
      </c>
      <c r="S106" s="3" t="s">
        <v>32</v>
      </c>
      <c r="T106" s="3" t="s">
        <v>40</v>
      </c>
      <c r="U106" s="3" t="s">
        <v>35</v>
      </c>
      <c r="V106" s="4" t="s">
        <v>30</v>
      </c>
      <c r="W106" s="3" t="s">
        <v>36</v>
      </c>
      <c r="X106" s="4" t="s">
        <v>730</v>
      </c>
      <c r="Y106" s="5"/>
      <c r="Z106" s="5"/>
      <c r="AA106" s="5"/>
      <c r="AB106" s="5"/>
      <c r="AC106" s="5"/>
      <c r="AD106" s="4" t="s">
        <v>1568</v>
      </c>
      <c r="AE106" s="17" t="s">
        <v>1606</v>
      </c>
      <c r="AF106" s="3" t="s">
        <v>1400</v>
      </c>
      <c r="AG106" s="5"/>
      <c r="AH106" s="5"/>
      <c r="AI106" s="5"/>
      <c r="AJ106" s="3" t="s">
        <v>83</v>
      </c>
      <c r="AK106" s="18"/>
    </row>
    <row r="107" ht="12" customHeight="1" spans="1:37" x14ac:dyDescent="0.25">
      <c r="A107" s="13" t="s">
        <v>523</v>
      </c>
      <c r="B107" s="13" t="s">
        <v>40</v>
      </c>
      <c r="C107" s="13" t="s">
        <v>1397</v>
      </c>
      <c r="D107" s="14" t="s">
        <v>759</v>
      </c>
      <c r="E107" s="15" t="s">
        <v>1607</v>
      </c>
      <c r="F107" s="3" t="s">
        <v>182</v>
      </c>
      <c r="G107" s="3" t="s">
        <v>1321</v>
      </c>
      <c r="H107" s="16" t="s">
        <v>33</v>
      </c>
      <c r="I107" s="3" t="s">
        <v>1399</v>
      </c>
      <c r="J107" s="3" t="s">
        <v>1400</v>
      </c>
      <c r="K107" s="3"/>
      <c r="L107" s="16" t="s">
        <v>1401</v>
      </c>
      <c r="M107" s="3" t="s">
        <v>182</v>
      </c>
      <c r="N107" s="3" t="s">
        <v>1418</v>
      </c>
      <c r="O107" s="16" t="s">
        <v>1439</v>
      </c>
      <c r="P107" s="16"/>
      <c r="Q107" s="16"/>
      <c r="R107" s="3" t="s">
        <v>31</v>
      </c>
      <c r="S107" s="3" t="s">
        <v>32</v>
      </c>
      <c r="T107" s="3" t="s">
        <v>40</v>
      </c>
      <c r="U107" s="3" t="s">
        <v>35</v>
      </c>
      <c r="V107" s="4" t="s">
        <v>30</v>
      </c>
      <c r="W107" s="3" t="s">
        <v>36</v>
      </c>
      <c r="X107" s="4" t="s">
        <v>730</v>
      </c>
      <c r="Y107" s="5"/>
      <c r="Z107" s="5"/>
      <c r="AA107" s="5"/>
      <c r="AB107" s="5"/>
      <c r="AC107" s="5"/>
      <c r="AD107" s="4" t="s">
        <v>759</v>
      </c>
      <c r="AE107" s="17" t="s">
        <v>1608</v>
      </c>
      <c r="AF107" s="3" t="s">
        <v>1400</v>
      </c>
      <c r="AG107" s="5"/>
      <c r="AH107" s="5"/>
      <c r="AI107" s="5"/>
      <c r="AJ107" s="3" t="s">
        <v>184</v>
      </c>
      <c r="AK107" s="18"/>
    </row>
    <row r="108" ht="12" customHeight="1" spans="1:37" x14ac:dyDescent="0.25">
      <c r="A108" s="13" t="s">
        <v>604</v>
      </c>
      <c r="B108" s="13" t="s">
        <v>40</v>
      </c>
      <c r="C108" s="13" t="s">
        <v>1397</v>
      </c>
      <c r="D108" s="14" t="s">
        <v>841</v>
      </c>
      <c r="E108" s="15" t="s">
        <v>1609</v>
      </c>
      <c r="F108" s="3" t="s">
        <v>43</v>
      </c>
      <c r="G108" s="3" t="s">
        <v>47</v>
      </c>
      <c r="H108" s="16" t="s">
        <v>33</v>
      </c>
      <c r="I108" s="3" t="s">
        <v>1399</v>
      </c>
      <c r="J108" s="3" t="s">
        <v>1400</v>
      </c>
      <c r="K108" s="3"/>
      <c r="L108" s="16" t="s">
        <v>1401</v>
      </c>
      <c r="M108" s="3" t="s">
        <v>43</v>
      </c>
      <c r="N108" s="3" t="s">
        <v>1428</v>
      </c>
      <c r="O108" s="16" t="s">
        <v>1439</v>
      </c>
      <c r="P108" s="16"/>
      <c r="Q108" s="16"/>
      <c r="R108" s="3" t="s">
        <v>31</v>
      </c>
      <c r="S108" s="3" t="s">
        <v>32</v>
      </c>
      <c r="T108" s="3" t="s">
        <v>40</v>
      </c>
      <c r="U108" s="3" t="s">
        <v>35</v>
      </c>
      <c r="V108" s="4" t="s">
        <v>30</v>
      </c>
      <c r="W108" s="3" t="s">
        <v>36</v>
      </c>
      <c r="X108" s="4" t="s">
        <v>730</v>
      </c>
      <c r="Y108" s="5"/>
      <c r="Z108" s="5"/>
      <c r="AA108" s="5"/>
      <c r="AB108" s="5"/>
      <c r="AC108" s="5"/>
      <c r="AD108" s="4" t="s">
        <v>841</v>
      </c>
      <c r="AE108" s="17" t="s">
        <v>1606</v>
      </c>
      <c r="AF108" s="3" t="s">
        <v>1400</v>
      </c>
      <c r="AG108" s="5"/>
      <c r="AH108" s="5"/>
      <c r="AI108" s="5"/>
      <c r="AJ108" s="3" t="s">
        <v>49</v>
      </c>
      <c r="AK108" s="18"/>
    </row>
    <row r="109" ht="12" customHeight="1" spans="1:37" x14ac:dyDescent="0.25">
      <c r="A109" s="13" t="s">
        <v>602</v>
      </c>
      <c r="B109" s="13" t="s">
        <v>40</v>
      </c>
      <c r="C109" s="13" t="s">
        <v>1397</v>
      </c>
      <c r="D109" s="14" t="s">
        <v>792</v>
      </c>
      <c r="E109" s="15" t="s">
        <v>1610</v>
      </c>
      <c r="F109" s="3" t="s">
        <v>129</v>
      </c>
      <c r="G109" s="3" t="s">
        <v>819</v>
      </c>
      <c r="H109" s="16" t="s">
        <v>33</v>
      </c>
      <c r="I109" s="3" t="s">
        <v>1399</v>
      </c>
      <c r="J109" s="3" t="s">
        <v>1400</v>
      </c>
      <c r="K109" s="3"/>
      <c r="L109" s="16" t="s">
        <v>1401</v>
      </c>
      <c r="M109" s="3" t="s">
        <v>129</v>
      </c>
      <c r="N109" s="3" t="s">
        <v>1443</v>
      </c>
      <c r="O109" s="16" t="s">
        <v>1439</v>
      </c>
      <c r="P109" s="16"/>
      <c r="Q109" s="16"/>
      <c r="R109" s="3" t="s">
        <v>31</v>
      </c>
      <c r="S109" s="3" t="s">
        <v>32</v>
      </c>
      <c r="T109" s="3" t="s">
        <v>40</v>
      </c>
      <c r="U109" s="3" t="s">
        <v>35</v>
      </c>
      <c r="V109" s="4" t="s">
        <v>30</v>
      </c>
      <c r="W109" s="3" t="s">
        <v>36</v>
      </c>
      <c r="X109" s="4" t="s">
        <v>730</v>
      </c>
      <c r="Y109" s="5"/>
      <c r="Z109" s="5"/>
      <c r="AA109" s="5"/>
      <c r="AB109" s="5"/>
      <c r="AC109" s="5"/>
      <c r="AD109" s="4" t="s">
        <v>792</v>
      </c>
      <c r="AE109" s="17" t="s">
        <v>1611</v>
      </c>
      <c r="AF109" s="3" t="s">
        <v>1400</v>
      </c>
      <c r="AG109" s="5"/>
      <c r="AH109" s="5"/>
      <c r="AI109" s="5"/>
      <c r="AJ109" s="3" t="s">
        <v>131</v>
      </c>
      <c r="AK109" s="18"/>
    </row>
    <row r="110" ht="12" customHeight="1" spans="1:37" x14ac:dyDescent="0.25">
      <c r="A110" s="13" t="s">
        <v>536</v>
      </c>
      <c r="B110" s="13" t="s">
        <v>40</v>
      </c>
      <c r="C110" s="13" t="s">
        <v>1397</v>
      </c>
      <c r="D110" s="14" t="s">
        <v>774</v>
      </c>
      <c r="E110" s="15" t="s">
        <v>1612</v>
      </c>
      <c r="F110" s="3" t="s">
        <v>71</v>
      </c>
      <c r="G110" s="3" t="s">
        <v>732</v>
      </c>
      <c r="H110" s="16" t="s">
        <v>33</v>
      </c>
      <c r="I110" s="3" t="s">
        <v>1399</v>
      </c>
      <c r="J110" s="3" t="s">
        <v>1400</v>
      </c>
      <c r="K110" s="3"/>
      <c r="L110" s="16" t="s">
        <v>1401</v>
      </c>
      <c r="M110" s="3" t="s">
        <v>71</v>
      </c>
      <c r="N110" s="3" t="s">
        <v>1547</v>
      </c>
      <c r="O110" s="16" t="s">
        <v>1439</v>
      </c>
      <c r="P110" s="16"/>
      <c r="Q110" s="16"/>
      <c r="R110" s="3" t="s">
        <v>31</v>
      </c>
      <c r="S110" s="3" t="s">
        <v>32</v>
      </c>
      <c r="T110" s="3" t="s">
        <v>40</v>
      </c>
      <c r="U110" s="3" t="s">
        <v>35</v>
      </c>
      <c r="V110" s="4" t="s">
        <v>30</v>
      </c>
      <c r="W110" s="3" t="s">
        <v>70</v>
      </c>
      <c r="X110" s="4" t="s">
        <v>966</v>
      </c>
      <c r="Y110" s="5"/>
      <c r="Z110" s="5"/>
      <c r="AA110" s="5"/>
      <c r="AB110" s="5"/>
      <c r="AC110" s="5"/>
      <c r="AD110" s="4" t="s">
        <v>774</v>
      </c>
      <c r="AE110" s="17" t="s">
        <v>1613</v>
      </c>
      <c r="AF110" s="3" t="s">
        <v>1400</v>
      </c>
      <c r="AG110" s="5"/>
      <c r="AH110" s="5"/>
      <c r="AI110" s="5"/>
      <c r="AJ110" s="3" t="s">
        <v>76</v>
      </c>
      <c r="AK110" s="18"/>
    </row>
    <row r="111" ht="12" customHeight="1" spans="1:37" x14ac:dyDescent="0.25">
      <c r="A111" s="13" t="s">
        <v>538</v>
      </c>
      <c r="B111" s="13" t="s">
        <v>40</v>
      </c>
      <c r="C111" s="13" t="s">
        <v>1397</v>
      </c>
      <c r="D111" s="14" t="s">
        <v>769</v>
      </c>
      <c r="E111" s="15" t="s">
        <v>1480</v>
      </c>
      <c r="F111" s="3" t="s">
        <v>43</v>
      </c>
      <c r="G111" s="3" t="s">
        <v>47</v>
      </c>
      <c r="H111" s="16" t="s">
        <v>33</v>
      </c>
      <c r="I111" s="3" t="s">
        <v>1399</v>
      </c>
      <c r="J111" s="3" t="s">
        <v>1400</v>
      </c>
      <c r="K111" s="3"/>
      <c r="L111" s="16" t="s">
        <v>1401</v>
      </c>
      <c r="M111" s="3" t="s">
        <v>43</v>
      </c>
      <c r="N111" s="3" t="s">
        <v>1428</v>
      </c>
      <c r="O111" s="16" t="s">
        <v>1439</v>
      </c>
      <c r="P111" s="16"/>
      <c r="Q111" s="16"/>
      <c r="R111" s="3" t="s">
        <v>31</v>
      </c>
      <c r="S111" s="3" t="s">
        <v>32</v>
      </c>
      <c r="T111" s="3" t="s">
        <v>40</v>
      </c>
      <c r="U111" s="3" t="s">
        <v>35</v>
      </c>
      <c r="V111" s="4" t="s">
        <v>30</v>
      </c>
      <c r="W111" s="3" t="s">
        <v>36</v>
      </c>
      <c r="X111" s="4" t="s">
        <v>730</v>
      </c>
      <c r="Y111" s="5"/>
      <c r="Z111" s="5"/>
      <c r="AA111" s="5"/>
      <c r="AB111" s="5"/>
      <c r="AC111" s="5"/>
      <c r="AD111" s="4" t="s">
        <v>769</v>
      </c>
      <c r="AE111" s="17" t="s">
        <v>1614</v>
      </c>
      <c r="AF111" s="3" t="s">
        <v>1400</v>
      </c>
      <c r="AG111" s="5"/>
      <c r="AH111" s="5"/>
      <c r="AI111" s="5"/>
      <c r="AJ111" s="3" t="s">
        <v>49</v>
      </c>
      <c r="AK111" s="18"/>
    </row>
    <row r="112" ht="12" customHeight="1" spans="1:37" x14ac:dyDescent="0.25">
      <c r="A112" s="13" t="s">
        <v>539</v>
      </c>
      <c r="B112" s="13" t="s">
        <v>40</v>
      </c>
      <c r="C112" s="13" t="s">
        <v>1397</v>
      </c>
      <c r="D112" s="14" t="s">
        <v>1033</v>
      </c>
      <c r="E112" s="15" t="s">
        <v>1615</v>
      </c>
      <c r="F112" s="3" t="s">
        <v>79</v>
      </c>
      <c r="G112" s="3" t="s">
        <v>802</v>
      </c>
      <c r="H112" s="16" t="s">
        <v>33</v>
      </c>
      <c r="I112" s="3" t="s">
        <v>1399</v>
      </c>
      <c r="J112" s="3" t="s">
        <v>1400</v>
      </c>
      <c r="K112" s="3"/>
      <c r="L112" s="16" t="s">
        <v>1401</v>
      </c>
      <c r="M112" s="3" t="s">
        <v>79</v>
      </c>
      <c r="N112" s="3" t="s">
        <v>1410</v>
      </c>
      <c r="O112" s="16" t="s">
        <v>1439</v>
      </c>
      <c r="P112" s="16"/>
      <c r="Q112" s="16"/>
      <c r="R112" s="3" t="s">
        <v>1412</v>
      </c>
      <c r="S112" s="3" t="s">
        <v>32</v>
      </c>
      <c r="T112" s="3" t="s">
        <v>40</v>
      </c>
      <c r="U112" s="3" t="s">
        <v>35</v>
      </c>
      <c r="V112" s="4" t="s">
        <v>30</v>
      </c>
      <c r="W112" s="3" t="s">
        <v>36</v>
      </c>
      <c r="X112" s="4" t="s">
        <v>730</v>
      </c>
      <c r="Y112" s="5"/>
      <c r="Z112" s="5"/>
      <c r="AA112" s="5"/>
      <c r="AB112" s="5"/>
      <c r="AC112" s="5"/>
      <c r="AD112" s="4" t="s">
        <v>1033</v>
      </c>
      <c r="AE112" s="17" t="s">
        <v>1616</v>
      </c>
      <c r="AF112" s="3" t="s">
        <v>1400</v>
      </c>
      <c r="AG112" s="5"/>
      <c r="AH112" s="5"/>
      <c r="AI112" s="5"/>
      <c r="AJ112" s="3" t="s">
        <v>83</v>
      </c>
      <c r="AK112" s="18"/>
    </row>
    <row r="113" ht="12" customHeight="1" spans="1:37" x14ac:dyDescent="0.25">
      <c r="A113" s="13" t="s">
        <v>540</v>
      </c>
      <c r="B113" s="13" t="s">
        <v>40</v>
      </c>
      <c r="C113" s="13" t="s">
        <v>1397</v>
      </c>
      <c r="D113" s="14" t="s">
        <v>1568</v>
      </c>
      <c r="E113" s="15" t="s">
        <v>1617</v>
      </c>
      <c r="F113" s="3" t="s">
        <v>79</v>
      </c>
      <c r="G113" s="3" t="s">
        <v>802</v>
      </c>
      <c r="H113" s="16" t="s">
        <v>33</v>
      </c>
      <c r="I113" s="3" t="s">
        <v>1399</v>
      </c>
      <c r="J113" s="3" t="s">
        <v>1400</v>
      </c>
      <c r="K113" s="3"/>
      <c r="L113" s="16" t="s">
        <v>1401</v>
      </c>
      <c r="M113" s="3" t="s">
        <v>79</v>
      </c>
      <c r="N113" s="3" t="s">
        <v>1410</v>
      </c>
      <c r="O113" s="16" t="s">
        <v>1439</v>
      </c>
      <c r="P113" s="16"/>
      <c r="Q113" s="16"/>
      <c r="R113" s="3" t="s">
        <v>1412</v>
      </c>
      <c r="S113" s="3" t="s">
        <v>32</v>
      </c>
      <c r="T113" s="3" t="s">
        <v>40</v>
      </c>
      <c r="U113" s="3" t="s">
        <v>35</v>
      </c>
      <c r="V113" s="4" t="s">
        <v>30</v>
      </c>
      <c r="W113" s="3" t="s">
        <v>36</v>
      </c>
      <c r="X113" s="4" t="s">
        <v>730</v>
      </c>
      <c r="Y113" s="5"/>
      <c r="Z113" s="5"/>
      <c r="AA113" s="5"/>
      <c r="AB113" s="5"/>
      <c r="AC113" s="5"/>
      <c r="AD113" s="4" t="s">
        <v>1568</v>
      </c>
      <c r="AE113" s="17" t="s">
        <v>1618</v>
      </c>
      <c r="AF113" s="3" t="s">
        <v>1400</v>
      </c>
      <c r="AG113" s="5"/>
      <c r="AH113" s="5"/>
      <c r="AI113" s="5"/>
      <c r="AJ113" s="3" t="s">
        <v>83</v>
      </c>
      <c r="AK113" s="18"/>
    </row>
    <row r="114" ht="12" customHeight="1" spans="1:37" x14ac:dyDescent="0.25">
      <c r="A114" s="13" t="s">
        <v>541</v>
      </c>
      <c r="B114" s="13" t="s">
        <v>40</v>
      </c>
      <c r="C114" s="13" t="s">
        <v>1397</v>
      </c>
      <c r="D114" s="14" t="s">
        <v>792</v>
      </c>
      <c r="E114" s="15" t="s">
        <v>1619</v>
      </c>
      <c r="F114" s="3" t="s">
        <v>252</v>
      </c>
      <c r="G114" s="3" t="s">
        <v>819</v>
      </c>
      <c r="H114" s="16" t="s">
        <v>33</v>
      </c>
      <c r="I114" s="3" t="s">
        <v>1399</v>
      </c>
      <c r="J114" s="3" t="s">
        <v>1400</v>
      </c>
      <c r="K114" s="3"/>
      <c r="L114" s="16" t="s">
        <v>1401</v>
      </c>
      <c r="M114" s="3" t="s">
        <v>252</v>
      </c>
      <c r="N114" s="3" t="s">
        <v>1547</v>
      </c>
      <c r="O114" s="16" t="s">
        <v>1439</v>
      </c>
      <c r="P114" s="16"/>
      <c r="Q114" s="16"/>
      <c r="R114" s="3" t="s">
        <v>1470</v>
      </c>
      <c r="S114" s="3" t="s">
        <v>1471</v>
      </c>
      <c r="T114" s="3" t="s">
        <v>40</v>
      </c>
      <c r="U114" s="3" t="s">
        <v>35</v>
      </c>
      <c r="V114" s="4" t="s">
        <v>30</v>
      </c>
      <c r="W114" s="3" t="s">
        <v>36</v>
      </c>
      <c r="X114" s="4" t="s">
        <v>730</v>
      </c>
      <c r="Y114" s="5"/>
      <c r="Z114" s="5"/>
      <c r="AA114" s="5"/>
      <c r="AB114" s="5"/>
      <c r="AC114" s="5"/>
      <c r="AD114" s="4" t="s">
        <v>792</v>
      </c>
      <c r="AE114" s="17" t="s">
        <v>1620</v>
      </c>
      <c r="AF114" s="3" t="s">
        <v>1400</v>
      </c>
      <c r="AG114" s="5"/>
      <c r="AH114" s="5"/>
      <c r="AI114" s="5"/>
      <c r="AJ114" s="3" t="s">
        <v>131</v>
      </c>
      <c r="AK114" s="18"/>
    </row>
    <row r="115" ht="12" customHeight="1" spans="1:37" x14ac:dyDescent="0.25">
      <c r="A115" s="13" t="s">
        <v>545</v>
      </c>
      <c r="B115" s="13" t="s">
        <v>40</v>
      </c>
      <c r="C115" s="13" t="s">
        <v>1397</v>
      </c>
      <c r="D115" s="14" t="s">
        <v>1405</v>
      </c>
      <c r="E115" s="15" t="s">
        <v>1621</v>
      </c>
      <c r="F115" s="3" t="s">
        <v>161</v>
      </c>
      <c r="G115" s="3" t="s">
        <v>1291</v>
      </c>
      <c r="H115" s="16" t="s">
        <v>33</v>
      </c>
      <c r="I115" s="3" t="s">
        <v>1399</v>
      </c>
      <c r="J115" s="3" t="s">
        <v>1400</v>
      </c>
      <c r="K115" s="3"/>
      <c r="L115" s="16" t="s">
        <v>1401</v>
      </c>
      <c r="M115" s="3" t="s">
        <v>161</v>
      </c>
      <c r="N115" s="3" t="s">
        <v>1418</v>
      </c>
      <c r="O115" s="16" t="s">
        <v>1439</v>
      </c>
      <c r="P115" s="16"/>
      <c r="Q115" s="16"/>
      <c r="R115" s="3" t="s">
        <v>31</v>
      </c>
      <c r="S115" s="3" t="s">
        <v>32</v>
      </c>
      <c r="T115" s="3" t="s">
        <v>40</v>
      </c>
      <c r="U115" s="3" t="s">
        <v>35</v>
      </c>
      <c r="V115" s="4" t="s">
        <v>30</v>
      </c>
      <c r="W115" s="3" t="s">
        <v>36</v>
      </c>
      <c r="X115" s="4" t="s">
        <v>730</v>
      </c>
      <c r="Y115" s="5"/>
      <c r="Z115" s="5"/>
      <c r="AA115" s="5"/>
      <c r="AB115" s="5"/>
      <c r="AC115" s="5"/>
      <c r="AD115" s="4" t="s">
        <v>759</v>
      </c>
      <c r="AE115" s="17" t="s">
        <v>1576</v>
      </c>
      <c r="AF115" s="3" t="s">
        <v>1400</v>
      </c>
      <c r="AG115" s="5"/>
      <c r="AH115" s="5"/>
      <c r="AI115" s="5"/>
      <c r="AJ115" s="3" t="s">
        <v>163</v>
      </c>
      <c r="AK115" s="18"/>
    </row>
    <row r="116" ht="12" customHeight="1" spans="1:37" x14ac:dyDescent="0.25">
      <c r="A116" s="13" t="s">
        <v>542</v>
      </c>
      <c r="B116" s="13" t="s">
        <v>40</v>
      </c>
      <c r="C116" s="13" t="s">
        <v>1397</v>
      </c>
      <c r="D116" s="14" t="s">
        <v>792</v>
      </c>
      <c r="E116" s="15" t="s">
        <v>1622</v>
      </c>
      <c r="F116" s="3" t="s">
        <v>129</v>
      </c>
      <c r="G116" s="3" t="s">
        <v>819</v>
      </c>
      <c r="H116" s="16" t="s">
        <v>33</v>
      </c>
      <c r="I116" s="3" t="s">
        <v>1399</v>
      </c>
      <c r="J116" s="3" t="s">
        <v>1400</v>
      </c>
      <c r="K116" s="3"/>
      <c r="L116" s="16" t="s">
        <v>1401</v>
      </c>
      <c r="M116" s="3" t="s">
        <v>129</v>
      </c>
      <c r="N116" s="3" t="s">
        <v>1443</v>
      </c>
      <c r="O116" s="16" t="s">
        <v>1439</v>
      </c>
      <c r="P116" s="16"/>
      <c r="Q116" s="16"/>
      <c r="R116" s="3" t="s">
        <v>31</v>
      </c>
      <c r="S116" s="3" t="s">
        <v>32</v>
      </c>
      <c r="T116" s="3" t="s">
        <v>40</v>
      </c>
      <c r="U116" s="3" t="s">
        <v>35</v>
      </c>
      <c r="V116" s="4" t="s">
        <v>30</v>
      </c>
      <c r="W116" s="3" t="s">
        <v>36</v>
      </c>
      <c r="X116" s="4" t="s">
        <v>730</v>
      </c>
      <c r="Y116" s="5"/>
      <c r="Z116" s="5"/>
      <c r="AA116" s="5"/>
      <c r="AB116" s="5"/>
      <c r="AC116" s="5"/>
      <c r="AD116" s="4" t="s">
        <v>792</v>
      </c>
      <c r="AE116" s="17" t="s">
        <v>1623</v>
      </c>
      <c r="AF116" s="3" t="s">
        <v>1400</v>
      </c>
      <c r="AG116" s="5"/>
      <c r="AH116" s="5"/>
      <c r="AI116" s="5"/>
      <c r="AJ116" s="3" t="s">
        <v>131</v>
      </c>
      <c r="AK116" s="18"/>
    </row>
    <row r="117" ht="12" customHeight="1" spans="1:37" x14ac:dyDescent="0.25">
      <c r="A117" s="13" t="s">
        <v>544</v>
      </c>
      <c r="B117" s="13" t="s">
        <v>40</v>
      </c>
      <c r="C117" s="13" t="s">
        <v>1397</v>
      </c>
      <c r="D117" s="14" t="s">
        <v>774</v>
      </c>
      <c r="E117" s="15" t="s">
        <v>1624</v>
      </c>
      <c r="F117" s="3" t="s">
        <v>177</v>
      </c>
      <c r="G117" s="3" t="s">
        <v>732</v>
      </c>
      <c r="H117" s="16" t="s">
        <v>33</v>
      </c>
      <c r="I117" s="3" t="s">
        <v>1399</v>
      </c>
      <c r="J117" s="3" t="s">
        <v>1400</v>
      </c>
      <c r="K117" s="3"/>
      <c r="L117" s="16" t="s">
        <v>1401</v>
      </c>
      <c r="M117" s="3" t="s">
        <v>177</v>
      </c>
      <c r="N117" s="3" t="s">
        <v>1547</v>
      </c>
      <c r="O117" s="16" t="s">
        <v>1439</v>
      </c>
      <c r="P117" s="16"/>
      <c r="Q117" s="16"/>
      <c r="R117" s="3" t="s">
        <v>31</v>
      </c>
      <c r="S117" s="3" t="s">
        <v>32</v>
      </c>
      <c r="T117" s="3" t="s">
        <v>40</v>
      </c>
      <c r="U117" s="3" t="s">
        <v>35</v>
      </c>
      <c r="V117" s="4" t="s">
        <v>30</v>
      </c>
      <c r="W117" s="3" t="s">
        <v>70</v>
      </c>
      <c r="X117" s="4" t="s">
        <v>966</v>
      </c>
      <c r="Y117" s="5"/>
      <c r="Z117" s="5"/>
      <c r="AA117" s="5"/>
      <c r="AB117" s="5"/>
      <c r="AC117" s="5"/>
      <c r="AD117" s="4" t="s">
        <v>774</v>
      </c>
      <c r="AE117" s="17" t="s">
        <v>1625</v>
      </c>
      <c r="AF117" s="3" t="s">
        <v>1400</v>
      </c>
      <c r="AG117" s="5"/>
      <c r="AH117" s="5"/>
      <c r="AI117" s="5"/>
      <c r="AJ117" s="3" t="s">
        <v>76</v>
      </c>
      <c r="AK117" s="18"/>
    </row>
    <row r="118" ht="12" customHeight="1" spans="1:37" x14ac:dyDescent="0.25">
      <c r="A118" s="13" t="s">
        <v>611</v>
      </c>
      <c r="B118" s="13" t="s">
        <v>40</v>
      </c>
      <c r="C118" s="13" t="s">
        <v>1397</v>
      </c>
      <c r="D118" s="14" t="s">
        <v>785</v>
      </c>
      <c r="E118" s="15" t="s">
        <v>1549</v>
      </c>
      <c r="F118" s="3" t="s">
        <v>43</v>
      </c>
      <c r="G118" s="3" t="s">
        <v>47</v>
      </c>
      <c r="H118" s="16" t="s">
        <v>33</v>
      </c>
      <c r="I118" s="3" t="s">
        <v>1399</v>
      </c>
      <c r="J118" s="3" t="s">
        <v>1400</v>
      </c>
      <c r="K118" s="3"/>
      <c r="L118" s="16" t="s">
        <v>1401</v>
      </c>
      <c r="M118" s="3" t="s">
        <v>43</v>
      </c>
      <c r="N118" s="3" t="s">
        <v>1428</v>
      </c>
      <c r="O118" s="16" t="s">
        <v>1515</v>
      </c>
      <c r="P118" s="16"/>
      <c r="Q118" s="16"/>
      <c r="R118" s="3" t="s">
        <v>31</v>
      </c>
      <c r="S118" s="3" t="s">
        <v>32</v>
      </c>
      <c r="T118" s="3" t="s">
        <v>40</v>
      </c>
      <c r="U118" s="3" t="s">
        <v>35</v>
      </c>
      <c r="V118" s="4" t="s">
        <v>30</v>
      </c>
      <c r="W118" s="3" t="s">
        <v>36</v>
      </c>
      <c r="X118" s="4" t="s">
        <v>730</v>
      </c>
      <c r="Y118" s="5"/>
      <c r="Z118" s="5"/>
      <c r="AA118" s="5"/>
      <c r="AB118" s="5"/>
      <c r="AC118" s="5"/>
      <c r="AD118" s="4" t="s">
        <v>785</v>
      </c>
      <c r="AE118" s="17" t="s">
        <v>1626</v>
      </c>
      <c r="AF118" s="3" t="s">
        <v>1400</v>
      </c>
      <c r="AG118" s="5"/>
      <c r="AH118" s="5"/>
      <c r="AI118" s="5"/>
      <c r="AJ118" s="3" t="s">
        <v>49</v>
      </c>
      <c r="AK118" s="18"/>
    </row>
    <row r="119" ht="12" customHeight="1" spans="1:37" x14ac:dyDescent="0.25">
      <c r="A119" s="13" t="s">
        <v>613</v>
      </c>
      <c r="B119" s="13" t="s">
        <v>40</v>
      </c>
      <c r="C119" s="13" t="s">
        <v>1397</v>
      </c>
      <c r="D119" s="14" t="s">
        <v>1405</v>
      </c>
      <c r="E119" s="15" t="s">
        <v>1627</v>
      </c>
      <c r="F119" s="3" t="s">
        <v>463</v>
      </c>
      <c r="G119" s="3" t="s">
        <v>1107</v>
      </c>
      <c r="H119" s="16" t="s">
        <v>33</v>
      </c>
      <c r="I119" s="3" t="s">
        <v>1399</v>
      </c>
      <c r="J119" s="3" t="s">
        <v>1400</v>
      </c>
      <c r="K119" s="3"/>
      <c r="L119" s="16" t="s">
        <v>1401</v>
      </c>
      <c r="M119" s="3" t="s">
        <v>463</v>
      </c>
      <c r="N119" s="3" t="s">
        <v>1418</v>
      </c>
      <c r="O119" s="16" t="s">
        <v>1515</v>
      </c>
      <c r="P119" s="16"/>
      <c r="Q119" s="16"/>
      <c r="R119" s="3" t="s">
        <v>31</v>
      </c>
      <c r="S119" s="3" t="s">
        <v>32</v>
      </c>
      <c r="T119" s="3" t="s">
        <v>40</v>
      </c>
      <c r="U119" s="3" t="s">
        <v>35</v>
      </c>
      <c r="V119" s="4" t="s">
        <v>30</v>
      </c>
      <c r="W119" s="3" t="s">
        <v>36</v>
      </c>
      <c r="X119" s="4" t="s">
        <v>730</v>
      </c>
      <c r="Y119" s="5"/>
      <c r="Z119" s="5"/>
      <c r="AA119" s="5"/>
      <c r="AB119" s="5"/>
      <c r="AC119" s="5"/>
      <c r="AD119" s="4" t="s">
        <v>1405</v>
      </c>
      <c r="AE119" s="17" t="s">
        <v>1562</v>
      </c>
      <c r="AF119" s="3" t="s">
        <v>1400</v>
      </c>
      <c r="AG119" s="5"/>
      <c r="AH119" s="5"/>
      <c r="AI119" s="5"/>
      <c r="AJ119" s="3" t="s">
        <v>466</v>
      </c>
      <c r="AK119" s="18"/>
    </row>
    <row r="120" ht="12" customHeight="1" spans="1:37" x14ac:dyDescent="0.25">
      <c r="A120" s="13" t="s">
        <v>616</v>
      </c>
      <c r="B120" s="13" t="s">
        <v>40</v>
      </c>
      <c r="C120" s="13" t="s">
        <v>1397</v>
      </c>
      <c r="D120" s="14" t="s">
        <v>1568</v>
      </c>
      <c r="E120" s="15" t="s">
        <v>1628</v>
      </c>
      <c r="F120" s="3" t="s">
        <v>79</v>
      </c>
      <c r="G120" s="3" t="s">
        <v>802</v>
      </c>
      <c r="H120" s="16" t="s">
        <v>33</v>
      </c>
      <c r="I120" s="3" t="s">
        <v>1399</v>
      </c>
      <c r="J120" s="3" t="s">
        <v>1400</v>
      </c>
      <c r="K120" s="3"/>
      <c r="L120" s="16" t="s">
        <v>1401</v>
      </c>
      <c r="M120" s="3" t="s">
        <v>79</v>
      </c>
      <c r="N120" s="3" t="s">
        <v>1410</v>
      </c>
      <c r="O120" s="16" t="s">
        <v>1515</v>
      </c>
      <c r="P120" s="16"/>
      <c r="Q120" s="16"/>
      <c r="R120" s="3" t="s">
        <v>1412</v>
      </c>
      <c r="S120" s="3" t="s">
        <v>32</v>
      </c>
      <c r="T120" s="3" t="s">
        <v>40</v>
      </c>
      <c r="U120" s="3" t="s">
        <v>35</v>
      </c>
      <c r="V120" s="4" t="s">
        <v>30</v>
      </c>
      <c r="W120" s="3" t="s">
        <v>36</v>
      </c>
      <c r="X120" s="4" t="s">
        <v>730</v>
      </c>
      <c r="Y120" s="5"/>
      <c r="Z120" s="5"/>
      <c r="AA120" s="5"/>
      <c r="AB120" s="5"/>
      <c r="AC120" s="5"/>
      <c r="AD120" s="4" t="s">
        <v>1568</v>
      </c>
      <c r="AE120" s="17" t="s">
        <v>1629</v>
      </c>
      <c r="AF120" s="3" t="s">
        <v>1400</v>
      </c>
      <c r="AG120" s="5"/>
      <c r="AH120" s="5"/>
      <c r="AI120" s="5"/>
      <c r="AJ120" s="3" t="s">
        <v>83</v>
      </c>
      <c r="AK120" s="18"/>
    </row>
    <row r="121" ht="12" customHeight="1" spans="1:37" x14ac:dyDescent="0.25">
      <c r="A121" s="13" t="s">
        <v>612</v>
      </c>
      <c r="B121" s="13" t="s">
        <v>40</v>
      </c>
      <c r="C121" s="13" t="s">
        <v>1397</v>
      </c>
      <c r="D121" s="14" t="s">
        <v>1405</v>
      </c>
      <c r="E121" s="15" t="s">
        <v>1630</v>
      </c>
      <c r="F121" s="3" t="s">
        <v>169</v>
      </c>
      <c r="G121" s="3" t="s">
        <v>1028</v>
      </c>
      <c r="H121" s="16" t="s">
        <v>33</v>
      </c>
      <c r="I121" s="3" t="s">
        <v>1399</v>
      </c>
      <c r="J121" s="3" t="s">
        <v>1400</v>
      </c>
      <c r="K121" s="3"/>
      <c r="L121" s="16" t="s">
        <v>1401</v>
      </c>
      <c r="M121" s="3" t="s">
        <v>169</v>
      </c>
      <c r="N121" s="3" t="s">
        <v>1443</v>
      </c>
      <c r="O121" s="16" t="s">
        <v>1515</v>
      </c>
      <c r="P121" s="16"/>
      <c r="Q121" s="16"/>
      <c r="R121" s="3" t="s">
        <v>31</v>
      </c>
      <c r="S121" s="3" t="s">
        <v>32</v>
      </c>
      <c r="T121" s="3" t="s">
        <v>40</v>
      </c>
      <c r="U121" s="3" t="s">
        <v>35</v>
      </c>
      <c r="V121" s="4" t="s">
        <v>30</v>
      </c>
      <c r="W121" s="3" t="s">
        <v>36</v>
      </c>
      <c r="X121" s="4" t="s">
        <v>730</v>
      </c>
      <c r="Y121" s="5"/>
      <c r="Z121" s="5"/>
      <c r="AA121" s="5"/>
      <c r="AB121" s="5"/>
      <c r="AC121" s="5"/>
      <c r="AD121" s="4" t="s">
        <v>759</v>
      </c>
      <c r="AE121" s="17" t="s">
        <v>1576</v>
      </c>
      <c r="AF121" s="3" t="s">
        <v>1400</v>
      </c>
      <c r="AG121" s="5"/>
      <c r="AH121" s="5"/>
      <c r="AI121" s="5"/>
      <c r="AJ121" s="3" t="s">
        <v>170</v>
      </c>
      <c r="AK121" s="18"/>
    </row>
    <row r="122" ht="12" customHeight="1" spans="1:37" x14ac:dyDescent="0.25">
      <c r="A122" s="13" t="s">
        <v>608</v>
      </c>
      <c r="B122" s="13" t="s">
        <v>40</v>
      </c>
      <c r="C122" s="13" t="s">
        <v>1397</v>
      </c>
      <c r="D122" s="14" t="s">
        <v>797</v>
      </c>
      <c r="E122" s="15" t="s">
        <v>1631</v>
      </c>
      <c r="F122" s="3" t="s">
        <v>43</v>
      </c>
      <c r="G122" s="3" t="s">
        <v>47</v>
      </c>
      <c r="H122" s="16" t="s">
        <v>33</v>
      </c>
      <c r="I122" s="3" t="s">
        <v>1399</v>
      </c>
      <c r="J122" s="3" t="s">
        <v>1400</v>
      </c>
      <c r="K122" s="3"/>
      <c r="L122" s="16" t="s">
        <v>1401</v>
      </c>
      <c r="M122" s="3" t="s">
        <v>43</v>
      </c>
      <c r="N122" s="3" t="s">
        <v>1428</v>
      </c>
      <c r="O122" s="16" t="s">
        <v>1515</v>
      </c>
      <c r="P122" s="16"/>
      <c r="Q122" s="16"/>
      <c r="R122" s="3" t="s">
        <v>31</v>
      </c>
      <c r="S122" s="3" t="s">
        <v>32</v>
      </c>
      <c r="T122" s="3" t="s">
        <v>40</v>
      </c>
      <c r="U122" s="3" t="s">
        <v>35</v>
      </c>
      <c r="V122" s="4" t="s">
        <v>30</v>
      </c>
      <c r="W122" s="3" t="s">
        <v>36</v>
      </c>
      <c r="X122" s="4" t="s">
        <v>730</v>
      </c>
      <c r="Y122" s="5"/>
      <c r="Z122" s="5"/>
      <c r="AA122" s="5"/>
      <c r="AB122" s="5"/>
      <c r="AC122" s="5"/>
      <c r="AD122" s="4" t="s">
        <v>769</v>
      </c>
      <c r="AE122" s="17" t="s">
        <v>1632</v>
      </c>
      <c r="AF122" s="3" t="s">
        <v>1400</v>
      </c>
      <c r="AG122" s="5"/>
      <c r="AH122" s="5"/>
      <c r="AI122" s="5"/>
      <c r="AJ122" s="3" t="s">
        <v>49</v>
      </c>
      <c r="AK122" s="18"/>
    </row>
    <row r="123" ht="12" customHeight="1" spans="1:37" x14ac:dyDescent="0.25">
      <c r="A123" s="13" t="s">
        <v>620</v>
      </c>
      <c r="B123" s="13" t="s">
        <v>40</v>
      </c>
      <c r="C123" s="13" t="s">
        <v>1397</v>
      </c>
      <c r="D123" s="14" t="s">
        <v>1405</v>
      </c>
      <c r="E123" s="15" t="s">
        <v>1633</v>
      </c>
      <c r="F123" s="3" t="s">
        <v>257</v>
      </c>
      <c r="G123" s="3" t="s">
        <v>732</v>
      </c>
      <c r="H123" s="16" t="s">
        <v>33</v>
      </c>
      <c r="I123" s="3" t="s">
        <v>1399</v>
      </c>
      <c r="J123" s="3" t="s">
        <v>1400</v>
      </c>
      <c r="K123" s="3"/>
      <c r="L123" s="16" t="s">
        <v>1401</v>
      </c>
      <c r="M123" s="3" t="s">
        <v>257</v>
      </c>
      <c r="N123" s="3" t="s">
        <v>1598</v>
      </c>
      <c r="O123" s="16" t="s">
        <v>1515</v>
      </c>
      <c r="P123" s="16"/>
      <c r="Q123" s="16"/>
      <c r="R123" s="3" t="s">
        <v>1470</v>
      </c>
      <c r="S123" s="3" t="s">
        <v>1471</v>
      </c>
      <c r="T123" s="3" t="s">
        <v>40</v>
      </c>
      <c r="U123" s="3" t="s">
        <v>35</v>
      </c>
      <c r="V123" s="4" t="s">
        <v>30</v>
      </c>
      <c r="W123" s="3" t="s">
        <v>36</v>
      </c>
      <c r="X123" s="4" t="s">
        <v>730</v>
      </c>
      <c r="Y123" s="5"/>
      <c r="Z123" s="5"/>
      <c r="AA123" s="5"/>
      <c r="AB123" s="5"/>
      <c r="AC123" s="5"/>
      <c r="AD123" s="4" t="s">
        <v>1405</v>
      </c>
      <c r="AE123" s="17" t="s">
        <v>1634</v>
      </c>
      <c r="AF123" s="3" t="s">
        <v>1400</v>
      </c>
      <c r="AG123" s="5"/>
      <c r="AH123" s="5"/>
      <c r="AI123" s="5"/>
      <c r="AJ123" s="3" t="s">
        <v>111</v>
      </c>
      <c r="AK123" s="18"/>
    </row>
    <row r="124" ht="12" customHeight="1" spans="1:37" x14ac:dyDescent="0.25">
      <c r="A124" s="13" t="s">
        <v>609</v>
      </c>
      <c r="B124" s="13" t="s">
        <v>40</v>
      </c>
      <c r="C124" s="13" t="s">
        <v>1397</v>
      </c>
      <c r="D124" s="14" t="s">
        <v>841</v>
      </c>
      <c r="E124" s="15" t="s">
        <v>1635</v>
      </c>
      <c r="F124" s="3" t="s">
        <v>43</v>
      </c>
      <c r="G124" s="3" t="s">
        <v>47</v>
      </c>
      <c r="H124" s="16" t="s">
        <v>33</v>
      </c>
      <c r="I124" s="3" t="s">
        <v>1399</v>
      </c>
      <c r="J124" s="3" t="s">
        <v>1400</v>
      </c>
      <c r="K124" s="3"/>
      <c r="L124" s="16" t="s">
        <v>1401</v>
      </c>
      <c r="M124" s="3" t="s">
        <v>43</v>
      </c>
      <c r="N124" s="3" t="s">
        <v>1428</v>
      </c>
      <c r="O124" s="16" t="s">
        <v>1515</v>
      </c>
      <c r="P124" s="16"/>
      <c r="Q124" s="16"/>
      <c r="R124" s="3" t="s">
        <v>31</v>
      </c>
      <c r="S124" s="3" t="s">
        <v>32</v>
      </c>
      <c r="T124" s="3" t="s">
        <v>40</v>
      </c>
      <c r="U124" s="3" t="s">
        <v>35</v>
      </c>
      <c r="V124" s="4" t="s">
        <v>30</v>
      </c>
      <c r="W124" s="3" t="s">
        <v>36</v>
      </c>
      <c r="X124" s="4" t="s">
        <v>730</v>
      </c>
      <c r="Y124" s="5"/>
      <c r="Z124" s="5"/>
      <c r="AA124" s="5"/>
      <c r="AB124" s="5"/>
      <c r="AC124" s="5"/>
      <c r="AD124" s="4" t="s">
        <v>841</v>
      </c>
      <c r="AE124" s="17" t="s">
        <v>1551</v>
      </c>
      <c r="AF124" s="3" t="s">
        <v>1400</v>
      </c>
      <c r="AG124" s="5"/>
      <c r="AH124" s="5"/>
      <c r="AI124" s="5"/>
      <c r="AJ124" s="3" t="s">
        <v>49</v>
      </c>
      <c r="AK124" s="18"/>
    </row>
    <row r="125" ht="12" customHeight="1" spans="1:37" x14ac:dyDescent="0.25">
      <c r="A125" s="13" t="s">
        <v>617</v>
      </c>
      <c r="B125" s="13" t="s">
        <v>40</v>
      </c>
      <c r="C125" s="13" t="s">
        <v>1397</v>
      </c>
      <c r="D125" s="14" t="s">
        <v>1568</v>
      </c>
      <c r="E125" s="15" t="s">
        <v>1636</v>
      </c>
      <c r="F125" s="3" t="s">
        <v>79</v>
      </c>
      <c r="G125" s="3" t="s">
        <v>802</v>
      </c>
      <c r="H125" s="16" t="s">
        <v>33</v>
      </c>
      <c r="I125" s="3" t="s">
        <v>1399</v>
      </c>
      <c r="J125" s="3" t="s">
        <v>1400</v>
      </c>
      <c r="K125" s="3"/>
      <c r="L125" s="16" t="s">
        <v>1401</v>
      </c>
      <c r="M125" s="3" t="s">
        <v>79</v>
      </c>
      <c r="N125" s="3" t="s">
        <v>1410</v>
      </c>
      <c r="O125" s="16" t="s">
        <v>1515</v>
      </c>
      <c r="P125" s="16"/>
      <c r="Q125" s="16"/>
      <c r="R125" s="3" t="s">
        <v>1412</v>
      </c>
      <c r="S125" s="3" t="s">
        <v>32</v>
      </c>
      <c r="T125" s="3" t="s">
        <v>40</v>
      </c>
      <c r="U125" s="3" t="s">
        <v>35</v>
      </c>
      <c r="V125" s="4" t="s">
        <v>30</v>
      </c>
      <c r="W125" s="3" t="s">
        <v>36</v>
      </c>
      <c r="X125" s="4" t="s">
        <v>730</v>
      </c>
      <c r="Y125" s="5"/>
      <c r="Z125" s="5"/>
      <c r="AA125" s="5"/>
      <c r="AB125" s="5"/>
      <c r="AC125" s="5"/>
      <c r="AD125" s="4" t="s">
        <v>1568</v>
      </c>
      <c r="AE125" s="17" t="s">
        <v>1637</v>
      </c>
      <c r="AF125" s="3" t="s">
        <v>1400</v>
      </c>
      <c r="AG125" s="5"/>
      <c r="AH125" s="5"/>
      <c r="AI125" s="5"/>
      <c r="AJ125" s="3" t="s">
        <v>83</v>
      </c>
      <c r="AK125" s="18"/>
    </row>
    <row r="126" ht="12" customHeight="1" spans="1:37" x14ac:dyDescent="0.25">
      <c r="A126" s="13" t="s">
        <v>618</v>
      </c>
      <c r="B126" s="13" t="s">
        <v>40</v>
      </c>
      <c r="C126" s="13" t="s">
        <v>1397</v>
      </c>
      <c r="D126" s="14" t="s">
        <v>1033</v>
      </c>
      <c r="E126" s="15" t="s">
        <v>1638</v>
      </c>
      <c r="F126" s="3" t="s">
        <v>79</v>
      </c>
      <c r="G126" s="3" t="s">
        <v>802</v>
      </c>
      <c r="H126" s="16" t="s">
        <v>33</v>
      </c>
      <c r="I126" s="3" t="s">
        <v>1399</v>
      </c>
      <c r="J126" s="3" t="s">
        <v>1400</v>
      </c>
      <c r="K126" s="3"/>
      <c r="L126" s="16" t="s">
        <v>1401</v>
      </c>
      <c r="M126" s="3" t="s">
        <v>79</v>
      </c>
      <c r="N126" s="3" t="s">
        <v>1410</v>
      </c>
      <c r="O126" s="16" t="s">
        <v>1515</v>
      </c>
      <c r="P126" s="16"/>
      <c r="Q126" s="16"/>
      <c r="R126" s="3" t="s">
        <v>1412</v>
      </c>
      <c r="S126" s="3" t="s">
        <v>32</v>
      </c>
      <c r="T126" s="3" t="s">
        <v>40</v>
      </c>
      <c r="U126" s="3" t="s">
        <v>35</v>
      </c>
      <c r="V126" s="4" t="s">
        <v>30</v>
      </c>
      <c r="W126" s="3" t="s">
        <v>36</v>
      </c>
      <c r="X126" s="4" t="s">
        <v>730</v>
      </c>
      <c r="Y126" s="5"/>
      <c r="Z126" s="5"/>
      <c r="AA126" s="5"/>
      <c r="AB126" s="5"/>
      <c r="AC126" s="5"/>
      <c r="AD126" s="4" t="s">
        <v>1033</v>
      </c>
      <c r="AE126" s="17" t="s">
        <v>1468</v>
      </c>
      <c r="AF126" s="3" t="s">
        <v>1400</v>
      </c>
      <c r="AG126" s="5"/>
      <c r="AH126" s="5"/>
      <c r="AI126" s="5"/>
      <c r="AJ126" s="3" t="s">
        <v>83</v>
      </c>
      <c r="AK126" s="18"/>
    </row>
    <row r="127" ht="12" customHeight="1" spans="1:37" x14ac:dyDescent="0.25">
      <c r="A127" s="13" t="s">
        <v>605</v>
      </c>
      <c r="B127" s="13" t="s">
        <v>40</v>
      </c>
      <c r="C127" s="13" t="s">
        <v>1397</v>
      </c>
      <c r="D127" s="14" t="s">
        <v>1405</v>
      </c>
      <c r="E127" s="15" t="s">
        <v>1639</v>
      </c>
      <c r="F127" s="3" t="s">
        <v>113</v>
      </c>
      <c r="G127" s="3" t="s">
        <v>1254</v>
      </c>
      <c r="H127" s="16" t="s">
        <v>33</v>
      </c>
      <c r="I127" s="3" t="s">
        <v>1399</v>
      </c>
      <c r="J127" s="3" t="s">
        <v>1400</v>
      </c>
      <c r="K127" s="3"/>
      <c r="L127" s="16" t="s">
        <v>1401</v>
      </c>
      <c r="M127" s="3" t="s">
        <v>113</v>
      </c>
      <c r="N127" s="3" t="s">
        <v>1418</v>
      </c>
      <c r="O127" s="16" t="s">
        <v>1515</v>
      </c>
      <c r="P127" s="16"/>
      <c r="Q127" s="16"/>
      <c r="R127" s="3" t="s">
        <v>31</v>
      </c>
      <c r="S127" s="3" t="s">
        <v>32</v>
      </c>
      <c r="T127" s="3" t="s">
        <v>40</v>
      </c>
      <c r="U127" s="3" t="s">
        <v>35</v>
      </c>
      <c r="V127" s="4" t="s">
        <v>30</v>
      </c>
      <c r="W127" s="3" t="s">
        <v>36</v>
      </c>
      <c r="X127" s="4" t="s">
        <v>730</v>
      </c>
      <c r="Y127" s="5"/>
      <c r="Z127" s="5"/>
      <c r="AA127" s="5"/>
      <c r="AB127" s="5"/>
      <c r="AC127" s="5"/>
      <c r="AD127" s="4" t="s">
        <v>1405</v>
      </c>
      <c r="AE127" s="17" t="s">
        <v>1555</v>
      </c>
      <c r="AF127" s="3" t="s">
        <v>1400</v>
      </c>
      <c r="AG127" s="5"/>
      <c r="AH127" s="5"/>
      <c r="AI127" s="5"/>
      <c r="AJ127" s="3" t="s">
        <v>115</v>
      </c>
      <c r="AK127" s="18"/>
    </row>
    <row r="128" ht="12" customHeight="1" spans="1:37" x14ac:dyDescent="0.25">
      <c r="A128" s="13" t="s">
        <v>614</v>
      </c>
      <c r="B128" s="13" t="s">
        <v>40</v>
      </c>
      <c r="C128" s="13" t="s">
        <v>1397</v>
      </c>
      <c r="D128" s="14" t="s">
        <v>1568</v>
      </c>
      <c r="E128" s="15" t="s">
        <v>1640</v>
      </c>
      <c r="F128" s="3" t="s">
        <v>79</v>
      </c>
      <c r="G128" s="3" t="s">
        <v>802</v>
      </c>
      <c r="H128" s="16" t="s">
        <v>33</v>
      </c>
      <c r="I128" s="3" t="s">
        <v>1399</v>
      </c>
      <c r="J128" s="3" t="s">
        <v>1400</v>
      </c>
      <c r="K128" s="3"/>
      <c r="L128" s="16" t="s">
        <v>1401</v>
      </c>
      <c r="M128" s="3" t="s">
        <v>79</v>
      </c>
      <c r="N128" s="3" t="s">
        <v>1410</v>
      </c>
      <c r="O128" s="16" t="s">
        <v>1515</v>
      </c>
      <c r="P128" s="16"/>
      <c r="Q128" s="16"/>
      <c r="R128" s="3" t="s">
        <v>1412</v>
      </c>
      <c r="S128" s="3" t="s">
        <v>32</v>
      </c>
      <c r="T128" s="3" t="s">
        <v>40</v>
      </c>
      <c r="U128" s="3" t="s">
        <v>35</v>
      </c>
      <c r="V128" s="4" t="s">
        <v>30</v>
      </c>
      <c r="W128" s="3" t="s">
        <v>36</v>
      </c>
      <c r="X128" s="4" t="s">
        <v>730</v>
      </c>
      <c r="Y128" s="5"/>
      <c r="Z128" s="5"/>
      <c r="AA128" s="5"/>
      <c r="AB128" s="5"/>
      <c r="AC128" s="5"/>
      <c r="AD128" s="4" t="s">
        <v>1033</v>
      </c>
      <c r="AE128" s="17" t="s">
        <v>1581</v>
      </c>
      <c r="AF128" s="3" t="s">
        <v>1400</v>
      </c>
      <c r="AG128" s="5"/>
      <c r="AH128" s="5"/>
      <c r="AI128" s="5"/>
      <c r="AJ128" s="3" t="s">
        <v>83</v>
      </c>
      <c r="AK128" s="18"/>
    </row>
    <row r="129" ht="12" customHeight="1" spans="1:37" x14ac:dyDescent="0.25">
      <c r="A129" s="13" t="s">
        <v>621</v>
      </c>
      <c r="B129" s="13" t="s">
        <v>40</v>
      </c>
      <c r="C129" s="13" t="s">
        <v>1397</v>
      </c>
      <c r="D129" s="14" t="s">
        <v>1057</v>
      </c>
      <c r="E129" s="15" t="s">
        <v>1641</v>
      </c>
      <c r="F129" s="3" t="s">
        <v>257</v>
      </c>
      <c r="G129" s="3" t="s">
        <v>732</v>
      </c>
      <c r="H129" s="16" t="s">
        <v>33</v>
      </c>
      <c r="I129" s="3" t="s">
        <v>1399</v>
      </c>
      <c r="J129" s="3" t="s">
        <v>1400</v>
      </c>
      <c r="K129" s="3"/>
      <c r="L129" s="16" t="s">
        <v>1401</v>
      </c>
      <c r="M129" s="3" t="s">
        <v>257</v>
      </c>
      <c r="N129" s="3" t="s">
        <v>1598</v>
      </c>
      <c r="O129" s="16" t="s">
        <v>1515</v>
      </c>
      <c r="P129" s="16"/>
      <c r="Q129" s="16"/>
      <c r="R129" s="3" t="s">
        <v>1470</v>
      </c>
      <c r="S129" s="3" t="s">
        <v>1471</v>
      </c>
      <c r="T129" s="3" t="s">
        <v>40</v>
      </c>
      <c r="U129" s="3" t="s">
        <v>35</v>
      </c>
      <c r="V129" s="4" t="s">
        <v>30</v>
      </c>
      <c r="W129" s="3" t="s">
        <v>36</v>
      </c>
      <c r="X129" s="4" t="s">
        <v>730</v>
      </c>
      <c r="Y129" s="5"/>
      <c r="Z129" s="5"/>
      <c r="AA129" s="5"/>
      <c r="AB129" s="5"/>
      <c r="AC129" s="5"/>
      <c r="AD129" s="4" t="s">
        <v>1057</v>
      </c>
      <c r="AE129" s="17" t="s">
        <v>1642</v>
      </c>
      <c r="AF129" s="3" t="s">
        <v>1400</v>
      </c>
      <c r="AG129" s="5"/>
      <c r="AH129" s="5"/>
      <c r="AI129" s="5"/>
      <c r="AJ129" s="3" t="s">
        <v>111</v>
      </c>
      <c r="AK129" s="18"/>
    </row>
    <row r="130" ht="12" customHeight="1" spans="1:37" x14ac:dyDescent="0.25">
      <c r="A130" s="13" t="s">
        <v>607</v>
      </c>
      <c r="B130" s="13" t="s">
        <v>40</v>
      </c>
      <c r="C130" s="13" t="s">
        <v>1397</v>
      </c>
      <c r="D130" s="14" t="s">
        <v>774</v>
      </c>
      <c r="E130" s="15" t="s">
        <v>1643</v>
      </c>
      <c r="F130" s="3" t="s">
        <v>117</v>
      </c>
      <c r="G130" s="3" t="s">
        <v>732</v>
      </c>
      <c r="H130" s="16" t="s">
        <v>33</v>
      </c>
      <c r="I130" s="3" t="s">
        <v>1399</v>
      </c>
      <c r="J130" s="3" t="s">
        <v>1400</v>
      </c>
      <c r="K130" s="3"/>
      <c r="L130" s="16" t="s">
        <v>1401</v>
      </c>
      <c r="M130" s="3" t="s">
        <v>117</v>
      </c>
      <c r="N130" s="3" t="s">
        <v>1587</v>
      </c>
      <c r="O130" s="16" t="s">
        <v>1515</v>
      </c>
      <c r="P130" s="16"/>
      <c r="Q130" s="16"/>
      <c r="R130" s="3" t="s">
        <v>31</v>
      </c>
      <c r="S130" s="3" t="s">
        <v>32</v>
      </c>
      <c r="T130" s="3" t="s">
        <v>40</v>
      </c>
      <c r="U130" s="3" t="s">
        <v>35</v>
      </c>
      <c r="V130" s="4" t="s">
        <v>30</v>
      </c>
      <c r="W130" s="3" t="s">
        <v>36</v>
      </c>
      <c r="X130" s="4" t="s">
        <v>730</v>
      </c>
      <c r="Y130" s="5"/>
      <c r="Z130" s="5"/>
      <c r="AA130" s="5"/>
      <c r="AB130" s="5"/>
      <c r="AC130" s="5"/>
      <c r="AD130" s="4" t="s">
        <v>774</v>
      </c>
      <c r="AE130" s="17" t="s">
        <v>1644</v>
      </c>
      <c r="AF130" s="3" t="s">
        <v>1400</v>
      </c>
      <c r="AG130" s="5"/>
      <c r="AH130" s="5"/>
      <c r="AI130" s="5"/>
      <c r="AJ130" s="3" t="s">
        <v>111</v>
      </c>
      <c r="AK130" s="18"/>
    </row>
    <row r="131" ht="12" customHeight="1" spans="1:37" x14ac:dyDescent="0.25">
      <c r="A131" s="13" t="s">
        <v>615</v>
      </c>
      <c r="B131" s="13" t="s">
        <v>40</v>
      </c>
      <c r="C131" s="13" t="s">
        <v>1397</v>
      </c>
      <c r="D131" s="14" t="s">
        <v>1568</v>
      </c>
      <c r="E131" s="15" t="s">
        <v>1645</v>
      </c>
      <c r="F131" s="3" t="s">
        <v>79</v>
      </c>
      <c r="G131" s="3" t="s">
        <v>802</v>
      </c>
      <c r="H131" s="16" t="s">
        <v>33</v>
      </c>
      <c r="I131" s="3" t="s">
        <v>1399</v>
      </c>
      <c r="J131" s="3" t="s">
        <v>1400</v>
      </c>
      <c r="K131" s="3"/>
      <c r="L131" s="16" t="s">
        <v>1401</v>
      </c>
      <c r="M131" s="3" t="s">
        <v>79</v>
      </c>
      <c r="N131" s="3" t="s">
        <v>1410</v>
      </c>
      <c r="O131" s="16" t="s">
        <v>1515</v>
      </c>
      <c r="P131" s="16"/>
      <c r="Q131" s="16"/>
      <c r="R131" s="3" t="s">
        <v>1412</v>
      </c>
      <c r="S131" s="3" t="s">
        <v>32</v>
      </c>
      <c r="T131" s="3" t="s">
        <v>40</v>
      </c>
      <c r="U131" s="3" t="s">
        <v>35</v>
      </c>
      <c r="V131" s="4" t="s">
        <v>30</v>
      </c>
      <c r="W131" s="3" t="s">
        <v>36</v>
      </c>
      <c r="X131" s="4" t="s">
        <v>730</v>
      </c>
      <c r="Y131" s="5"/>
      <c r="Z131" s="5"/>
      <c r="AA131" s="5"/>
      <c r="AB131" s="5"/>
      <c r="AC131" s="5"/>
      <c r="AD131" s="4" t="s">
        <v>1568</v>
      </c>
      <c r="AE131" s="17" t="s">
        <v>1594</v>
      </c>
      <c r="AF131" s="3" t="s">
        <v>1400</v>
      </c>
      <c r="AG131" s="5"/>
      <c r="AH131" s="5"/>
      <c r="AI131" s="5"/>
      <c r="AJ131" s="3" t="s">
        <v>83</v>
      </c>
      <c r="AK131" s="18"/>
    </row>
    <row r="132" ht="12" customHeight="1" spans="1:37" x14ac:dyDescent="0.25">
      <c r="A132" s="13" t="s">
        <v>619</v>
      </c>
      <c r="B132" s="13" t="s">
        <v>40</v>
      </c>
      <c r="C132" s="13" t="s">
        <v>1397</v>
      </c>
      <c r="D132" s="14" t="s">
        <v>792</v>
      </c>
      <c r="E132" s="15" t="s">
        <v>1646</v>
      </c>
      <c r="F132" s="3" t="s">
        <v>252</v>
      </c>
      <c r="G132" s="3" t="s">
        <v>819</v>
      </c>
      <c r="H132" s="16" t="s">
        <v>33</v>
      </c>
      <c r="I132" s="3" t="s">
        <v>1399</v>
      </c>
      <c r="J132" s="3" t="s">
        <v>1400</v>
      </c>
      <c r="K132" s="3"/>
      <c r="L132" s="16" t="s">
        <v>1401</v>
      </c>
      <c r="M132" s="3" t="s">
        <v>252</v>
      </c>
      <c r="N132" s="3" t="s">
        <v>1547</v>
      </c>
      <c r="O132" s="16" t="s">
        <v>1515</v>
      </c>
      <c r="P132" s="16"/>
      <c r="Q132" s="16"/>
      <c r="R132" s="3" t="s">
        <v>1470</v>
      </c>
      <c r="S132" s="3" t="s">
        <v>1471</v>
      </c>
      <c r="T132" s="3" t="s">
        <v>40</v>
      </c>
      <c r="U132" s="3" t="s">
        <v>35</v>
      </c>
      <c r="V132" s="4" t="s">
        <v>30</v>
      </c>
      <c r="W132" s="3" t="s">
        <v>36</v>
      </c>
      <c r="X132" s="4" t="s">
        <v>730</v>
      </c>
      <c r="Y132" s="5"/>
      <c r="Z132" s="5"/>
      <c r="AA132" s="5"/>
      <c r="AB132" s="5"/>
      <c r="AC132" s="5"/>
      <c r="AD132" s="4" t="s">
        <v>792</v>
      </c>
      <c r="AE132" s="17" t="s">
        <v>1647</v>
      </c>
      <c r="AF132" s="3" t="s">
        <v>1400</v>
      </c>
      <c r="AG132" s="5"/>
      <c r="AH132" s="5"/>
      <c r="AI132" s="5"/>
      <c r="AJ132" s="3" t="s">
        <v>131</v>
      </c>
      <c r="AK132" s="18"/>
    </row>
    <row r="133" ht="12" customHeight="1" spans="1:37" x14ac:dyDescent="0.25">
      <c r="A133" s="13" t="s">
        <v>610</v>
      </c>
      <c r="B133" s="13" t="s">
        <v>40</v>
      </c>
      <c r="C133" s="13" t="s">
        <v>1397</v>
      </c>
      <c r="D133" s="14" t="s">
        <v>797</v>
      </c>
      <c r="E133" s="15" t="s">
        <v>1648</v>
      </c>
      <c r="F133" s="3" t="s">
        <v>43</v>
      </c>
      <c r="G133" s="3" t="s">
        <v>47</v>
      </c>
      <c r="H133" s="16" t="s">
        <v>33</v>
      </c>
      <c r="I133" s="3" t="s">
        <v>1399</v>
      </c>
      <c r="J133" s="3" t="s">
        <v>1400</v>
      </c>
      <c r="K133" s="3"/>
      <c r="L133" s="16" t="s">
        <v>1401</v>
      </c>
      <c r="M133" s="3" t="s">
        <v>43</v>
      </c>
      <c r="N133" s="3" t="s">
        <v>1428</v>
      </c>
      <c r="O133" s="16" t="s">
        <v>1515</v>
      </c>
      <c r="P133" s="16"/>
      <c r="Q133" s="16"/>
      <c r="R133" s="3" t="s">
        <v>31</v>
      </c>
      <c r="S133" s="3" t="s">
        <v>32</v>
      </c>
      <c r="T133" s="3" t="s">
        <v>40</v>
      </c>
      <c r="U133" s="3" t="s">
        <v>35</v>
      </c>
      <c r="V133" s="4" t="s">
        <v>30</v>
      </c>
      <c r="W133" s="3" t="s">
        <v>36</v>
      </c>
      <c r="X133" s="4" t="s">
        <v>730</v>
      </c>
      <c r="Y133" s="5"/>
      <c r="Z133" s="5"/>
      <c r="AA133" s="5"/>
      <c r="AB133" s="5"/>
      <c r="AC133" s="5"/>
      <c r="AD133" s="4" t="s">
        <v>769</v>
      </c>
      <c r="AE133" s="17" t="s">
        <v>1649</v>
      </c>
      <c r="AF133" s="3" t="s">
        <v>1400</v>
      </c>
      <c r="AG133" s="5"/>
      <c r="AH133" s="5"/>
      <c r="AI133" s="5"/>
      <c r="AJ133" s="3" t="s">
        <v>49</v>
      </c>
      <c r="AK133" s="18"/>
    </row>
    <row r="134" ht="12" customHeight="1" spans="1:37" x14ac:dyDescent="0.25">
      <c r="A134" s="13" t="s">
        <v>625</v>
      </c>
      <c r="B134" s="13" t="s">
        <v>40</v>
      </c>
      <c r="C134" s="13" t="s">
        <v>1397</v>
      </c>
      <c r="D134" s="14" t="s">
        <v>1405</v>
      </c>
      <c r="E134" s="15" t="s">
        <v>1650</v>
      </c>
      <c r="F134" s="3" t="s">
        <v>136</v>
      </c>
      <c r="G134" s="3" t="s">
        <v>1218</v>
      </c>
      <c r="H134" s="16" t="s">
        <v>33</v>
      </c>
      <c r="I134" s="3" t="s">
        <v>1399</v>
      </c>
      <c r="J134" s="3" t="s">
        <v>1400</v>
      </c>
      <c r="K134" s="3"/>
      <c r="L134" s="16" t="s">
        <v>1401</v>
      </c>
      <c r="M134" s="3" t="s">
        <v>136</v>
      </c>
      <c r="N134" s="3" t="s">
        <v>1435</v>
      </c>
      <c r="O134" s="16" t="s">
        <v>1515</v>
      </c>
      <c r="P134" s="16"/>
      <c r="Q134" s="16"/>
      <c r="R134" s="3" t="s">
        <v>31</v>
      </c>
      <c r="S134" s="3" t="s">
        <v>32</v>
      </c>
      <c r="T134" s="3" t="s">
        <v>40</v>
      </c>
      <c r="U134" s="3" t="s">
        <v>35</v>
      </c>
      <c r="V134" s="4" t="s">
        <v>30</v>
      </c>
      <c r="W134" s="3" t="s">
        <v>36</v>
      </c>
      <c r="X134" s="4" t="s">
        <v>730</v>
      </c>
      <c r="Y134" s="5"/>
      <c r="Z134" s="5"/>
      <c r="AA134" s="5"/>
      <c r="AB134" s="5"/>
      <c r="AC134" s="5"/>
      <c r="AD134" s="4" t="s">
        <v>1405</v>
      </c>
      <c r="AE134" s="17" t="s">
        <v>1408</v>
      </c>
      <c r="AF134" s="3" t="s">
        <v>1400</v>
      </c>
      <c r="AG134" s="5"/>
      <c r="AH134" s="5"/>
      <c r="AI134" s="5"/>
      <c r="AJ134" s="3" t="s">
        <v>56</v>
      </c>
      <c r="AK134" s="18"/>
    </row>
    <row r="135" ht="12" customHeight="1" spans="1:37" x14ac:dyDescent="0.25">
      <c r="A135" s="13" t="s">
        <v>626</v>
      </c>
      <c r="B135" s="13" t="s">
        <v>40</v>
      </c>
      <c r="C135" s="13" t="s">
        <v>1397</v>
      </c>
      <c r="D135" s="14" t="s">
        <v>1405</v>
      </c>
      <c r="E135" s="15" t="s">
        <v>1521</v>
      </c>
      <c r="F135" s="3" t="s">
        <v>136</v>
      </c>
      <c r="G135" s="3" t="s">
        <v>1218</v>
      </c>
      <c r="H135" s="16" t="s">
        <v>33</v>
      </c>
      <c r="I135" s="3" t="s">
        <v>1399</v>
      </c>
      <c r="J135" s="3" t="s">
        <v>1400</v>
      </c>
      <c r="K135" s="3"/>
      <c r="L135" s="16" t="s">
        <v>1401</v>
      </c>
      <c r="M135" s="3" t="s">
        <v>136</v>
      </c>
      <c r="N135" s="3" t="s">
        <v>1435</v>
      </c>
      <c r="O135" s="16" t="s">
        <v>1515</v>
      </c>
      <c r="P135" s="16"/>
      <c r="Q135" s="16"/>
      <c r="R135" s="3" t="s">
        <v>31</v>
      </c>
      <c r="S135" s="3" t="s">
        <v>32</v>
      </c>
      <c r="T135" s="3" t="s">
        <v>40</v>
      </c>
      <c r="U135" s="3" t="s">
        <v>35</v>
      </c>
      <c r="V135" s="4" t="s">
        <v>30</v>
      </c>
      <c r="W135" s="3" t="s">
        <v>36</v>
      </c>
      <c r="X135" s="4" t="s">
        <v>730</v>
      </c>
      <c r="Y135" s="5"/>
      <c r="Z135" s="5"/>
      <c r="AA135" s="5"/>
      <c r="AB135" s="5"/>
      <c r="AC135" s="5"/>
      <c r="AD135" s="4" t="s">
        <v>1405</v>
      </c>
      <c r="AE135" s="17" t="s">
        <v>1651</v>
      </c>
      <c r="AF135" s="3" t="s">
        <v>1400</v>
      </c>
      <c r="AG135" s="5"/>
      <c r="AH135" s="5"/>
      <c r="AI135" s="5"/>
      <c r="AJ135" s="3" t="s">
        <v>56</v>
      </c>
      <c r="AK135" s="18"/>
    </row>
    <row r="136" ht="12" customHeight="1" spans="1:37" x14ac:dyDescent="0.25">
      <c r="A136" s="13" t="s">
        <v>624</v>
      </c>
      <c r="B136" s="13" t="s">
        <v>40</v>
      </c>
      <c r="C136" s="13" t="s">
        <v>1397</v>
      </c>
      <c r="D136" s="14" t="s">
        <v>1568</v>
      </c>
      <c r="E136" s="15" t="s">
        <v>1652</v>
      </c>
      <c r="F136" s="3" t="s">
        <v>79</v>
      </c>
      <c r="G136" s="3" t="s">
        <v>802</v>
      </c>
      <c r="H136" s="16" t="s">
        <v>33</v>
      </c>
      <c r="I136" s="3" t="s">
        <v>1399</v>
      </c>
      <c r="J136" s="3" t="s">
        <v>1400</v>
      </c>
      <c r="K136" s="3"/>
      <c r="L136" s="16" t="s">
        <v>1401</v>
      </c>
      <c r="M136" s="3" t="s">
        <v>79</v>
      </c>
      <c r="N136" s="3" t="s">
        <v>1410</v>
      </c>
      <c r="O136" s="16" t="s">
        <v>1515</v>
      </c>
      <c r="P136" s="16"/>
      <c r="Q136" s="16"/>
      <c r="R136" s="3" t="s">
        <v>1412</v>
      </c>
      <c r="S136" s="3" t="s">
        <v>32</v>
      </c>
      <c r="T136" s="3" t="s">
        <v>40</v>
      </c>
      <c r="U136" s="3" t="s">
        <v>35</v>
      </c>
      <c r="V136" s="4" t="s">
        <v>30</v>
      </c>
      <c r="W136" s="3" t="s">
        <v>36</v>
      </c>
      <c r="X136" s="4" t="s">
        <v>730</v>
      </c>
      <c r="Y136" s="5"/>
      <c r="Z136" s="5"/>
      <c r="AA136" s="5"/>
      <c r="AB136" s="5"/>
      <c r="AC136" s="5"/>
      <c r="AD136" s="4" t="s">
        <v>1568</v>
      </c>
      <c r="AE136" s="17" t="s">
        <v>1653</v>
      </c>
      <c r="AF136" s="3" t="s">
        <v>1400</v>
      </c>
      <c r="AG136" s="5"/>
      <c r="AH136" s="5"/>
      <c r="AI136" s="5"/>
      <c r="AJ136" s="3" t="s">
        <v>83</v>
      </c>
      <c r="AK136" s="18"/>
    </row>
    <row r="137" ht="12" customHeight="1" spans="1:37" x14ac:dyDescent="0.25">
      <c r="A137" s="13" t="s">
        <v>622</v>
      </c>
      <c r="B137" s="13" t="s">
        <v>40</v>
      </c>
      <c r="C137" s="13" t="s">
        <v>1397</v>
      </c>
      <c r="D137" s="14" t="s">
        <v>841</v>
      </c>
      <c r="E137" s="15" t="s">
        <v>1654</v>
      </c>
      <c r="F137" s="3" t="s">
        <v>43</v>
      </c>
      <c r="G137" s="3" t="s">
        <v>47</v>
      </c>
      <c r="H137" s="16" t="s">
        <v>33</v>
      </c>
      <c r="I137" s="3" t="s">
        <v>1399</v>
      </c>
      <c r="J137" s="3" t="s">
        <v>1400</v>
      </c>
      <c r="K137" s="3"/>
      <c r="L137" s="16" t="s">
        <v>1401</v>
      </c>
      <c r="M137" s="3" t="s">
        <v>43</v>
      </c>
      <c r="N137" s="3" t="s">
        <v>1428</v>
      </c>
      <c r="O137" s="16" t="s">
        <v>1515</v>
      </c>
      <c r="P137" s="16"/>
      <c r="Q137" s="16"/>
      <c r="R137" s="3" t="s">
        <v>31</v>
      </c>
      <c r="S137" s="3" t="s">
        <v>32</v>
      </c>
      <c r="T137" s="3" t="s">
        <v>40</v>
      </c>
      <c r="U137" s="3" t="s">
        <v>35</v>
      </c>
      <c r="V137" s="4" t="s">
        <v>30</v>
      </c>
      <c r="W137" s="3" t="s">
        <v>36</v>
      </c>
      <c r="X137" s="4" t="s">
        <v>730</v>
      </c>
      <c r="Y137" s="5"/>
      <c r="Z137" s="5"/>
      <c r="AA137" s="5"/>
      <c r="AB137" s="5"/>
      <c r="AC137" s="5"/>
      <c r="AD137" s="4" t="s">
        <v>841</v>
      </c>
      <c r="AE137" s="17" t="s">
        <v>1446</v>
      </c>
      <c r="AF137" s="3" t="s">
        <v>1400</v>
      </c>
      <c r="AG137" s="5"/>
      <c r="AH137" s="5"/>
      <c r="AI137" s="5"/>
      <c r="AJ137" s="3" t="s">
        <v>49</v>
      </c>
      <c r="AK137" s="18"/>
    </row>
    <row r="138" ht="12" customHeight="1" spans="1:37" x14ac:dyDescent="0.25">
      <c r="A138" s="13" t="s">
        <v>66</v>
      </c>
      <c r="B138" s="13" t="s">
        <v>40</v>
      </c>
      <c r="C138" s="13" t="s">
        <v>1397</v>
      </c>
      <c r="D138" s="14" t="s">
        <v>841</v>
      </c>
      <c r="E138" s="15" t="s">
        <v>1655</v>
      </c>
      <c r="F138" s="3" t="s">
        <v>43</v>
      </c>
      <c r="G138" s="3" t="s">
        <v>47</v>
      </c>
      <c r="H138" s="16" t="s">
        <v>33</v>
      </c>
      <c r="I138" s="3" t="s">
        <v>1399</v>
      </c>
      <c r="J138" s="3" t="s">
        <v>1400</v>
      </c>
      <c r="K138" s="3"/>
      <c r="L138" s="16" t="s">
        <v>1401</v>
      </c>
      <c r="M138" s="3" t="s">
        <v>43</v>
      </c>
      <c r="N138" s="3" t="s">
        <v>1428</v>
      </c>
      <c r="O138" s="16" t="s">
        <v>1411</v>
      </c>
      <c r="P138" s="16"/>
      <c r="Q138" s="16"/>
      <c r="R138" s="3" t="s">
        <v>31</v>
      </c>
      <c r="S138" s="3" t="s">
        <v>32</v>
      </c>
      <c r="T138" s="3" t="s">
        <v>40</v>
      </c>
      <c r="U138" s="3" t="s">
        <v>35</v>
      </c>
      <c r="V138" s="4" t="s">
        <v>30</v>
      </c>
      <c r="W138" s="3" t="s">
        <v>36</v>
      </c>
      <c r="X138" s="4" t="s">
        <v>730</v>
      </c>
      <c r="Y138" s="5"/>
      <c r="Z138" s="5"/>
      <c r="AA138" s="5"/>
      <c r="AB138" s="5"/>
      <c r="AC138" s="5"/>
      <c r="AD138" s="4" t="s">
        <v>841</v>
      </c>
      <c r="AE138" s="17" t="s">
        <v>1499</v>
      </c>
      <c r="AF138" s="3" t="s">
        <v>1400</v>
      </c>
      <c r="AG138" s="5"/>
      <c r="AH138" s="5"/>
      <c r="AI138" s="5"/>
      <c r="AJ138" s="3" t="s">
        <v>49</v>
      </c>
      <c r="AK138" s="18"/>
    </row>
    <row r="139" ht="12" customHeight="1" spans="1:37" x14ac:dyDescent="0.25">
      <c r="A139" s="13" t="s">
        <v>60</v>
      </c>
      <c r="B139" s="13" t="s">
        <v>40</v>
      </c>
      <c r="C139" s="13" t="s">
        <v>1397</v>
      </c>
      <c r="D139" s="14" t="s">
        <v>797</v>
      </c>
      <c r="E139" s="15" t="s">
        <v>1414</v>
      </c>
      <c r="F139" s="3" t="s">
        <v>62</v>
      </c>
      <c r="G139" s="3" t="s">
        <v>1209</v>
      </c>
      <c r="H139" s="16" t="s">
        <v>33</v>
      </c>
      <c r="I139" s="3" t="s">
        <v>1399</v>
      </c>
      <c r="J139" s="3" t="s">
        <v>1400</v>
      </c>
      <c r="K139" s="3"/>
      <c r="L139" s="16" t="s">
        <v>1401</v>
      </c>
      <c r="M139" s="3" t="s">
        <v>62</v>
      </c>
      <c r="N139" s="3" t="s">
        <v>1415</v>
      </c>
      <c r="O139" s="16" t="s">
        <v>1411</v>
      </c>
      <c r="P139" s="16"/>
      <c r="Q139" s="16"/>
      <c r="R139" s="3" t="s">
        <v>31</v>
      </c>
      <c r="S139" s="3" t="s">
        <v>32</v>
      </c>
      <c r="T139" s="3" t="s">
        <v>40</v>
      </c>
      <c r="U139" s="3" t="s">
        <v>35</v>
      </c>
      <c r="V139" s="4" t="s">
        <v>30</v>
      </c>
      <c r="W139" s="3" t="s">
        <v>36</v>
      </c>
      <c r="X139" s="4" t="s">
        <v>730</v>
      </c>
      <c r="Y139" s="5"/>
      <c r="Z139" s="5"/>
      <c r="AA139" s="5"/>
      <c r="AB139" s="5"/>
      <c r="AC139" s="5"/>
      <c r="AD139" s="4" t="s">
        <v>797</v>
      </c>
      <c r="AE139" s="17" t="s">
        <v>1416</v>
      </c>
      <c r="AF139" s="3" t="s">
        <v>1400</v>
      </c>
      <c r="AG139" s="5"/>
      <c r="AH139" s="5"/>
      <c r="AI139" s="5"/>
      <c r="AJ139" s="3" t="s">
        <v>65</v>
      </c>
      <c r="AK139" s="18"/>
    </row>
    <row r="140" ht="12" customHeight="1" spans="1:37" x14ac:dyDescent="0.25">
      <c r="A140" s="13" t="s">
        <v>121</v>
      </c>
      <c r="B140" s="13" t="s">
        <v>40</v>
      </c>
      <c r="C140" s="13" t="s">
        <v>1397</v>
      </c>
      <c r="D140" s="14" t="s">
        <v>774</v>
      </c>
      <c r="E140" s="15" t="s">
        <v>1656</v>
      </c>
      <c r="F140" s="3" t="s">
        <v>117</v>
      </c>
      <c r="G140" s="3" t="s">
        <v>732</v>
      </c>
      <c r="H140" s="16" t="s">
        <v>33</v>
      </c>
      <c r="I140" s="3" t="s">
        <v>1399</v>
      </c>
      <c r="J140" s="3" t="s">
        <v>1400</v>
      </c>
      <c r="K140" s="3"/>
      <c r="L140" s="16" t="s">
        <v>1401</v>
      </c>
      <c r="M140" s="3" t="s">
        <v>117</v>
      </c>
      <c r="N140" s="3" t="s">
        <v>1587</v>
      </c>
      <c r="O140" s="16" t="s">
        <v>1422</v>
      </c>
      <c r="P140" s="16"/>
      <c r="Q140" s="16"/>
      <c r="R140" s="3" t="s">
        <v>31</v>
      </c>
      <c r="S140" s="3" t="s">
        <v>32</v>
      </c>
      <c r="T140" s="3" t="s">
        <v>40</v>
      </c>
      <c r="U140" s="3" t="s">
        <v>35</v>
      </c>
      <c r="V140" s="4" t="s">
        <v>30</v>
      </c>
      <c r="W140" s="3" t="s">
        <v>36</v>
      </c>
      <c r="X140" s="4" t="s">
        <v>730</v>
      </c>
      <c r="Y140" s="5"/>
      <c r="Z140" s="5"/>
      <c r="AA140" s="5"/>
      <c r="AB140" s="5"/>
      <c r="AC140" s="5"/>
      <c r="AD140" s="4" t="s">
        <v>774</v>
      </c>
      <c r="AE140" s="17" t="s">
        <v>1588</v>
      </c>
      <c r="AF140" s="3" t="s">
        <v>1400</v>
      </c>
      <c r="AG140" s="5"/>
      <c r="AH140" s="5"/>
      <c r="AI140" s="5"/>
      <c r="AJ140" s="3" t="s">
        <v>111</v>
      </c>
      <c r="AK140" s="18"/>
    </row>
    <row r="141" ht="12" customHeight="1" spans="1:37" x14ac:dyDescent="0.25">
      <c r="A141" s="13" t="s">
        <v>461</v>
      </c>
      <c r="B141" s="13" t="s">
        <v>40</v>
      </c>
      <c r="C141" s="13" t="s">
        <v>1397</v>
      </c>
      <c r="D141" s="14" t="s">
        <v>1405</v>
      </c>
      <c r="E141" s="15" t="s">
        <v>1657</v>
      </c>
      <c r="F141" s="3" t="s">
        <v>136</v>
      </c>
      <c r="G141" s="3" t="s">
        <v>1218</v>
      </c>
      <c r="H141" s="16" t="s">
        <v>33</v>
      </c>
      <c r="I141" s="3" t="s">
        <v>1399</v>
      </c>
      <c r="J141" s="3" t="s">
        <v>1400</v>
      </c>
      <c r="K141" s="3"/>
      <c r="L141" s="16" t="s">
        <v>1401</v>
      </c>
      <c r="M141" s="3" t="s">
        <v>136</v>
      </c>
      <c r="N141" s="3" t="s">
        <v>1435</v>
      </c>
      <c r="O141" s="16" t="s">
        <v>1422</v>
      </c>
      <c r="P141" s="16"/>
      <c r="Q141" s="16"/>
      <c r="R141" s="3" t="s">
        <v>31</v>
      </c>
      <c r="S141" s="3" t="s">
        <v>32</v>
      </c>
      <c r="T141" s="3" t="s">
        <v>40</v>
      </c>
      <c r="U141" s="3" t="s">
        <v>35</v>
      </c>
      <c r="V141" s="4" t="s">
        <v>30</v>
      </c>
      <c r="W141" s="3" t="s">
        <v>36</v>
      </c>
      <c r="X141" s="4" t="s">
        <v>730</v>
      </c>
      <c r="Y141" s="5"/>
      <c r="Z141" s="5"/>
      <c r="AA141" s="5"/>
      <c r="AB141" s="5"/>
      <c r="AC141" s="5"/>
      <c r="AD141" s="4" t="s">
        <v>1405</v>
      </c>
      <c r="AE141" s="17" t="s">
        <v>1562</v>
      </c>
      <c r="AF141" s="3" t="s">
        <v>1400</v>
      </c>
      <c r="AG141" s="5"/>
      <c r="AH141" s="5"/>
      <c r="AI141" s="5"/>
      <c r="AJ141" s="3" t="s">
        <v>56</v>
      </c>
      <c r="AK141" s="18"/>
    </row>
    <row r="142" ht="12" customHeight="1" spans="1:37" x14ac:dyDescent="0.25">
      <c r="A142" s="13" t="s">
        <v>459</v>
      </c>
      <c r="B142" s="13" t="s">
        <v>40</v>
      </c>
      <c r="C142" s="13" t="s">
        <v>1397</v>
      </c>
      <c r="D142" s="14" t="s">
        <v>769</v>
      </c>
      <c r="E142" s="15" t="s">
        <v>1658</v>
      </c>
      <c r="F142" s="3" t="s">
        <v>43</v>
      </c>
      <c r="G142" s="3" t="s">
        <v>47</v>
      </c>
      <c r="H142" s="16" t="s">
        <v>33</v>
      </c>
      <c r="I142" s="3" t="s">
        <v>1399</v>
      </c>
      <c r="J142" s="3" t="s">
        <v>1400</v>
      </c>
      <c r="K142" s="3"/>
      <c r="L142" s="16" t="s">
        <v>1401</v>
      </c>
      <c r="M142" s="3" t="s">
        <v>43</v>
      </c>
      <c r="N142" s="3" t="s">
        <v>1428</v>
      </c>
      <c r="O142" s="16" t="s">
        <v>1422</v>
      </c>
      <c r="P142" s="16"/>
      <c r="Q142" s="16"/>
      <c r="R142" s="3" t="s">
        <v>31</v>
      </c>
      <c r="S142" s="3" t="s">
        <v>32</v>
      </c>
      <c r="T142" s="3" t="s">
        <v>40</v>
      </c>
      <c r="U142" s="3" t="s">
        <v>35</v>
      </c>
      <c r="V142" s="4" t="s">
        <v>30</v>
      </c>
      <c r="W142" s="3" t="s">
        <v>36</v>
      </c>
      <c r="X142" s="4" t="s">
        <v>730</v>
      </c>
      <c r="Y142" s="5"/>
      <c r="Z142" s="5"/>
      <c r="AA142" s="5"/>
      <c r="AB142" s="5"/>
      <c r="AC142" s="5"/>
      <c r="AD142" s="4" t="s">
        <v>769</v>
      </c>
      <c r="AE142" s="17" t="s">
        <v>1659</v>
      </c>
      <c r="AF142" s="3" t="s">
        <v>1400</v>
      </c>
      <c r="AG142" s="5"/>
      <c r="AH142" s="5"/>
      <c r="AI142" s="5"/>
      <c r="AJ142" s="3" t="s">
        <v>49</v>
      </c>
      <c r="AK142" s="18"/>
    </row>
    <row r="143" ht="12" customHeight="1" spans="1:37" x14ac:dyDescent="0.25">
      <c r="A143" s="13" t="s">
        <v>247</v>
      </c>
      <c r="B143" s="13" t="s">
        <v>40</v>
      </c>
      <c r="C143" s="13" t="s">
        <v>1397</v>
      </c>
      <c r="D143" s="14" t="s">
        <v>1405</v>
      </c>
      <c r="E143" s="15" t="s">
        <v>1427</v>
      </c>
      <c r="F143" s="3" t="s">
        <v>136</v>
      </c>
      <c r="G143" s="3" t="s">
        <v>1218</v>
      </c>
      <c r="H143" s="16" t="s">
        <v>33</v>
      </c>
      <c r="I143" s="3" t="s">
        <v>1399</v>
      </c>
      <c r="J143" s="3" t="s">
        <v>1400</v>
      </c>
      <c r="K143" s="3"/>
      <c r="L143" s="16" t="s">
        <v>1401</v>
      </c>
      <c r="M143" s="3" t="s">
        <v>136</v>
      </c>
      <c r="N143" s="3" t="s">
        <v>1435</v>
      </c>
      <c r="O143" s="16" t="s">
        <v>1460</v>
      </c>
      <c r="P143" s="16"/>
      <c r="Q143" s="16"/>
      <c r="R143" s="3" t="s">
        <v>31</v>
      </c>
      <c r="S143" s="3" t="s">
        <v>32</v>
      </c>
      <c r="T143" s="3" t="s">
        <v>40</v>
      </c>
      <c r="U143" s="3" t="s">
        <v>35</v>
      </c>
      <c r="V143" s="4" t="s">
        <v>30</v>
      </c>
      <c r="W143" s="3" t="s">
        <v>36</v>
      </c>
      <c r="X143" s="4" t="s">
        <v>730</v>
      </c>
      <c r="Y143" s="5"/>
      <c r="Z143" s="5"/>
      <c r="AA143" s="5"/>
      <c r="AB143" s="5"/>
      <c r="AC143" s="5"/>
      <c r="AD143" s="4" t="s">
        <v>1405</v>
      </c>
      <c r="AE143" s="17" t="s">
        <v>1436</v>
      </c>
      <c r="AF143" s="3" t="s">
        <v>1400</v>
      </c>
      <c r="AG143" s="5"/>
      <c r="AH143" s="5"/>
      <c r="AI143" s="5"/>
      <c r="AJ143" s="3" t="s">
        <v>56</v>
      </c>
      <c r="AK143" s="18"/>
    </row>
    <row r="144" ht="12" customHeight="1" spans="1:37" x14ac:dyDescent="0.25">
      <c r="A144" s="13" t="s">
        <v>140</v>
      </c>
      <c r="B144" s="13" t="s">
        <v>40</v>
      </c>
      <c r="C144" s="13" t="s">
        <v>1397</v>
      </c>
      <c r="D144" s="14" t="s">
        <v>769</v>
      </c>
      <c r="E144" s="15" t="s">
        <v>1660</v>
      </c>
      <c r="F144" s="3" t="s">
        <v>43</v>
      </c>
      <c r="G144" s="3" t="s">
        <v>47</v>
      </c>
      <c r="H144" s="16" t="s">
        <v>33</v>
      </c>
      <c r="I144" s="3" t="s">
        <v>1399</v>
      </c>
      <c r="J144" s="3" t="s">
        <v>1400</v>
      </c>
      <c r="K144" s="3"/>
      <c r="L144" s="16" t="s">
        <v>1401</v>
      </c>
      <c r="M144" s="3" t="s">
        <v>43</v>
      </c>
      <c r="N144" s="3" t="s">
        <v>1428</v>
      </c>
      <c r="O144" s="16" t="s">
        <v>1460</v>
      </c>
      <c r="P144" s="16"/>
      <c r="Q144" s="16"/>
      <c r="R144" s="3" t="s">
        <v>31</v>
      </c>
      <c r="S144" s="3" t="s">
        <v>32</v>
      </c>
      <c r="T144" s="3" t="s">
        <v>40</v>
      </c>
      <c r="U144" s="3" t="s">
        <v>35</v>
      </c>
      <c r="V144" s="4" t="s">
        <v>30</v>
      </c>
      <c r="W144" s="3" t="s">
        <v>36</v>
      </c>
      <c r="X144" s="4" t="s">
        <v>730</v>
      </c>
      <c r="Y144" s="5"/>
      <c r="Z144" s="5"/>
      <c r="AA144" s="5"/>
      <c r="AB144" s="5"/>
      <c r="AC144" s="5"/>
      <c r="AD144" s="4" t="s">
        <v>769</v>
      </c>
      <c r="AE144" s="17" t="s">
        <v>1454</v>
      </c>
      <c r="AF144" s="3" t="s">
        <v>1400</v>
      </c>
      <c r="AG144" s="5"/>
      <c r="AH144" s="5"/>
      <c r="AI144" s="5"/>
      <c r="AJ144" s="3" t="s">
        <v>49</v>
      </c>
      <c r="AK144" s="18"/>
    </row>
    <row r="145" ht="12" customHeight="1" spans="1:37" x14ac:dyDescent="0.25">
      <c r="A145" s="13" t="s">
        <v>236</v>
      </c>
      <c r="B145" s="13" t="s">
        <v>40</v>
      </c>
      <c r="C145" s="13" t="s">
        <v>1397</v>
      </c>
      <c r="D145" s="14" t="s">
        <v>1405</v>
      </c>
      <c r="E145" s="15" t="s">
        <v>1661</v>
      </c>
      <c r="F145" s="3" t="s">
        <v>136</v>
      </c>
      <c r="G145" s="3" t="s">
        <v>1218</v>
      </c>
      <c r="H145" s="16" t="s">
        <v>33</v>
      </c>
      <c r="I145" s="3" t="s">
        <v>1399</v>
      </c>
      <c r="J145" s="3" t="s">
        <v>1400</v>
      </c>
      <c r="K145" s="3"/>
      <c r="L145" s="16" t="s">
        <v>1401</v>
      </c>
      <c r="M145" s="3" t="s">
        <v>136</v>
      </c>
      <c r="N145" s="3" t="s">
        <v>1435</v>
      </c>
      <c r="O145" s="16" t="s">
        <v>1460</v>
      </c>
      <c r="P145" s="16"/>
      <c r="Q145" s="16"/>
      <c r="R145" s="3" t="s">
        <v>31</v>
      </c>
      <c r="S145" s="3" t="s">
        <v>32</v>
      </c>
      <c r="T145" s="3" t="s">
        <v>40</v>
      </c>
      <c r="U145" s="3" t="s">
        <v>35</v>
      </c>
      <c r="V145" s="4" t="s">
        <v>30</v>
      </c>
      <c r="W145" s="3" t="s">
        <v>36</v>
      </c>
      <c r="X145" s="4" t="s">
        <v>730</v>
      </c>
      <c r="Y145" s="5"/>
      <c r="Z145" s="5"/>
      <c r="AA145" s="5"/>
      <c r="AB145" s="5"/>
      <c r="AC145" s="5"/>
      <c r="AD145" s="4" t="s">
        <v>1405</v>
      </c>
      <c r="AE145" s="17" t="s">
        <v>1651</v>
      </c>
      <c r="AF145" s="3" t="s">
        <v>1400</v>
      </c>
      <c r="AG145" s="5"/>
      <c r="AH145" s="5"/>
      <c r="AI145" s="5"/>
      <c r="AJ145" s="3" t="s">
        <v>56</v>
      </c>
      <c r="AK145" s="18"/>
    </row>
    <row r="146" ht="12" customHeight="1" spans="1:37" x14ac:dyDescent="0.25">
      <c r="A146" s="13" t="s">
        <v>258</v>
      </c>
      <c r="B146" s="13" t="s">
        <v>40</v>
      </c>
      <c r="C146" s="13" t="s">
        <v>1397</v>
      </c>
      <c r="D146" s="14" t="s">
        <v>1057</v>
      </c>
      <c r="E146" s="15" t="s">
        <v>1662</v>
      </c>
      <c r="F146" s="3" t="s">
        <v>257</v>
      </c>
      <c r="G146" s="3" t="s">
        <v>732</v>
      </c>
      <c r="H146" s="16" t="s">
        <v>33</v>
      </c>
      <c r="I146" s="3" t="s">
        <v>1399</v>
      </c>
      <c r="J146" s="3" t="s">
        <v>1400</v>
      </c>
      <c r="K146" s="3"/>
      <c r="L146" s="16" t="s">
        <v>1401</v>
      </c>
      <c r="M146" s="3" t="s">
        <v>257</v>
      </c>
      <c r="N146" s="3" t="s">
        <v>1598</v>
      </c>
      <c r="O146" s="16" t="s">
        <v>1460</v>
      </c>
      <c r="P146" s="16"/>
      <c r="Q146" s="16"/>
      <c r="R146" s="3" t="s">
        <v>1470</v>
      </c>
      <c r="S146" s="3" t="s">
        <v>1471</v>
      </c>
      <c r="T146" s="3" t="s">
        <v>40</v>
      </c>
      <c r="U146" s="3" t="s">
        <v>35</v>
      </c>
      <c r="V146" s="4" t="s">
        <v>30</v>
      </c>
      <c r="W146" s="3" t="s">
        <v>36</v>
      </c>
      <c r="X146" s="4" t="s">
        <v>730</v>
      </c>
      <c r="Y146" s="5"/>
      <c r="Z146" s="5"/>
      <c r="AA146" s="5"/>
      <c r="AB146" s="5"/>
      <c r="AC146" s="5"/>
      <c r="AD146" s="4" t="s">
        <v>1057</v>
      </c>
      <c r="AE146" s="17" t="s">
        <v>1599</v>
      </c>
      <c r="AF146" s="3" t="s">
        <v>1400</v>
      </c>
      <c r="AG146" s="5"/>
      <c r="AH146" s="5"/>
      <c r="AI146" s="5"/>
      <c r="AJ146" s="3" t="s">
        <v>111</v>
      </c>
      <c r="AK146" s="18"/>
    </row>
    <row r="147" ht="12" customHeight="1" spans="1:37" x14ac:dyDescent="0.25">
      <c r="A147" s="13" t="s">
        <v>107</v>
      </c>
      <c r="B147" s="13" t="s">
        <v>40</v>
      </c>
      <c r="C147" s="13" t="s">
        <v>1397</v>
      </c>
      <c r="D147" s="14" t="s">
        <v>1663</v>
      </c>
      <c r="E147" s="15" t="s">
        <v>1427</v>
      </c>
      <c r="F147" s="3" t="s">
        <v>109</v>
      </c>
      <c r="G147" s="3" t="s">
        <v>732</v>
      </c>
      <c r="H147" s="16" t="s">
        <v>33</v>
      </c>
      <c r="I147" s="3" t="s">
        <v>1399</v>
      </c>
      <c r="J147" s="3" t="s">
        <v>1400</v>
      </c>
      <c r="K147" s="3"/>
      <c r="L147" s="16" t="s">
        <v>1401</v>
      </c>
      <c r="M147" s="3" t="s">
        <v>109</v>
      </c>
      <c r="N147" s="3" t="s">
        <v>1415</v>
      </c>
      <c r="O147" s="16" t="s">
        <v>1460</v>
      </c>
      <c r="P147" s="16"/>
      <c r="Q147" s="16"/>
      <c r="R147" s="3" t="s">
        <v>1412</v>
      </c>
      <c r="S147" s="3" t="s">
        <v>32</v>
      </c>
      <c r="T147" s="3" t="s">
        <v>40</v>
      </c>
      <c r="U147" s="3" t="s">
        <v>35</v>
      </c>
      <c r="V147" s="4" t="s">
        <v>30</v>
      </c>
      <c r="W147" s="3" t="s">
        <v>36</v>
      </c>
      <c r="X147" s="4" t="s">
        <v>730</v>
      </c>
      <c r="Y147" s="5"/>
      <c r="Z147" s="5"/>
      <c r="AA147" s="5"/>
      <c r="AB147" s="5"/>
      <c r="AC147" s="5"/>
      <c r="AD147" s="4" t="s">
        <v>1663</v>
      </c>
      <c r="AE147" s="17" t="s">
        <v>1664</v>
      </c>
      <c r="AF147" s="3" t="s">
        <v>1400</v>
      </c>
      <c r="AG147" s="5"/>
      <c r="AH147" s="5"/>
      <c r="AI147" s="5"/>
      <c r="AJ147" s="3" t="s">
        <v>111</v>
      </c>
      <c r="AK147" s="18"/>
    </row>
    <row r="148" ht="12" customHeight="1" spans="1:37" x14ac:dyDescent="0.25">
      <c r="A148" s="13" t="s">
        <v>237</v>
      </c>
      <c r="B148" s="13" t="s">
        <v>40</v>
      </c>
      <c r="C148" s="13" t="s">
        <v>1397</v>
      </c>
      <c r="D148" s="14" t="s">
        <v>759</v>
      </c>
      <c r="E148" s="15" t="s">
        <v>1665</v>
      </c>
      <c r="F148" s="3" t="s">
        <v>136</v>
      </c>
      <c r="G148" s="3" t="s">
        <v>1218</v>
      </c>
      <c r="H148" s="16" t="s">
        <v>33</v>
      </c>
      <c r="I148" s="3" t="s">
        <v>1399</v>
      </c>
      <c r="J148" s="3" t="s">
        <v>1400</v>
      </c>
      <c r="K148" s="3"/>
      <c r="L148" s="16" t="s">
        <v>1401</v>
      </c>
      <c r="M148" s="3" t="s">
        <v>136</v>
      </c>
      <c r="N148" s="3" t="s">
        <v>1435</v>
      </c>
      <c r="O148" s="16" t="s">
        <v>1460</v>
      </c>
      <c r="P148" s="16"/>
      <c r="Q148" s="16"/>
      <c r="R148" s="3" t="s">
        <v>31</v>
      </c>
      <c r="S148" s="3" t="s">
        <v>32</v>
      </c>
      <c r="T148" s="3" t="s">
        <v>40</v>
      </c>
      <c r="U148" s="3" t="s">
        <v>35</v>
      </c>
      <c r="V148" s="4" t="s">
        <v>30</v>
      </c>
      <c r="W148" s="3" t="s">
        <v>36</v>
      </c>
      <c r="X148" s="4" t="s">
        <v>730</v>
      </c>
      <c r="Y148" s="5"/>
      <c r="Z148" s="5"/>
      <c r="AA148" s="5"/>
      <c r="AB148" s="5"/>
      <c r="AC148" s="5"/>
      <c r="AD148" s="4" t="s">
        <v>759</v>
      </c>
      <c r="AE148" s="17" t="s">
        <v>1576</v>
      </c>
      <c r="AF148" s="3" t="s">
        <v>1400</v>
      </c>
      <c r="AG148" s="5"/>
      <c r="AH148" s="5"/>
      <c r="AI148" s="5"/>
      <c r="AJ148" s="3" t="s">
        <v>56</v>
      </c>
      <c r="AK148" s="18"/>
    </row>
    <row r="149" ht="12" customHeight="1" spans="1:37" x14ac:dyDescent="0.25">
      <c r="A149" s="13" t="s">
        <v>238</v>
      </c>
      <c r="B149" s="13" t="s">
        <v>40</v>
      </c>
      <c r="C149" s="13" t="s">
        <v>1397</v>
      </c>
      <c r="D149" s="14" t="s">
        <v>1405</v>
      </c>
      <c r="E149" s="15" t="s">
        <v>1666</v>
      </c>
      <c r="F149" s="3" t="s">
        <v>136</v>
      </c>
      <c r="G149" s="3" t="s">
        <v>1218</v>
      </c>
      <c r="H149" s="16" t="s">
        <v>33</v>
      </c>
      <c r="I149" s="3" t="s">
        <v>1399</v>
      </c>
      <c r="J149" s="3" t="s">
        <v>1400</v>
      </c>
      <c r="K149" s="3"/>
      <c r="L149" s="16" t="s">
        <v>1401</v>
      </c>
      <c r="M149" s="3" t="s">
        <v>136</v>
      </c>
      <c r="N149" s="3" t="s">
        <v>1435</v>
      </c>
      <c r="O149" s="16" t="s">
        <v>1460</v>
      </c>
      <c r="P149" s="16"/>
      <c r="Q149" s="16"/>
      <c r="R149" s="3" t="s">
        <v>31</v>
      </c>
      <c r="S149" s="3" t="s">
        <v>32</v>
      </c>
      <c r="T149" s="3" t="s">
        <v>40</v>
      </c>
      <c r="U149" s="3" t="s">
        <v>35</v>
      </c>
      <c r="V149" s="4" t="s">
        <v>30</v>
      </c>
      <c r="W149" s="3" t="s">
        <v>36</v>
      </c>
      <c r="X149" s="4" t="s">
        <v>730</v>
      </c>
      <c r="Y149" s="5"/>
      <c r="Z149" s="5"/>
      <c r="AA149" s="5"/>
      <c r="AB149" s="5"/>
      <c r="AC149" s="5"/>
      <c r="AD149" s="4" t="s">
        <v>1405</v>
      </c>
      <c r="AE149" s="17" t="s">
        <v>1555</v>
      </c>
      <c r="AF149" s="3" t="s">
        <v>1400</v>
      </c>
      <c r="AG149" s="5"/>
      <c r="AH149" s="5"/>
      <c r="AI149" s="5"/>
      <c r="AJ149" s="3" t="s">
        <v>56</v>
      </c>
      <c r="AK149" s="18"/>
    </row>
    <row r="150" ht="12" customHeight="1" spans="1:37" x14ac:dyDescent="0.25">
      <c r="A150" s="13" t="s">
        <v>259</v>
      </c>
      <c r="B150" s="13" t="s">
        <v>40</v>
      </c>
      <c r="C150" s="13" t="s">
        <v>1397</v>
      </c>
      <c r="D150" s="14" t="s">
        <v>1405</v>
      </c>
      <c r="E150" s="15" t="s">
        <v>1667</v>
      </c>
      <c r="F150" s="3" t="s">
        <v>257</v>
      </c>
      <c r="G150" s="3" t="s">
        <v>732</v>
      </c>
      <c r="H150" s="16" t="s">
        <v>33</v>
      </c>
      <c r="I150" s="3" t="s">
        <v>1399</v>
      </c>
      <c r="J150" s="3" t="s">
        <v>1400</v>
      </c>
      <c r="K150" s="3"/>
      <c r="L150" s="16" t="s">
        <v>1401</v>
      </c>
      <c r="M150" s="3" t="s">
        <v>257</v>
      </c>
      <c r="N150" s="3" t="s">
        <v>1598</v>
      </c>
      <c r="O150" s="16" t="s">
        <v>1460</v>
      </c>
      <c r="P150" s="16"/>
      <c r="Q150" s="16"/>
      <c r="R150" s="3" t="s">
        <v>1470</v>
      </c>
      <c r="S150" s="3" t="s">
        <v>1471</v>
      </c>
      <c r="T150" s="3" t="s">
        <v>40</v>
      </c>
      <c r="U150" s="3" t="s">
        <v>35</v>
      </c>
      <c r="V150" s="4" t="s">
        <v>30</v>
      </c>
      <c r="W150" s="3" t="s">
        <v>36</v>
      </c>
      <c r="X150" s="4" t="s">
        <v>730</v>
      </c>
      <c r="Y150" s="5"/>
      <c r="Z150" s="5"/>
      <c r="AA150" s="5"/>
      <c r="AB150" s="5"/>
      <c r="AC150" s="5"/>
      <c r="AD150" s="4" t="s">
        <v>1405</v>
      </c>
      <c r="AE150" s="17" t="s">
        <v>1634</v>
      </c>
      <c r="AF150" s="3" t="s">
        <v>1400</v>
      </c>
      <c r="AG150" s="5"/>
      <c r="AH150" s="5"/>
      <c r="AI150" s="5"/>
      <c r="AJ150" s="3" t="s">
        <v>111</v>
      </c>
      <c r="AK150" s="18"/>
    </row>
    <row r="151" ht="12" customHeight="1" spans="1:37" x14ac:dyDescent="0.25">
      <c r="A151" s="13" t="s">
        <v>251</v>
      </c>
      <c r="B151" s="13" t="s">
        <v>40</v>
      </c>
      <c r="C151" s="13" t="s">
        <v>1397</v>
      </c>
      <c r="D151" s="14" t="s">
        <v>792</v>
      </c>
      <c r="E151" s="15" t="s">
        <v>1619</v>
      </c>
      <c r="F151" s="3" t="s">
        <v>252</v>
      </c>
      <c r="G151" s="3" t="s">
        <v>819</v>
      </c>
      <c r="H151" s="16" t="s">
        <v>33</v>
      </c>
      <c r="I151" s="3" t="s">
        <v>1399</v>
      </c>
      <c r="J151" s="3" t="s">
        <v>1400</v>
      </c>
      <c r="K151" s="3"/>
      <c r="L151" s="16" t="s">
        <v>1401</v>
      </c>
      <c r="M151" s="3" t="s">
        <v>252</v>
      </c>
      <c r="N151" s="3" t="s">
        <v>1547</v>
      </c>
      <c r="O151" s="16" t="s">
        <v>1460</v>
      </c>
      <c r="P151" s="16"/>
      <c r="Q151" s="16"/>
      <c r="R151" s="3" t="s">
        <v>1470</v>
      </c>
      <c r="S151" s="3" t="s">
        <v>1471</v>
      </c>
      <c r="T151" s="3" t="s">
        <v>40</v>
      </c>
      <c r="U151" s="3" t="s">
        <v>35</v>
      </c>
      <c r="V151" s="4" t="s">
        <v>30</v>
      </c>
      <c r="W151" s="3" t="s">
        <v>36</v>
      </c>
      <c r="X151" s="4" t="s">
        <v>730</v>
      </c>
      <c r="Y151" s="5"/>
      <c r="Z151" s="5"/>
      <c r="AA151" s="5"/>
      <c r="AB151" s="5"/>
      <c r="AC151" s="5"/>
      <c r="AD151" s="4" t="s">
        <v>792</v>
      </c>
      <c r="AE151" s="17" t="s">
        <v>1647</v>
      </c>
      <c r="AF151" s="3" t="s">
        <v>1400</v>
      </c>
      <c r="AG151" s="5"/>
      <c r="AH151" s="5"/>
      <c r="AI151" s="5"/>
      <c r="AJ151" s="3" t="s">
        <v>131</v>
      </c>
      <c r="AK151" s="18"/>
    </row>
    <row r="152" ht="12" customHeight="1" spans="1:37" x14ac:dyDescent="0.25">
      <c r="A152" s="13" t="s">
        <v>260</v>
      </c>
      <c r="B152" s="13" t="s">
        <v>40</v>
      </c>
      <c r="C152" s="13" t="s">
        <v>1397</v>
      </c>
      <c r="D152" s="14" t="s">
        <v>1057</v>
      </c>
      <c r="E152" s="15" t="s">
        <v>1668</v>
      </c>
      <c r="F152" s="3" t="s">
        <v>257</v>
      </c>
      <c r="G152" s="3" t="s">
        <v>732</v>
      </c>
      <c r="H152" s="16" t="s">
        <v>33</v>
      </c>
      <c r="I152" s="3" t="s">
        <v>1399</v>
      </c>
      <c r="J152" s="3" t="s">
        <v>1400</v>
      </c>
      <c r="K152" s="3"/>
      <c r="L152" s="16" t="s">
        <v>1401</v>
      </c>
      <c r="M152" s="3" t="s">
        <v>257</v>
      </c>
      <c r="N152" s="3" t="s">
        <v>1598</v>
      </c>
      <c r="O152" s="16" t="s">
        <v>1460</v>
      </c>
      <c r="P152" s="16"/>
      <c r="Q152" s="16"/>
      <c r="R152" s="3" t="s">
        <v>1470</v>
      </c>
      <c r="S152" s="3" t="s">
        <v>1471</v>
      </c>
      <c r="T152" s="3" t="s">
        <v>40</v>
      </c>
      <c r="U152" s="3" t="s">
        <v>35</v>
      </c>
      <c r="V152" s="4" t="s">
        <v>30</v>
      </c>
      <c r="W152" s="3" t="s">
        <v>36</v>
      </c>
      <c r="X152" s="4" t="s">
        <v>730</v>
      </c>
      <c r="Y152" s="5"/>
      <c r="Z152" s="5"/>
      <c r="AA152" s="5"/>
      <c r="AB152" s="5"/>
      <c r="AC152" s="5"/>
      <c r="AD152" s="4" t="s">
        <v>1057</v>
      </c>
      <c r="AE152" s="17" t="s">
        <v>1599</v>
      </c>
      <c r="AF152" s="3" t="s">
        <v>1400</v>
      </c>
      <c r="AG152" s="5"/>
      <c r="AH152" s="5"/>
      <c r="AI152" s="5"/>
      <c r="AJ152" s="3" t="s">
        <v>111</v>
      </c>
      <c r="AK152" s="18"/>
    </row>
    <row r="153" ht="12" customHeight="1" spans="1:37" x14ac:dyDescent="0.25">
      <c r="A153" s="13" t="s">
        <v>261</v>
      </c>
      <c r="B153" s="13" t="s">
        <v>40</v>
      </c>
      <c r="C153" s="13" t="s">
        <v>1397</v>
      </c>
      <c r="D153" s="14" t="s">
        <v>1057</v>
      </c>
      <c r="E153" s="15" t="s">
        <v>1669</v>
      </c>
      <c r="F153" s="3" t="s">
        <v>257</v>
      </c>
      <c r="G153" s="3" t="s">
        <v>732</v>
      </c>
      <c r="H153" s="16" t="s">
        <v>33</v>
      </c>
      <c r="I153" s="3" t="s">
        <v>1399</v>
      </c>
      <c r="J153" s="3" t="s">
        <v>1400</v>
      </c>
      <c r="K153" s="3"/>
      <c r="L153" s="16" t="s">
        <v>1401</v>
      </c>
      <c r="M153" s="3" t="s">
        <v>257</v>
      </c>
      <c r="N153" s="3" t="s">
        <v>1598</v>
      </c>
      <c r="O153" s="16" t="s">
        <v>1460</v>
      </c>
      <c r="P153" s="16"/>
      <c r="Q153" s="16"/>
      <c r="R153" s="3" t="s">
        <v>1470</v>
      </c>
      <c r="S153" s="3" t="s">
        <v>1471</v>
      </c>
      <c r="T153" s="3" t="s">
        <v>40</v>
      </c>
      <c r="U153" s="3" t="s">
        <v>35</v>
      </c>
      <c r="V153" s="4" t="s">
        <v>30</v>
      </c>
      <c r="W153" s="3" t="s">
        <v>36</v>
      </c>
      <c r="X153" s="4" t="s">
        <v>730</v>
      </c>
      <c r="Y153" s="5"/>
      <c r="Z153" s="5"/>
      <c r="AA153" s="5"/>
      <c r="AB153" s="5"/>
      <c r="AC153" s="5"/>
      <c r="AD153" s="4" t="s">
        <v>1057</v>
      </c>
      <c r="AE153" s="17" t="s">
        <v>1642</v>
      </c>
      <c r="AF153" s="3" t="s">
        <v>1400</v>
      </c>
      <c r="AG153" s="5"/>
      <c r="AH153" s="5"/>
      <c r="AI153" s="5"/>
      <c r="AJ153" s="3" t="s">
        <v>111</v>
      </c>
      <c r="AK153" s="18"/>
    </row>
    <row r="154" ht="12" customHeight="1" spans="1:37" x14ac:dyDescent="0.25">
      <c r="A154" s="13" t="s">
        <v>160</v>
      </c>
      <c r="B154" s="13" t="s">
        <v>40</v>
      </c>
      <c r="C154" s="13" t="s">
        <v>1397</v>
      </c>
      <c r="D154" s="14" t="s">
        <v>759</v>
      </c>
      <c r="E154" s="15" t="s">
        <v>1670</v>
      </c>
      <c r="F154" s="3" t="s">
        <v>161</v>
      </c>
      <c r="G154" s="3" t="s">
        <v>1291</v>
      </c>
      <c r="H154" s="16" t="s">
        <v>33</v>
      </c>
      <c r="I154" s="3" t="s">
        <v>1399</v>
      </c>
      <c r="J154" s="3" t="s">
        <v>1400</v>
      </c>
      <c r="K154" s="3"/>
      <c r="L154" s="16" t="s">
        <v>1401</v>
      </c>
      <c r="M154" s="3" t="s">
        <v>161</v>
      </c>
      <c r="N154" s="3" t="s">
        <v>1418</v>
      </c>
      <c r="O154" s="16" t="s">
        <v>1439</v>
      </c>
      <c r="P154" s="16"/>
      <c r="Q154" s="16"/>
      <c r="R154" s="3" t="s">
        <v>31</v>
      </c>
      <c r="S154" s="3" t="s">
        <v>32</v>
      </c>
      <c r="T154" s="3" t="s">
        <v>40</v>
      </c>
      <c r="U154" s="3" t="s">
        <v>35</v>
      </c>
      <c r="V154" s="4" t="s">
        <v>30</v>
      </c>
      <c r="W154" s="3" t="s">
        <v>36</v>
      </c>
      <c r="X154" s="4" t="s">
        <v>730</v>
      </c>
      <c r="Y154" s="5"/>
      <c r="Z154" s="5"/>
      <c r="AA154" s="5"/>
      <c r="AB154" s="5"/>
      <c r="AC154" s="5"/>
      <c r="AD154" s="4" t="s">
        <v>759</v>
      </c>
      <c r="AE154" s="17" t="s">
        <v>1576</v>
      </c>
      <c r="AF154" s="3" t="s">
        <v>1400</v>
      </c>
      <c r="AG154" s="5"/>
      <c r="AH154" s="5"/>
      <c r="AI154" s="5"/>
      <c r="AJ154" s="3" t="s">
        <v>163</v>
      </c>
      <c r="AK154" s="18"/>
    </row>
    <row r="155" ht="12" customHeight="1" spans="1:37" x14ac:dyDescent="0.25">
      <c r="A155" s="13" t="s">
        <v>141</v>
      </c>
      <c r="B155" s="13" t="s">
        <v>40</v>
      </c>
      <c r="C155" s="13" t="s">
        <v>1397</v>
      </c>
      <c r="D155" s="14" t="s">
        <v>769</v>
      </c>
      <c r="E155" s="15" t="s">
        <v>1671</v>
      </c>
      <c r="F155" s="3" t="s">
        <v>43</v>
      </c>
      <c r="G155" s="3" t="s">
        <v>47</v>
      </c>
      <c r="H155" s="16" t="s">
        <v>33</v>
      </c>
      <c r="I155" s="3" t="s">
        <v>1399</v>
      </c>
      <c r="J155" s="3" t="s">
        <v>1400</v>
      </c>
      <c r="K155" s="3"/>
      <c r="L155" s="16" t="s">
        <v>1401</v>
      </c>
      <c r="M155" s="3" t="s">
        <v>43</v>
      </c>
      <c r="N155" s="3" t="s">
        <v>1428</v>
      </c>
      <c r="O155" s="16" t="s">
        <v>1439</v>
      </c>
      <c r="P155" s="16"/>
      <c r="Q155" s="16"/>
      <c r="R155" s="3" t="s">
        <v>31</v>
      </c>
      <c r="S155" s="3" t="s">
        <v>32</v>
      </c>
      <c r="T155" s="3" t="s">
        <v>40</v>
      </c>
      <c r="U155" s="3" t="s">
        <v>35</v>
      </c>
      <c r="V155" s="4" t="s">
        <v>30</v>
      </c>
      <c r="W155" s="3" t="s">
        <v>36</v>
      </c>
      <c r="X155" s="4" t="s">
        <v>730</v>
      </c>
      <c r="Y155" s="5"/>
      <c r="Z155" s="5"/>
      <c r="AA155" s="5"/>
      <c r="AB155" s="5"/>
      <c r="AC155" s="5"/>
      <c r="AD155" s="4" t="s">
        <v>769</v>
      </c>
      <c r="AE155" s="17" t="s">
        <v>1672</v>
      </c>
      <c r="AF155" s="3" t="s">
        <v>1400</v>
      </c>
      <c r="AG155" s="5"/>
      <c r="AH155" s="5"/>
      <c r="AI155" s="5"/>
      <c r="AJ155" s="3" t="s">
        <v>49</v>
      </c>
      <c r="AK155" s="18"/>
    </row>
    <row r="156" ht="12" customHeight="1" spans="1:37" x14ac:dyDescent="0.25">
      <c r="A156" s="13" t="s">
        <v>142</v>
      </c>
      <c r="B156" s="13" t="s">
        <v>40</v>
      </c>
      <c r="C156" s="13" t="s">
        <v>1397</v>
      </c>
      <c r="D156" s="14" t="s">
        <v>769</v>
      </c>
      <c r="E156" s="15" t="s">
        <v>1673</v>
      </c>
      <c r="F156" s="3" t="s">
        <v>43</v>
      </c>
      <c r="G156" s="3" t="s">
        <v>47</v>
      </c>
      <c r="H156" s="16" t="s">
        <v>33</v>
      </c>
      <c r="I156" s="3" t="s">
        <v>1399</v>
      </c>
      <c r="J156" s="3" t="s">
        <v>1400</v>
      </c>
      <c r="K156" s="3"/>
      <c r="L156" s="16" t="s">
        <v>1401</v>
      </c>
      <c r="M156" s="3" t="s">
        <v>43</v>
      </c>
      <c r="N156" s="3" t="s">
        <v>1428</v>
      </c>
      <c r="O156" s="16" t="s">
        <v>1439</v>
      </c>
      <c r="P156" s="16"/>
      <c r="Q156" s="16"/>
      <c r="R156" s="3" t="s">
        <v>31</v>
      </c>
      <c r="S156" s="3" t="s">
        <v>32</v>
      </c>
      <c r="T156" s="3" t="s">
        <v>40</v>
      </c>
      <c r="U156" s="3" t="s">
        <v>35</v>
      </c>
      <c r="V156" s="4" t="s">
        <v>30</v>
      </c>
      <c r="W156" s="3" t="s">
        <v>36</v>
      </c>
      <c r="X156" s="4" t="s">
        <v>730</v>
      </c>
      <c r="Y156" s="5"/>
      <c r="Z156" s="5"/>
      <c r="AA156" s="5"/>
      <c r="AB156" s="5"/>
      <c r="AC156" s="5"/>
      <c r="AD156" s="4" t="s">
        <v>769</v>
      </c>
      <c r="AE156" s="17" t="s">
        <v>1674</v>
      </c>
      <c r="AF156" s="3" t="s">
        <v>1400</v>
      </c>
      <c r="AG156" s="5"/>
      <c r="AH156" s="5"/>
      <c r="AI156" s="5"/>
      <c r="AJ156" s="3" t="s">
        <v>49</v>
      </c>
      <c r="AK156" s="18"/>
    </row>
    <row r="157" ht="12" customHeight="1" spans="1:37" x14ac:dyDescent="0.25">
      <c r="A157" s="13" t="s">
        <v>265</v>
      </c>
      <c r="B157" s="13" t="s">
        <v>40</v>
      </c>
      <c r="C157" s="13" t="s">
        <v>1397</v>
      </c>
      <c r="D157" s="14" t="s">
        <v>759</v>
      </c>
      <c r="E157" s="15" t="s">
        <v>1675</v>
      </c>
      <c r="F157" s="3" t="s">
        <v>266</v>
      </c>
      <c r="G157" s="3" t="s">
        <v>1098</v>
      </c>
      <c r="H157" s="16" t="s">
        <v>33</v>
      </c>
      <c r="I157" s="3" t="s">
        <v>1399</v>
      </c>
      <c r="J157" s="3" t="s">
        <v>1400</v>
      </c>
      <c r="K157" s="3"/>
      <c r="L157" s="16" t="s">
        <v>1401</v>
      </c>
      <c r="M157" s="3" t="s">
        <v>266</v>
      </c>
      <c r="N157" s="3" t="s">
        <v>1481</v>
      </c>
      <c r="O157" s="16" t="s">
        <v>1439</v>
      </c>
      <c r="P157" s="16"/>
      <c r="Q157" s="16"/>
      <c r="R157" s="3" t="s">
        <v>31</v>
      </c>
      <c r="S157" s="3" t="s">
        <v>32</v>
      </c>
      <c r="T157" s="3" t="s">
        <v>40</v>
      </c>
      <c r="U157" s="3" t="s">
        <v>35</v>
      </c>
      <c r="V157" s="4" t="s">
        <v>30</v>
      </c>
      <c r="W157" s="3" t="s">
        <v>36</v>
      </c>
      <c r="X157" s="4" t="s">
        <v>730</v>
      </c>
      <c r="Y157" s="5"/>
      <c r="Z157" s="5"/>
      <c r="AA157" s="5"/>
      <c r="AB157" s="5"/>
      <c r="AC157" s="5"/>
      <c r="AD157" s="4" t="s">
        <v>759</v>
      </c>
      <c r="AE157" s="17" t="s">
        <v>1608</v>
      </c>
      <c r="AF157" s="3" t="s">
        <v>1400</v>
      </c>
      <c r="AG157" s="5"/>
      <c r="AH157" s="5"/>
      <c r="AI157" s="5"/>
      <c r="AJ157" s="3" t="s">
        <v>196</v>
      </c>
      <c r="AK157" s="18"/>
    </row>
    <row r="158" ht="12" customHeight="1" spans="1:37" x14ac:dyDescent="0.25">
      <c r="A158" s="13" t="s">
        <v>208</v>
      </c>
      <c r="B158" s="13" t="s">
        <v>40</v>
      </c>
      <c r="C158" s="13" t="s">
        <v>1397</v>
      </c>
      <c r="D158" s="14" t="s">
        <v>1033</v>
      </c>
      <c r="E158" s="15" t="s">
        <v>1676</v>
      </c>
      <c r="F158" s="3" t="s">
        <v>79</v>
      </c>
      <c r="G158" s="3" t="s">
        <v>802</v>
      </c>
      <c r="H158" s="16" t="s">
        <v>33</v>
      </c>
      <c r="I158" s="3" t="s">
        <v>1399</v>
      </c>
      <c r="J158" s="3" t="s">
        <v>1400</v>
      </c>
      <c r="K158" s="3"/>
      <c r="L158" s="16" t="s">
        <v>1401</v>
      </c>
      <c r="M158" s="3" t="s">
        <v>79</v>
      </c>
      <c r="N158" s="3" t="s">
        <v>1410</v>
      </c>
      <c r="O158" s="16" t="s">
        <v>1439</v>
      </c>
      <c r="P158" s="16"/>
      <c r="Q158" s="16"/>
      <c r="R158" s="3" t="s">
        <v>1412</v>
      </c>
      <c r="S158" s="3" t="s">
        <v>32</v>
      </c>
      <c r="T158" s="3" t="s">
        <v>40</v>
      </c>
      <c r="U158" s="3" t="s">
        <v>35</v>
      </c>
      <c r="V158" s="4" t="s">
        <v>30</v>
      </c>
      <c r="W158" s="3" t="s">
        <v>36</v>
      </c>
      <c r="X158" s="4" t="s">
        <v>730</v>
      </c>
      <c r="Y158" s="5"/>
      <c r="Z158" s="5"/>
      <c r="AA158" s="5"/>
      <c r="AB158" s="5"/>
      <c r="AC158" s="5"/>
      <c r="AD158" s="4" t="s">
        <v>1033</v>
      </c>
      <c r="AE158" s="17" t="s">
        <v>1677</v>
      </c>
      <c r="AF158" s="3" t="s">
        <v>1400</v>
      </c>
      <c r="AG158" s="5"/>
      <c r="AH158" s="5"/>
      <c r="AI158" s="5"/>
      <c r="AJ158" s="3" t="s">
        <v>83</v>
      </c>
      <c r="AK158" s="18"/>
    </row>
    <row r="159" ht="12" customHeight="1" spans="1:37" x14ac:dyDescent="0.25">
      <c r="A159" s="13" t="s">
        <v>240</v>
      </c>
      <c r="B159" s="13" t="s">
        <v>40</v>
      </c>
      <c r="C159" s="13" t="s">
        <v>1397</v>
      </c>
      <c r="D159" s="14" t="s">
        <v>1405</v>
      </c>
      <c r="E159" s="15" t="s">
        <v>1678</v>
      </c>
      <c r="F159" s="3" t="s">
        <v>136</v>
      </c>
      <c r="G159" s="3" t="s">
        <v>1218</v>
      </c>
      <c r="H159" s="16" t="s">
        <v>33</v>
      </c>
      <c r="I159" s="3" t="s">
        <v>1399</v>
      </c>
      <c r="J159" s="3" t="s">
        <v>1400</v>
      </c>
      <c r="K159" s="3"/>
      <c r="L159" s="16" t="s">
        <v>1401</v>
      </c>
      <c r="M159" s="3" t="s">
        <v>136</v>
      </c>
      <c r="N159" s="3" t="s">
        <v>1435</v>
      </c>
      <c r="O159" s="16" t="s">
        <v>1439</v>
      </c>
      <c r="P159" s="16"/>
      <c r="Q159" s="16"/>
      <c r="R159" s="3" t="s">
        <v>31</v>
      </c>
      <c r="S159" s="3" t="s">
        <v>32</v>
      </c>
      <c r="T159" s="3" t="s">
        <v>40</v>
      </c>
      <c r="U159" s="3" t="s">
        <v>35</v>
      </c>
      <c r="V159" s="4" t="s">
        <v>30</v>
      </c>
      <c r="W159" s="3" t="s">
        <v>36</v>
      </c>
      <c r="X159" s="4" t="s">
        <v>730</v>
      </c>
      <c r="Y159" s="5"/>
      <c r="Z159" s="5"/>
      <c r="AA159" s="5"/>
      <c r="AB159" s="5"/>
      <c r="AC159" s="5"/>
      <c r="AD159" s="4" t="s">
        <v>1405</v>
      </c>
      <c r="AE159" s="17" t="s">
        <v>1679</v>
      </c>
      <c r="AF159" s="3" t="s">
        <v>1400</v>
      </c>
      <c r="AG159" s="5"/>
      <c r="AH159" s="5"/>
      <c r="AI159" s="5"/>
      <c r="AJ159" s="3" t="s">
        <v>56</v>
      </c>
      <c r="AK159" s="18"/>
    </row>
    <row r="160" ht="12" customHeight="1" spans="1:37" x14ac:dyDescent="0.25">
      <c r="A160" s="13" t="s">
        <v>217</v>
      </c>
      <c r="B160" s="13" t="s">
        <v>40</v>
      </c>
      <c r="C160" s="13" t="s">
        <v>1397</v>
      </c>
      <c r="D160" s="14" t="s">
        <v>792</v>
      </c>
      <c r="E160" s="15" t="s">
        <v>1680</v>
      </c>
      <c r="F160" s="3" t="s">
        <v>218</v>
      </c>
      <c r="G160" s="3" t="s">
        <v>1263</v>
      </c>
      <c r="H160" s="16" t="s">
        <v>33</v>
      </c>
      <c r="I160" s="3" t="s">
        <v>1399</v>
      </c>
      <c r="J160" s="3" t="s">
        <v>1400</v>
      </c>
      <c r="K160" s="3"/>
      <c r="L160" s="16" t="s">
        <v>1401</v>
      </c>
      <c r="M160" s="3" t="s">
        <v>218</v>
      </c>
      <c r="N160" s="3" t="s">
        <v>1547</v>
      </c>
      <c r="O160" s="16" t="s">
        <v>1439</v>
      </c>
      <c r="P160" s="16"/>
      <c r="Q160" s="16"/>
      <c r="R160" s="3" t="s">
        <v>31</v>
      </c>
      <c r="S160" s="3" t="s">
        <v>32</v>
      </c>
      <c r="T160" s="3" t="s">
        <v>40</v>
      </c>
      <c r="U160" s="3" t="s">
        <v>35</v>
      </c>
      <c r="V160" s="4" t="s">
        <v>30</v>
      </c>
      <c r="W160" s="3" t="s">
        <v>36</v>
      </c>
      <c r="X160" s="4" t="s">
        <v>730</v>
      </c>
      <c r="Y160" s="5"/>
      <c r="Z160" s="5"/>
      <c r="AA160" s="5"/>
      <c r="AB160" s="5"/>
      <c r="AC160" s="5"/>
      <c r="AD160" s="4" t="s">
        <v>792</v>
      </c>
      <c r="AE160" s="17" t="s">
        <v>1681</v>
      </c>
      <c r="AF160" s="3" t="s">
        <v>1400</v>
      </c>
      <c r="AG160" s="5"/>
      <c r="AH160" s="5"/>
      <c r="AI160" s="5"/>
      <c r="AJ160" s="3" t="s">
        <v>220</v>
      </c>
      <c r="AK160" s="18"/>
    </row>
    <row r="161" ht="12" customHeight="1" spans="1:37" x14ac:dyDescent="0.25">
      <c r="A161" s="13" t="s">
        <v>209</v>
      </c>
      <c r="B161" s="13" t="s">
        <v>40</v>
      </c>
      <c r="C161" s="13" t="s">
        <v>1397</v>
      </c>
      <c r="D161" s="14" t="s">
        <v>1568</v>
      </c>
      <c r="E161" s="15" t="s">
        <v>1682</v>
      </c>
      <c r="F161" s="3" t="s">
        <v>79</v>
      </c>
      <c r="G161" s="3" t="s">
        <v>802</v>
      </c>
      <c r="H161" s="16" t="s">
        <v>33</v>
      </c>
      <c r="I161" s="3" t="s">
        <v>1399</v>
      </c>
      <c r="J161" s="3" t="s">
        <v>1400</v>
      </c>
      <c r="K161" s="3"/>
      <c r="L161" s="16" t="s">
        <v>1401</v>
      </c>
      <c r="M161" s="3" t="s">
        <v>79</v>
      </c>
      <c r="N161" s="3" t="s">
        <v>1410</v>
      </c>
      <c r="O161" s="16" t="s">
        <v>1439</v>
      </c>
      <c r="P161" s="16"/>
      <c r="Q161" s="16"/>
      <c r="R161" s="3" t="s">
        <v>1412</v>
      </c>
      <c r="S161" s="3" t="s">
        <v>32</v>
      </c>
      <c r="T161" s="3" t="s">
        <v>40</v>
      </c>
      <c r="U161" s="3" t="s">
        <v>35</v>
      </c>
      <c r="V161" s="4" t="s">
        <v>30</v>
      </c>
      <c r="W161" s="3" t="s">
        <v>36</v>
      </c>
      <c r="X161" s="4" t="s">
        <v>730</v>
      </c>
      <c r="Y161" s="5"/>
      <c r="Z161" s="5"/>
      <c r="AA161" s="5"/>
      <c r="AB161" s="5"/>
      <c r="AC161" s="5"/>
      <c r="AD161" s="4" t="s">
        <v>1033</v>
      </c>
      <c r="AE161" s="17" t="s">
        <v>1673</v>
      </c>
      <c r="AF161" s="3" t="s">
        <v>1400</v>
      </c>
      <c r="AG161" s="5"/>
      <c r="AH161" s="5"/>
      <c r="AI161" s="5"/>
      <c r="AJ161" s="3" t="s">
        <v>83</v>
      </c>
      <c r="AK161" s="18"/>
    </row>
    <row r="162" ht="12" customHeight="1" spans="1:37" x14ac:dyDescent="0.25">
      <c r="A162" s="13" t="s">
        <v>255</v>
      </c>
      <c r="B162" s="13" t="s">
        <v>40</v>
      </c>
      <c r="C162" s="13" t="s">
        <v>1397</v>
      </c>
      <c r="D162" s="14" t="s">
        <v>792</v>
      </c>
      <c r="E162" s="15" t="s">
        <v>1668</v>
      </c>
      <c r="F162" s="3" t="s">
        <v>252</v>
      </c>
      <c r="G162" s="3" t="s">
        <v>819</v>
      </c>
      <c r="H162" s="16" t="s">
        <v>33</v>
      </c>
      <c r="I162" s="3" t="s">
        <v>1399</v>
      </c>
      <c r="J162" s="3" t="s">
        <v>1400</v>
      </c>
      <c r="K162" s="3"/>
      <c r="L162" s="16" t="s">
        <v>1401</v>
      </c>
      <c r="M162" s="3" t="s">
        <v>252</v>
      </c>
      <c r="N162" s="3" t="s">
        <v>1547</v>
      </c>
      <c r="O162" s="16" t="s">
        <v>1439</v>
      </c>
      <c r="P162" s="16"/>
      <c r="Q162" s="16"/>
      <c r="R162" s="3" t="s">
        <v>1470</v>
      </c>
      <c r="S162" s="3" t="s">
        <v>1471</v>
      </c>
      <c r="T162" s="3" t="s">
        <v>40</v>
      </c>
      <c r="U162" s="3" t="s">
        <v>35</v>
      </c>
      <c r="V162" s="4" t="s">
        <v>30</v>
      </c>
      <c r="W162" s="3" t="s">
        <v>36</v>
      </c>
      <c r="X162" s="4" t="s">
        <v>730</v>
      </c>
      <c r="Y162" s="5"/>
      <c r="Z162" s="5"/>
      <c r="AA162" s="5"/>
      <c r="AB162" s="5"/>
      <c r="AC162" s="5"/>
      <c r="AD162" s="4" t="s">
        <v>792</v>
      </c>
      <c r="AE162" s="17" t="s">
        <v>1683</v>
      </c>
      <c r="AF162" s="3" t="s">
        <v>1400</v>
      </c>
      <c r="AG162" s="5"/>
      <c r="AH162" s="5"/>
      <c r="AI162" s="5"/>
      <c r="AJ162" s="3" t="s">
        <v>131</v>
      </c>
      <c r="AK162" s="18"/>
    </row>
    <row r="163" ht="12" customHeight="1" spans="1:37" x14ac:dyDescent="0.25">
      <c r="A163" s="13" t="s">
        <v>256</v>
      </c>
      <c r="B163" s="13" t="s">
        <v>40</v>
      </c>
      <c r="C163" s="13" t="s">
        <v>1397</v>
      </c>
      <c r="D163" s="14" t="s">
        <v>1057</v>
      </c>
      <c r="E163" s="15" t="s">
        <v>1684</v>
      </c>
      <c r="F163" s="3" t="s">
        <v>257</v>
      </c>
      <c r="G163" s="3" t="s">
        <v>732</v>
      </c>
      <c r="H163" s="16" t="s">
        <v>33</v>
      </c>
      <c r="I163" s="3" t="s">
        <v>1399</v>
      </c>
      <c r="J163" s="3" t="s">
        <v>1400</v>
      </c>
      <c r="K163" s="3"/>
      <c r="L163" s="16" t="s">
        <v>1401</v>
      </c>
      <c r="M163" s="3" t="s">
        <v>257</v>
      </c>
      <c r="N163" s="3" t="s">
        <v>1598</v>
      </c>
      <c r="O163" s="16" t="s">
        <v>1439</v>
      </c>
      <c r="P163" s="16"/>
      <c r="Q163" s="16"/>
      <c r="R163" s="3" t="s">
        <v>1470</v>
      </c>
      <c r="S163" s="3" t="s">
        <v>1471</v>
      </c>
      <c r="T163" s="3" t="s">
        <v>40</v>
      </c>
      <c r="U163" s="3" t="s">
        <v>35</v>
      </c>
      <c r="V163" s="4" t="s">
        <v>30</v>
      </c>
      <c r="W163" s="3" t="s">
        <v>36</v>
      </c>
      <c r="X163" s="4" t="s">
        <v>730</v>
      </c>
      <c r="Y163" s="5"/>
      <c r="Z163" s="5"/>
      <c r="AA163" s="5"/>
      <c r="AB163" s="5"/>
      <c r="AC163" s="5"/>
      <c r="AD163" s="4" t="s">
        <v>1057</v>
      </c>
      <c r="AE163" s="17" t="s">
        <v>1599</v>
      </c>
      <c r="AF163" s="3" t="s">
        <v>1400</v>
      </c>
      <c r="AG163" s="5"/>
      <c r="AH163" s="5"/>
      <c r="AI163" s="5"/>
      <c r="AJ163" s="3" t="s">
        <v>111</v>
      </c>
      <c r="AK163" s="18"/>
    </row>
    <row r="164" ht="12" customHeight="1" spans="1:37" x14ac:dyDescent="0.25">
      <c r="A164" s="13" t="s">
        <v>168</v>
      </c>
      <c r="B164" s="13" t="s">
        <v>40</v>
      </c>
      <c r="C164" s="13" t="s">
        <v>1397</v>
      </c>
      <c r="D164" s="14" t="s">
        <v>1405</v>
      </c>
      <c r="E164" s="15" t="s">
        <v>1685</v>
      </c>
      <c r="F164" s="3" t="s">
        <v>169</v>
      </c>
      <c r="G164" s="3" t="s">
        <v>1028</v>
      </c>
      <c r="H164" s="16" t="s">
        <v>33</v>
      </c>
      <c r="I164" s="3" t="s">
        <v>1399</v>
      </c>
      <c r="J164" s="3" t="s">
        <v>1400</v>
      </c>
      <c r="K164" s="3"/>
      <c r="L164" s="16" t="s">
        <v>1401</v>
      </c>
      <c r="M164" s="3" t="s">
        <v>169</v>
      </c>
      <c r="N164" s="3" t="s">
        <v>1443</v>
      </c>
      <c r="O164" s="16" t="s">
        <v>1439</v>
      </c>
      <c r="P164" s="16"/>
      <c r="Q164" s="16"/>
      <c r="R164" s="3" t="s">
        <v>31</v>
      </c>
      <c r="S164" s="3" t="s">
        <v>32</v>
      </c>
      <c r="T164" s="3" t="s">
        <v>40</v>
      </c>
      <c r="U164" s="3" t="s">
        <v>35</v>
      </c>
      <c r="V164" s="4" t="s">
        <v>30</v>
      </c>
      <c r="W164" s="3" t="s">
        <v>36</v>
      </c>
      <c r="X164" s="4" t="s">
        <v>730</v>
      </c>
      <c r="Y164" s="5"/>
      <c r="Z164" s="5"/>
      <c r="AA164" s="5"/>
      <c r="AB164" s="5"/>
      <c r="AC164" s="5"/>
      <c r="AD164" s="4" t="s">
        <v>1405</v>
      </c>
      <c r="AE164" s="17" t="s">
        <v>1408</v>
      </c>
      <c r="AF164" s="3" t="s">
        <v>1400</v>
      </c>
      <c r="AG164" s="5"/>
      <c r="AH164" s="5"/>
      <c r="AI164" s="5"/>
      <c r="AJ164" s="3" t="s">
        <v>170</v>
      </c>
      <c r="AK164" s="18"/>
    </row>
    <row r="165" ht="12" customHeight="1" spans="1:37" x14ac:dyDescent="0.25">
      <c r="A165" s="13" t="s">
        <v>179</v>
      </c>
      <c r="B165" s="13" t="s">
        <v>40</v>
      </c>
      <c r="C165" s="13" t="s">
        <v>1397</v>
      </c>
      <c r="D165" s="14" t="s">
        <v>774</v>
      </c>
      <c r="E165" s="15" t="s">
        <v>1686</v>
      </c>
      <c r="F165" s="3" t="s">
        <v>177</v>
      </c>
      <c r="G165" s="3" t="s">
        <v>732</v>
      </c>
      <c r="H165" s="16" t="s">
        <v>33</v>
      </c>
      <c r="I165" s="3" t="s">
        <v>1399</v>
      </c>
      <c r="J165" s="3" t="s">
        <v>1400</v>
      </c>
      <c r="K165" s="3"/>
      <c r="L165" s="16" t="s">
        <v>1401</v>
      </c>
      <c r="M165" s="3" t="s">
        <v>177</v>
      </c>
      <c r="N165" s="3" t="s">
        <v>1547</v>
      </c>
      <c r="O165" s="16" t="s">
        <v>1439</v>
      </c>
      <c r="P165" s="16"/>
      <c r="Q165" s="16"/>
      <c r="R165" s="3" t="s">
        <v>31</v>
      </c>
      <c r="S165" s="3" t="s">
        <v>32</v>
      </c>
      <c r="T165" s="3" t="s">
        <v>40</v>
      </c>
      <c r="U165" s="3" t="s">
        <v>35</v>
      </c>
      <c r="V165" s="4" t="s">
        <v>30</v>
      </c>
      <c r="W165" s="3" t="s">
        <v>70</v>
      </c>
      <c r="X165" s="4" t="s">
        <v>966</v>
      </c>
      <c r="Y165" s="5"/>
      <c r="Z165" s="5"/>
      <c r="AA165" s="5"/>
      <c r="AB165" s="5"/>
      <c r="AC165" s="5"/>
      <c r="AD165" s="4" t="s">
        <v>774</v>
      </c>
      <c r="AE165" s="17" t="s">
        <v>1484</v>
      </c>
      <c r="AF165" s="3" t="s">
        <v>1400</v>
      </c>
      <c r="AG165" s="5"/>
      <c r="AH165" s="5"/>
      <c r="AI165" s="5"/>
      <c r="AJ165" s="3" t="s">
        <v>76</v>
      </c>
      <c r="AK165" s="18"/>
    </row>
    <row r="166" ht="12" customHeight="1" spans="1:37" x14ac:dyDescent="0.25">
      <c r="A166" s="13" t="s">
        <v>210</v>
      </c>
      <c r="B166" s="13" t="s">
        <v>40</v>
      </c>
      <c r="C166" s="13" t="s">
        <v>1397</v>
      </c>
      <c r="D166" s="14" t="s">
        <v>1568</v>
      </c>
      <c r="E166" s="15" t="s">
        <v>1549</v>
      </c>
      <c r="F166" s="3" t="s">
        <v>79</v>
      </c>
      <c r="G166" s="3" t="s">
        <v>802</v>
      </c>
      <c r="H166" s="16" t="s">
        <v>33</v>
      </c>
      <c r="I166" s="3" t="s">
        <v>1399</v>
      </c>
      <c r="J166" s="3" t="s">
        <v>1400</v>
      </c>
      <c r="K166" s="3"/>
      <c r="L166" s="16" t="s">
        <v>1401</v>
      </c>
      <c r="M166" s="3" t="s">
        <v>79</v>
      </c>
      <c r="N166" s="3" t="s">
        <v>1410</v>
      </c>
      <c r="O166" s="16" t="s">
        <v>1515</v>
      </c>
      <c r="P166" s="16"/>
      <c r="Q166" s="16"/>
      <c r="R166" s="3" t="s">
        <v>1412</v>
      </c>
      <c r="S166" s="3" t="s">
        <v>32</v>
      </c>
      <c r="T166" s="3" t="s">
        <v>40</v>
      </c>
      <c r="U166" s="3" t="s">
        <v>35</v>
      </c>
      <c r="V166" s="4" t="s">
        <v>30</v>
      </c>
      <c r="W166" s="3" t="s">
        <v>36</v>
      </c>
      <c r="X166" s="4" t="s">
        <v>730</v>
      </c>
      <c r="Y166" s="5"/>
      <c r="Z166" s="5"/>
      <c r="AA166" s="5"/>
      <c r="AB166" s="5"/>
      <c r="AC166" s="5"/>
      <c r="AD166" s="4" t="s">
        <v>1568</v>
      </c>
      <c r="AE166" s="17" t="s">
        <v>1653</v>
      </c>
      <c r="AF166" s="3" t="s">
        <v>1400</v>
      </c>
      <c r="AG166" s="5"/>
      <c r="AH166" s="5"/>
      <c r="AI166" s="5"/>
      <c r="AJ166" s="3" t="s">
        <v>83</v>
      </c>
      <c r="AK166" s="18"/>
    </row>
    <row r="167" ht="12" customHeight="1" spans="1:37" x14ac:dyDescent="0.25">
      <c r="A167" s="13" t="s">
        <v>241</v>
      </c>
      <c r="B167" s="13" t="s">
        <v>40</v>
      </c>
      <c r="C167" s="13" t="s">
        <v>1397</v>
      </c>
      <c r="D167" s="14" t="s">
        <v>1405</v>
      </c>
      <c r="E167" s="15" t="s">
        <v>1687</v>
      </c>
      <c r="F167" s="3" t="s">
        <v>136</v>
      </c>
      <c r="G167" s="3" t="s">
        <v>1218</v>
      </c>
      <c r="H167" s="16" t="s">
        <v>33</v>
      </c>
      <c r="I167" s="3" t="s">
        <v>1399</v>
      </c>
      <c r="J167" s="3" t="s">
        <v>1400</v>
      </c>
      <c r="K167" s="3"/>
      <c r="L167" s="16" t="s">
        <v>1401</v>
      </c>
      <c r="M167" s="3" t="s">
        <v>136</v>
      </c>
      <c r="N167" s="3" t="s">
        <v>1435</v>
      </c>
      <c r="O167" s="16" t="s">
        <v>1515</v>
      </c>
      <c r="P167" s="16"/>
      <c r="Q167" s="16"/>
      <c r="R167" s="3" t="s">
        <v>31</v>
      </c>
      <c r="S167" s="3" t="s">
        <v>32</v>
      </c>
      <c r="T167" s="3" t="s">
        <v>40</v>
      </c>
      <c r="U167" s="3" t="s">
        <v>35</v>
      </c>
      <c r="V167" s="4" t="s">
        <v>30</v>
      </c>
      <c r="W167" s="3" t="s">
        <v>36</v>
      </c>
      <c r="X167" s="4" t="s">
        <v>730</v>
      </c>
      <c r="Y167" s="5"/>
      <c r="Z167" s="5"/>
      <c r="AA167" s="5"/>
      <c r="AB167" s="5"/>
      <c r="AC167" s="5"/>
      <c r="AD167" s="4" t="s">
        <v>1405</v>
      </c>
      <c r="AE167" s="17" t="s">
        <v>1408</v>
      </c>
      <c r="AF167" s="3" t="s">
        <v>1400</v>
      </c>
      <c r="AG167" s="5"/>
      <c r="AH167" s="5"/>
      <c r="AI167" s="5"/>
      <c r="AJ167" s="3" t="s">
        <v>56</v>
      </c>
      <c r="AK167" s="18"/>
    </row>
    <row r="168" ht="12" customHeight="1" spans="1:37" x14ac:dyDescent="0.25">
      <c r="A168" s="13" t="s">
        <v>143</v>
      </c>
      <c r="B168" s="13" t="s">
        <v>40</v>
      </c>
      <c r="C168" s="13" t="s">
        <v>1397</v>
      </c>
      <c r="D168" s="14" t="s">
        <v>841</v>
      </c>
      <c r="E168" s="15" t="s">
        <v>1574</v>
      </c>
      <c r="F168" s="3" t="s">
        <v>43</v>
      </c>
      <c r="G168" s="3" t="s">
        <v>47</v>
      </c>
      <c r="H168" s="16" t="s">
        <v>33</v>
      </c>
      <c r="I168" s="3" t="s">
        <v>1399</v>
      </c>
      <c r="J168" s="3" t="s">
        <v>1400</v>
      </c>
      <c r="K168" s="3"/>
      <c r="L168" s="16" t="s">
        <v>1401</v>
      </c>
      <c r="M168" s="3" t="s">
        <v>43</v>
      </c>
      <c r="N168" s="3" t="s">
        <v>1428</v>
      </c>
      <c r="O168" s="16" t="s">
        <v>1515</v>
      </c>
      <c r="P168" s="16"/>
      <c r="Q168" s="16"/>
      <c r="R168" s="3" t="s">
        <v>31</v>
      </c>
      <c r="S168" s="3" t="s">
        <v>32</v>
      </c>
      <c r="T168" s="3" t="s">
        <v>40</v>
      </c>
      <c r="U168" s="3" t="s">
        <v>35</v>
      </c>
      <c r="V168" s="4" t="s">
        <v>30</v>
      </c>
      <c r="W168" s="3" t="s">
        <v>36</v>
      </c>
      <c r="X168" s="4" t="s">
        <v>730</v>
      </c>
      <c r="Y168" s="5"/>
      <c r="Z168" s="5"/>
      <c r="AA168" s="5"/>
      <c r="AB168" s="5"/>
      <c r="AC168" s="5"/>
      <c r="AD168" s="4" t="s">
        <v>841</v>
      </c>
      <c r="AE168" s="17" t="s">
        <v>1499</v>
      </c>
      <c r="AF168" s="3" t="s">
        <v>1400</v>
      </c>
      <c r="AG168" s="5"/>
      <c r="AH168" s="5"/>
      <c r="AI168" s="5"/>
      <c r="AJ168" s="3" t="s">
        <v>49</v>
      </c>
      <c r="AK168" s="18"/>
    </row>
    <row r="169" ht="12" customHeight="1" spans="1:37" x14ac:dyDescent="0.25">
      <c r="A169" s="13" t="s">
        <v>211</v>
      </c>
      <c r="B169" s="13" t="s">
        <v>40</v>
      </c>
      <c r="C169" s="13" t="s">
        <v>1397</v>
      </c>
      <c r="D169" s="14" t="s">
        <v>1033</v>
      </c>
      <c r="E169" s="15" t="s">
        <v>1688</v>
      </c>
      <c r="F169" s="3" t="s">
        <v>79</v>
      </c>
      <c r="G169" s="3" t="s">
        <v>802</v>
      </c>
      <c r="H169" s="16" t="s">
        <v>33</v>
      </c>
      <c r="I169" s="3" t="s">
        <v>1399</v>
      </c>
      <c r="J169" s="3" t="s">
        <v>1400</v>
      </c>
      <c r="K169" s="3"/>
      <c r="L169" s="16" t="s">
        <v>1401</v>
      </c>
      <c r="M169" s="3" t="s">
        <v>79</v>
      </c>
      <c r="N169" s="3" t="s">
        <v>1410</v>
      </c>
      <c r="O169" s="16" t="s">
        <v>1515</v>
      </c>
      <c r="P169" s="16"/>
      <c r="Q169" s="16"/>
      <c r="R169" s="3" t="s">
        <v>1412</v>
      </c>
      <c r="S169" s="3" t="s">
        <v>32</v>
      </c>
      <c r="T169" s="3" t="s">
        <v>40</v>
      </c>
      <c r="U169" s="3" t="s">
        <v>35</v>
      </c>
      <c r="V169" s="4" t="s">
        <v>30</v>
      </c>
      <c r="W169" s="3" t="s">
        <v>36</v>
      </c>
      <c r="X169" s="4" t="s">
        <v>730</v>
      </c>
      <c r="Y169" s="5"/>
      <c r="Z169" s="5"/>
      <c r="AA169" s="5"/>
      <c r="AB169" s="5"/>
      <c r="AC169" s="5"/>
      <c r="AD169" s="4" t="s">
        <v>1033</v>
      </c>
      <c r="AE169" s="17" t="s">
        <v>1689</v>
      </c>
      <c r="AF169" s="3" t="s">
        <v>1400</v>
      </c>
      <c r="AG169" s="5"/>
      <c r="AH169" s="5"/>
      <c r="AI169" s="5"/>
      <c r="AJ169" s="3" t="s">
        <v>83</v>
      </c>
      <c r="AK169" s="18"/>
    </row>
    <row r="170" ht="12" customHeight="1" spans="1:37" x14ac:dyDescent="0.25">
      <c r="A170" s="13" t="s">
        <v>156</v>
      </c>
      <c r="B170" s="13" t="s">
        <v>40</v>
      </c>
      <c r="C170" s="13" t="s">
        <v>1397</v>
      </c>
      <c r="D170" s="14" t="s">
        <v>1405</v>
      </c>
      <c r="E170" s="15" t="s">
        <v>1690</v>
      </c>
      <c r="F170" s="3" t="s">
        <v>155</v>
      </c>
      <c r="G170" s="3" t="s">
        <v>1218</v>
      </c>
      <c r="H170" s="16" t="s">
        <v>33</v>
      </c>
      <c r="I170" s="3" t="s">
        <v>1399</v>
      </c>
      <c r="J170" s="3" t="s">
        <v>1400</v>
      </c>
      <c r="K170" s="3"/>
      <c r="L170" s="16" t="s">
        <v>1401</v>
      </c>
      <c r="M170" s="3" t="s">
        <v>155</v>
      </c>
      <c r="N170" s="3" t="s">
        <v>1407</v>
      </c>
      <c r="O170" s="16" t="s">
        <v>1515</v>
      </c>
      <c r="P170" s="16"/>
      <c r="Q170" s="16"/>
      <c r="R170" s="3" t="s">
        <v>31</v>
      </c>
      <c r="S170" s="3" t="s">
        <v>32</v>
      </c>
      <c r="T170" s="3" t="s">
        <v>40</v>
      </c>
      <c r="U170" s="3" t="s">
        <v>35</v>
      </c>
      <c r="V170" s="4" t="s">
        <v>30</v>
      </c>
      <c r="W170" s="3" t="s">
        <v>36</v>
      </c>
      <c r="X170" s="4" t="s">
        <v>730</v>
      </c>
      <c r="Y170" s="5"/>
      <c r="Z170" s="5"/>
      <c r="AA170" s="5"/>
      <c r="AB170" s="5"/>
      <c r="AC170" s="5"/>
      <c r="AD170" s="4" t="s">
        <v>1405</v>
      </c>
      <c r="AE170" s="17" t="s">
        <v>1408</v>
      </c>
      <c r="AF170" s="3" t="s">
        <v>1400</v>
      </c>
      <c r="AG170" s="5"/>
      <c r="AH170" s="5"/>
      <c r="AI170" s="5"/>
      <c r="AJ170" s="3" t="s">
        <v>56</v>
      </c>
      <c r="AK170" s="18"/>
    </row>
    <row r="171" ht="12" customHeight="1" spans="1:37" x14ac:dyDescent="0.25">
      <c r="A171" s="13" t="s">
        <v>224</v>
      </c>
      <c r="B171" s="13" t="s">
        <v>40</v>
      </c>
      <c r="C171" s="13" t="s">
        <v>1397</v>
      </c>
      <c r="D171" s="14" t="s">
        <v>1405</v>
      </c>
      <c r="E171" s="15" t="s">
        <v>1691</v>
      </c>
      <c r="F171" s="3" t="s">
        <v>53</v>
      </c>
      <c r="G171" s="3" t="s">
        <v>1218</v>
      </c>
      <c r="H171" s="16" t="s">
        <v>33</v>
      </c>
      <c r="I171" s="3" t="s">
        <v>1399</v>
      </c>
      <c r="J171" s="3" t="s">
        <v>1400</v>
      </c>
      <c r="K171" s="3"/>
      <c r="L171" s="16" t="s">
        <v>1401</v>
      </c>
      <c r="M171" s="3" t="s">
        <v>53</v>
      </c>
      <c r="N171" s="3" t="s">
        <v>1558</v>
      </c>
      <c r="O171" s="16" t="s">
        <v>1515</v>
      </c>
      <c r="P171" s="16"/>
      <c r="Q171" s="16"/>
      <c r="R171" s="3" t="s">
        <v>31</v>
      </c>
      <c r="S171" s="3" t="s">
        <v>32</v>
      </c>
      <c r="T171" s="3" t="s">
        <v>40</v>
      </c>
      <c r="U171" s="3" t="s">
        <v>35</v>
      </c>
      <c r="V171" s="4" t="s">
        <v>30</v>
      </c>
      <c r="W171" s="3" t="s">
        <v>36</v>
      </c>
      <c r="X171" s="4" t="s">
        <v>730</v>
      </c>
      <c r="Y171" s="5"/>
      <c r="Z171" s="5"/>
      <c r="AA171" s="5"/>
      <c r="AB171" s="5"/>
      <c r="AC171" s="5"/>
      <c r="AD171" s="4" t="s">
        <v>1405</v>
      </c>
      <c r="AE171" s="17" t="s">
        <v>1562</v>
      </c>
      <c r="AF171" s="3" t="s">
        <v>1400</v>
      </c>
      <c r="AG171" s="5"/>
      <c r="AH171" s="5"/>
      <c r="AI171" s="5"/>
      <c r="AJ171" s="3" t="s">
        <v>56</v>
      </c>
      <c r="AK171" s="18"/>
    </row>
    <row r="172" ht="12" customHeight="1" spans="1:37" x14ac:dyDescent="0.25">
      <c r="A172" s="13" t="s">
        <v>122</v>
      </c>
      <c r="B172" s="13" t="s">
        <v>40</v>
      </c>
      <c r="C172" s="13" t="s">
        <v>1397</v>
      </c>
      <c r="D172" s="14" t="s">
        <v>774</v>
      </c>
      <c r="E172" s="15" t="s">
        <v>1692</v>
      </c>
      <c r="F172" s="3" t="s">
        <v>117</v>
      </c>
      <c r="G172" s="3" t="s">
        <v>732</v>
      </c>
      <c r="H172" s="16" t="s">
        <v>33</v>
      </c>
      <c r="I172" s="3" t="s">
        <v>1399</v>
      </c>
      <c r="J172" s="3" t="s">
        <v>1400</v>
      </c>
      <c r="K172" s="3"/>
      <c r="L172" s="16" t="s">
        <v>1401</v>
      </c>
      <c r="M172" s="3" t="s">
        <v>117</v>
      </c>
      <c r="N172" s="3" t="s">
        <v>1587</v>
      </c>
      <c r="O172" s="16" t="s">
        <v>1515</v>
      </c>
      <c r="P172" s="16"/>
      <c r="Q172" s="16"/>
      <c r="R172" s="3" t="s">
        <v>31</v>
      </c>
      <c r="S172" s="3" t="s">
        <v>32</v>
      </c>
      <c r="T172" s="3" t="s">
        <v>40</v>
      </c>
      <c r="U172" s="3" t="s">
        <v>35</v>
      </c>
      <c r="V172" s="4" t="s">
        <v>30</v>
      </c>
      <c r="W172" s="3" t="s">
        <v>36</v>
      </c>
      <c r="X172" s="4" t="s">
        <v>730</v>
      </c>
      <c r="Y172" s="5"/>
      <c r="Z172" s="5"/>
      <c r="AA172" s="5"/>
      <c r="AB172" s="5"/>
      <c r="AC172" s="5"/>
      <c r="AD172" s="4" t="s">
        <v>774</v>
      </c>
      <c r="AE172" s="17" t="s">
        <v>1588</v>
      </c>
      <c r="AF172" s="3" t="s">
        <v>1400</v>
      </c>
      <c r="AG172" s="5"/>
      <c r="AH172" s="5"/>
      <c r="AI172" s="5"/>
      <c r="AJ172" s="3" t="s">
        <v>111</v>
      </c>
      <c r="AK172" s="18"/>
    </row>
    <row r="173" ht="12" customHeight="1" spans="1:37" x14ac:dyDescent="0.25">
      <c r="A173" s="13" t="s">
        <v>123</v>
      </c>
      <c r="B173" s="13" t="s">
        <v>40</v>
      </c>
      <c r="C173" s="13" t="s">
        <v>1397</v>
      </c>
      <c r="D173" s="14" t="s">
        <v>774</v>
      </c>
      <c r="E173" s="15" t="s">
        <v>1693</v>
      </c>
      <c r="F173" s="3" t="s">
        <v>71</v>
      </c>
      <c r="G173" s="3" t="s">
        <v>732</v>
      </c>
      <c r="H173" s="16" t="s">
        <v>33</v>
      </c>
      <c r="I173" s="3" t="s">
        <v>1399</v>
      </c>
      <c r="J173" s="3" t="s">
        <v>1400</v>
      </c>
      <c r="K173" s="3"/>
      <c r="L173" s="16" t="s">
        <v>1401</v>
      </c>
      <c r="M173" s="3" t="s">
        <v>71</v>
      </c>
      <c r="N173" s="3" t="s">
        <v>1547</v>
      </c>
      <c r="O173" s="16" t="s">
        <v>1515</v>
      </c>
      <c r="P173" s="16"/>
      <c r="Q173" s="16"/>
      <c r="R173" s="3" t="s">
        <v>31</v>
      </c>
      <c r="S173" s="3" t="s">
        <v>32</v>
      </c>
      <c r="T173" s="3" t="s">
        <v>40</v>
      </c>
      <c r="U173" s="3" t="s">
        <v>35</v>
      </c>
      <c r="V173" s="4" t="s">
        <v>30</v>
      </c>
      <c r="W173" s="3" t="s">
        <v>70</v>
      </c>
      <c r="X173" s="4" t="s">
        <v>966</v>
      </c>
      <c r="Y173" s="5"/>
      <c r="Z173" s="5"/>
      <c r="AA173" s="5"/>
      <c r="AB173" s="5"/>
      <c r="AC173" s="5"/>
      <c r="AD173" s="4" t="s">
        <v>774</v>
      </c>
      <c r="AE173" s="17" t="s">
        <v>1476</v>
      </c>
      <c r="AF173" s="3" t="s">
        <v>1400</v>
      </c>
      <c r="AG173" s="5"/>
      <c r="AH173" s="5"/>
      <c r="AI173" s="5"/>
      <c r="AJ173" s="3" t="s">
        <v>76</v>
      </c>
      <c r="AK173" s="18"/>
    </row>
    <row r="174" ht="12" customHeight="1" spans="1:37" x14ac:dyDescent="0.25">
      <c r="A174" s="13" t="s">
        <v>112</v>
      </c>
      <c r="B174" s="13" t="s">
        <v>40</v>
      </c>
      <c r="C174" s="13" t="s">
        <v>1397</v>
      </c>
      <c r="D174" s="14" t="s">
        <v>1405</v>
      </c>
      <c r="E174" s="15" t="s">
        <v>1532</v>
      </c>
      <c r="F174" s="3" t="s">
        <v>113</v>
      </c>
      <c r="G174" s="3" t="s">
        <v>1254</v>
      </c>
      <c r="H174" s="16" t="s">
        <v>33</v>
      </c>
      <c r="I174" s="3" t="s">
        <v>1399</v>
      </c>
      <c r="J174" s="3" t="s">
        <v>1400</v>
      </c>
      <c r="K174" s="3"/>
      <c r="L174" s="16" t="s">
        <v>1401</v>
      </c>
      <c r="M174" s="3" t="s">
        <v>113</v>
      </c>
      <c r="N174" s="3" t="s">
        <v>1418</v>
      </c>
      <c r="O174" s="16" t="s">
        <v>1515</v>
      </c>
      <c r="P174" s="16"/>
      <c r="Q174" s="16"/>
      <c r="R174" s="3" t="s">
        <v>31</v>
      </c>
      <c r="S174" s="3" t="s">
        <v>32</v>
      </c>
      <c r="T174" s="3" t="s">
        <v>40</v>
      </c>
      <c r="U174" s="3" t="s">
        <v>35</v>
      </c>
      <c r="V174" s="4" t="s">
        <v>30</v>
      </c>
      <c r="W174" s="3" t="s">
        <v>36</v>
      </c>
      <c r="X174" s="4" t="s">
        <v>730</v>
      </c>
      <c r="Y174" s="5"/>
      <c r="Z174" s="5"/>
      <c r="AA174" s="5"/>
      <c r="AB174" s="5"/>
      <c r="AC174" s="5"/>
      <c r="AD174" s="4" t="s">
        <v>1405</v>
      </c>
      <c r="AE174" s="17" t="s">
        <v>1555</v>
      </c>
      <c r="AF174" s="3" t="s">
        <v>1400</v>
      </c>
      <c r="AG174" s="5"/>
      <c r="AH174" s="5"/>
      <c r="AI174" s="5"/>
      <c r="AJ174" s="3" t="s">
        <v>115</v>
      </c>
      <c r="AK174" s="18"/>
    </row>
    <row r="175" ht="12" customHeight="1" spans="1:37" x14ac:dyDescent="0.25">
      <c r="A175" s="13" t="s">
        <v>172</v>
      </c>
      <c r="B175" s="13" t="s">
        <v>40</v>
      </c>
      <c r="C175" s="13" t="s">
        <v>1397</v>
      </c>
      <c r="D175" s="14" t="s">
        <v>1057</v>
      </c>
      <c r="E175" s="15" t="s">
        <v>1596</v>
      </c>
      <c r="F175" s="3" t="s">
        <v>173</v>
      </c>
      <c r="G175" s="3" t="s">
        <v>1028</v>
      </c>
      <c r="H175" s="16" t="s">
        <v>33</v>
      </c>
      <c r="I175" s="3" t="s">
        <v>1399</v>
      </c>
      <c r="J175" s="3" t="s">
        <v>1400</v>
      </c>
      <c r="K175" s="3"/>
      <c r="L175" s="16" t="s">
        <v>1401</v>
      </c>
      <c r="M175" s="3" t="s">
        <v>173</v>
      </c>
      <c r="N175" s="3" t="s">
        <v>1418</v>
      </c>
      <c r="O175" s="16" t="s">
        <v>1694</v>
      </c>
      <c r="P175" s="16"/>
      <c r="Q175" s="16"/>
      <c r="R175" s="3" t="s">
        <v>1470</v>
      </c>
      <c r="S175" s="3" t="s">
        <v>1471</v>
      </c>
      <c r="T175" s="3" t="s">
        <v>40</v>
      </c>
      <c r="U175" s="3" t="s">
        <v>35</v>
      </c>
      <c r="V175" s="4" t="s">
        <v>30</v>
      </c>
      <c r="W175" s="3" t="s">
        <v>36</v>
      </c>
      <c r="X175" s="4" t="s">
        <v>730</v>
      </c>
      <c r="Y175" s="5"/>
      <c r="Z175" s="5"/>
      <c r="AA175" s="5"/>
      <c r="AB175" s="5"/>
      <c r="AC175" s="5"/>
      <c r="AD175" s="4" t="s">
        <v>1057</v>
      </c>
      <c r="AE175" s="17" t="s">
        <v>1695</v>
      </c>
      <c r="AF175" s="3" t="s">
        <v>1400</v>
      </c>
      <c r="AG175" s="5"/>
      <c r="AH175" s="5"/>
      <c r="AI175" s="5"/>
      <c r="AJ175" s="3" t="s">
        <v>175</v>
      </c>
      <c r="AK175" s="18"/>
    </row>
    <row r="176" ht="12" customHeight="1" spans="1:37" x14ac:dyDescent="0.25">
      <c r="A176" s="13" t="s">
        <v>144</v>
      </c>
      <c r="B176" s="13" t="s">
        <v>40</v>
      </c>
      <c r="C176" s="13" t="s">
        <v>1397</v>
      </c>
      <c r="D176" s="14" t="s">
        <v>841</v>
      </c>
      <c r="E176" s="15" t="s">
        <v>1696</v>
      </c>
      <c r="F176" s="3" t="s">
        <v>43</v>
      </c>
      <c r="G176" s="3" t="s">
        <v>47</v>
      </c>
      <c r="H176" s="16" t="s">
        <v>33</v>
      </c>
      <c r="I176" s="3" t="s">
        <v>1399</v>
      </c>
      <c r="J176" s="3" t="s">
        <v>1400</v>
      </c>
      <c r="K176" s="3"/>
      <c r="L176" s="16" t="s">
        <v>1401</v>
      </c>
      <c r="M176" s="3" t="s">
        <v>43</v>
      </c>
      <c r="N176" s="3" t="s">
        <v>1428</v>
      </c>
      <c r="O176" s="16" t="s">
        <v>1694</v>
      </c>
      <c r="P176" s="16"/>
      <c r="Q176" s="16"/>
      <c r="R176" s="3" t="s">
        <v>31</v>
      </c>
      <c r="S176" s="3" t="s">
        <v>32</v>
      </c>
      <c r="T176" s="3" t="s">
        <v>40</v>
      </c>
      <c r="U176" s="3" t="s">
        <v>35</v>
      </c>
      <c r="V176" s="4" t="s">
        <v>30</v>
      </c>
      <c r="W176" s="3" t="s">
        <v>36</v>
      </c>
      <c r="X176" s="4" t="s">
        <v>730</v>
      </c>
      <c r="Y176" s="5"/>
      <c r="Z176" s="5"/>
      <c r="AA176" s="5"/>
      <c r="AB176" s="5"/>
      <c r="AC176" s="5"/>
      <c r="AD176" s="4" t="s">
        <v>841</v>
      </c>
      <c r="AE176" s="17" t="s">
        <v>1499</v>
      </c>
      <c r="AF176" s="3" t="s">
        <v>1400</v>
      </c>
      <c r="AG176" s="5"/>
      <c r="AH176" s="5"/>
      <c r="AI176" s="5"/>
      <c r="AJ176" s="3" t="s">
        <v>49</v>
      </c>
      <c r="AK176" s="18"/>
    </row>
    <row r="177" ht="12" customHeight="1" spans="1:37" x14ac:dyDescent="0.25">
      <c r="A177" s="13" t="s">
        <v>157</v>
      </c>
      <c r="B177" s="13" t="s">
        <v>40</v>
      </c>
      <c r="C177" s="13" t="s">
        <v>1397</v>
      </c>
      <c r="D177" s="14" t="s">
        <v>1405</v>
      </c>
      <c r="E177" s="15" t="s">
        <v>1697</v>
      </c>
      <c r="F177" s="3" t="s">
        <v>155</v>
      </c>
      <c r="G177" s="3" t="s">
        <v>1218</v>
      </c>
      <c r="H177" s="16" t="s">
        <v>33</v>
      </c>
      <c r="I177" s="3" t="s">
        <v>1399</v>
      </c>
      <c r="J177" s="3" t="s">
        <v>1400</v>
      </c>
      <c r="K177" s="3"/>
      <c r="L177" s="16" t="s">
        <v>1401</v>
      </c>
      <c r="M177" s="3" t="s">
        <v>155</v>
      </c>
      <c r="N177" s="3" t="s">
        <v>1407</v>
      </c>
      <c r="O177" s="16" t="s">
        <v>1422</v>
      </c>
      <c r="P177" s="16"/>
      <c r="Q177" s="16"/>
      <c r="R177" s="3" t="s">
        <v>31</v>
      </c>
      <c r="S177" s="3" t="s">
        <v>32</v>
      </c>
      <c r="T177" s="3" t="s">
        <v>40</v>
      </c>
      <c r="U177" s="3" t="s">
        <v>35</v>
      </c>
      <c r="V177" s="4" t="s">
        <v>30</v>
      </c>
      <c r="W177" s="3" t="s">
        <v>36</v>
      </c>
      <c r="X177" s="4" t="s">
        <v>730</v>
      </c>
      <c r="Y177" s="5"/>
      <c r="Z177" s="5"/>
      <c r="AA177" s="5"/>
      <c r="AB177" s="5"/>
      <c r="AC177" s="5"/>
      <c r="AD177" s="4" t="s">
        <v>1405</v>
      </c>
      <c r="AE177" s="17" t="s">
        <v>1562</v>
      </c>
      <c r="AF177" s="3" t="s">
        <v>1400</v>
      </c>
      <c r="AG177" s="5"/>
      <c r="AH177" s="5"/>
      <c r="AI177" s="5"/>
      <c r="AJ177" s="3" t="s">
        <v>56</v>
      </c>
      <c r="AK177" s="18"/>
    </row>
    <row r="178" ht="12" customHeight="1" spans="1:37" x14ac:dyDescent="0.25">
      <c r="A178" s="13" t="s">
        <v>212</v>
      </c>
      <c r="B178" s="13" t="s">
        <v>40</v>
      </c>
      <c r="C178" s="13" t="s">
        <v>1397</v>
      </c>
      <c r="D178" s="14" t="s">
        <v>1568</v>
      </c>
      <c r="E178" s="15" t="s">
        <v>1698</v>
      </c>
      <c r="F178" s="3" t="s">
        <v>79</v>
      </c>
      <c r="G178" s="3" t="s">
        <v>802</v>
      </c>
      <c r="H178" s="16" t="s">
        <v>33</v>
      </c>
      <c r="I178" s="3" t="s">
        <v>1399</v>
      </c>
      <c r="J178" s="3" t="s">
        <v>1400</v>
      </c>
      <c r="K178" s="3"/>
      <c r="L178" s="16" t="s">
        <v>1401</v>
      </c>
      <c r="M178" s="3" t="s">
        <v>79</v>
      </c>
      <c r="N178" s="3" t="s">
        <v>1410</v>
      </c>
      <c r="O178" s="16" t="s">
        <v>1422</v>
      </c>
      <c r="P178" s="16"/>
      <c r="Q178" s="16"/>
      <c r="R178" s="3" t="s">
        <v>1412</v>
      </c>
      <c r="S178" s="3" t="s">
        <v>32</v>
      </c>
      <c r="T178" s="3" t="s">
        <v>40</v>
      </c>
      <c r="U178" s="3" t="s">
        <v>35</v>
      </c>
      <c r="V178" s="4" t="s">
        <v>30</v>
      </c>
      <c r="W178" s="3" t="s">
        <v>36</v>
      </c>
      <c r="X178" s="4" t="s">
        <v>730</v>
      </c>
      <c r="Y178" s="5"/>
      <c r="Z178" s="5"/>
      <c r="AA178" s="5"/>
      <c r="AB178" s="5"/>
      <c r="AC178" s="5"/>
      <c r="AD178" s="4" t="s">
        <v>1568</v>
      </c>
      <c r="AE178" s="17" t="s">
        <v>1699</v>
      </c>
      <c r="AF178" s="3" t="s">
        <v>1400</v>
      </c>
      <c r="AG178" s="5"/>
      <c r="AH178" s="5"/>
      <c r="AI178" s="5"/>
      <c r="AJ178" s="3" t="s">
        <v>83</v>
      </c>
      <c r="AK178" s="18"/>
    </row>
    <row r="179" ht="12" customHeight="1" spans="1:37" x14ac:dyDescent="0.25">
      <c r="A179" s="13" t="s">
        <v>213</v>
      </c>
      <c r="B179" s="13" t="s">
        <v>40</v>
      </c>
      <c r="C179" s="13" t="s">
        <v>1397</v>
      </c>
      <c r="D179" s="14" t="s">
        <v>1568</v>
      </c>
      <c r="E179" s="15" t="s">
        <v>1700</v>
      </c>
      <c r="F179" s="3" t="s">
        <v>79</v>
      </c>
      <c r="G179" s="3" t="s">
        <v>802</v>
      </c>
      <c r="H179" s="16" t="s">
        <v>33</v>
      </c>
      <c r="I179" s="3" t="s">
        <v>1399</v>
      </c>
      <c r="J179" s="3" t="s">
        <v>1400</v>
      </c>
      <c r="K179" s="3"/>
      <c r="L179" s="16" t="s">
        <v>1401</v>
      </c>
      <c r="M179" s="3" t="s">
        <v>79</v>
      </c>
      <c r="N179" s="3" t="s">
        <v>1410</v>
      </c>
      <c r="O179" s="16" t="s">
        <v>1422</v>
      </c>
      <c r="P179" s="16"/>
      <c r="Q179" s="16"/>
      <c r="R179" s="3" t="s">
        <v>1412</v>
      </c>
      <c r="S179" s="3" t="s">
        <v>32</v>
      </c>
      <c r="T179" s="3" t="s">
        <v>40</v>
      </c>
      <c r="U179" s="3" t="s">
        <v>35</v>
      </c>
      <c r="V179" s="4" t="s">
        <v>30</v>
      </c>
      <c r="W179" s="3" t="s">
        <v>36</v>
      </c>
      <c r="X179" s="4" t="s">
        <v>730</v>
      </c>
      <c r="Y179" s="5"/>
      <c r="Z179" s="5"/>
      <c r="AA179" s="5"/>
      <c r="AB179" s="5"/>
      <c r="AC179" s="5"/>
      <c r="AD179" s="4" t="s">
        <v>1033</v>
      </c>
      <c r="AE179" s="17" t="s">
        <v>1581</v>
      </c>
      <c r="AF179" s="3" t="s">
        <v>1400</v>
      </c>
      <c r="AG179" s="5"/>
      <c r="AH179" s="5"/>
      <c r="AI179" s="5"/>
      <c r="AJ179" s="3" t="s">
        <v>83</v>
      </c>
      <c r="AK179" s="18"/>
    </row>
    <row r="180" ht="12" customHeight="1" spans="1:37" x14ac:dyDescent="0.25">
      <c r="A180" s="13" t="s">
        <v>242</v>
      </c>
      <c r="B180" s="13" t="s">
        <v>40</v>
      </c>
      <c r="C180" s="13" t="s">
        <v>1397</v>
      </c>
      <c r="D180" s="14" t="s">
        <v>1405</v>
      </c>
      <c r="E180" s="15" t="s">
        <v>1701</v>
      </c>
      <c r="F180" s="3" t="s">
        <v>136</v>
      </c>
      <c r="G180" s="3" t="s">
        <v>1218</v>
      </c>
      <c r="H180" s="16" t="s">
        <v>33</v>
      </c>
      <c r="I180" s="3" t="s">
        <v>1399</v>
      </c>
      <c r="J180" s="3" t="s">
        <v>1400</v>
      </c>
      <c r="K180" s="3"/>
      <c r="L180" s="16" t="s">
        <v>1401</v>
      </c>
      <c r="M180" s="3" t="s">
        <v>136</v>
      </c>
      <c r="N180" s="3" t="s">
        <v>1435</v>
      </c>
      <c r="O180" s="16" t="s">
        <v>1422</v>
      </c>
      <c r="P180" s="16"/>
      <c r="Q180" s="16"/>
      <c r="R180" s="3" t="s">
        <v>31</v>
      </c>
      <c r="S180" s="3" t="s">
        <v>32</v>
      </c>
      <c r="T180" s="3" t="s">
        <v>40</v>
      </c>
      <c r="U180" s="3" t="s">
        <v>35</v>
      </c>
      <c r="V180" s="4" t="s">
        <v>30</v>
      </c>
      <c r="W180" s="3" t="s">
        <v>36</v>
      </c>
      <c r="X180" s="4" t="s">
        <v>730</v>
      </c>
      <c r="Y180" s="5"/>
      <c r="Z180" s="5"/>
      <c r="AA180" s="5"/>
      <c r="AB180" s="5"/>
      <c r="AC180" s="5"/>
      <c r="AD180" s="4" t="s">
        <v>1405</v>
      </c>
      <c r="AE180" s="17" t="s">
        <v>1486</v>
      </c>
      <c r="AF180" s="3" t="s">
        <v>1400</v>
      </c>
      <c r="AG180" s="5"/>
      <c r="AH180" s="5"/>
      <c r="AI180" s="5"/>
      <c r="AJ180" s="3" t="s">
        <v>56</v>
      </c>
      <c r="AK180" s="18"/>
    </row>
    <row r="181" ht="12" customHeight="1" spans="1:37" x14ac:dyDescent="0.25">
      <c r="A181" s="13" t="s">
        <v>214</v>
      </c>
      <c r="B181" s="13" t="s">
        <v>40</v>
      </c>
      <c r="C181" s="13" t="s">
        <v>1397</v>
      </c>
      <c r="D181" s="14" t="s">
        <v>1568</v>
      </c>
      <c r="E181" s="15" t="s">
        <v>1702</v>
      </c>
      <c r="F181" s="3" t="s">
        <v>79</v>
      </c>
      <c r="G181" s="3" t="s">
        <v>802</v>
      </c>
      <c r="H181" s="16" t="s">
        <v>33</v>
      </c>
      <c r="I181" s="3" t="s">
        <v>1399</v>
      </c>
      <c r="J181" s="3" t="s">
        <v>1400</v>
      </c>
      <c r="K181" s="3"/>
      <c r="L181" s="16" t="s">
        <v>1401</v>
      </c>
      <c r="M181" s="3" t="s">
        <v>79</v>
      </c>
      <c r="N181" s="3" t="s">
        <v>1410</v>
      </c>
      <c r="O181" s="16" t="s">
        <v>1422</v>
      </c>
      <c r="P181" s="16"/>
      <c r="Q181" s="16"/>
      <c r="R181" s="3" t="s">
        <v>1412</v>
      </c>
      <c r="S181" s="3" t="s">
        <v>32</v>
      </c>
      <c r="T181" s="3" t="s">
        <v>40</v>
      </c>
      <c r="U181" s="3" t="s">
        <v>35</v>
      </c>
      <c r="V181" s="4" t="s">
        <v>30</v>
      </c>
      <c r="W181" s="3" t="s">
        <v>36</v>
      </c>
      <c r="X181" s="4" t="s">
        <v>730</v>
      </c>
      <c r="Y181" s="5"/>
      <c r="Z181" s="5"/>
      <c r="AA181" s="5"/>
      <c r="AB181" s="5"/>
      <c r="AC181" s="5"/>
      <c r="AD181" s="4" t="s">
        <v>1568</v>
      </c>
      <c r="AE181" s="17" t="s">
        <v>1703</v>
      </c>
      <c r="AF181" s="3" t="s">
        <v>1400</v>
      </c>
      <c r="AG181" s="5"/>
      <c r="AH181" s="5"/>
      <c r="AI181" s="5"/>
      <c r="AJ181" s="3" t="s">
        <v>83</v>
      </c>
      <c r="AK181" s="18"/>
    </row>
    <row r="182" ht="12" customHeight="1" spans="1:37" x14ac:dyDescent="0.25">
      <c r="A182" s="13" t="s">
        <v>171</v>
      </c>
      <c r="B182" s="13" t="s">
        <v>40</v>
      </c>
      <c r="C182" s="13" t="s">
        <v>1397</v>
      </c>
      <c r="D182" s="14" t="s">
        <v>1405</v>
      </c>
      <c r="E182" s="15" t="s">
        <v>1704</v>
      </c>
      <c r="F182" s="3" t="s">
        <v>169</v>
      </c>
      <c r="G182" s="3" t="s">
        <v>1028</v>
      </c>
      <c r="H182" s="16" t="s">
        <v>33</v>
      </c>
      <c r="I182" s="3" t="s">
        <v>1399</v>
      </c>
      <c r="J182" s="3" t="s">
        <v>1400</v>
      </c>
      <c r="K182" s="3"/>
      <c r="L182" s="16" t="s">
        <v>1401</v>
      </c>
      <c r="M182" s="3" t="s">
        <v>169</v>
      </c>
      <c r="N182" s="3" t="s">
        <v>1443</v>
      </c>
      <c r="O182" s="16" t="s">
        <v>1439</v>
      </c>
      <c r="P182" s="16"/>
      <c r="Q182" s="16"/>
      <c r="R182" s="3" t="s">
        <v>31</v>
      </c>
      <c r="S182" s="3" t="s">
        <v>32</v>
      </c>
      <c r="T182" s="3" t="s">
        <v>40</v>
      </c>
      <c r="U182" s="3" t="s">
        <v>35</v>
      </c>
      <c r="V182" s="4" t="s">
        <v>30</v>
      </c>
      <c r="W182" s="3" t="s">
        <v>36</v>
      </c>
      <c r="X182" s="4" t="s">
        <v>730</v>
      </c>
      <c r="Y182" s="5"/>
      <c r="Z182" s="5"/>
      <c r="AA182" s="5"/>
      <c r="AB182" s="5"/>
      <c r="AC182" s="5"/>
      <c r="AD182" s="4" t="s">
        <v>1405</v>
      </c>
      <c r="AE182" s="17" t="s">
        <v>1562</v>
      </c>
      <c r="AF182" s="3" t="s">
        <v>1400</v>
      </c>
      <c r="AG182" s="5"/>
      <c r="AH182" s="5"/>
      <c r="AI182" s="5"/>
      <c r="AJ182" s="3" t="s">
        <v>170</v>
      </c>
      <c r="AK182" s="18"/>
    </row>
    <row r="183" ht="12" customHeight="1" spans="1:37" x14ac:dyDescent="0.25">
      <c r="A183" s="13" t="s">
        <v>215</v>
      </c>
      <c r="B183" s="13" t="s">
        <v>40</v>
      </c>
      <c r="C183" s="13" t="s">
        <v>1397</v>
      </c>
      <c r="D183" s="14" t="s">
        <v>1568</v>
      </c>
      <c r="E183" s="15" t="s">
        <v>1705</v>
      </c>
      <c r="F183" s="3" t="s">
        <v>79</v>
      </c>
      <c r="G183" s="3" t="s">
        <v>802</v>
      </c>
      <c r="H183" s="16" t="s">
        <v>33</v>
      </c>
      <c r="I183" s="3" t="s">
        <v>1399</v>
      </c>
      <c r="J183" s="3" t="s">
        <v>1400</v>
      </c>
      <c r="K183" s="3"/>
      <c r="L183" s="16" t="s">
        <v>1401</v>
      </c>
      <c r="M183" s="3" t="s">
        <v>79</v>
      </c>
      <c r="N183" s="3" t="s">
        <v>1410</v>
      </c>
      <c r="O183" s="16" t="s">
        <v>1439</v>
      </c>
      <c r="P183" s="16"/>
      <c r="Q183" s="16"/>
      <c r="R183" s="3" t="s">
        <v>1412</v>
      </c>
      <c r="S183" s="3" t="s">
        <v>32</v>
      </c>
      <c r="T183" s="3" t="s">
        <v>40</v>
      </c>
      <c r="U183" s="3" t="s">
        <v>35</v>
      </c>
      <c r="V183" s="4" t="s">
        <v>30</v>
      </c>
      <c r="W183" s="3" t="s">
        <v>36</v>
      </c>
      <c r="X183" s="4" t="s">
        <v>730</v>
      </c>
      <c r="Y183" s="5"/>
      <c r="Z183" s="5"/>
      <c r="AA183" s="5"/>
      <c r="AB183" s="5"/>
      <c r="AC183" s="5"/>
      <c r="AD183" s="4" t="s">
        <v>1033</v>
      </c>
      <c r="AE183" s="17" t="s">
        <v>1425</v>
      </c>
      <c r="AF183" s="3" t="s">
        <v>1400</v>
      </c>
      <c r="AG183" s="5"/>
      <c r="AH183" s="5"/>
      <c r="AI183" s="5"/>
      <c r="AJ183" s="3" t="s">
        <v>83</v>
      </c>
      <c r="AK183" s="18"/>
    </row>
    <row r="184" ht="12" customHeight="1" spans="1:37" x14ac:dyDescent="0.25">
      <c r="A184" s="13" t="s">
        <v>199</v>
      </c>
      <c r="B184" s="13" t="s">
        <v>40</v>
      </c>
      <c r="C184" s="13" t="s">
        <v>1397</v>
      </c>
      <c r="D184" s="14" t="s">
        <v>759</v>
      </c>
      <c r="E184" s="15" t="s">
        <v>1706</v>
      </c>
      <c r="F184" s="3" t="s">
        <v>200</v>
      </c>
      <c r="G184" s="3" t="s">
        <v>1246</v>
      </c>
      <c r="H184" s="16" t="s">
        <v>33</v>
      </c>
      <c r="I184" s="3" t="s">
        <v>1399</v>
      </c>
      <c r="J184" s="3" t="s">
        <v>1400</v>
      </c>
      <c r="K184" s="3"/>
      <c r="L184" s="16" t="s">
        <v>1401</v>
      </c>
      <c r="M184" s="3" t="s">
        <v>200</v>
      </c>
      <c r="N184" s="3" t="s">
        <v>1415</v>
      </c>
      <c r="O184" s="16" t="s">
        <v>1707</v>
      </c>
      <c r="P184" s="16"/>
      <c r="Q184" s="16"/>
      <c r="R184" s="3" t="s">
        <v>31</v>
      </c>
      <c r="S184" s="3" t="s">
        <v>32</v>
      </c>
      <c r="T184" s="3" t="s">
        <v>40</v>
      </c>
      <c r="U184" s="3" t="s">
        <v>35</v>
      </c>
      <c r="V184" s="4" t="s">
        <v>30</v>
      </c>
      <c r="W184" s="3" t="s">
        <v>36</v>
      </c>
      <c r="X184" s="4" t="s">
        <v>730</v>
      </c>
      <c r="Y184" s="5"/>
      <c r="Z184" s="5"/>
      <c r="AA184" s="5"/>
      <c r="AB184" s="5"/>
      <c r="AC184" s="5"/>
      <c r="AD184" s="4" t="s">
        <v>759</v>
      </c>
      <c r="AE184" s="17" t="s">
        <v>1608</v>
      </c>
      <c r="AF184" s="3" t="s">
        <v>1400</v>
      </c>
      <c r="AG184" s="5"/>
      <c r="AH184" s="5"/>
      <c r="AI184" s="5"/>
      <c r="AJ184" s="3" t="s">
        <v>202</v>
      </c>
      <c r="AK184" s="18"/>
    </row>
    <row r="185" ht="12" customHeight="1" spans="1:37" x14ac:dyDescent="0.25">
      <c r="A185" s="13" t="s">
        <v>124</v>
      </c>
      <c r="B185" s="13" t="s">
        <v>40</v>
      </c>
      <c r="C185" s="13" t="s">
        <v>1397</v>
      </c>
      <c r="D185" s="14" t="s">
        <v>827</v>
      </c>
      <c r="E185" s="15" t="s">
        <v>1708</v>
      </c>
      <c r="F185" s="3" t="s">
        <v>125</v>
      </c>
      <c r="G185" s="3" t="s">
        <v>1348</v>
      </c>
      <c r="H185" s="16" t="s">
        <v>33</v>
      </c>
      <c r="I185" s="3" t="s">
        <v>1399</v>
      </c>
      <c r="J185" s="3" t="s">
        <v>1400</v>
      </c>
      <c r="K185" s="3"/>
      <c r="L185" s="16" t="s">
        <v>1401</v>
      </c>
      <c r="M185" s="3" t="s">
        <v>125</v>
      </c>
      <c r="N185" s="3" t="s">
        <v>1443</v>
      </c>
      <c r="O185" s="16" t="s">
        <v>1707</v>
      </c>
      <c r="P185" s="16"/>
      <c r="Q185" s="16"/>
      <c r="R185" s="3" t="s">
        <v>31</v>
      </c>
      <c r="S185" s="3" t="s">
        <v>32</v>
      </c>
      <c r="T185" s="3" t="s">
        <v>40</v>
      </c>
      <c r="U185" s="3" t="s">
        <v>35</v>
      </c>
      <c r="V185" s="4" t="s">
        <v>30</v>
      </c>
      <c r="W185" s="3" t="s">
        <v>36</v>
      </c>
      <c r="X185" s="4" t="s">
        <v>730</v>
      </c>
      <c r="Y185" s="5"/>
      <c r="Z185" s="5"/>
      <c r="AA185" s="5"/>
      <c r="AB185" s="5"/>
      <c r="AC185" s="5"/>
      <c r="AD185" s="4" t="s">
        <v>827</v>
      </c>
      <c r="AE185" s="17" t="s">
        <v>1709</v>
      </c>
      <c r="AF185" s="3" t="s">
        <v>1400</v>
      </c>
      <c r="AG185" s="5"/>
      <c r="AH185" s="5"/>
      <c r="AI185" s="5"/>
      <c r="AJ185" s="3" t="s">
        <v>127</v>
      </c>
      <c r="AK185" s="18"/>
    </row>
    <row r="186" ht="12" customHeight="1" spans="1:37" x14ac:dyDescent="0.25">
      <c r="A186" s="13" t="s">
        <v>145</v>
      </c>
      <c r="B186" s="13" t="s">
        <v>40</v>
      </c>
      <c r="C186" s="13" t="s">
        <v>1397</v>
      </c>
      <c r="D186" s="14" t="s">
        <v>769</v>
      </c>
      <c r="E186" s="15" t="s">
        <v>1710</v>
      </c>
      <c r="F186" s="3" t="s">
        <v>43</v>
      </c>
      <c r="G186" s="3" t="s">
        <v>47</v>
      </c>
      <c r="H186" s="16" t="s">
        <v>33</v>
      </c>
      <c r="I186" s="3" t="s">
        <v>1399</v>
      </c>
      <c r="J186" s="3" t="s">
        <v>1400</v>
      </c>
      <c r="K186" s="3"/>
      <c r="L186" s="16" t="s">
        <v>1401</v>
      </c>
      <c r="M186" s="3" t="s">
        <v>43</v>
      </c>
      <c r="N186" s="3" t="s">
        <v>1428</v>
      </c>
      <c r="O186" s="16" t="s">
        <v>1711</v>
      </c>
      <c r="P186" s="16"/>
      <c r="Q186" s="16"/>
      <c r="R186" s="3" t="s">
        <v>31</v>
      </c>
      <c r="S186" s="3" t="s">
        <v>32</v>
      </c>
      <c r="T186" s="3" t="s">
        <v>40</v>
      </c>
      <c r="U186" s="3" t="s">
        <v>35</v>
      </c>
      <c r="V186" s="4" t="s">
        <v>30</v>
      </c>
      <c r="W186" s="3" t="s">
        <v>36</v>
      </c>
      <c r="X186" s="4" t="s">
        <v>730</v>
      </c>
      <c r="Y186" s="5"/>
      <c r="Z186" s="5"/>
      <c r="AA186" s="5"/>
      <c r="AB186" s="5"/>
      <c r="AC186" s="5"/>
      <c r="AD186" s="4" t="s">
        <v>769</v>
      </c>
      <c r="AE186" s="17" t="s">
        <v>1712</v>
      </c>
      <c r="AF186" s="3" t="s">
        <v>1400</v>
      </c>
      <c r="AG186" s="5"/>
      <c r="AH186" s="5"/>
      <c r="AI186" s="5"/>
      <c r="AJ186" s="3" t="s">
        <v>49</v>
      </c>
      <c r="AK186" s="18"/>
    </row>
    <row r="187" ht="12" customHeight="1" spans="1:37" x14ac:dyDescent="0.25">
      <c r="A187" s="13" t="s">
        <v>262</v>
      </c>
      <c r="B187" s="13" t="s">
        <v>40</v>
      </c>
      <c r="C187" s="13" t="s">
        <v>1397</v>
      </c>
      <c r="D187" s="14" t="s">
        <v>1057</v>
      </c>
      <c r="E187" s="15" t="s">
        <v>1713</v>
      </c>
      <c r="F187" s="3" t="s">
        <v>257</v>
      </c>
      <c r="G187" s="3" t="s">
        <v>732</v>
      </c>
      <c r="H187" s="16" t="s">
        <v>33</v>
      </c>
      <c r="I187" s="3" t="s">
        <v>1399</v>
      </c>
      <c r="J187" s="3" t="s">
        <v>1400</v>
      </c>
      <c r="K187" s="3"/>
      <c r="L187" s="16" t="s">
        <v>1401</v>
      </c>
      <c r="M187" s="3" t="s">
        <v>257</v>
      </c>
      <c r="N187" s="3" t="s">
        <v>1598</v>
      </c>
      <c r="O187" s="16" t="s">
        <v>1711</v>
      </c>
      <c r="P187" s="16"/>
      <c r="Q187" s="16"/>
      <c r="R187" s="3" t="s">
        <v>1470</v>
      </c>
      <c r="S187" s="3" t="s">
        <v>1471</v>
      </c>
      <c r="T187" s="3" t="s">
        <v>40</v>
      </c>
      <c r="U187" s="3" t="s">
        <v>35</v>
      </c>
      <c r="V187" s="4" t="s">
        <v>30</v>
      </c>
      <c r="W187" s="3" t="s">
        <v>36</v>
      </c>
      <c r="X187" s="4" t="s">
        <v>730</v>
      </c>
      <c r="Y187" s="5"/>
      <c r="Z187" s="5"/>
      <c r="AA187" s="5"/>
      <c r="AB187" s="5"/>
      <c r="AC187" s="5"/>
      <c r="AD187" s="4" t="s">
        <v>1057</v>
      </c>
      <c r="AE187" s="17" t="s">
        <v>1599</v>
      </c>
      <c r="AF187" s="3" t="s">
        <v>1400</v>
      </c>
      <c r="AG187" s="5"/>
      <c r="AH187" s="5"/>
      <c r="AI187" s="5"/>
      <c r="AJ187" s="3" t="s">
        <v>111</v>
      </c>
      <c r="AK187" s="18"/>
    </row>
    <row r="188" ht="12" customHeight="1" spans="1:37" x14ac:dyDescent="0.25">
      <c r="A188" s="13" t="s">
        <v>164</v>
      </c>
      <c r="B188" s="13" t="s">
        <v>40</v>
      </c>
      <c r="C188" s="13" t="s">
        <v>1397</v>
      </c>
      <c r="D188" s="14" t="s">
        <v>744</v>
      </c>
      <c r="E188" s="15" t="s">
        <v>1714</v>
      </c>
      <c r="F188" s="3" t="s">
        <v>165</v>
      </c>
      <c r="G188" s="3" t="s">
        <v>1028</v>
      </c>
      <c r="H188" s="16" t="s">
        <v>33</v>
      </c>
      <c r="I188" s="3" t="s">
        <v>1399</v>
      </c>
      <c r="J188" s="3" t="s">
        <v>1400</v>
      </c>
      <c r="K188" s="3"/>
      <c r="L188" s="16" t="s">
        <v>1401</v>
      </c>
      <c r="M188" s="3" t="s">
        <v>165</v>
      </c>
      <c r="N188" s="3" t="s">
        <v>1418</v>
      </c>
      <c r="O188" s="16" t="s">
        <v>1711</v>
      </c>
      <c r="P188" s="16"/>
      <c r="Q188" s="16"/>
      <c r="R188" s="3" t="s">
        <v>1412</v>
      </c>
      <c r="S188" s="3" t="s">
        <v>32</v>
      </c>
      <c r="T188" s="3" t="s">
        <v>40</v>
      </c>
      <c r="U188" s="3" t="s">
        <v>35</v>
      </c>
      <c r="V188" s="4" t="s">
        <v>30</v>
      </c>
      <c r="W188" s="3" t="s">
        <v>36</v>
      </c>
      <c r="X188" s="4" t="s">
        <v>730</v>
      </c>
      <c r="Y188" s="5"/>
      <c r="Z188" s="5"/>
      <c r="AA188" s="5"/>
      <c r="AB188" s="5"/>
      <c r="AC188" s="5"/>
      <c r="AD188" s="4" t="s">
        <v>744</v>
      </c>
      <c r="AE188" s="17" t="s">
        <v>1715</v>
      </c>
      <c r="AF188" s="3" t="s">
        <v>1400</v>
      </c>
      <c r="AG188" s="5"/>
      <c r="AH188" s="5"/>
      <c r="AI188" s="5"/>
      <c r="AJ188" s="3" t="s">
        <v>167</v>
      </c>
      <c r="AK188" s="18"/>
    </row>
    <row r="189" ht="12" customHeight="1" spans="1:37" x14ac:dyDescent="0.25">
      <c r="A189" s="13" t="s">
        <v>243</v>
      </c>
      <c r="B189" s="13" t="s">
        <v>40</v>
      </c>
      <c r="C189" s="13" t="s">
        <v>1397</v>
      </c>
      <c r="D189" s="14" t="s">
        <v>1405</v>
      </c>
      <c r="E189" s="15" t="s">
        <v>1716</v>
      </c>
      <c r="F189" s="3" t="s">
        <v>136</v>
      </c>
      <c r="G189" s="3" t="s">
        <v>1218</v>
      </c>
      <c r="H189" s="16" t="s">
        <v>33</v>
      </c>
      <c r="I189" s="3" t="s">
        <v>1399</v>
      </c>
      <c r="J189" s="3" t="s">
        <v>1400</v>
      </c>
      <c r="K189" s="3"/>
      <c r="L189" s="16" t="s">
        <v>1401</v>
      </c>
      <c r="M189" s="3" t="s">
        <v>136</v>
      </c>
      <c r="N189" s="3" t="s">
        <v>1435</v>
      </c>
      <c r="O189" s="16" t="s">
        <v>1711</v>
      </c>
      <c r="P189" s="16"/>
      <c r="Q189" s="16"/>
      <c r="R189" s="3" t="s">
        <v>31</v>
      </c>
      <c r="S189" s="3" t="s">
        <v>32</v>
      </c>
      <c r="T189" s="3" t="s">
        <v>40</v>
      </c>
      <c r="U189" s="3" t="s">
        <v>35</v>
      </c>
      <c r="V189" s="4" t="s">
        <v>30</v>
      </c>
      <c r="W189" s="3" t="s">
        <v>36</v>
      </c>
      <c r="X189" s="4" t="s">
        <v>730</v>
      </c>
      <c r="Y189" s="5"/>
      <c r="Z189" s="5"/>
      <c r="AA189" s="5"/>
      <c r="AB189" s="5"/>
      <c r="AC189" s="5"/>
      <c r="AD189" s="4" t="s">
        <v>1405</v>
      </c>
      <c r="AE189" s="17" t="s">
        <v>1679</v>
      </c>
      <c r="AF189" s="3" t="s">
        <v>1400</v>
      </c>
      <c r="AG189" s="5"/>
      <c r="AH189" s="5"/>
      <c r="AI189" s="5"/>
      <c r="AJ189" s="3" t="s">
        <v>56</v>
      </c>
      <c r="AK189" s="18"/>
    </row>
    <row r="190" ht="12" customHeight="1" spans="1:37" x14ac:dyDescent="0.25">
      <c r="A190" s="13" t="s">
        <v>221</v>
      </c>
      <c r="B190" s="13" t="s">
        <v>40</v>
      </c>
      <c r="C190" s="13" t="s">
        <v>1397</v>
      </c>
      <c r="D190" s="14" t="s">
        <v>792</v>
      </c>
      <c r="E190" s="15" t="s">
        <v>1717</v>
      </c>
      <c r="F190" s="3" t="s">
        <v>218</v>
      </c>
      <c r="G190" s="3" t="s">
        <v>1263</v>
      </c>
      <c r="H190" s="16" t="s">
        <v>33</v>
      </c>
      <c r="I190" s="3" t="s">
        <v>1399</v>
      </c>
      <c r="J190" s="3" t="s">
        <v>1400</v>
      </c>
      <c r="K190" s="3"/>
      <c r="L190" s="16" t="s">
        <v>1401</v>
      </c>
      <c r="M190" s="3" t="s">
        <v>218</v>
      </c>
      <c r="N190" s="3" t="s">
        <v>1547</v>
      </c>
      <c r="O190" s="16" t="s">
        <v>1718</v>
      </c>
      <c r="P190" s="16"/>
      <c r="Q190" s="16"/>
      <c r="R190" s="3" t="s">
        <v>31</v>
      </c>
      <c r="S190" s="3" t="s">
        <v>32</v>
      </c>
      <c r="T190" s="3" t="s">
        <v>40</v>
      </c>
      <c r="U190" s="3" t="s">
        <v>35</v>
      </c>
      <c r="V190" s="4" t="s">
        <v>30</v>
      </c>
      <c r="W190" s="3" t="s">
        <v>36</v>
      </c>
      <c r="X190" s="4" t="s">
        <v>730</v>
      </c>
      <c r="Y190" s="5"/>
      <c r="Z190" s="5"/>
      <c r="AA190" s="5"/>
      <c r="AB190" s="5"/>
      <c r="AC190" s="5"/>
      <c r="AD190" s="4" t="s">
        <v>792</v>
      </c>
      <c r="AE190" s="17" t="s">
        <v>1623</v>
      </c>
      <c r="AF190" s="3" t="s">
        <v>1400</v>
      </c>
      <c r="AG190" s="5"/>
      <c r="AH190" s="5"/>
      <c r="AI190" s="5"/>
      <c r="AJ190" s="3" t="s">
        <v>220</v>
      </c>
      <c r="AK190" s="18"/>
    </row>
    <row r="191" ht="12" customHeight="1" spans="1:37" x14ac:dyDescent="0.25">
      <c r="A191" s="13" t="s">
        <v>193</v>
      </c>
      <c r="B191" s="13" t="s">
        <v>40</v>
      </c>
      <c r="C191" s="13" t="s">
        <v>1397</v>
      </c>
      <c r="D191" s="14" t="s">
        <v>1405</v>
      </c>
      <c r="E191" s="15" t="s">
        <v>1719</v>
      </c>
      <c r="F191" s="3" t="s">
        <v>194</v>
      </c>
      <c r="G191" s="3" t="s">
        <v>1098</v>
      </c>
      <c r="H191" s="16" t="s">
        <v>33</v>
      </c>
      <c r="I191" s="3" t="s">
        <v>1399</v>
      </c>
      <c r="J191" s="3" t="s">
        <v>1400</v>
      </c>
      <c r="K191" s="3"/>
      <c r="L191" s="16" t="s">
        <v>1401</v>
      </c>
      <c r="M191" s="3" t="s">
        <v>194</v>
      </c>
      <c r="N191" s="3" t="s">
        <v>1481</v>
      </c>
      <c r="O191" s="16" t="s">
        <v>1548</v>
      </c>
      <c r="P191" s="16"/>
      <c r="Q191" s="16"/>
      <c r="R191" s="3" t="s">
        <v>31</v>
      </c>
      <c r="S191" s="3" t="s">
        <v>32</v>
      </c>
      <c r="T191" s="3" t="s">
        <v>40</v>
      </c>
      <c r="U191" s="3" t="s">
        <v>35</v>
      </c>
      <c r="V191" s="4" t="s">
        <v>30</v>
      </c>
      <c r="W191" s="3" t="s">
        <v>36</v>
      </c>
      <c r="X191" s="4" t="s">
        <v>730</v>
      </c>
      <c r="Y191" s="5"/>
      <c r="Z191" s="5"/>
      <c r="AA191" s="5"/>
      <c r="AB191" s="5"/>
      <c r="AC191" s="5"/>
      <c r="AD191" s="4" t="s">
        <v>1405</v>
      </c>
      <c r="AE191" s="17" t="s">
        <v>1408</v>
      </c>
      <c r="AF191" s="3" t="s">
        <v>1400</v>
      </c>
      <c r="AG191" s="5"/>
      <c r="AH191" s="5"/>
      <c r="AI191" s="5"/>
      <c r="AJ191" s="3" t="s">
        <v>196</v>
      </c>
      <c r="AK191" s="18"/>
    </row>
    <row r="192" ht="12" customHeight="1" spans="1:37" x14ac:dyDescent="0.25">
      <c r="A192" s="13" t="s">
        <v>146</v>
      </c>
      <c r="B192" s="13" t="s">
        <v>40</v>
      </c>
      <c r="C192" s="13" t="s">
        <v>1397</v>
      </c>
      <c r="D192" s="14" t="s">
        <v>774</v>
      </c>
      <c r="E192" s="15" t="s">
        <v>1720</v>
      </c>
      <c r="F192" s="3" t="s">
        <v>43</v>
      </c>
      <c r="G192" s="3" t="s">
        <v>47</v>
      </c>
      <c r="H192" s="16" t="s">
        <v>33</v>
      </c>
      <c r="I192" s="3" t="s">
        <v>1399</v>
      </c>
      <c r="J192" s="3" t="s">
        <v>1400</v>
      </c>
      <c r="K192" s="3"/>
      <c r="L192" s="16" t="s">
        <v>1401</v>
      </c>
      <c r="M192" s="3" t="s">
        <v>43</v>
      </c>
      <c r="N192" s="3" t="s">
        <v>1428</v>
      </c>
      <c r="O192" s="16" t="s">
        <v>1548</v>
      </c>
      <c r="P192" s="16"/>
      <c r="Q192" s="16"/>
      <c r="R192" s="3" t="s">
        <v>31</v>
      </c>
      <c r="S192" s="3" t="s">
        <v>32</v>
      </c>
      <c r="T192" s="3" t="s">
        <v>40</v>
      </c>
      <c r="U192" s="3" t="s">
        <v>35</v>
      </c>
      <c r="V192" s="4" t="s">
        <v>30</v>
      </c>
      <c r="W192" s="3" t="s">
        <v>36</v>
      </c>
      <c r="X192" s="4" t="s">
        <v>730</v>
      </c>
      <c r="Y192" s="5"/>
      <c r="Z192" s="5"/>
      <c r="AA192" s="5"/>
      <c r="AB192" s="5"/>
      <c r="AC192" s="5"/>
      <c r="AD192" s="4" t="s">
        <v>774</v>
      </c>
      <c r="AE192" s="17" t="s">
        <v>1613</v>
      </c>
      <c r="AF192" s="3" t="s">
        <v>1400</v>
      </c>
      <c r="AG192" s="5"/>
      <c r="AH192" s="5"/>
      <c r="AI192" s="5"/>
      <c r="AJ192" s="3" t="s">
        <v>49</v>
      </c>
      <c r="AK192" s="18"/>
    </row>
    <row r="193" ht="12" customHeight="1" spans="1:37" x14ac:dyDescent="0.25">
      <c r="A193" s="13" t="s">
        <v>137</v>
      </c>
      <c r="B193" s="13" t="s">
        <v>40</v>
      </c>
      <c r="C193" s="13" t="s">
        <v>1397</v>
      </c>
      <c r="D193" s="14" t="s">
        <v>769</v>
      </c>
      <c r="E193" s="15" t="s">
        <v>1721</v>
      </c>
      <c r="F193" s="3" t="s">
        <v>43</v>
      </c>
      <c r="G193" s="3" t="s">
        <v>47</v>
      </c>
      <c r="H193" s="16" t="s">
        <v>33</v>
      </c>
      <c r="I193" s="3" t="s">
        <v>1399</v>
      </c>
      <c r="J193" s="3" t="s">
        <v>1400</v>
      </c>
      <c r="K193" s="3"/>
      <c r="L193" s="16" t="s">
        <v>1401</v>
      </c>
      <c r="M193" s="3" t="s">
        <v>43</v>
      </c>
      <c r="N193" s="3" t="s">
        <v>1428</v>
      </c>
      <c r="O193" s="16" t="s">
        <v>1722</v>
      </c>
      <c r="P193" s="16"/>
      <c r="Q193" s="16"/>
      <c r="R193" s="3" t="s">
        <v>31</v>
      </c>
      <c r="S193" s="3" t="s">
        <v>32</v>
      </c>
      <c r="T193" s="3" t="s">
        <v>40</v>
      </c>
      <c r="U193" s="3" t="s">
        <v>35</v>
      </c>
      <c r="V193" s="4" t="s">
        <v>30</v>
      </c>
      <c r="W193" s="3" t="s">
        <v>36</v>
      </c>
      <c r="X193" s="4" t="s">
        <v>730</v>
      </c>
      <c r="Y193" s="5"/>
      <c r="Z193" s="5"/>
      <c r="AA193" s="5"/>
      <c r="AB193" s="5"/>
      <c r="AC193" s="5"/>
      <c r="AD193" s="4" t="s">
        <v>769</v>
      </c>
      <c r="AE193" s="17" t="s">
        <v>1674</v>
      </c>
      <c r="AF193" s="3" t="s">
        <v>1400</v>
      </c>
      <c r="AG193" s="5"/>
      <c r="AH193" s="5"/>
      <c r="AI193" s="5"/>
      <c r="AJ193" s="3" t="s">
        <v>49</v>
      </c>
      <c r="AK193" s="18"/>
    </row>
    <row r="194" ht="12" customHeight="1" spans="1:37" x14ac:dyDescent="0.25">
      <c r="A194" s="13" t="s">
        <v>178</v>
      </c>
      <c r="B194" s="13" t="s">
        <v>40</v>
      </c>
      <c r="C194" s="13" t="s">
        <v>1397</v>
      </c>
      <c r="D194" s="14" t="s">
        <v>774</v>
      </c>
      <c r="E194" s="15" t="s">
        <v>1723</v>
      </c>
      <c r="F194" s="3" t="s">
        <v>177</v>
      </c>
      <c r="G194" s="3" t="s">
        <v>732</v>
      </c>
      <c r="H194" s="16" t="s">
        <v>33</v>
      </c>
      <c r="I194" s="3" t="s">
        <v>1399</v>
      </c>
      <c r="J194" s="3" t="s">
        <v>1400</v>
      </c>
      <c r="K194" s="3"/>
      <c r="L194" s="16" t="s">
        <v>1401</v>
      </c>
      <c r="M194" s="3" t="s">
        <v>177</v>
      </c>
      <c r="N194" s="3" t="s">
        <v>1547</v>
      </c>
      <c r="O194" s="16" t="s">
        <v>1550</v>
      </c>
      <c r="P194" s="16"/>
      <c r="Q194" s="16"/>
      <c r="R194" s="3" t="s">
        <v>31</v>
      </c>
      <c r="S194" s="3" t="s">
        <v>32</v>
      </c>
      <c r="T194" s="3" t="s">
        <v>40</v>
      </c>
      <c r="U194" s="3" t="s">
        <v>35</v>
      </c>
      <c r="V194" s="4" t="s">
        <v>30</v>
      </c>
      <c r="W194" s="3" t="s">
        <v>70</v>
      </c>
      <c r="X194" s="4" t="s">
        <v>966</v>
      </c>
      <c r="Y194" s="5"/>
      <c r="Z194" s="5"/>
      <c r="AA194" s="5"/>
      <c r="AB194" s="5"/>
      <c r="AC194" s="5"/>
      <c r="AD194" s="4" t="s">
        <v>774</v>
      </c>
      <c r="AE194" s="17" t="s">
        <v>1476</v>
      </c>
      <c r="AF194" s="3" t="s">
        <v>1400</v>
      </c>
      <c r="AG194" s="5"/>
      <c r="AH194" s="5"/>
      <c r="AI194" s="5"/>
      <c r="AJ194" s="3" t="s">
        <v>76</v>
      </c>
      <c r="AK194" s="18"/>
    </row>
    <row r="195" ht="12" customHeight="1" spans="1:37" x14ac:dyDescent="0.25">
      <c r="A195" s="13" t="s">
        <v>239</v>
      </c>
      <c r="B195" s="13" t="s">
        <v>40</v>
      </c>
      <c r="C195" s="13" t="s">
        <v>1397</v>
      </c>
      <c r="D195" s="14" t="s">
        <v>1405</v>
      </c>
      <c r="E195" s="15" t="s">
        <v>1724</v>
      </c>
      <c r="F195" s="3" t="s">
        <v>136</v>
      </c>
      <c r="G195" s="3" t="s">
        <v>1218</v>
      </c>
      <c r="H195" s="16" t="s">
        <v>33</v>
      </c>
      <c r="I195" s="3" t="s">
        <v>1399</v>
      </c>
      <c r="J195" s="3" t="s">
        <v>1400</v>
      </c>
      <c r="K195" s="3"/>
      <c r="L195" s="16" t="s">
        <v>1401</v>
      </c>
      <c r="M195" s="3" t="s">
        <v>136</v>
      </c>
      <c r="N195" s="3" t="s">
        <v>1435</v>
      </c>
      <c r="O195" s="16" t="s">
        <v>1550</v>
      </c>
      <c r="P195" s="16"/>
      <c r="Q195" s="16"/>
      <c r="R195" s="3" t="s">
        <v>31</v>
      </c>
      <c r="S195" s="3" t="s">
        <v>32</v>
      </c>
      <c r="T195" s="3" t="s">
        <v>40</v>
      </c>
      <c r="U195" s="3" t="s">
        <v>35</v>
      </c>
      <c r="V195" s="4" t="s">
        <v>30</v>
      </c>
      <c r="W195" s="3" t="s">
        <v>36</v>
      </c>
      <c r="X195" s="4" t="s">
        <v>730</v>
      </c>
      <c r="Y195" s="5"/>
      <c r="Z195" s="5"/>
      <c r="AA195" s="5"/>
      <c r="AB195" s="5"/>
      <c r="AC195" s="5"/>
      <c r="AD195" s="4" t="s">
        <v>1405</v>
      </c>
      <c r="AE195" s="17" t="s">
        <v>1679</v>
      </c>
      <c r="AF195" s="3" t="s">
        <v>1400</v>
      </c>
      <c r="AG195" s="5"/>
      <c r="AH195" s="5"/>
      <c r="AI195" s="5"/>
      <c r="AJ195" s="3" t="s">
        <v>56</v>
      </c>
      <c r="AK195" s="18"/>
    </row>
    <row r="196" ht="12" customHeight="1" spans="1:37" x14ac:dyDescent="0.25">
      <c r="A196" s="13" t="s">
        <v>225</v>
      </c>
      <c r="B196" s="13" t="s">
        <v>40</v>
      </c>
      <c r="C196" s="13" t="s">
        <v>1397</v>
      </c>
      <c r="D196" s="14" t="s">
        <v>1405</v>
      </c>
      <c r="E196" s="15" t="s">
        <v>1725</v>
      </c>
      <c r="F196" s="3" t="s">
        <v>53</v>
      </c>
      <c r="G196" s="3" t="s">
        <v>1218</v>
      </c>
      <c r="H196" s="16" t="s">
        <v>33</v>
      </c>
      <c r="I196" s="3" t="s">
        <v>1399</v>
      </c>
      <c r="J196" s="3" t="s">
        <v>1400</v>
      </c>
      <c r="K196" s="3"/>
      <c r="L196" s="16" t="s">
        <v>1401</v>
      </c>
      <c r="M196" s="3" t="s">
        <v>53</v>
      </c>
      <c r="N196" s="3" t="s">
        <v>1558</v>
      </c>
      <c r="O196" s="16" t="s">
        <v>1403</v>
      </c>
      <c r="P196" s="16"/>
      <c r="Q196" s="16"/>
      <c r="R196" s="3" t="s">
        <v>31</v>
      </c>
      <c r="S196" s="3" t="s">
        <v>32</v>
      </c>
      <c r="T196" s="3" t="s">
        <v>40</v>
      </c>
      <c r="U196" s="3" t="s">
        <v>35</v>
      </c>
      <c r="V196" s="4" t="s">
        <v>30</v>
      </c>
      <c r="W196" s="3" t="s">
        <v>36</v>
      </c>
      <c r="X196" s="4" t="s">
        <v>730</v>
      </c>
      <c r="Y196" s="5"/>
      <c r="Z196" s="5"/>
      <c r="AA196" s="5"/>
      <c r="AB196" s="5"/>
      <c r="AC196" s="5"/>
      <c r="AD196" s="4" t="s">
        <v>1405</v>
      </c>
      <c r="AE196" s="17" t="s">
        <v>1555</v>
      </c>
      <c r="AF196" s="3" t="s">
        <v>1400</v>
      </c>
      <c r="AG196" s="5"/>
      <c r="AH196" s="5"/>
      <c r="AI196" s="5"/>
      <c r="AJ196" s="3" t="s">
        <v>56</v>
      </c>
      <c r="AK196" s="18"/>
    </row>
    <row r="197" ht="12" customHeight="1" spans="1:37" x14ac:dyDescent="0.25">
      <c r="A197" s="13" t="s">
        <v>188</v>
      </c>
      <c r="B197" s="13" t="s">
        <v>40</v>
      </c>
      <c r="C197" s="13" t="s">
        <v>1397</v>
      </c>
      <c r="D197" s="14" t="s">
        <v>871</v>
      </c>
      <c r="E197" s="15" t="s">
        <v>1726</v>
      </c>
      <c r="F197" s="3" t="s">
        <v>189</v>
      </c>
      <c r="G197" s="3" t="s">
        <v>925</v>
      </c>
      <c r="H197" s="16" t="s">
        <v>33</v>
      </c>
      <c r="I197" s="3" t="s">
        <v>1399</v>
      </c>
      <c r="J197" s="3" t="s">
        <v>1400</v>
      </c>
      <c r="K197" s="3"/>
      <c r="L197" s="16" t="s">
        <v>1401</v>
      </c>
      <c r="M197" s="3" t="s">
        <v>189</v>
      </c>
      <c r="N197" s="3" t="s">
        <v>1727</v>
      </c>
      <c r="O197" s="16" t="s">
        <v>1403</v>
      </c>
      <c r="P197" s="16"/>
      <c r="Q197" s="16"/>
      <c r="R197" s="3" t="s">
        <v>1412</v>
      </c>
      <c r="S197" s="3" t="s">
        <v>32</v>
      </c>
      <c r="T197" s="3" t="s">
        <v>40</v>
      </c>
      <c r="U197" s="3" t="s">
        <v>35</v>
      </c>
      <c r="V197" s="4" t="s">
        <v>30</v>
      </c>
      <c r="W197" s="3" t="s">
        <v>36</v>
      </c>
      <c r="X197" s="4" t="s">
        <v>730</v>
      </c>
      <c r="Y197" s="5"/>
      <c r="Z197" s="5"/>
      <c r="AA197" s="5"/>
      <c r="AB197" s="5"/>
      <c r="AC197" s="5"/>
      <c r="AD197" s="4" t="s">
        <v>871</v>
      </c>
      <c r="AE197" s="17" t="s">
        <v>1570</v>
      </c>
      <c r="AF197" s="3" t="s">
        <v>1400</v>
      </c>
      <c r="AG197" s="5"/>
      <c r="AH197" s="5"/>
      <c r="AI197" s="5"/>
      <c r="AJ197" s="3" t="s">
        <v>191</v>
      </c>
      <c r="AK197" s="18"/>
    </row>
    <row r="198" ht="12" customHeight="1" spans="1:37" x14ac:dyDescent="0.25">
      <c r="A198" s="13" t="s">
        <v>197</v>
      </c>
      <c r="B198" s="13" t="s">
        <v>40</v>
      </c>
      <c r="C198" s="13" t="s">
        <v>1397</v>
      </c>
      <c r="D198" s="14" t="s">
        <v>1405</v>
      </c>
      <c r="E198" s="15" t="s">
        <v>1728</v>
      </c>
      <c r="F198" s="3" t="s">
        <v>136</v>
      </c>
      <c r="G198" s="3" t="s">
        <v>1218</v>
      </c>
      <c r="H198" s="16" t="s">
        <v>33</v>
      </c>
      <c r="I198" s="3" t="s">
        <v>1399</v>
      </c>
      <c r="J198" s="3" t="s">
        <v>1400</v>
      </c>
      <c r="K198" s="3"/>
      <c r="L198" s="16" t="s">
        <v>1401</v>
      </c>
      <c r="M198" s="3" t="s">
        <v>136</v>
      </c>
      <c r="N198" s="3" t="s">
        <v>1435</v>
      </c>
      <c r="O198" s="16" t="s">
        <v>1403</v>
      </c>
      <c r="P198" s="16"/>
      <c r="Q198" s="16"/>
      <c r="R198" s="3" t="s">
        <v>31</v>
      </c>
      <c r="S198" s="3" t="s">
        <v>32</v>
      </c>
      <c r="T198" s="3" t="s">
        <v>40</v>
      </c>
      <c r="U198" s="3" t="s">
        <v>35</v>
      </c>
      <c r="V198" s="4" t="s">
        <v>30</v>
      </c>
      <c r="W198" s="3" t="s">
        <v>36</v>
      </c>
      <c r="X198" s="4" t="s">
        <v>730</v>
      </c>
      <c r="Y198" s="5"/>
      <c r="Z198" s="5"/>
      <c r="AA198" s="5"/>
      <c r="AB198" s="5"/>
      <c r="AC198" s="5"/>
      <c r="AD198" s="4" t="s">
        <v>1405</v>
      </c>
      <c r="AE198" s="17" t="s">
        <v>1555</v>
      </c>
      <c r="AF198" s="3" t="s">
        <v>1400</v>
      </c>
      <c r="AG198" s="5"/>
      <c r="AH198" s="5"/>
      <c r="AI198" s="5"/>
      <c r="AJ198" s="3" t="s">
        <v>56</v>
      </c>
      <c r="AK198" s="18"/>
    </row>
    <row r="199" ht="12" customHeight="1" spans="1:37" x14ac:dyDescent="0.25">
      <c r="A199" s="13" t="s">
        <v>222</v>
      </c>
      <c r="B199" s="13" t="s">
        <v>40</v>
      </c>
      <c r="C199" s="13" t="s">
        <v>1397</v>
      </c>
      <c r="D199" s="14" t="s">
        <v>785</v>
      </c>
      <c r="E199" s="15" t="s">
        <v>1439</v>
      </c>
      <c r="F199" s="3" t="s">
        <v>218</v>
      </c>
      <c r="G199" s="3" t="s">
        <v>1263</v>
      </c>
      <c r="H199" s="16" t="s">
        <v>33</v>
      </c>
      <c r="I199" s="3" t="s">
        <v>1399</v>
      </c>
      <c r="J199" s="3" t="s">
        <v>1400</v>
      </c>
      <c r="K199" s="3"/>
      <c r="L199" s="16" t="s">
        <v>1401</v>
      </c>
      <c r="M199" s="3" t="s">
        <v>218</v>
      </c>
      <c r="N199" s="3" t="s">
        <v>1547</v>
      </c>
      <c r="O199" s="16" t="s">
        <v>1403</v>
      </c>
      <c r="P199" s="16"/>
      <c r="Q199" s="16"/>
      <c r="R199" s="3" t="s">
        <v>31</v>
      </c>
      <c r="S199" s="3" t="s">
        <v>32</v>
      </c>
      <c r="T199" s="3" t="s">
        <v>40</v>
      </c>
      <c r="U199" s="3" t="s">
        <v>35</v>
      </c>
      <c r="V199" s="4" t="s">
        <v>30</v>
      </c>
      <c r="W199" s="3" t="s">
        <v>36</v>
      </c>
      <c r="X199" s="4" t="s">
        <v>730</v>
      </c>
      <c r="Y199" s="5"/>
      <c r="Z199" s="5"/>
      <c r="AA199" s="5"/>
      <c r="AB199" s="5"/>
      <c r="AC199" s="5"/>
      <c r="AD199" s="4" t="s">
        <v>785</v>
      </c>
      <c r="AE199" s="17" t="s">
        <v>1729</v>
      </c>
      <c r="AF199" s="3" t="s">
        <v>1400</v>
      </c>
      <c r="AG199" s="5"/>
      <c r="AH199" s="5"/>
      <c r="AI199" s="5"/>
      <c r="AJ199" s="3" t="s">
        <v>220</v>
      </c>
      <c r="AK199" s="18"/>
    </row>
    <row r="200" ht="12" customHeight="1" spans="1:37" x14ac:dyDescent="0.25">
      <c r="A200" s="13" t="s">
        <v>138</v>
      </c>
      <c r="B200" s="13" t="s">
        <v>40</v>
      </c>
      <c r="C200" s="13" t="s">
        <v>1397</v>
      </c>
      <c r="D200" s="14" t="s">
        <v>841</v>
      </c>
      <c r="E200" s="15" t="s">
        <v>1730</v>
      </c>
      <c r="F200" s="3" t="s">
        <v>43</v>
      </c>
      <c r="G200" s="3" t="s">
        <v>47</v>
      </c>
      <c r="H200" s="16" t="s">
        <v>33</v>
      </c>
      <c r="I200" s="3" t="s">
        <v>1399</v>
      </c>
      <c r="J200" s="3" t="s">
        <v>1400</v>
      </c>
      <c r="K200" s="3"/>
      <c r="L200" s="16" t="s">
        <v>1401</v>
      </c>
      <c r="M200" s="3" t="s">
        <v>43</v>
      </c>
      <c r="N200" s="3" t="s">
        <v>1428</v>
      </c>
      <c r="O200" s="16" t="s">
        <v>1411</v>
      </c>
      <c r="P200" s="16"/>
      <c r="Q200" s="16"/>
      <c r="R200" s="3" t="s">
        <v>31</v>
      </c>
      <c r="S200" s="3" t="s">
        <v>32</v>
      </c>
      <c r="T200" s="3" t="s">
        <v>40</v>
      </c>
      <c r="U200" s="3" t="s">
        <v>35</v>
      </c>
      <c r="V200" s="4" t="s">
        <v>30</v>
      </c>
      <c r="W200" s="3" t="s">
        <v>36</v>
      </c>
      <c r="X200" s="4" t="s">
        <v>730</v>
      </c>
      <c r="Y200" s="5"/>
      <c r="Z200" s="5"/>
      <c r="AA200" s="5"/>
      <c r="AB200" s="5"/>
      <c r="AC200" s="5"/>
      <c r="AD200" s="4" t="s">
        <v>841</v>
      </c>
      <c r="AE200" s="17" t="s">
        <v>1606</v>
      </c>
      <c r="AF200" s="3" t="s">
        <v>1400</v>
      </c>
      <c r="AG200" s="5"/>
      <c r="AH200" s="5"/>
      <c r="AI200" s="5"/>
      <c r="AJ200" s="3" t="s">
        <v>49</v>
      </c>
      <c r="AK200" s="18"/>
    </row>
    <row r="201" ht="12" customHeight="1" spans="1:37" x14ac:dyDescent="0.25">
      <c r="A201" s="13" t="s">
        <v>198</v>
      </c>
      <c r="B201" s="13" t="s">
        <v>40</v>
      </c>
      <c r="C201" s="13" t="s">
        <v>1397</v>
      </c>
      <c r="D201" s="14" t="s">
        <v>1405</v>
      </c>
      <c r="E201" s="15" t="s">
        <v>1553</v>
      </c>
      <c r="F201" s="3" t="s">
        <v>136</v>
      </c>
      <c r="G201" s="3" t="s">
        <v>1218</v>
      </c>
      <c r="H201" s="16" t="s">
        <v>33</v>
      </c>
      <c r="I201" s="3" t="s">
        <v>1399</v>
      </c>
      <c r="J201" s="3" t="s">
        <v>1400</v>
      </c>
      <c r="K201" s="3"/>
      <c r="L201" s="16" t="s">
        <v>1401</v>
      </c>
      <c r="M201" s="3" t="s">
        <v>136</v>
      </c>
      <c r="N201" s="3" t="s">
        <v>1435</v>
      </c>
      <c r="O201" s="16" t="s">
        <v>1411</v>
      </c>
      <c r="P201" s="16"/>
      <c r="Q201" s="16"/>
      <c r="R201" s="3" t="s">
        <v>31</v>
      </c>
      <c r="S201" s="3" t="s">
        <v>32</v>
      </c>
      <c r="T201" s="3" t="s">
        <v>40</v>
      </c>
      <c r="U201" s="3" t="s">
        <v>35</v>
      </c>
      <c r="V201" s="4" t="s">
        <v>30</v>
      </c>
      <c r="W201" s="3" t="s">
        <v>36</v>
      </c>
      <c r="X201" s="4" t="s">
        <v>730</v>
      </c>
      <c r="Y201" s="5"/>
      <c r="Z201" s="5"/>
      <c r="AA201" s="5"/>
      <c r="AB201" s="5"/>
      <c r="AC201" s="5"/>
      <c r="AD201" s="4" t="s">
        <v>1405</v>
      </c>
      <c r="AE201" s="17" t="s">
        <v>1679</v>
      </c>
      <c r="AF201" s="3" t="s">
        <v>1400</v>
      </c>
      <c r="AG201" s="5"/>
      <c r="AH201" s="5"/>
      <c r="AI201" s="5"/>
      <c r="AJ201" s="3" t="s">
        <v>56</v>
      </c>
      <c r="AK201" s="18"/>
    </row>
    <row r="202" ht="12" customHeight="1" spans="1:37" x14ac:dyDescent="0.25">
      <c r="A202" s="13" t="s">
        <v>203</v>
      </c>
      <c r="B202" s="13" t="s">
        <v>40</v>
      </c>
      <c r="C202" s="13" t="s">
        <v>1397</v>
      </c>
      <c r="D202" s="14" t="s">
        <v>1405</v>
      </c>
      <c r="E202" s="15" t="s">
        <v>1731</v>
      </c>
      <c r="F202" s="3" t="s">
        <v>204</v>
      </c>
      <c r="G202" s="3" t="s">
        <v>996</v>
      </c>
      <c r="H202" s="16" t="s">
        <v>33</v>
      </c>
      <c r="I202" s="3" t="s">
        <v>1399</v>
      </c>
      <c r="J202" s="3" t="s">
        <v>1400</v>
      </c>
      <c r="K202" s="3"/>
      <c r="L202" s="16" t="s">
        <v>1401</v>
      </c>
      <c r="M202" s="3" t="s">
        <v>204</v>
      </c>
      <c r="N202" s="3" t="s">
        <v>1415</v>
      </c>
      <c r="O202" s="16" t="s">
        <v>1411</v>
      </c>
      <c r="P202" s="16"/>
      <c r="Q202" s="16"/>
      <c r="R202" s="3" t="s">
        <v>31</v>
      </c>
      <c r="S202" s="3" t="s">
        <v>32</v>
      </c>
      <c r="T202" s="3" t="s">
        <v>40</v>
      </c>
      <c r="U202" s="3" t="s">
        <v>35</v>
      </c>
      <c r="V202" s="4" t="s">
        <v>30</v>
      </c>
      <c r="W202" s="3" t="s">
        <v>36</v>
      </c>
      <c r="X202" s="4" t="s">
        <v>730</v>
      </c>
      <c r="Y202" s="5"/>
      <c r="Z202" s="5"/>
      <c r="AA202" s="5"/>
      <c r="AB202" s="5"/>
      <c r="AC202" s="5"/>
      <c r="AD202" s="4" t="s">
        <v>1405</v>
      </c>
      <c r="AE202" s="17" t="s">
        <v>1408</v>
      </c>
      <c r="AF202" s="3" t="s">
        <v>1400</v>
      </c>
      <c r="AG202" s="5"/>
      <c r="AH202" s="5"/>
      <c r="AI202" s="5"/>
      <c r="AJ202" s="3" t="s">
        <v>206</v>
      </c>
      <c r="AK202" s="18"/>
    </row>
    <row r="203" ht="12" customHeight="1" spans="1:37" x14ac:dyDescent="0.25">
      <c r="A203" s="13" t="s">
        <v>226</v>
      </c>
      <c r="B203" s="13" t="s">
        <v>40</v>
      </c>
      <c r="C203" s="13" t="s">
        <v>1397</v>
      </c>
      <c r="D203" s="14" t="s">
        <v>1405</v>
      </c>
      <c r="E203" s="15" t="s">
        <v>1732</v>
      </c>
      <c r="F203" s="3" t="s">
        <v>53</v>
      </c>
      <c r="G203" s="3" t="s">
        <v>1218</v>
      </c>
      <c r="H203" s="16" t="s">
        <v>33</v>
      </c>
      <c r="I203" s="3" t="s">
        <v>1399</v>
      </c>
      <c r="J203" s="3" t="s">
        <v>1400</v>
      </c>
      <c r="K203" s="3"/>
      <c r="L203" s="16" t="s">
        <v>1401</v>
      </c>
      <c r="M203" s="3" t="s">
        <v>53</v>
      </c>
      <c r="N203" s="3" t="s">
        <v>1558</v>
      </c>
      <c r="O203" s="16" t="s">
        <v>1411</v>
      </c>
      <c r="P203" s="16"/>
      <c r="Q203" s="16"/>
      <c r="R203" s="3" t="s">
        <v>31</v>
      </c>
      <c r="S203" s="3" t="s">
        <v>32</v>
      </c>
      <c r="T203" s="3" t="s">
        <v>40</v>
      </c>
      <c r="U203" s="3" t="s">
        <v>35</v>
      </c>
      <c r="V203" s="4" t="s">
        <v>30</v>
      </c>
      <c r="W203" s="3" t="s">
        <v>36</v>
      </c>
      <c r="X203" s="4" t="s">
        <v>730</v>
      </c>
      <c r="Y203" s="5"/>
      <c r="Z203" s="5"/>
      <c r="AA203" s="5"/>
      <c r="AB203" s="5"/>
      <c r="AC203" s="5"/>
      <c r="AD203" s="4" t="s">
        <v>1405</v>
      </c>
      <c r="AE203" s="17" t="s">
        <v>1555</v>
      </c>
      <c r="AF203" s="3" t="s">
        <v>1400</v>
      </c>
      <c r="AG203" s="5"/>
      <c r="AH203" s="5"/>
      <c r="AI203" s="5"/>
      <c r="AJ203" s="3" t="s">
        <v>56</v>
      </c>
      <c r="AK203" s="18"/>
    </row>
    <row r="204" ht="12" customHeight="1" spans="1:37" x14ac:dyDescent="0.25">
      <c r="A204" s="13" t="s">
        <v>139</v>
      </c>
      <c r="B204" s="13" t="s">
        <v>40</v>
      </c>
      <c r="C204" s="13" t="s">
        <v>1397</v>
      </c>
      <c r="D204" s="14" t="s">
        <v>841</v>
      </c>
      <c r="E204" s="15" t="s">
        <v>1733</v>
      </c>
      <c r="F204" s="3" t="s">
        <v>43</v>
      </c>
      <c r="G204" s="3" t="s">
        <v>47</v>
      </c>
      <c r="H204" s="16" t="s">
        <v>33</v>
      </c>
      <c r="I204" s="3" t="s">
        <v>1399</v>
      </c>
      <c r="J204" s="3" t="s">
        <v>1400</v>
      </c>
      <c r="K204" s="3"/>
      <c r="L204" s="16" t="s">
        <v>1401</v>
      </c>
      <c r="M204" s="3" t="s">
        <v>43</v>
      </c>
      <c r="N204" s="3" t="s">
        <v>1428</v>
      </c>
      <c r="O204" s="16" t="s">
        <v>1411</v>
      </c>
      <c r="P204" s="16"/>
      <c r="Q204" s="16"/>
      <c r="R204" s="3" t="s">
        <v>31</v>
      </c>
      <c r="S204" s="3" t="s">
        <v>32</v>
      </c>
      <c r="T204" s="3" t="s">
        <v>40</v>
      </c>
      <c r="U204" s="3" t="s">
        <v>35</v>
      </c>
      <c r="V204" s="4" t="s">
        <v>30</v>
      </c>
      <c r="W204" s="3" t="s">
        <v>36</v>
      </c>
      <c r="X204" s="4" t="s">
        <v>730</v>
      </c>
      <c r="Y204" s="5"/>
      <c r="Z204" s="5"/>
      <c r="AA204" s="5"/>
      <c r="AB204" s="5"/>
      <c r="AC204" s="5"/>
      <c r="AD204" s="4" t="s">
        <v>841</v>
      </c>
      <c r="AE204" s="17" t="s">
        <v>1526</v>
      </c>
      <c r="AF204" s="3" t="s">
        <v>1400</v>
      </c>
      <c r="AG204" s="5"/>
      <c r="AH204" s="5"/>
      <c r="AI204" s="5"/>
      <c r="AJ204" s="3" t="s">
        <v>49</v>
      </c>
      <c r="AK204" s="18"/>
    </row>
    <row r="205" ht="12" customHeight="1" spans="1:37" x14ac:dyDescent="0.25">
      <c r="A205" s="13" t="s">
        <v>116</v>
      </c>
      <c r="B205" s="13" t="s">
        <v>40</v>
      </c>
      <c r="C205" s="13" t="s">
        <v>1397</v>
      </c>
      <c r="D205" s="14" t="s">
        <v>774</v>
      </c>
      <c r="E205" s="15" t="s">
        <v>1734</v>
      </c>
      <c r="F205" s="3" t="s">
        <v>117</v>
      </c>
      <c r="G205" s="3" t="s">
        <v>732</v>
      </c>
      <c r="H205" s="16" t="s">
        <v>33</v>
      </c>
      <c r="I205" s="3" t="s">
        <v>1399</v>
      </c>
      <c r="J205" s="3" t="s">
        <v>1400</v>
      </c>
      <c r="K205" s="3"/>
      <c r="L205" s="16" t="s">
        <v>1401</v>
      </c>
      <c r="M205" s="3" t="s">
        <v>117</v>
      </c>
      <c r="N205" s="3" t="s">
        <v>1587</v>
      </c>
      <c r="O205" s="16" t="s">
        <v>1735</v>
      </c>
      <c r="P205" s="16"/>
      <c r="Q205" s="16"/>
      <c r="R205" s="3" t="s">
        <v>31</v>
      </c>
      <c r="S205" s="3" t="s">
        <v>32</v>
      </c>
      <c r="T205" s="3" t="s">
        <v>40</v>
      </c>
      <c r="U205" s="3" t="s">
        <v>35</v>
      </c>
      <c r="V205" s="4" t="s">
        <v>30</v>
      </c>
      <c r="W205" s="3" t="s">
        <v>36</v>
      </c>
      <c r="X205" s="4" t="s">
        <v>730</v>
      </c>
      <c r="Y205" s="5"/>
      <c r="Z205" s="5"/>
      <c r="AA205" s="5"/>
      <c r="AB205" s="5"/>
      <c r="AC205" s="5"/>
      <c r="AD205" s="4" t="s">
        <v>774</v>
      </c>
      <c r="AE205" s="17" t="s">
        <v>1588</v>
      </c>
      <c r="AF205" s="3" t="s">
        <v>1400</v>
      </c>
      <c r="AG205" s="5"/>
      <c r="AH205" s="5"/>
      <c r="AI205" s="5"/>
      <c r="AJ205" s="3" t="s">
        <v>111</v>
      </c>
      <c r="AK205" s="18"/>
    </row>
    <row r="206" ht="12" customHeight="1" spans="1:37" x14ac:dyDescent="0.25">
      <c r="A206" s="13" t="s">
        <v>119</v>
      </c>
      <c r="B206" s="13" t="s">
        <v>40</v>
      </c>
      <c r="C206" s="13" t="s">
        <v>1397</v>
      </c>
      <c r="D206" s="14" t="s">
        <v>774</v>
      </c>
      <c r="E206" s="15" t="s">
        <v>1736</v>
      </c>
      <c r="F206" s="3" t="s">
        <v>117</v>
      </c>
      <c r="G206" s="3" t="s">
        <v>732</v>
      </c>
      <c r="H206" s="16" t="s">
        <v>33</v>
      </c>
      <c r="I206" s="3" t="s">
        <v>1399</v>
      </c>
      <c r="J206" s="3" t="s">
        <v>1400</v>
      </c>
      <c r="K206" s="3"/>
      <c r="L206" s="16" t="s">
        <v>1401</v>
      </c>
      <c r="M206" s="3" t="s">
        <v>117</v>
      </c>
      <c r="N206" s="3" t="s">
        <v>1587</v>
      </c>
      <c r="O206" s="16" t="s">
        <v>1735</v>
      </c>
      <c r="P206" s="16"/>
      <c r="Q206" s="16"/>
      <c r="R206" s="3" t="s">
        <v>31</v>
      </c>
      <c r="S206" s="3" t="s">
        <v>32</v>
      </c>
      <c r="T206" s="3" t="s">
        <v>40</v>
      </c>
      <c r="U206" s="3" t="s">
        <v>35</v>
      </c>
      <c r="V206" s="4" t="s">
        <v>30</v>
      </c>
      <c r="W206" s="3" t="s">
        <v>36</v>
      </c>
      <c r="X206" s="4" t="s">
        <v>730</v>
      </c>
      <c r="Y206" s="5"/>
      <c r="Z206" s="5"/>
      <c r="AA206" s="5"/>
      <c r="AB206" s="5"/>
      <c r="AC206" s="5"/>
      <c r="AD206" s="4" t="s">
        <v>774</v>
      </c>
      <c r="AE206" s="17" t="s">
        <v>1588</v>
      </c>
      <c r="AF206" s="3" t="s">
        <v>1400</v>
      </c>
      <c r="AG206" s="5"/>
      <c r="AH206" s="5"/>
      <c r="AI206" s="5"/>
      <c r="AJ206" s="3" t="s">
        <v>111</v>
      </c>
      <c r="AK206" s="18"/>
    </row>
    <row r="207" ht="12" customHeight="1" spans="1:37" x14ac:dyDescent="0.25">
      <c r="A207" s="13" t="s">
        <v>227</v>
      </c>
      <c r="B207" s="13" t="s">
        <v>40</v>
      </c>
      <c r="C207" s="13" t="s">
        <v>1397</v>
      </c>
      <c r="D207" s="14" t="s">
        <v>1405</v>
      </c>
      <c r="E207" s="15" t="s">
        <v>1737</v>
      </c>
      <c r="F207" s="3" t="s">
        <v>53</v>
      </c>
      <c r="G207" s="3" t="s">
        <v>1218</v>
      </c>
      <c r="H207" s="16" t="s">
        <v>33</v>
      </c>
      <c r="I207" s="3" t="s">
        <v>1399</v>
      </c>
      <c r="J207" s="3" t="s">
        <v>1400</v>
      </c>
      <c r="K207" s="3"/>
      <c r="L207" s="16" t="s">
        <v>1401</v>
      </c>
      <c r="M207" s="3" t="s">
        <v>53</v>
      </c>
      <c r="N207" s="3" t="s">
        <v>1558</v>
      </c>
      <c r="O207" s="16" t="s">
        <v>1735</v>
      </c>
      <c r="P207" s="16"/>
      <c r="Q207" s="16"/>
      <c r="R207" s="3" t="s">
        <v>31</v>
      </c>
      <c r="S207" s="3" t="s">
        <v>32</v>
      </c>
      <c r="T207" s="3" t="s">
        <v>40</v>
      </c>
      <c r="U207" s="3" t="s">
        <v>35</v>
      </c>
      <c r="V207" s="4" t="s">
        <v>30</v>
      </c>
      <c r="W207" s="3" t="s">
        <v>36</v>
      </c>
      <c r="X207" s="4" t="s">
        <v>730</v>
      </c>
      <c r="Y207" s="5"/>
      <c r="Z207" s="5"/>
      <c r="AA207" s="5"/>
      <c r="AB207" s="5"/>
      <c r="AC207" s="5"/>
      <c r="AD207" s="4" t="s">
        <v>1405</v>
      </c>
      <c r="AE207" s="17" t="s">
        <v>1562</v>
      </c>
      <c r="AF207" s="3" t="s">
        <v>1400</v>
      </c>
      <c r="AG207" s="5"/>
      <c r="AH207" s="5"/>
      <c r="AI207" s="5"/>
      <c r="AJ207" s="3" t="s">
        <v>56</v>
      </c>
      <c r="AK207" s="18"/>
    </row>
    <row r="208" ht="12" customHeight="1" spans="1:37" x14ac:dyDescent="0.25">
      <c r="A208" s="13" t="s">
        <v>228</v>
      </c>
      <c r="B208" s="13" t="s">
        <v>40</v>
      </c>
      <c r="C208" s="13" t="s">
        <v>1397</v>
      </c>
      <c r="D208" s="14" t="s">
        <v>1405</v>
      </c>
      <c r="E208" s="15" t="s">
        <v>1738</v>
      </c>
      <c r="F208" s="3" t="s">
        <v>53</v>
      </c>
      <c r="G208" s="3" t="s">
        <v>1218</v>
      </c>
      <c r="H208" s="16" t="s">
        <v>33</v>
      </c>
      <c r="I208" s="3" t="s">
        <v>1399</v>
      </c>
      <c r="J208" s="3" t="s">
        <v>1400</v>
      </c>
      <c r="K208" s="3"/>
      <c r="L208" s="16" t="s">
        <v>1401</v>
      </c>
      <c r="M208" s="3" t="s">
        <v>53</v>
      </c>
      <c r="N208" s="3" t="s">
        <v>1558</v>
      </c>
      <c r="O208" s="16" t="s">
        <v>1429</v>
      </c>
      <c r="P208" s="16"/>
      <c r="Q208" s="16"/>
      <c r="R208" s="3" t="s">
        <v>31</v>
      </c>
      <c r="S208" s="3" t="s">
        <v>32</v>
      </c>
      <c r="T208" s="3" t="s">
        <v>40</v>
      </c>
      <c r="U208" s="3" t="s">
        <v>35</v>
      </c>
      <c r="V208" s="4" t="s">
        <v>30</v>
      </c>
      <c r="W208" s="3" t="s">
        <v>36</v>
      </c>
      <c r="X208" s="4" t="s">
        <v>730</v>
      </c>
      <c r="Y208" s="5"/>
      <c r="Z208" s="5"/>
      <c r="AA208" s="5"/>
      <c r="AB208" s="5"/>
      <c r="AC208" s="5"/>
      <c r="AD208" s="4" t="s">
        <v>1405</v>
      </c>
      <c r="AE208" s="17" t="s">
        <v>1679</v>
      </c>
      <c r="AF208" s="3" t="s">
        <v>1400</v>
      </c>
      <c r="AG208" s="5"/>
      <c r="AH208" s="5"/>
      <c r="AI208" s="5"/>
      <c r="AJ208" s="3" t="s">
        <v>56</v>
      </c>
      <c r="AK208" s="18"/>
    </row>
    <row r="209" ht="12" customHeight="1" spans="1:37" x14ac:dyDescent="0.25">
      <c r="A209" s="13" t="s">
        <v>135</v>
      </c>
      <c r="B209" s="13" t="s">
        <v>40</v>
      </c>
      <c r="C209" s="13" t="s">
        <v>1397</v>
      </c>
      <c r="D209" s="14" t="s">
        <v>1405</v>
      </c>
      <c r="E209" s="15" t="s">
        <v>1739</v>
      </c>
      <c r="F209" s="3" t="s">
        <v>136</v>
      </c>
      <c r="G209" s="3" t="s">
        <v>1218</v>
      </c>
      <c r="H209" s="16" t="s">
        <v>33</v>
      </c>
      <c r="I209" s="3" t="s">
        <v>1399</v>
      </c>
      <c r="J209" s="3" t="s">
        <v>1400</v>
      </c>
      <c r="K209" s="3"/>
      <c r="L209" s="16" t="s">
        <v>1401</v>
      </c>
      <c r="M209" s="3" t="s">
        <v>136</v>
      </c>
      <c r="N209" s="3" t="s">
        <v>1435</v>
      </c>
      <c r="O209" s="16" t="s">
        <v>1429</v>
      </c>
      <c r="P209" s="16"/>
      <c r="Q209" s="16"/>
      <c r="R209" s="3" t="s">
        <v>31</v>
      </c>
      <c r="S209" s="3" t="s">
        <v>32</v>
      </c>
      <c r="T209" s="3" t="s">
        <v>40</v>
      </c>
      <c r="U209" s="3" t="s">
        <v>35</v>
      </c>
      <c r="V209" s="4" t="s">
        <v>30</v>
      </c>
      <c r="W209" s="3" t="s">
        <v>36</v>
      </c>
      <c r="X209" s="4" t="s">
        <v>730</v>
      </c>
      <c r="Y209" s="5"/>
      <c r="Z209" s="5"/>
      <c r="AA209" s="5"/>
      <c r="AB209" s="5"/>
      <c r="AC209" s="5"/>
      <c r="AD209" s="4" t="s">
        <v>1405</v>
      </c>
      <c r="AE209" s="17" t="s">
        <v>1408</v>
      </c>
      <c r="AF209" s="3" t="s">
        <v>1400</v>
      </c>
      <c r="AG209" s="5"/>
      <c r="AH209" s="5"/>
      <c r="AI209" s="5"/>
      <c r="AJ209" s="3" t="s">
        <v>56</v>
      </c>
      <c r="AK209" s="18"/>
    </row>
    <row r="210" ht="12" customHeight="1" spans="1:37" x14ac:dyDescent="0.25">
      <c r="A210" s="13" t="s">
        <v>244</v>
      </c>
      <c r="B210" s="13" t="s">
        <v>40</v>
      </c>
      <c r="C210" s="13" t="s">
        <v>1397</v>
      </c>
      <c r="D210" s="14" t="s">
        <v>827</v>
      </c>
      <c r="E210" s="15" t="s">
        <v>1740</v>
      </c>
      <c r="F210" s="3" t="s">
        <v>125</v>
      </c>
      <c r="G210" s="3" t="s">
        <v>1348</v>
      </c>
      <c r="H210" s="16" t="s">
        <v>33</v>
      </c>
      <c r="I210" s="3" t="s">
        <v>1399</v>
      </c>
      <c r="J210" s="3" t="s">
        <v>1400</v>
      </c>
      <c r="K210" s="3"/>
      <c r="L210" s="16" t="s">
        <v>1401</v>
      </c>
      <c r="M210" s="3" t="s">
        <v>125</v>
      </c>
      <c r="N210" s="3" t="s">
        <v>1443</v>
      </c>
      <c r="O210" s="16" t="s">
        <v>1711</v>
      </c>
      <c r="P210" s="16"/>
      <c r="Q210" s="16"/>
      <c r="R210" s="3" t="s">
        <v>1470</v>
      </c>
      <c r="S210" s="3" t="s">
        <v>1471</v>
      </c>
      <c r="T210" s="3" t="s">
        <v>40</v>
      </c>
      <c r="U210" s="3" t="s">
        <v>35</v>
      </c>
      <c r="V210" s="4" t="s">
        <v>30</v>
      </c>
      <c r="W210" s="3" t="s">
        <v>36</v>
      </c>
      <c r="X210" s="4" t="s">
        <v>730</v>
      </c>
      <c r="Y210" s="5"/>
      <c r="Z210" s="5"/>
      <c r="AA210" s="5"/>
      <c r="AB210" s="5"/>
      <c r="AC210" s="5"/>
      <c r="AD210" s="4" t="s">
        <v>827</v>
      </c>
      <c r="AE210" s="17" t="s">
        <v>1741</v>
      </c>
      <c r="AF210" s="3" t="s">
        <v>1400</v>
      </c>
      <c r="AG210" s="5"/>
      <c r="AH210" s="5"/>
      <c r="AI210" s="5"/>
      <c r="AJ210" s="3" t="s">
        <v>127</v>
      </c>
      <c r="AK210" s="18"/>
    </row>
    <row r="211" ht="12" customHeight="1" spans="1:37" x14ac:dyDescent="0.25">
      <c r="A211" s="13" t="s">
        <v>158</v>
      </c>
      <c r="B211" s="13" t="s">
        <v>40</v>
      </c>
      <c r="C211" s="13" t="s">
        <v>1397</v>
      </c>
      <c r="D211" s="14" t="s">
        <v>1405</v>
      </c>
      <c r="E211" s="15" t="s">
        <v>1742</v>
      </c>
      <c r="F211" s="3" t="s">
        <v>155</v>
      </c>
      <c r="G211" s="3" t="s">
        <v>1218</v>
      </c>
      <c r="H211" s="16" t="s">
        <v>33</v>
      </c>
      <c r="I211" s="3" t="s">
        <v>1399</v>
      </c>
      <c r="J211" s="3" t="s">
        <v>1400</v>
      </c>
      <c r="K211" s="3"/>
      <c r="L211" s="16" t="s">
        <v>1401</v>
      </c>
      <c r="M211" s="3" t="s">
        <v>155</v>
      </c>
      <c r="N211" s="3" t="s">
        <v>1407</v>
      </c>
      <c r="O211" s="16" t="s">
        <v>1711</v>
      </c>
      <c r="P211" s="16"/>
      <c r="Q211" s="16"/>
      <c r="R211" s="3" t="s">
        <v>31</v>
      </c>
      <c r="S211" s="3" t="s">
        <v>32</v>
      </c>
      <c r="T211" s="3" t="s">
        <v>40</v>
      </c>
      <c r="U211" s="3" t="s">
        <v>35</v>
      </c>
      <c r="V211" s="4" t="s">
        <v>30</v>
      </c>
      <c r="W211" s="3" t="s">
        <v>36</v>
      </c>
      <c r="X211" s="4" t="s">
        <v>730</v>
      </c>
      <c r="Y211" s="5"/>
      <c r="Z211" s="5"/>
      <c r="AA211" s="5"/>
      <c r="AB211" s="5"/>
      <c r="AC211" s="5"/>
      <c r="AD211" s="4" t="s">
        <v>1405</v>
      </c>
      <c r="AE211" s="17" t="s">
        <v>1555</v>
      </c>
      <c r="AF211" s="3" t="s">
        <v>1400</v>
      </c>
      <c r="AG211" s="5"/>
      <c r="AH211" s="5"/>
      <c r="AI211" s="5"/>
      <c r="AJ211" s="3" t="s">
        <v>56</v>
      </c>
      <c r="AK211" s="18"/>
    </row>
    <row r="212" ht="12" customHeight="1" spans="1:37" x14ac:dyDescent="0.25">
      <c r="A212" s="13" t="s">
        <v>245</v>
      </c>
      <c r="B212" s="13" t="s">
        <v>40</v>
      </c>
      <c r="C212" s="13" t="s">
        <v>1397</v>
      </c>
      <c r="D212" s="14" t="s">
        <v>827</v>
      </c>
      <c r="E212" s="15" t="s">
        <v>1499</v>
      </c>
      <c r="F212" s="3" t="s">
        <v>125</v>
      </c>
      <c r="G212" s="3" t="s">
        <v>1348</v>
      </c>
      <c r="H212" s="16" t="s">
        <v>33</v>
      </c>
      <c r="I212" s="3" t="s">
        <v>1399</v>
      </c>
      <c r="J212" s="3" t="s">
        <v>1400</v>
      </c>
      <c r="K212" s="3"/>
      <c r="L212" s="16" t="s">
        <v>1401</v>
      </c>
      <c r="M212" s="3" t="s">
        <v>125</v>
      </c>
      <c r="N212" s="3" t="s">
        <v>1443</v>
      </c>
      <c r="O212" s="16" t="s">
        <v>1711</v>
      </c>
      <c r="P212" s="16"/>
      <c r="Q212" s="16"/>
      <c r="R212" s="3" t="s">
        <v>1470</v>
      </c>
      <c r="S212" s="3" t="s">
        <v>1471</v>
      </c>
      <c r="T212" s="3" t="s">
        <v>40</v>
      </c>
      <c r="U212" s="3" t="s">
        <v>35</v>
      </c>
      <c r="V212" s="4" t="s">
        <v>30</v>
      </c>
      <c r="W212" s="3" t="s">
        <v>36</v>
      </c>
      <c r="X212" s="4" t="s">
        <v>730</v>
      </c>
      <c r="Y212" s="5"/>
      <c r="Z212" s="5"/>
      <c r="AA212" s="5"/>
      <c r="AB212" s="5"/>
      <c r="AC212" s="5"/>
      <c r="AD212" s="4" t="s">
        <v>827</v>
      </c>
      <c r="AE212" s="17" t="s">
        <v>1743</v>
      </c>
      <c r="AF212" s="3" t="s">
        <v>1400</v>
      </c>
      <c r="AG212" s="5"/>
      <c r="AH212" s="5"/>
      <c r="AI212" s="5"/>
      <c r="AJ212" s="3" t="s">
        <v>127</v>
      </c>
      <c r="AK212" s="18"/>
    </row>
    <row r="213" ht="12" customHeight="1" spans="1:37" x14ac:dyDescent="0.25">
      <c r="A213" s="13" t="s">
        <v>231</v>
      </c>
      <c r="B213" s="13" t="s">
        <v>40</v>
      </c>
      <c r="C213" s="13" t="s">
        <v>1397</v>
      </c>
      <c r="D213" s="14" t="s">
        <v>1405</v>
      </c>
      <c r="E213" s="15" t="s">
        <v>1744</v>
      </c>
      <c r="F213" s="3" t="s">
        <v>232</v>
      </c>
      <c r="G213" s="3" t="s">
        <v>834</v>
      </c>
      <c r="H213" s="16" t="s">
        <v>33</v>
      </c>
      <c r="I213" s="3" t="s">
        <v>1399</v>
      </c>
      <c r="J213" s="3" t="s">
        <v>1400</v>
      </c>
      <c r="K213" s="3"/>
      <c r="L213" s="16" t="s">
        <v>1401</v>
      </c>
      <c r="M213" s="3" t="s">
        <v>232</v>
      </c>
      <c r="N213" s="3" t="s">
        <v>1418</v>
      </c>
      <c r="O213" s="16" t="s">
        <v>1711</v>
      </c>
      <c r="P213" s="16"/>
      <c r="Q213" s="16"/>
      <c r="R213" s="3" t="s">
        <v>31</v>
      </c>
      <c r="S213" s="3" t="s">
        <v>32</v>
      </c>
      <c r="T213" s="3" t="s">
        <v>40</v>
      </c>
      <c r="U213" s="3" t="s">
        <v>35</v>
      </c>
      <c r="V213" s="4" t="s">
        <v>30</v>
      </c>
      <c r="W213" s="3" t="s">
        <v>36</v>
      </c>
      <c r="X213" s="4" t="s">
        <v>730</v>
      </c>
      <c r="Y213" s="5"/>
      <c r="Z213" s="5"/>
      <c r="AA213" s="5"/>
      <c r="AB213" s="5"/>
      <c r="AC213" s="5"/>
      <c r="AD213" s="4" t="s">
        <v>759</v>
      </c>
      <c r="AE213" s="17" t="s">
        <v>1419</v>
      </c>
      <c r="AF213" s="3" t="s">
        <v>1400</v>
      </c>
      <c r="AG213" s="5"/>
      <c r="AH213" s="5"/>
      <c r="AI213" s="5"/>
      <c r="AJ213" s="3" t="s">
        <v>234</v>
      </c>
      <c r="AK213" s="18"/>
    </row>
    <row r="214" ht="12" customHeight="1" spans="1:37" x14ac:dyDescent="0.25">
      <c r="A214" s="13" t="s">
        <v>263</v>
      </c>
      <c r="B214" s="13" t="s">
        <v>40</v>
      </c>
      <c r="C214" s="13" t="s">
        <v>1397</v>
      </c>
      <c r="D214" s="14" t="s">
        <v>1405</v>
      </c>
      <c r="E214" s="15" t="s">
        <v>1745</v>
      </c>
      <c r="F214" s="3" t="s">
        <v>257</v>
      </c>
      <c r="G214" s="3" t="s">
        <v>732</v>
      </c>
      <c r="H214" s="16" t="s">
        <v>33</v>
      </c>
      <c r="I214" s="3" t="s">
        <v>1399</v>
      </c>
      <c r="J214" s="3" t="s">
        <v>1400</v>
      </c>
      <c r="K214" s="3"/>
      <c r="L214" s="16" t="s">
        <v>1401</v>
      </c>
      <c r="M214" s="3" t="s">
        <v>257</v>
      </c>
      <c r="N214" s="3" t="s">
        <v>1598</v>
      </c>
      <c r="O214" s="16" t="s">
        <v>1711</v>
      </c>
      <c r="P214" s="16"/>
      <c r="Q214" s="16"/>
      <c r="R214" s="3" t="s">
        <v>1470</v>
      </c>
      <c r="S214" s="3" t="s">
        <v>1471</v>
      </c>
      <c r="T214" s="3" t="s">
        <v>40</v>
      </c>
      <c r="U214" s="3" t="s">
        <v>35</v>
      </c>
      <c r="V214" s="4" t="s">
        <v>30</v>
      </c>
      <c r="W214" s="3" t="s">
        <v>36</v>
      </c>
      <c r="X214" s="4" t="s">
        <v>730</v>
      </c>
      <c r="Y214" s="5"/>
      <c r="Z214" s="5"/>
      <c r="AA214" s="5"/>
      <c r="AB214" s="5"/>
      <c r="AC214" s="5"/>
      <c r="AD214" s="4" t="s">
        <v>1405</v>
      </c>
      <c r="AE214" s="17" t="s">
        <v>1634</v>
      </c>
      <c r="AF214" s="3" t="s">
        <v>1400</v>
      </c>
      <c r="AG214" s="5"/>
      <c r="AH214" s="5"/>
      <c r="AI214" s="5"/>
      <c r="AJ214" s="3" t="s">
        <v>111</v>
      </c>
      <c r="AK214" s="18"/>
    </row>
    <row r="215" ht="12" customHeight="1" spans="1:37" x14ac:dyDescent="0.25">
      <c r="A215" s="13" t="s">
        <v>192</v>
      </c>
      <c r="B215" s="13" t="s">
        <v>40</v>
      </c>
      <c r="C215" s="13" t="s">
        <v>1397</v>
      </c>
      <c r="D215" s="14" t="s">
        <v>871</v>
      </c>
      <c r="E215" s="15" t="s">
        <v>1746</v>
      </c>
      <c r="F215" s="3" t="s">
        <v>189</v>
      </c>
      <c r="G215" s="3" t="s">
        <v>925</v>
      </c>
      <c r="H215" s="16" t="s">
        <v>33</v>
      </c>
      <c r="I215" s="3" t="s">
        <v>1399</v>
      </c>
      <c r="J215" s="3" t="s">
        <v>1400</v>
      </c>
      <c r="K215" s="3"/>
      <c r="L215" s="16" t="s">
        <v>1401</v>
      </c>
      <c r="M215" s="3" t="s">
        <v>189</v>
      </c>
      <c r="N215" s="3" t="s">
        <v>1727</v>
      </c>
      <c r="O215" s="16" t="s">
        <v>1711</v>
      </c>
      <c r="P215" s="16"/>
      <c r="Q215" s="16"/>
      <c r="R215" s="3" t="s">
        <v>1412</v>
      </c>
      <c r="S215" s="3" t="s">
        <v>32</v>
      </c>
      <c r="T215" s="3" t="s">
        <v>40</v>
      </c>
      <c r="U215" s="3" t="s">
        <v>35</v>
      </c>
      <c r="V215" s="4" t="s">
        <v>30</v>
      </c>
      <c r="W215" s="3" t="s">
        <v>36</v>
      </c>
      <c r="X215" s="4" t="s">
        <v>730</v>
      </c>
      <c r="Y215" s="5"/>
      <c r="Z215" s="5"/>
      <c r="AA215" s="5"/>
      <c r="AB215" s="5"/>
      <c r="AC215" s="5"/>
      <c r="AD215" s="4" t="s">
        <v>871</v>
      </c>
      <c r="AE215" s="17" t="s">
        <v>1747</v>
      </c>
      <c r="AF215" s="3" t="s">
        <v>1400</v>
      </c>
      <c r="AG215" s="5"/>
      <c r="AH215" s="5"/>
      <c r="AI215" s="5"/>
      <c r="AJ215" s="3" t="s">
        <v>191</v>
      </c>
      <c r="AK215" s="18"/>
    </row>
    <row r="216" ht="12" customHeight="1" spans="1:37" x14ac:dyDescent="0.25">
      <c r="A216" s="13" t="s">
        <v>152</v>
      </c>
      <c r="B216" s="13" t="s">
        <v>40</v>
      </c>
      <c r="C216" s="13" t="s">
        <v>1397</v>
      </c>
      <c r="D216" s="14" t="s">
        <v>1405</v>
      </c>
      <c r="E216" s="15" t="s">
        <v>1748</v>
      </c>
      <c r="F216" s="3" t="s">
        <v>136</v>
      </c>
      <c r="G216" s="3" t="s">
        <v>1218</v>
      </c>
      <c r="H216" s="16" t="s">
        <v>33</v>
      </c>
      <c r="I216" s="3" t="s">
        <v>1399</v>
      </c>
      <c r="J216" s="3" t="s">
        <v>1400</v>
      </c>
      <c r="K216" s="3"/>
      <c r="L216" s="16" t="s">
        <v>1401</v>
      </c>
      <c r="M216" s="3" t="s">
        <v>136</v>
      </c>
      <c r="N216" s="3" t="s">
        <v>1435</v>
      </c>
      <c r="O216" s="16" t="s">
        <v>1711</v>
      </c>
      <c r="P216" s="16"/>
      <c r="Q216" s="16"/>
      <c r="R216" s="3" t="s">
        <v>31</v>
      </c>
      <c r="S216" s="3" t="s">
        <v>32</v>
      </c>
      <c r="T216" s="3" t="s">
        <v>40</v>
      </c>
      <c r="U216" s="3" t="s">
        <v>35</v>
      </c>
      <c r="V216" s="4" t="s">
        <v>30</v>
      </c>
      <c r="W216" s="3" t="s">
        <v>36</v>
      </c>
      <c r="X216" s="4" t="s">
        <v>730</v>
      </c>
      <c r="Y216" s="5"/>
      <c r="Z216" s="5"/>
      <c r="AA216" s="5"/>
      <c r="AB216" s="5"/>
      <c r="AC216" s="5"/>
      <c r="AD216" s="4" t="s">
        <v>1405</v>
      </c>
      <c r="AE216" s="17" t="s">
        <v>1651</v>
      </c>
      <c r="AF216" s="3" t="s">
        <v>1400</v>
      </c>
      <c r="AG216" s="5"/>
      <c r="AH216" s="5"/>
      <c r="AI216" s="5"/>
      <c r="AJ216" s="3" t="s">
        <v>56</v>
      </c>
      <c r="AK216" s="18"/>
    </row>
    <row r="217" ht="12" customHeight="1" spans="1:37" x14ac:dyDescent="0.25">
      <c r="A217" s="13" t="s">
        <v>120</v>
      </c>
      <c r="B217" s="13" t="s">
        <v>40</v>
      </c>
      <c r="C217" s="13" t="s">
        <v>1397</v>
      </c>
      <c r="D217" s="14" t="s">
        <v>774</v>
      </c>
      <c r="E217" s="15" t="s">
        <v>1749</v>
      </c>
      <c r="F217" s="3" t="s">
        <v>117</v>
      </c>
      <c r="G217" s="3" t="s">
        <v>732</v>
      </c>
      <c r="H217" s="16" t="s">
        <v>33</v>
      </c>
      <c r="I217" s="3" t="s">
        <v>1399</v>
      </c>
      <c r="J217" s="3" t="s">
        <v>1400</v>
      </c>
      <c r="K217" s="3"/>
      <c r="L217" s="16" t="s">
        <v>1401</v>
      </c>
      <c r="M217" s="3" t="s">
        <v>117</v>
      </c>
      <c r="N217" s="3" t="s">
        <v>1587</v>
      </c>
      <c r="O217" s="16" t="s">
        <v>1711</v>
      </c>
      <c r="P217" s="16"/>
      <c r="Q217" s="16"/>
      <c r="R217" s="3" t="s">
        <v>31</v>
      </c>
      <c r="S217" s="3" t="s">
        <v>32</v>
      </c>
      <c r="T217" s="3" t="s">
        <v>40</v>
      </c>
      <c r="U217" s="3" t="s">
        <v>35</v>
      </c>
      <c r="V217" s="4" t="s">
        <v>30</v>
      </c>
      <c r="W217" s="3" t="s">
        <v>36</v>
      </c>
      <c r="X217" s="4" t="s">
        <v>730</v>
      </c>
      <c r="Y217" s="5"/>
      <c r="Z217" s="5"/>
      <c r="AA217" s="5"/>
      <c r="AB217" s="5"/>
      <c r="AC217" s="5"/>
      <c r="AD217" s="4" t="s">
        <v>774</v>
      </c>
      <c r="AE217" s="17" t="s">
        <v>1588</v>
      </c>
      <c r="AF217" s="3" t="s">
        <v>1400</v>
      </c>
      <c r="AG217" s="5"/>
      <c r="AH217" s="5"/>
      <c r="AI217" s="5"/>
      <c r="AJ217" s="3" t="s">
        <v>111</v>
      </c>
      <c r="AK217" s="18"/>
    </row>
    <row r="218" ht="12" customHeight="1" spans="1:37" x14ac:dyDescent="0.25">
      <c r="A218" s="13" t="s">
        <v>159</v>
      </c>
      <c r="B218" s="13" t="s">
        <v>40</v>
      </c>
      <c r="C218" s="13" t="s">
        <v>1397</v>
      </c>
      <c r="D218" s="14" t="s">
        <v>1405</v>
      </c>
      <c r="E218" s="15" t="s">
        <v>1750</v>
      </c>
      <c r="F218" s="3" t="s">
        <v>155</v>
      </c>
      <c r="G218" s="3" t="s">
        <v>1218</v>
      </c>
      <c r="H218" s="16" t="s">
        <v>33</v>
      </c>
      <c r="I218" s="3" t="s">
        <v>1399</v>
      </c>
      <c r="J218" s="3" t="s">
        <v>1400</v>
      </c>
      <c r="K218" s="3"/>
      <c r="L218" s="16" t="s">
        <v>1401</v>
      </c>
      <c r="M218" s="3" t="s">
        <v>155</v>
      </c>
      <c r="N218" s="3" t="s">
        <v>1407</v>
      </c>
      <c r="O218" s="16" t="s">
        <v>1711</v>
      </c>
      <c r="P218" s="16"/>
      <c r="Q218" s="16"/>
      <c r="R218" s="3" t="s">
        <v>31</v>
      </c>
      <c r="S218" s="3" t="s">
        <v>32</v>
      </c>
      <c r="T218" s="3" t="s">
        <v>40</v>
      </c>
      <c r="U218" s="3" t="s">
        <v>35</v>
      </c>
      <c r="V218" s="4" t="s">
        <v>30</v>
      </c>
      <c r="W218" s="3" t="s">
        <v>36</v>
      </c>
      <c r="X218" s="4" t="s">
        <v>730</v>
      </c>
      <c r="Y218" s="5"/>
      <c r="Z218" s="5"/>
      <c r="AA218" s="5"/>
      <c r="AB218" s="5"/>
      <c r="AC218" s="5"/>
      <c r="AD218" s="4" t="s">
        <v>1405</v>
      </c>
      <c r="AE218" s="17" t="s">
        <v>1408</v>
      </c>
      <c r="AF218" s="3" t="s">
        <v>1400</v>
      </c>
      <c r="AG218" s="5"/>
      <c r="AH218" s="5"/>
      <c r="AI218" s="5"/>
      <c r="AJ218" s="3" t="s">
        <v>56</v>
      </c>
      <c r="AK218" s="18"/>
    </row>
    <row r="219" ht="12" customHeight="1" spans="1:37" x14ac:dyDescent="0.25">
      <c r="A219" s="13" t="s">
        <v>229</v>
      </c>
      <c r="B219" s="13" t="s">
        <v>40</v>
      </c>
      <c r="C219" s="13" t="s">
        <v>1397</v>
      </c>
      <c r="D219" s="14" t="s">
        <v>1405</v>
      </c>
      <c r="E219" s="15" t="s">
        <v>1751</v>
      </c>
      <c r="F219" s="3" t="s">
        <v>53</v>
      </c>
      <c r="G219" s="3" t="s">
        <v>1218</v>
      </c>
      <c r="H219" s="16" t="s">
        <v>33</v>
      </c>
      <c r="I219" s="3" t="s">
        <v>1399</v>
      </c>
      <c r="J219" s="3" t="s">
        <v>1400</v>
      </c>
      <c r="K219" s="3"/>
      <c r="L219" s="16" t="s">
        <v>1401</v>
      </c>
      <c r="M219" s="3" t="s">
        <v>53</v>
      </c>
      <c r="N219" s="3" t="s">
        <v>1558</v>
      </c>
      <c r="O219" s="16" t="s">
        <v>1711</v>
      </c>
      <c r="P219" s="16"/>
      <c r="Q219" s="16"/>
      <c r="R219" s="3" t="s">
        <v>31</v>
      </c>
      <c r="S219" s="3" t="s">
        <v>32</v>
      </c>
      <c r="T219" s="3" t="s">
        <v>40</v>
      </c>
      <c r="U219" s="3" t="s">
        <v>35</v>
      </c>
      <c r="V219" s="4" t="s">
        <v>30</v>
      </c>
      <c r="W219" s="3" t="s">
        <v>36</v>
      </c>
      <c r="X219" s="4" t="s">
        <v>730</v>
      </c>
      <c r="Y219" s="5"/>
      <c r="Z219" s="5"/>
      <c r="AA219" s="5"/>
      <c r="AB219" s="5"/>
      <c r="AC219" s="5"/>
      <c r="AD219" s="4" t="s">
        <v>1405</v>
      </c>
      <c r="AE219" s="17" t="s">
        <v>1679</v>
      </c>
      <c r="AF219" s="3" t="s">
        <v>1400</v>
      </c>
      <c r="AG219" s="5"/>
      <c r="AH219" s="5"/>
      <c r="AI219" s="5"/>
      <c r="AJ219" s="3" t="s">
        <v>56</v>
      </c>
      <c r="AK219" s="18"/>
    </row>
    <row r="220" ht="12" customHeight="1" spans="1:37" x14ac:dyDescent="0.25">
      <c r="A220" s="13" t="s">
        <v>402</v>
      </c>
      <c r="B220" s="13" t="s">
        <v>40</v>
      </c>
      <c r="C220" s="13" t="s">
        <v>1397</v>
      </c>
      <c r="D220" s="14" t="s">
        <v>797</v>
      </c>
      <c r="E220" s="15" t="s">
        <v>1533</v>
      </c>
      <c r="F220" s="3" t="s">
        <v>403</v>
      </c>
      <c r="G220" s="3" t="s">
        <v>732</v>
      </c>
      <c r="H220" s="16" t="s">
        <v>95</v>
      </c>
      <c r="I220" s="3" t="s">
        <v>1399</v>
      </c>
      <c r="J220" s="3" t="s">
        <v>1400</v>
      </c>
      <c r="K220" s="3"/>
      <c r="L220" s="16" t="s">
        <v>1401</v>
      </c>
      <c r="M220" s="3" t="s">
        <v>403</v>
      </c>
      <c r="N220" s="3" t="s">
        <v>1511</v>
      </c>
      <c r="O220" s="16" t="s">
        <v>1515</v>
      </c>
      <c r="P220" s="16"/>
      <c r="Q220" s="16"/>
      <c r="R220" s="3" t="s">
        <v>31</v>
      </c>
      <c r="S220" s="3" t="s">
        <v>32</v>
      </c>
      <c r="T220" s="3" t="s">
        <v>40</v>
      </c>
      <c r="U220" s="3" t="s">
        <v>35</v>
      </c>
      <c r="V220" s="4" t="s">
        <v>30</v>
      </c>
      <c r="W220" s="3" t="s">
        <v>36</v>
      </c>
      <c r="X220" s="4" t="s">
        <v>730</v>
      </c>
      <c r="Y220" s="5"/>
      <c r="Z220" s="5"/>
      <c r="AA220" s="5"/>
      <c r="AB220" s="5"/>
      <c r="AC220" s="5"/>
      <c r="AD220" s="4" t="s">
        <v>797</v>
      </c>
      <c r="AE220" s="17" t="s">
        <v>1534</v>
      </c>
      <c r="AF220" s="3" t="s">
        <v>1400</v>
      </c>
      <c r="AG220" s="5"/>
      <c r="AH220" s="5"/>
      <c r="AI220" s="5"/>
      <c r="AJ220" s="3" t="s">
        <v>404</v>
      </c>
      <c r="AK220" s="18"/>
    </row>
    <row r="221" ht="12" customHeight="1" spans="1:37" x14ac:dyDescent="0.25">
      <c r="A221" s="13" t="s">
        <v>394</v>
      </c>
      <c r="B221" s="13" t="s">
        <v>40</v>
      </c>
      <c r="C221" s="13" t="s">
        <v>1397</v>
      </c>
      <c r="D221" s="14" t="s">
        <v>792</v>
      </c>
      <c r="E221" s="15" t="s">
        <v>1543</v>
      </c>
      <c r="F221" s="3" t="s">
        <v>395</v>
      </c>
      <c r="G221" s="3" t="s">
        <v>1170</v>
      </c>
      <c r="H221" s="16" t="s">
        <v>95</v>
      </c>
      <c r="I221" s="3" t="s">
        <v>1399</v>
      </c>
      <c r="J221" s="3" t="s">
        <v>1400</v>
      </c>
      <c r="K221" s="3"/>
      <c r="L221" s="16" t="s">
        <v>1401</v>
      </c>
      <c r="M221" s="3" t="s">
        <v>395</v>
      </c>
      <c r="N221" s="3" t="s">
        <v>1438</v>
      </c>
      <c r="O221" s="16" t="s">
        <v>1515</v>
      </c>
      <c r="P221" s="16"/>
      <c r="Q221" s="16"/>
      <c r="R221" s="3" t="s">
        <v>1470</v>
      </c>
      <c r="S221" s="3" t="s">
        <v>1471</v>
      </c>
      <c r="T221" s="3" t="s">
        <v>40</v>
      </c>
      <c r="U221" s="3" t="s">
        <v>35</v>
      </c>
      <c r="V221" s="4" t="s">
        <v>30</v>
      </c>
      <c r="W221" s="3" t="s">
        <v>36</v>
      </c>
      <c r="X221" s="4" t="s">
        <v>730</v>
      </c>
      <c r="Y221" s="5"/>
      <c r="Z221" s="5"/>
      <c r="AA221" s="5"/>
      <c r="AB221" s="5"/>
      <c r="AC221" s="5"/>
      <c r="AD221" s="4" t="s">
        <v>792</v>
      </c>
      <c r="AE221" s="17" t="s">
        <v>1752</v>
      </c>
      <c r="AF221" s="3" t="s">
        <v>1400</v>
      </c>
      <c r="AG221" s="5"/>
      <c r="AH221" s="5"/>
      <c r="AI221" s="5"/>
      <c r="AJ221" s="3" t="s">
        <v>397</v>
      </c>
      <c r="AK221" s="18"/>
    </row>
    <row r="222" ht="12" customHeight="1" spans="1:37" x14ac:dyDescent="0.25">
      <c r="A222" s="13" t="s">
        <v>386</v>
      </c>
      <c r="B222" s="13" t="s">
        <v>40</v>
      </c>
      <c r="C222" s="13" t="s">
        <v>1397</v>
      </c>
      <c r="D222" s="14" t="s">
        <v>769</v>
      </c>
      <c r="E222" s="15" t="s">
        <v>1624</v>
      </c>
      <c r="F222" s="3" t="s">
        <v>388</v>
      </c>
      <c r="G222" s="3" t="s">
        <v>732</v>
      </c>
      <c r="H222" s="16" t="s">
        <v>95</v>
      </c>
      <c r="I222" s="3" t="s">
        <v>1399</v>
      </c>
      <c r="J222" s="3" t="s">
        <v>1400</v>
      </c>
      <c r="K222" s="3"/>
      <c r="L222" s="16" t="s">
        <v>1401</v>
      </c>
      <c r="M222" s="3" t="s">
        <v>388</v>
      </c>
      <c r="N222" s="3" t="s">
        <v>1438</v>
      </c>
      <c r="O222" s="16" t="s">
        <v>1515</v>
      </c>
      <c r="P222" s="16"/>
      <c r="Q222" s="16"/>
      <c r="R222" s="3" t="s">
        <v>31</v>
      </c>
      <c r="S222" s="3" t="s">
        <v>32</v>
      </c>
      <c r="T222" s="3" t="s">
        <v>40</v>
      </c>
      <c r="U222" s="3" t="s">
        <v>35</v>
      </c>
      <c r="V222" s="4" t="s">
        <v>30</v>
      </c>
      <c r="W222" s="3" t="s">
        <v>387</v>
      </c>
      <c r="X222" s="4" t="s">
        <v>966</v>
      </c>
      <c r="Y222" s="5"/>
      <c r="Z222" s="5"/>
      <c r="AA222" s="5"/>
      <c r="AB222" s="5"/>
      <c r="AC222" s="5"/>
      <c r="AD222" s="4" t="s">
        <v>769</v>
      </c>
      <c r="AE222" s="17" t="s">
        <v>1753</v>
      </c>
      <c r="AF222" s="3" t="s">
        <v>1400</v>
      </c>
      <c r="AG222" s="5"/>
      <c r="AH222" s="5"/>
      <c r="AI222" s="5"/>
      <c r="AJ222" s="3" t="s">
        <v>330</v>
      </c>
      <c r="AK222" s="18"/>
    </row>
    <row r="223" ht="12" customHeight="1" spans="1:37" x14ac:dyDescent="0.25">
      <c r="A223" s="13" t="s">
        <v>327</v>
      </c>
      <c r="B223" s="13" t="s">
        <v>40</v>
      </c>
      <c r="C223" s="13" t="s">
        <v>1397</v>
      </c>
      <c r="D223" s="14" t="s">
        <v>841</v>
      </c>
      <c r="E223" s="15" t="s">
        <v>1537</v>
      </c>
      <c r="F223" s="3" t="s">
        <v>329</v>
      </c>
      <c r="G223" s="3" t="s">
        <v>732</v>
      </c>
      <c r="H223" s="16" t="s">
        <v>95</v>
      </c>
      <c r="I223" s="3" t="s">
        <v>1399</v>
      </c>
      <c r="J223" s="3" t="s">
        <v>1400</v>
      </c>
      <c r="K223" s="3"/>
      <c r="L223" s="16" t="s">
        <v>1401</v>
      </c>
      <c r="M223" s="3" t="s">
        <v>329</v>
      </c>
      <c r="N223" s="3" t="s">
        <v>1497</v>
      </c>
      <c r="O223" s="16" t="s">
        <v>1515</v>
      </c>
      <c r="P223" s="16"/>
      <c r="Q223" s="16"/>
      <c r="R223" s="3" t="s">
        <v>31</v>
      </c>
      <c r="S223" s="3" t="s">
        <v>32</v>
      </c>
      <c r="T223" s="3" t="s">
        <v>40</v>
      </c>
      <c r="U223" s="3" t="s">
        <v>35</v>
      </c>
      <c r="V223" s="4" t="s">
        <v>30</v>
      </c>
      <c r="W223" s="3" t="s">
        <v>328</v>
      </c>
      <c r="X223" s="4" t="s">
        <v>966</v>
      </c>
      <c r="Y223" s="5"/>
      <c r="Z223" s="5"/>
      <c r="AA223" s="5"/>
      <c r="AB223" s="5"/>
      <c r="AC223" s="5"/>
      <c r="AD223" s="4" t="s">
        <v>841</v>
      </c>
      <c r="AE223" s="17" t="s">
        <v>1538</v>
      </c>
      <c r="AF223" s="3" t="s">
        <v>1400</v>
      </c>
      <c r="AG223" s="5"/>
      <c r="AH223" s="5"/>
      <c r="AI223" s="5"/>
      <c r="AJ223" s="3" t="s">
        <v>330</v>
      </c>
      <c r="AK223" s="18"/>
    </row>
    <row r="224" ht="12" customHeight="1" spans="1:37" x14ac:dyDescent="0.25">
      <c r="A224" s="13" t="s">
        <v>411</v>
      </c>
      <c r="B224" s="13" t="s">
        <v>40</v>
      </c>
      <c r="C224" s="13" t="s">
        <v>1397</v>
      </c>
      <c r="D224" s="14" t="s">
        <v>769</v>
      </c>
      <c r="E224" s="15" t="s">
        <v>1754</v>
      </c>
      <c r="F224" s="3" t="s">
        <v>413</v>
      </c>
      <c r="G224" s="3" t="s">
        <v>1189</v>
      </c>
      <c r="H224" s="16" t="s">
        <v>95</v>
      </c>
      <c r="I224" s="3" t="s">
        <v>1399</v>
      </c>
      <c r="J224" s="3" t="s">
        <v>1400</v>
      </c>
      <c r="K224" s="3"/>
      <c r="L224" s="16" t="s">
        <v>1401</v>
      </c>
      <c r="M224" s="3" t="s">
        <v>413</v>
      </c>
      <c r="N224" s="3" t="s">
        <v>1459</v>
      </c>
      <c r="O224" s="16" t="s">
        <v>1515</v>
      </c>
      <c r="P224" s="16"/>
      <c r="Q224" s="16"/>
      <c r="R224" s="3" t="s">
        <v>31</v>
      </c>
      <c r="S224" s="3" t="s">
        <v>32</v>
      </c>
      <c r="T224" s="3" t="s">
        <v>40</v>
      </c>
      <c r="U224" s="3" t="s">
        <v>35</v>
      </c>
      <c r="V224" s="4" t="s">
        <v>30</v>
      </c>
      <c r="W224" s="3" t="s">
        <v>36</v>
      </c>
      <c r="X224" s="4" t="s">
        <v>730</v>
      </c>
      <c r="Y224" s="5"/>
      <c r="Z224" s="5"/>
      <c r="AA224" s="5"/>
      <c r="AB224" s="5"/>
      <c r="AC224" s="5"/>
      <c r="AD224" s="4" t="s">
        <v>769</v>
      </c>
      <c r="AE224" s="17" t="s">
        <v>1468</v>
      </c>
      <c r="AF224" s="3" t="s">
        <v>1400</v>
      </c>
      <c r="AG224" s="5"/>
      <c r="AH224" s="5"/>
      <c r="AI224" s="5"/>
      <c r="AJ224" s="3" t="s">
        <v>131</v>
      </c>
      <c r="AK224" s="18"/>
    </row>
    <row r="225" ht="12" customHeight="1" spans="1:37" x14ac:dyDescent="0.25">
      <c r="A225" s="13" t="s">
        <v>448</v>
      </c>
      <c r="B225" s="13" t="s">
        <v>40</v>
      </c>
      <c r="C225" s="13" t="s">
        <v>1397</v>
      </c>
      <c r="D225" s="14" t="s">
        <v>774</v>
      </c>
      <c r="E225" s="15" t="s">
        <v>1572</v>
      </c>
      <c r="F225" s="3" t="s">
        <v>449</v>
      </c>
      <c r="G225" s="3" t="s">
        <v>732</v>
      </c>
      <c r="H225" s="16" t="s">
        <v>95</v>
      </c>
      <c r="I225" s="3" t="s">
        <v>1399</v>
      </c>
      <c r="J225" s="3" t="s">
        <v>1400</v>
      </c>
      <c r="K225" s="3"/>
      <c r="L225" s="16" t="s">
        <v>1401</v>
      </c>
      <c r="M225" s="3" t="s">
        <v>449</v>
      </c>
      <c r="N225" s="3" t="s">
        <v>1456</v>
      </c>
      <c r="O225" s="16" t="s">
        <v>1515</v>
      </c>
      <c r="P225" s="16"/>
      <c r="Q225" s="16"/>
      <c r="R225" s="3" t="s">
        <v>31</v>
      </c>
      <c r="S225" s="3" t="s">
        <v>32</v>
      </c>
      <c r="T225" s="3" t="s">
        <v>40</v>
      </c>
      <c r="U225" s="3" t="s">
        <v>35</v>
      </c>
      <c r="V225" s="4" t="s">
        <v>30</v>
      </c>
      <c r="W225" s="3" t="s">
        <v>36</v>
      </c>
      <c r="X225" s="4" t="s">
        <v>730</v>
      </c>
      <c r="Y225" s="5"/>
      <c r="Z225" s="5"/>
      <c r="AA225" s="5"/>
      <c r="AB225" s="5"/>
      <c r="AC225" s="5"/>
      <c r="AD225" s="4" t="s">
        <v>774</v>
      </c>
      <c r="AE225" s="17" t="s">
        <v>1755</v>
      </c>
      <c r="AF225" s="3" t="s">
        <v>1400</v>
      </c>
      <c r="AG225" s="5"/>
      <c r="AH225" s="5"/>
      <c r="AI225" s="5"/>
      <c r="AJ225" s="3" t="s">
        <v>404</v>
      </c>
      <c r="AK225" s="18"/>
    </row>
    <row r="226" ht="12" customHeight="1" spans="1:37" x14ac:dyDescent="0.25">
      <c r="A226" s="13" t="s">
        <v>369</v>
      </c>
      <c r="B226" s="13" t="s">
        <v>40</v>
      </c>
      <c r="C226" s="13" t="s">
        <v>1397</v>
      </c>
      <c r="D226" s="14" t="s">
        <v>744</v>
      </c>
      <c r="E226" s="15" t="s">
        <v>1756</v>
      </c>
      <c r="F226" s="3" t="s">
        <v>370</v>
      </c>
      <c r="G226" s="3" t="s">
        <v>855</v>
      </c>
      <c r="H226" s="16" t="s">
        <v>95</v>
      </c>
      <c r="I226" s="3" t="s">
        <v>1399</v>
      </c>
      <c r="J226" s="3" t="s">
        <v>1400</v>
      </c>
      <c r="K226" s="3"/>
      <c r="L226" s="16" t="s">
        <v>1401</v>
      </c>
      <c r="M226" s="3" t="s">
        <v>370</v>
      </c>
      <c r="N226" s="3" t="s">
        <v>1456</v>
      </c>
      <c r="O226" s="16" t="s">
        <v>1515</v>
      </c>
      <c r="P226" s="16"/>
      <c r="Q226" s="16"/>
      <c r="R226" s="3" t="s">
        <v>1412</v>
      </c>
      <c r="S226" s="3" t="s">
        <v>32</v>
      </c>
      <c r="T226" s="3" t="s">
        <v>40</v>
      </c>
      <c r="U226" s="3" t="s">
        <v>35</v>
      </c>
      <c r="V226" s="4" t="s">
        <v>30</v>
      </c>
      <c r="W226" s="3" t="s">
        <v>36</v>
      </c>
      <c r="X226" s="4" t="s">
        <v>730</v>
      </c>
      <c r="Y226" s="5"/>
      <c r="Z226" s="5"/>
      <c r="AA226" s="5"/>
      <c r="AB226" s="5"/>
      <c r="AC226" s="5"/>
      <c r="AD226" s="4" t="s">
        <v>744</v>
      </c>
      <c r="AE226" s="17" t="s">
        <v>1488</v>
      </c>
      <c r="AF226" s="3" t="s">
        <v>1400</v>
      </c>
      <c r="AG226" s="5"/>
      <c r="AH226" s="5"/>
      <c r="AI226" s="5"/>
      <c r="AJ226" s="3" t="s">
        <v>371</v>
      </c>
      <c r="AK226" s="18"/>
    </row>
    <row r="227" ht="12" customHeight="1" spans="1:37" x14ac:dyDescent="0.25">
      <c r="A227" s="13" t="s">
        <v>433</v>
      </c>
      <c r="B227" s="13" t="s">
        <v>40</v>
      </c>
      <c r="C227" s="13" t="s">
        <v>1397</v>
      </c>
      <c r="D227" s="14" t="s">
        <v>792</v>
      </c>
      <c r="E227" s="15" t="s">
        <v>1429</v>
      </c>
      <c r="F227" s="3" t="s">
        <v>434</v>
      </c>
      <c r="G227" s="3" t="s">
        <v>968</v>
      </c>
      <c r="H227" s="16" t="s">
        <v>95</v>
      </c>
      <c r="I227" s="3" t="s">
        <v>1399</v>
      </c>
      <c r="J227" s="3" t="s">
        <v>1400</v>
      </c>
      <c r="K227" s="3"/>
      <c r="L227" s="16" t="s">
        <v>1401</v>
      </c>
      <c r="M227" s="3" t="s">
        <v>434</v>
      </c>
      <c r="N227" s="3" t="s">
        <v>1438</v>
      </c>
      <c r="O227" s="16" t="s">
        <v>1515</v>
      </c>
      <c r="P227" s="16"/>
      <c r="Q227" s="16"/>
      <c r="R227" s="3" t="s">
        <v>31</v>
      </c>
      <c r="S227" s="3" t="s">
        <v>32</v>
      </c>
      <c r="T227" s="3" t="s">
        <v>40</v>
      </c>
      <c r="U227" s="3" t="s">
        <v>35</v>
      </c>
      <c r="V227" s="4" t="s">
        <v>30</v>
      </c>
      <c r="W227" s="3" t="s">
        <v>69</v>
      </c>
      <c r="X227" s="4" t="s">
        <v>966</v>
      </c>
      <c r="Y227" s="5"/>
      <c r="Z227" s="5"/>
      <c r="AA227" s="5"/>
      <c r="AB227" s="5"/>
      <c r="AC227" s="5"/>
      <c r="AD227" s="4" t="s">
        <v>792</v>
      </c>
      <c r="AE227" s="17" t="s">
        <v>1729</v>
      </c>
      <c r="AF227" s="3" t="s">
        <v>1400</v>
      </c>
      <c r="AG227" s="5"/>
      <c r="AH227" s="5"/>
      <c r="AI227" s="5" t="s">
        <v>1757</v>
      </c>
      <c r="AJ227" s="3" t="s">
        <v>436</v>
      </c>
      <c r="AK227" s="18"/>
    </row>
    <row r="228" ht="12" customHeight="1" spans="1:37" x14ac:dyDescent="0.25">
      <c r="A228" s="13" t="s">
        <v>410</v>
      </c>
      <c r="B228" s="13" t="s">
        <v>40</v>
      </c>
      <c r="C228" s="13" t="s">
        <v>1397</v>
      </c>
      <c r="D228" s="14" t="s">
        <v>1405</v>
      </c>
      <c r="E228" s="15" t="s">
        <v>1758</v>
      </c>
      <c r="F228" s="3" t="s">
        <v>399</v>
      </c>
      <c r="G228" s="3" t="s">
        <v>1161</v>
      </c>
      <c r="H228" s="16" t="s">
        <v>95</v>
      </c>
      <c r="I228" s="3" t="s">
        <v>1399</v>
      </c>
      <c r="J228" s="3" t="s">
        <v>1400</v>
      </c>
      <c r="K228" s="3"/>
      <c r="L228" s="16" t="s">
        <v>1401</v>
      </c>
      <c r="M228" s="3" t="s">
        <v>399</v>
      </c>
      <c r="N228" s="3" t="s">
        <v>1544</v>
      </c>
      <c r="O228" s="16" t="s">
        <v>1515</v>
      </c>
      <c r="P228" s="16"/>
      <c r="Q228" s="16"/>
      <c r="R228" s="3" t="s">
        <v>31</v>
      </c>
      <c r="S228" s="3" t="s">
        <v>32</v>
      </c>
      <c r="T228" s="3" t="s">
        <v>40</v>
      </c>
      <c r="U228" s="3" t="s">
        <v>35</v>
      </c>
      <c r="V228" s="4" t="s">
        <v>30</v>
      </c>
      <c r="W228" s="3" t="s">
        <v>36</v>
      </c>
      <c r="X228" s="4" t="s">
        <v>730</v>
      </c>
      <c r="Y228" s="5"/>
      <c r="Z228" s="5"/>
      <c r="AA228" s="5"/>
      <c r="AB228" s="5"/>
      <c r="AC228" s="5"/>
      <c r="AD228" s="4" t="s">
        <v>1405</v>
      </c>
      <c r="AE228" s="17" t="s">
        <v>1502</v>
      </c>
      <c r="AF228" s="3" t="s">
        <v>1400</v>
      </c>
      <c r="AG228" s="5"/>
      <c r="AH228" s="5"/>
      <c r="AI228" s="5"/>
      <c r="AJ228" s="3" t="s">
        <v>401</v>
      </c>
      <c r="AK228" s="18"/>
    </row>
    <row r="229" ht="12" customHeight="1" spans="1:37" x14ac:dyDescent="0.25">
      <c r="A229" s="13" t="s">
        <v>405</v>
      </c>
      <c r="B229" s="13" t="s">
        <v>40</v>
      </c>
      <c r="C229" s="13" t="s">
        <v>1397</v>
      </c>
      <c r="D229" s="14" t="s">
        <v>797</v>
      </c>
      <c r="E229" s="15" t="s">
        <v>1518</v>
      </c>
      <c r="F229" s="3" t="s">
        <v>403</v>
      </c>
      <c r="G229" s="3" t="s">
        <v>732</v>
      </c>
      <c r="H229" s="16" t="s">
        <v>95</v>
      </c>
      <c r="I229" s="3" t="s">
        <v>1399</v>
      </c>
      <c r="J229" s="3" t="s">
        <v>1400</v>
      </c>
      <c r="K229" s="3"/>
      <c r="L229" s="16" t="s">
        <v>1401</v>
      </c>
      <c r="M229" s="3" t="s">
        <v>403</v>
      </c>
      <c r="N229" s="3" t="s">
        <v>1511</v>
      </c>
      <c r="O229" s="16" t="s">
        <v>1515</v>
      </c>
      <c r="P229" s="16"/>
      <c r="Q229" s="16"/>
      <c r="R229" s="3" t="s">
        <v>31</v>
      </c>
      <c r="S229" s="3" t="s">
        <v>32</v>
      </c>
      <c r="T229" s="3" t="s">
        <v>40</v>
      </c>
      <c r="U229" s="3" t="s">
        <v>35</v>
      </c>
      <c r="V229" s="4" t="s">
        <v>30</v>
      </c>
      <c r="W229" s="3" t="s">
        <v>36</v>
      </c>
      <c r="X229" s="4" t="s">
        <v>730</v>
      </c>
      <c r="Y229" s="5"/>
      <c r="Z229" s="5"/>
      <c r="AA229" s="5"/>
      <c r="AB229" s="5"/>
      <c r="AC229" s="5"/>
      <c r="AD229" s="4" t="s">
        <v>797</v>
      </c>
      <c r="AE229" s="17" t="s">
        <v>1519</v>
      </c>
      <c r="AF229" s="3" t="s">
        <v>1400</v>
      </c>
      <c r="AG229" s="5"/>
      <c r="AH229" s="5"/>
      <c r="AI229" s="5"/>
      <c r="AJ229" s="3" t="s">
        <v>404</v>
      </c>
      <c r="AK229" s="18"/>
    </row>
    <row r="230" ht="12" customHeight="1" spans="1:37" x14ac:dyDescent="0.25">
      <c r="A230" s="13" t="s">
        <v>438</v>
      </c>
      <c r="B230" s="13" t="s">
        <v>40</v>
      </c>
      <c r="C230" s="13" t="s">
        <v>1397</v>
      </c>
      <c r="D230" s="14" t="s">
        <v>841</v>
      </c>
      <c r="E230" s="15" t="s">
        <v>1498</v>
      </c>
      <c r="F230" s="3" t="s">
        <v>439</v>
      </c>
      <c r="G230" s="3" t="s">
        <v>732</v>
      </c>
      <c r="H230" s="16" t="s">
        <v>95</v>
      </c>
      <c r="I230" s="3" t="s">
        <v>1399</v>
      </c>
      <c r="J230" s="3" t="s">
        <v>1400</v>
      </c>
      <c r="K230" s="3"/>
      <c r="L230" s="16" t="s">
        <v>1401</v>
      </c>
      <c r="M230" s="3" t="s">
        <v>439</v>
      </c>
      <c r="N230" s="3" t="s">
        <v>1469</v>
      </c>
      <c r="O230" s="16" t="s">
        <v>1515</v>
      </c>
      <c r="P230" s="16"/>
      <c r="Q230" s="16"/>
      <c r="R230" s="3" t="s">
        <v>31</v>
      </c>
      <c r="S230" s="3" t="s">
        <v>32</v>
      </c>
      <c r="T230" s="3" t="s">
        <v>40</v>
      </c>
      <c r="U230" s="3" t="s">
        <v>35</v>
      </c>
      <c r="V230" s="4" t="s">
        <v>30</v>
      </c>
      <c r="W230" s="3" t="s">
        <v>328</v>
      </c>
      <c r="X230" s="4" t="s">
        <v>966</v>
      </c>
      <c r="Y230" s="5"/>
      <c r="Z230" s="5"/>
      <c r="AA230" s="5"/>
      <c r="AB230" s="5"/>
      <c r="AC230" s="5"/>
      <c r="AD230" s="4" t="s">
        <v>841</v>
      </c>
      <c r="AE230" s="17" t="s">
        <v>1499</v>
      </c>
      <c r="AF230" s="3" t="s">
        <v>1400</v>
      </c>
      <c r="AG230" s="5"/>
      <c r="AH230" s="5"/>
      <c r="AI230" s="5"/>
      <c r="AJ230" s="3" t="s">
        <v>440</v>
      </c>
      <c r="AK230" s="18"/>
    </row>
    <row r="231" ht="12" customHeight="1" spans="1:37" x14ac:dyDescent="0.25">
      <c r="A231" s="13" t="s">
        <v>342</v>
      </c>
      <c r="B231" s="13" t="s">
        <v>40</v>
      </c>
      <c r="C231" s="13" t="s">
        <v>1397</v>
      </c>
      <c r="D231" s="14" t="s">
        <v>810</v>
      </c>
      <c r="E231" s="15" t="s">
        <v>1659</v>
      </c>
      <c r="F231" s="3" t="s">
        <v>343</v>
      </c>
      <c r="G231" s="3" t="s">
        <v>1038</v>
      </c>
      <c r="H231" s="16" t="s">
        <v>95</v>
      </c>
      <c r="I231" s="3" t="s">
        <v>1399</v>
      </c>
      <c r="J231" s="3" t="s">
        <v>1400</v>
      </c>
      <c r="K231" s="3"/>
      <c r="L231" s="16" t="s">
        <v>1401</v>
      </c>
      <c r="M231" s="3" t="s">
        <v>343</v>
      </c>
      <c r="N231" s="3" t="s">
        <v>1438</v>
      </c>
      <c r="O231" s="16" t="s">
        <v>1707</v>
      </c>
      <c r="P231" s="16"/>
      <c r="Q231" s="16"/>
      <c r="R231" s="3" t="s">
        <v>1412</v>
      </c>
      <c r="S231" s="3" t="s">
        <v>32</v>
      </c>
      <c r="T231" s="3" t="s">
        <v>40</v>
      </c>
      <c r="U231" s="3" t="s">
        <v>35</v>
      </c>
      <c r="V231" s="4" t="s">
        <v>30</v>
      </c>
      <c r="W231" s="3" t="s">
        <v>36</v>
      </c>
      <c r="X231" s="4" t="s">
        <v>730</v>
      </c>
      <c r="Y231" s="5"/>
      <c r="Z231" s="5"/>
      <c r="AA231" s="5"/>
      <c r="AB231" s="5"/>
      <c r="AC231" s="5"/>
      <c r="AD231" s="4" t="s">
        <v>810</v>
      </c>
      <c r="AE231" s="17" t="s">
        <v>1759</v>
      </c>
      <c r="AF231" s="3" t="s">
        <v>1400</v>
      </c>
      <c r="AG231" s="5"/>
      <c r="AH231" s="5"/>
      <c r="AI231" s="5"/>
      <c r="AJ231" s="3" t="s">
        <v>345</v>
      </c>
      <c r="AK231" s="18"/>
    </row>
    <row r="232" ht="12" customHeight="1" spans="1:37" x14ac:dyDescent="0.25">
      <c r="A232" s="13" t="s">
        <v>429</v>
      </c>
      <c r="B232" s="13" t="s">
        <v>40</v>
      </c>
      <c r="C232" s="13" t="s">
        <v>1397</v>
      </c>
      <c r="D232" s="14" t="s">
        <v>759</v>
      </c>
      <c r="E232" s="15" t="s">
        <v>1758</v>
      </c>
      <c r="F232" s="3" t="s">
        <v>430</v>
      </c>
      <c r="G232" s="3" t="s">
        <v>1301</v>
      </c>
      <c r="H232" s="16" t="s">
        <v>95</v>
      </c>
      <c r="I232" s="3" t="s">
        <v>1399</v>
      </c>
      <c r="J232" s="3" t="s">
        <v>1400</v>
      </c>
      <c r="K232" s="3"/>
      <c r="L232" s="16" t="s">
        <v>1401</v>
      </c>
      <c r="M232" s="3" t="s">
        <v>430</v>
      </c>
      <c r="N232" s="3" t="s">
        <v>1438</v>
      </c>
      <c r="O232" s="16" t="s">
        <v>1722</v>
      </c>
      <c r="P232" s="16"/>
      <c r="Q232" s="16"/>
      <c r="R232" s="3" t="s">
        <v>31</v>
      </c>
      <c r="S232" s="3" t="s">
        <v>32</v>
      </c>
      <c r="T232" s="3" t="s">
        <v>40</v>
      </c>
      <c r="U232" s="3" t="s">
        <v>35</v>
      </c>
      <c r="V232" s="4" t="s">
        <v>30</v>
      </c>
      <c r="W232" s="3" t="s">
        <v>36</v>
      </c>
      <c r="X232" s="4" t="s">
        <v>730</v>
      </c>
      <c r="Y232" s="5"/>
      <c r="Z232" s="5"/>
      <c r="AA232" s="5"/>
      <c r="AB232" s="5"/>
      <c r="AC232" s="5"/>
      <c r="AD232" s="4" t="s">
        <v>759</v>
      </c>
      <c r="AE232" s="17" t="s">
        <v>1760</v>
      </c>
      <c r="AF232" s="3" t="s">
        <v>1400</v>
      </c>
      <c r="AG232" s="5"/>
      <c r="AH232" s="5"/>
      <c r="AI232" s="5"/>
      <c r="AJ232" s="3" t="s">
        <v>432</v>
      </c>
      <c r="AK232" s="18"/>
    </row>
    <row r="233" ht="12" customHeight="1" spans="1:37" x14ac:dyDescent="0.25">
      <c r="A233" s="13" t="s">
        <v>406</v>
      </c>
      <c r="B233" s="13" t="s">
        <v>40</v>
      </c>
      <c r="C233" s="13" t="s">
        <v>1397</v>
      </c>
      <c r="D233" s="14" t="s">
        <v>792</v>
      </c>
      <c r="E233" s="15" t="s">
        <v>1761</v>
      </c>
      <c r="F233" s="3" t="s">
        <v>407</v>
      </c>
      <c r="G233" s="3" t="s">
        <v>490</v>
      </c>
      <c r="H233" s="16" t="s">
        <v>95</v>
      </c>
      <c r="I233" s="3" t="s">
        <v>1399</v>
      </c>
      <c r="J233" s="3" t="s">
        <v>1400</v>
      </c>
      <c r="K233" s="3"/>
      <c r="L233" s="16" t="s">
        <v>1401</v>
      </c>
      <c r="M233" s="3" t="s">
        <v>407</v>
      </c>
      <c r="N233" s="3" t="s">
        <v>1438</v>
      </c>
      <c r="O233" s="16" t="s">
        <v>1550</v>
      </c>
      <c r="P233" s="16"/>
      <c r="Q233" s="16"/>
      <c r="R233" s="3" t="s">
        <v>31</v>
      </c>
      <c r="S233" s="3" t="s">
        <v>32</v>
      </c>
      <c r="T233" s="3" t="s">
        <v>40</v>
      </c>
      <c r="U233" s="3" t="s">
        <v>35</v>
      </c>
      <c r="V233" s="4" t="s">
        <v>30</v>
      </c>
      <c r="W233" s="3" t="s">
        <v>36</v>
      </c>
      <c r="X233" s="4" t="s">
        <v>730</v>
      </c>
      <c r="Y233" s="5"/>
      <c r="Z233" s="5"/>
      <c r="AA233" s="5"/>
      <c r="AB233" s="5"/>
      <c r="AC233" s="5"/>
      <c r="AD233" s="4" t="s">
        <v>792</v>
      </c>
      <c r="AE233" s="17" t="s">
        <v>1762</v>
      </c>
      <c r="AF233" s="3" t="s">
        <v>1400</v>
      </c>
      <c r="AG233" s="5"/>
      <c r="AH233" s="5"/>
      <c r="AI233" s="5"/>
      <c r="AJ233" s="3" t="s">
        <v>409</v>
      </c>
      <c r="AK233" s="18"/>
    </row>
    <row r="234" ht="12" customHeight="1" spans="1:37" x14ac:dyDescent="0.25">
      <c r="A234" s="13" t="s">
        <v>444</v>
      </c>
      <c r="B234" s="13" t="s">
        <v>40</v>
      </c>
      <c r="C234" s="13" t="s">
        <v>1397</v>
      </c>
      <c r="D234" s="14" t="s">
        <v>792</v>
      </c>
      <c r="E234" s="15" t="s">
        <v>1763</v>
      </c>
      <c r="F234" s="3" t="s">
        <v>445</v>
      </c>
      <c r="G234" s="3" t="s">
        <v>1050</v>
      </c>
      <c r="H234" s="16" t="s">
        <v>95</v>
      </c>
      <c r="I234" s="3" t="s">
        <v>1399</v>
      </c>
      <c r="J234" s="3" t="s">
        <v>1400</v>
      </c>
      <c r="K234" s="3"/>
      <c r="L234" s="16" t="s">
        <v>1401</v>
      </c>
      <c r="M234" s="3" t="s">
        <v>445</v>
      </c>
      <c r="N234" s="3" t="s">
        <v>1438</v>
      </c>
      <c r="O234" s="16" t="s">
        <v>1550</v>
      </c>
      <c r="P234" s="16"/>
      <c r="Q234" s="16"/>
      <c r="R234" s="3" t="s">
        <v>31</v>
      </c>
      <c r="S234" s="3" t="s">
        <v>32</v>
      </c>
      <c r="T234" s="3" t="s">
        <v>40</v>
      </c>
      <c r="U234" s="3" t="s">
        <v>35</v>
      </c>
      <c r="V234" s="4" t="s">
        <v>30</v>
      </c>
      <c r="W234" s="3" t="s">
        <v>69</v>
      </c>
      <c r="X234" s="4" t="s">
        <v>966</v>
      </c>
      <c r="Y234" s="5"/>
      <c r="Z234" s="5"/>
      <c r="AA234" s="5"/>
      <c r="AB234" s="5"/>
      <c r="AC234" s="5"/>
      <c r="AD234" s="4" t="s">
        <v>792</v>
      </c>
      <c r="AE234" s="17" t="s">
        <v>1762</v>
      </c>
      <c r="AF234" s="3" t="s">
        <v>1400</v>
      </c>
      <c r="AG234" s="5"/>
      <c r="AH234" s="5"/>
      <c r="AI234" s="5" t="s">
        <v>1764</v>
      </c>
      <c r="AJ234" s="3" t="s">
        <v>447</v>
      </c>
      <c r="AK234" s="18"/>
    </row>
    <row r="235" ht="12" customHeight="1" spans="1:37" x14ac:dyDescent="0.25">
      <c r="A235" s="13" t="s">
        <v>374</v>
      </c>
      <c r="B235" s="13" t="s">
        <v>40</v>
      </c>
      <c r="C235" s="13" t="s">
        <v>1397</v>
      </c>
      <c r="D235" s="14" t="s">
        <v>774</v>
      </c>
      <c r="E235" s="15" t="s">
        <v>1765</v>
      </c>
      <c r="F235" s="3" t="s">
        <v>97</v>
      </c>
      <c r="G235" s="3" t="s">
        <v>778</v>
      </c>
      <c r="H235" s="16" t="s">
        <v>95</v>
      </c>
      <c r="I235" s="3" t="s">
        <v>1399</v>
      </c>
      <c r="J235" s="3" t="s">
        <v>1400</v>
      </c>
      <c r="K235" s="3"/>
      <c r="L235" s="16" t="s">
        <v>1401</v>
      </c>
      <c r="M235" s="3" t="s">
        <v>97</v>
      </c>
      <c r="N235" s="3" t="s">
        <v>1402</v>
      </c>
      <c r="O235" s="16" t="s">
        <v>1550</v>
      </c>
      <c r="P235" s="16"/>
      <c r="Q235" s="16"/>
      <c r="R235" s="3" t="s">
        <v>31</v>
      </c>
      <c r="S235" s="3" t="s">
        <v>32</v>
      </c>
      <c r="T235" s="3" t="s">
        <v>40</v>
      </c>
      <c r="U235" s="3" t="s">
        <v>35</v>
      </c>
      <c r="V235" s="4" t="s">
        <v>30</v>
      </c>
      <c r="W235" s="3" t="s">
        <v>96</v>
      </c>
      <c r="X235" s="4" t="s">
        <v>966</v>
      </c>
      <c r="Y235" s="5"/>
      <c r="Z235" s="5"/>
      <c r="AA235" s="5"/>
      <c r="AB235" s="5"/>
      <c r="AC235" s="5"/>
      <c r="AD235" s="4" t="s">
        <v>774</v>
      </c>
      <c r="AE235" s="17" t="s">
        <v>1766</v>
      </c>
      <c r="AF235" s="3" t="s">
        <v>1400</v>
      </c>
      <c r="AG235" s="5"/>
      <c r="AH235" s="5"/>
      <c r="AI235" s="5"/>
      <c r="AJ235" s="3" t="s">
        <v>100</v>
      </c>
      <c r="AK235" s="18"/>
    </row>
    <row r="236" ht="12" customHeight="1" spans="1:37" x14ac:dyDescent="0.25">
      <c r="A236" s="13" t="s">
        <v>308</v>
      </c>
      <c r="B236" s="13" t="s">
        <v>40</v>
      </c>
      <c r="C236" s="13" t="s">
        <v>1397</v>
      </c>
      <c r="D236" s="14" t="s">
        <v>797</v>
      </c>
      <c r="E236" s="15" t="s">
        <v>1767</v>
      </c>
      <c r="F236" s="3" t="s">
        <v>309</v>
      </c>
      <c r="G236" s="3" t="s">
        <v>958</v>
      </c>
      <c r="H236" s="16" t="s">
        <v>95</v>
      </c>
      <c r="I236" s="3" t="s">
        <v>1399</v>
      </c>
      <c r="J236" s="3" t="s">
        <v>1400</v>
      </c>
      <c r="K236" s="3"/>
      <c r="L236" s="16" t="s">
        <v>1401</v>
      </c>
      <c r="M236" s="3" t="s">
        <v>309</v>
      </c>
      <c r="N236" s="3" t="s">
        <v>1438</v>
      </c>
      <c r="O236" s="16" t="s">
        <v>1550</v>
      </c>
      <c r="P236" s="16"/>
      <c r="Q236" s="16"/>
      <c r="R236" s="3" t="s">
        <v>31</v>
      </c>
      <c r="S236" s="3" t="s">
        <v>32</v>
      </c>
      <c r="T236" s="3" t="s">
        <v>40</v>
      </c>
      <c r="U236" s="3" t="s">
        <v>35</v>
      </c>
      <c r="V236" s="4" t="s">
        <v>30</v>
      </c>
      <c r="W236" s="3" t="s">
        <v>36</v>
      </c>
      <c r="X236" s="4" t="s">
        <v>730</v>
      </c>
      <c r="Y236" s="5"/>
      <c r="Z236" s="5"/>
      <c r="AA236" s="5"/>
      <c r="AB236" s="5"/>
      <c r="AC236" s="5"/>
      <c r="AD236" s="4" t="s">
        <v>797</v>
      </c>
      <c r="AE236" s="17" t="s">
        <v>1439</v>
      </c>
      <c r="AF236" s="3" t="s">
        <v>1400</v>
      </c>
      <c r="AG236" s="5"/>
      <c r="AH236" s="5"/>
      <c r="AI236" s="5"/>
      <c r="AJ236" s="3" t="s">
        <v>87</v>
      </c>
      <c r="AK236" s="18"/>
    </row>
    <row r="237" ht="12" customHeight="1" spans="1:37" x14ac:dyDescent="0.25">
      <c r="A237" s="13" t="s">
        <v>338</v>
      </c>
      <c r="B237" s="13" t="s">
        <v>40</v>
      </c>
      <c r="C237" s="13" t="s">
        <v>1397</v>
      </c>
      <c r="D237" s="14" t="s">
        <v>1405</v>
      </c>
      <c r="E237" s="15" t="s">
        <v>1768</v>
      </c>
      <c r="F237" s="3" t="s">
        <v>339</v>
      </c>
      <c r="G237" s="3" t="s">
        <v>1200</v>
      </c>
      <c r="H237" s="16" t="s">
        <v>95</v>
      </c>
      <c r="I237" s="3" t="s">
        <v>1399</v>
      </c>
      <c r="J237" s="3" t="s">
        <v>1400</v>
      </c>
      <c r="K237" s="3"/>
      <c r="L237" s="16" t="s">
        <v>1401</v>
      </c>
      <c r="M237" s="3" t="s">
        <v>339</v>
      </c>
      <c r="N237" s="3" t="s">
        <v>1438</v>
      </c>
      <c r="O237" s="16" t="s">
        <v>1403</v>
      </c>
      <c r="P237" s="16"/>
      <c r="Q237" s="16"/>
      <c r="R237" s="3" t="s">
        <v>31</v>
      </c>
      <c r="S237" s="3" t="s">
        <v>32</v>
      </c>
      <c r="T237" s="3" t="s">
        <v>40</v>
      </c>
      <c r="U237" s="3" t="s">
        <v>35</v>
      </c>
      <c r="V237" s="4" t="s">
        <v>30</v>
      </c>
      <c r="W237" s="3" t="s">
        <v>36</v>
      </c>
      <c r="X237" s="4" t="s">
        <v>730</v>
      </c>
      <c r="Y237" s="5"/>
      <c r="Z237" s="5"/>
      <c r="AA237" s="5"/>
      <c r="AB237" s="5"/>
      <c r="AC237" s="5"/>
      <c r="AD237" s="4" t="s">
        <v>1405</v>
      </c>
      <c r="AE237" s="17" t="s">
        <v>1444</v>
      </c>
      <c r="AF237" s="3" t="s">
        <v>1400</v>
      </c>
      <c r="AG237" s="5"/>
      <c r="AH237" s="5"/>
      <c r="AI237" s="5"/>
      <c r="AJ237" s="3" t="s">
        <v>341</v>
      </c>
      <c r="AK237" s="18"/>
    </row>
    <row r="238" ht="12" customHeight="1" spans="1:37" x14ac:dyDescent="0.25">
      <c r="A238" s="13" t="s">
        <v>287</v>
      </c>
      <c r="B238" s="13" t="s">
        <v>40</v>
      </c>
      <c r="C238" s="13" t="s">
        <v>1397</v>
      </c>
      <c r="D238" s="14" t="s">
        <v>759</v>
      </c>
      <c r="E238" s="15" t="s">
        <v>1468</v>
      </c>
      <c r="F238" s="3" t="s">
        <v>280</v>
      </c>
      <c r="G238" s="3" t="s">
        <v>732</v>
      </c>
      <c r="H238" s="16" t="s">
        <v>95</v>
      </c>
      <c r="I238" s="3" t="s">
        <v>1399</v>
      </c>
      <c r="J238" s="3" t="s">
        <v>1400</v>
      </c>
      <c r="K238" s="3"/>
      <c r="L238" s="16" t="s">
        <v>1401</v>
      </c>
      <c r="M238" s="3" t="s">
        <v>280</v>
      </c>
      <c r="N238" s="3" t="s">
        <v>1469</v>
      </c>
      <c r="O238" s="16" t="s">
        <v>1403</v>
      </c>
      <c r="P238" s="16"/>
      <c r="Q238" s="16"/>
      <c r="R238" s="3" t="s">
        <v>1470</v>
      </c>
      <c r="S238" s="3" t="s">
        <v>1471</v>
      </c>
      <c r="T238" s="3" t="s">
        <v>40</v>
      </c>
      <c r="U238" s="3" t="s">
        <v>35</v>
      </c>
      <c r="V238" s="4" t="s">
        <v>30</v>
      </c>
      <c r="W238" s="3" t="s">
        <v>279</v>
      </c>
      <c r="X238" s="4" t="s">
        <v>966</v>
      </c>
      <c r="Y238" s="5"/>
      <c r="Z238" s="5"/>
      <c r="AA238" s="5"/>
      <c r="AB238" s="5"/>
      <c r="AC238" s="5"/>
      <c r="AD238" s="4" t="s">
        <v>1057</v>
      </c>
      <c r="AE238" s="17" t="s">
        <v>1472</v>
      </c>
      <c r="AF238" s="3" t="s">
        <v>1400</v>
      </c>
      <c r="AG238" s="5"/>
      <c r="AH238" s="5"/>
      <c r="AI238" s="5"/>
      <c r="AJ238" s="3" t="s">
        <v>282</v>
      </c>
      <c r="AK238" s="18"/>
    </row>
    <row r="239" ht="12" customHeight="1" spans="1:37" x14ac:dyDescent="0.25">
      <c r="A239" s="13" t="s">
        <v>376</v>
      </c>
      <c r="B239" s="13" t="s">
        <v>40</v>
      </c>
      <c r="C239" s="13" t="s">
        <v>1397</v>
      </c>
      <c r="D239" s="14" t="s">
        <v>774</v>
      </c>
      <c r="E239" s="15" t="s">
        <v>1738</v>
      </c>
      <c r="F239" s="3" t="s">
        <v>97</v>
      </c>
      <c r="G239" s="3" t="s">
        <v>778</v>
      </c>
      <c r="H239" s="16" t="s">
        <v>95</v>
      </c>
      <c r="I239" s="3" t="s">
        <v>1399</v>
      </c>
      <c r="J239" s="3" t="s">
        <v>1400</v>
      </c>
      <c r="K239" s="3"/>
      <c r="L239" s="16" t="s">
        <v>1401</v>
      </c>
      <c r="M239" s="3" t="s">
        <v>97</v>
      </c>
      <c r="N239" s="3" t="s">
        <v>1402</v>
      </c>
      <c r="O239" s="16" t="s">
        <v>1411</v>
      </c>
      <c r="P239" s="16"/>
      <c r="Q239" s="16"/>
      <c r="R239" s="3" t="s">
        <v>31</v>
      </c>
      <c r="S239" s="3" t="s">
        <v>32</v>
      </c>
      <c r="T239" s="3" t="s">
        <v>40</v>
      </c>
      <c r="U239" s="3" t="s">
        <v>35</v>
      </c>
      <c r="V239" s="4" t="s">
        <v>30</v>
      </c>
      <c r="W239" s="3" t="s">
        <v>96</v>
      </c>
      <c r="X239" s="4" t="s">
        <v>966</v>
      </c>
      <c r="Y239" s="5"/>
      <c r="Z239" s="5"/>
      <c r="AA239" s="5"/>
      <c r="AB239" s="5"/>
      <c r="AC239" s="5"/>
      <c r="AD239" s="4" t="s">
        <v>774</v>
      </c>
      <c r="AE239" s="17" t="s">
        <v>1613</v>
      </c>
      <c r="AF239" s="3" t="s">
        <v>1400</v>
      </c>
      <c r="AG239" s="5"/>
      <c r="AH239" s="5"/>
      <c r="AI239" s="5"/>
      <c r="AJ239" s="3" t="s">
        <v>100</v>
      </c>
      <c r="AK239" s="18"/>
    </row>
    <row r="240" ht="12" customHeight="1" spans="1:37" x14ac:dyDescent="0.25">
      <c r="A240" s="13" t="s">
        <v>351</v>
      </c>
      <c r="B240" s="13" t="s">
        <v>40</v>
      </c>
      <c r="C240" s="13" t="s">
        <v>1397</v>
      </c>
      <c r="D240" s="14" t="s">
        <v>871</v>
      </c>
      <c r="E240" s="15" t="s">
        <v>1769</v>
      </c>
      <c r="F240" s="3" t="s">
        <v>189</v>
      </c>
      <c r="G240" s="3" t="s">
        <v>925</v>
      </c>
      <c r="H240" s="16" t="s">
        <v>95</v>
      </c>
      <c r="I240" s="3" t="s">
        <v>1399</v>
      </c>
      <c r="J240" s="3" t="s">
        <v>1400</v>
      </c>
      <c r="K240" s="3"/>
      <c r="L240" s="16" t="s">
        <v>1401</v>
      </c>
      <c r="M240" s="3" t="s">
        <v>189</v>
      </c>
      <c r="N240" s="3" t="s">
        <v>1727</v>
      </c>
      <c r="O240" s="16" t="s">
        <v>1411</v>
      </c>
      <c r="P240" s="16"/>
      <c r="Q240" s="16"/>
      <c r="R240" s="3" t="s">
        <v>1412</v>
      </c>
      <c r="S240" s="3" t="s">
        <v>32</v>
      </c>
      <c r="T240" s="3" t="s">
        <v>40</v>
      </c>
      <c r="U240" s="3" t="s">
        <v>35</v>
      </c>
      <c r="V240" s="4" t="s">
        <v>30</v>
      </c>
      <c r="W240" s="3" t="s">
        <v>36</v>
      </c>
      <c r="X240" s="4" t="s">
        <v>730</v>
      </c>
      <c r="Y240" s="5"/>
      <c r="Z240" s="5"/>
      <c r="AA240" s="5"/>
      <c r="AB240" s="5"/>
      <c r="AC240" s="5"/>
      <c r="AD240" s="4" t="s">
        <v>871</v>
      </c>
      <c r="AE240" s="17" t="s">
        <v>1743</v>
      </c>
      <c r="AF240" s="3" t="s">
        <v>1400</v>
      </c>
      <c r="AG240" s="5"/>
      <c r="AH240" s="5"/>
      <c r="AI240" s="5"/>
      <c r="AJ240" s="3" t="s">
        <v>191</v>
      </c>
      <c r="AK240" s="18"/>
    </row>
    <row r="241" ht="12" customHeight="1" spans="1:37" x14ac:dyDescent="0.25">
      <c r="A241" s="13" t="s">
        <v>377</v>
      </c>
      <c r="B241" s="13" t="s">
        <v>40</v>
      </c>
      <c r="C241" s="13" t="s">
        <v>1397</v>
      </c>
      <c r="D241" s="14" t="s">
        <v>797</v>
      </c>
      <c r="E241" s="15" t="s">
        <v>1770</v>
      </c>
      <c r="F241" s="3" t="s">
        <v>97</v>
      </c>
      <c r="G241" s="3" t="s">
        <v>778</v>
      </c>
      <c r="H241" s="16" t="s">
        <v>95</v>
      </c>
      <c r="I241" s="3" t="s">
        <v>1399</v>
      </c>
      <c r="J241" s="3" t="s">
        <v>1400</v>
      </c>
      <c r="K241" s="3"/>
      <c r="L241" s="16" t="s">
        <v>1401</v>
      </c>
      <c r="M241" s="3" t="s">
        <v>97</v>
      </c>
      <c r="N241" s="3" t="s">
        <v>1402</v>
      </c>
      <c r="O241" s="16" t="s">
        <v>1411</v>
      </c>
      <c r="P241" s="16"/>
      <c r="Q241" s="16"/>
      <c r="R241" s="3" t="s">
        <v>31</v>
      </c>
      <c r="S241" s="3" t="s">
        <v>32</v>
      </c>
      <c r="T241" s="3" t="s">
        <v>40</v>
      </c>
      <c r="U241" s="3" t="s">
        <v>35</v>
      </c>
      <c r="V241" s="4" t="s">
        <v>30</v>
      </c>
      <c r="W241" s="3" t="s">
        <v>96</v>
      </c>
      <c r="X241" s="4" t="s">
        <v>966</v>
      </c>
      <c r="Y241" s="5"/>
      <c r="Z241" s="5"/>
      <c r="AA241" s="5"/>
      <c r="AB241" s="5"/>
      <c r="AC241" s="5"/>
      <c r="AD241" s="4" t="s">
        <v>797</v>
      </c>
      <c r="AE241" s="17" t="s">
        <v>1771</v>
      </c>
      <c r="AF241" s="3" t="s">
        <v>1400</v>
      </c>
      <c r="AG241" s="5"/>
      <c r="AH241" s="5"/>
      <c r="AI241" s="5"/>
      <c r="AJ241" s="3" t="s">
        <v>100</v>
      </c>
      <c r="AK241" s="18"/>
    </row>
    <row r="242" ht="12" customHeight="1" spans="1:37" x14ac:dyDescent="0.25">
      <c r="A242" s="13" t="s">
        <v>347</v>
      </c>
      <c r="B242" s="13" t="s">
        <v>40</v>
      </c>
      <c r="C242" s="13" t="s">
        <v>1397</v>
      </c>
      <c r="D242" s="14" t="s">
        <v>774</v>
      </c>
      <c r="E242" s="15" t="s">
        <v>1772</v>
      </c>
      <c r="F242" s="3" t="s">
        <v>348</v>
      </c>
      <c r="G242" s="3" t="s">
        <v>1016</v>
      </c>
      <c r="H242" s="16" t="s">
        <v>95</v>
      </c>
      <c r="I242" s="3" t="s">
        <v>1399</v>
      </c>
      <c r="J242" s="3" t="s">
        <v>1400</v>
      </c>
      <c r="K242" s="3"/>
      <c r="L242" s="16" t="s">
        <v>1401</v>
      </c>
      <c r="M242" s="3" t="s">
        <v>348</v>
      </c>
      <c r="N242" s="3" t="s">
        <v>1490</v>
      </c>
      <c r="O242" s="16" t="s">
        <v>1411</v>
      </c>
      <c r="P242" s="16"/>
      <c r="Q242" s="16"/>
      <c r="R242" s="3" t="s">
        <v>31</v>
      </c>
      <c r="S242" s="3" t="s">
        <v>32</v>
      </c>
      <c r="T242" s="3" t="s">
        <v>40</v>
      </c>
      <c r="U242" s="3" t="s">
        <v>35</v>
      </c>
      <c r="V242" s="4" t="s">
        <v>30</v>
      </c>
      <c r="W242" s="3" t="s">
        <v>319</v>
      </c>
      <c r="X242" s="4" t="s">
        <v>966</v>
      </c>
      <c r="Y242" s="5"/>
      <c r="Z242" s="5"/>
      <c r="AA242" s="5"/>
      <c r="AB242" s="5"/>
      <c r="AC242" s="5"/>
      <c r="AD242" s="4" t="s">
        <v>774</v>
      </c>
      <c r="AE242" s="17" t="s">
        <v>1773</v>
      </c>
      <c r="AF242" s="3" t="s">
        <v>1400</v>
      </c>
      <c r="AG242" s="5"/>
      <c r="AH242" s="5"/>
      <c r="AI242" s="5"/>
      <c r="AJ242" s="3" t="s">
        <v>350</v>
      </c>
      <c r="AK242" s="18"/>
    </row>
    <row r="243" ht="12" customHeight="1" spans="1:37" x14ac:dyDescent="0.25">
      <c r="A243" s="13" t="s">
        <v>375</v>
      </c>
      <c r="B243" s="13" t="s">
        <v>40</v>
      </c>
      <c r="C243" s="13" t="s">
        <v>1397</v>
      </c>
      <c r="D243" s="14" t="s">
        <v>774</v>
      </c>
      <c r="E243" s="15" t="s">
        <v>1774</v>
      </c>
      <c r="F243" s="3" t="s">
        <v>97</v>
      </c>
      <c r="G243" s="3" t="s">
        <v>778</v>
      </c>
      <c r="H243" s="16" t="s">
        <v>95</v>
      </c>
      <c r="I243" s="3" t="s">
        <v>1399</v>
      </c>
      <c r="J243" s="3" t="s">
        <v>1400</v>
      </c>
      <c r="K243" s="3"/>
      <c r="L243" s="16" t="s">
        <v>1401</v>
      </c>
      <c r="M243" s="3" t="s">
        <v>97</v>
      </c>
      <c r="N243" s="3" t="s">
        <v>1402</v>
      </c>
      <c r="O243" s="16" t="s">
        <v>1411</v>
      </c>
      <c r="P243" s="16"/>
      <c r="Q243" s="16"/>
      <c r="R243" s="3" t="s">
        <v>31</v>
      </c>
      <c r="S243" s="3" t="s">
        <v>32</v>
      </c>
      <c r="T243" s="3" t="s">
        <v>40</v>
      </c>
      <c r="U243" s="3" t="s">
        <v>35</v>
      </c>
      <c r="V243" s="4" t="s">
        <v>30</v>
      </c>
      <c r="W243" s="3" t="s">
        <v>96</v>
      </c>
      <c r="X243" s="4" t="s">
        <v>966</v>
      </c>
      <c r="Y243" s="5"/>
      <c r="Z243" s="5"/>
      <c r="AA243" s="5"/>
      <c r="AB243" s="5"/>
      <c r="AC243" s="5"/>
      <c r="AD243" s="4" t="s">
        <v>774</v>
      </c>
      <c r="AE243" s="17" t="s">
        <v>1613</v>
      </c>
      <c r="AF243" s="3" t="s">
        <v>1400</v>
      </c>
      <c r="AG243" s="5"/>
      <c r="AH243" s="5"/>
      <c r="AI243" s="5"/>
      <c r="AJ243" s="3" t="s">
        <v>100</v>
      </c>
      <c r="AK243" s="18"/>
    </row>
    <row r="244" ht="12" customHeight="1" spans="1:37" x14ac:dyDescent="0.25">
      <c r="A244" s="13" t="s">
        <v>323</v>
      </c>
      <c r="B244" s="13" t="s">
        <v>40</v>
      </c>
      <c r="C244" s="13" t="s">
        <v>1397</v>
      </c>
      <c r="D244" s="14" t="s">
        <v>1405</v>
      </c>
      <c r="E244" s="15" t="s">
        <v>1775</v>
      </c>
      <c r="F244" s="3" t="s">
        <v>325</v>
      </c>
      <c r="G244" s="3" t="s">
        <v>732</v>
      </c>
      <c r="H244" s="16" t="s">
        <v>95</v>
      </c>
      <c r="I244" s="3" t="s">
        <v>1399</v>
      </c>
      <c r="J244" s="3" t="s">
        <v>1400</v>
      </c>
      <c r="K244" s="3"/>
      <c r="L244" s="16" t="s">
        <v>1401</v>
      </c>
      <c r="M244" s="3" t="s">
        <v>325</v>
      </c>
      <c r="N244" s="3" t="s">
        <v>1438</v>
      </c>
      <c r="O244" s="16" t="s">
        <v>1411</v>
      </c>
      <c r="P244" s="16"/>
      <c r="Q244" s="16"/>
      <c r="R244" s="3" t="s">
        <v>31</v>
      </c>
      <c r="S244" s="3" t="s">
        <v>32</v>
      </c>
      <c r="T244" s="3" t="s">
        <v>40</v>
      </c>
      <c r="U244" s="3" t="s">
        <v>35</v>
      </c>
      <c r="V244" s="4" t="s">
        <v>30</v>
      </c>
      <c r="W244" s="3" t="s">
        <v>324</v>
      </c>
      <c r="X244" s="4" t="s">
        <v>966</v>
      </c>
      <c r="Y244" s="5"/>
      <c r="Z244" s="5"/>
      <c r="AA244" s="5"/>
      <c r="AB244" s="5"/>
      <c r="AC244" s="5"/>
      <c r="AD244" s="4" t="s">
        <v>1405</v>
      </c>
      <c r="AE244" s="17" t="s">
        <v>1776</v>
      </c>
      <c r="AF244" s="3" t="s">
        <v>1400</v>
      </c>
      <c r="AG244" s="5"/>
      <c r="AH244" s="5"/>
      <c r="AI244" s="5"/>
      <c r="AJ244" s="3" t="s">
        <v>282</v>
      </c>
      <c r="AK244" s="18"/>
    </row>
    <row r="245" ht="12" customHeight="1" spans="1:37" x14ac:dyDescent="0.25">
      <c r="A245" s="13" t="s">
        <v>277</v>
      </c>
      <c r="B245" s="13" t="s">
        <v>40</v>
      </c>
      <c r="C245" s="13" t="s">
        <v>1397</v>
      </c>
      <c r="D245" s="14" t="s">
        <v>774</v>
      </c>
      <c r="E245" s="15" t="s">
        <v>1777</v>
      </c>
      <c r="F245" s="3" t="s">
        <v>97</v>
      </c>
      <c r="G245" s="3" t="s">
        <v>778</v>
      </c>
      <c r="H245" s="16" t="s">
        <v>95</v>
      </c>
      <c r="I245" s="3" t="s">
        <v>1399</v>
      </c>
      <c r="J245" s="3" t="s">
        <v>1400</v>
      </c>
      <c r="K245" s="3"/>
      <c r="L245" s="16" t="s">
        <v>1401</v>
      </c>
      <c r="M245" s="3" t="s">
        <v>97</v>
      </c>
      <c r="N245" s="3" t="s">
        <v>1402</v>
      </c>
      <c r="O245" s="16" t="s">
        <v>1411</v>
      </c>
      <c r="P245" s="16"/>
      <c r="Q245" s="16"/>
      <c r="R245" s="3" t="s">
        <v>31</v>
      </c>
      <c r="S245" s="3" t="s">
        <v>32</v>
      </c>
      <c r="T245" s="3" t="s">
        <v>40</v>
      </c>
      <c r="U245" s="3" t="s">
        <v>35</v>
      </c>
      <c r="V245" s="4" t="s">
        <v>30</v>
      </c>
      <c r="W245" s="3" t="s">
        <v>96</v>
      </c>
      <c r="X245" s="4" t="s">
        <v>966</v>
      </c>
      <c r="Y245" s="5"/>
      <c r="Z245" s="5"/>
      <c r="AA245" s="5"/>
      <c r="AB245" s="5"/>
      <c r="AC245" s="5"/>
      <c r="AD245" s="4" t="s">
        <v>774</v>
      </c>
      <c r="AE245" s="17" t="s">
        <v>1613</v>
      </c>
      <c r="AF245" s="3" t="s">
        <v>1400</v>
      </c>
      <c r="AG245" s="5"/>
      <c r="AH245" s="5"/>
      <c r="AI245" s="5"/>
      <c r="AJ245" s="3" t="s">
        <v>100</v>
      </c>
      <c r="AK245" s="18"/>
    </row>
    <row r="246" ht="12" customHeight="1" spans="1:37" x14ac:dyDescent="0.25">
      <c r="A246" s="13" t="s">
        <v>352</v>
      </c>
      <c r="B246" s="13" t="s">
        <v>40</v>
      </c>
      <c r="C246" s="13" t="s">
        <v>1397</v>
      </c>
      <c r="D246" s="14" t="s">
        <v>871</v>
      </c>
      <c r="E246" s="15" t="s">
        <v>1778</v>
      </c>
      <c r="F246" s="3" t="s">
        <v>189</v>
      </c>
      <c r="G246" s="3" t="s">
        <v>925</v>
      </c>
      <c r="H246" s="16" t="s">
        <v>95</v>
      </c>
      <c r="I246" s="3" t="s">
        <v>1399</v>
      </c>
      <c r="J246" s="3" t="s">
        <v>1400</v>
      </c>
      <c r="K246" s="3"/>
      <c r="L246" s="16" t="s">
        <v>1401</v>
      </c>
      <c r="M246" s="3" t="s">
        <v>189</v>
      </c>
      <c r="N246" s="3" t="s">
        <v>1727</v>
      </c>
      <c r="O246" s="16" t="s">
        <v>1411</v>
      </c>
      <c r="P246" s="16"/>
      <c r="Q246" s="16"/>
      <c r="R246" s="3" t="s">
        <v>1412</v>
      </c>
      <c r="S246" s="3" t="s">
        <v>32</v>
      </c>
      <c r="T246" s="3" t="s">
        <v>40</v>
      </c>
      <c r="U246" s="3" t="s">
        <v>35</v>
      </c>
      <c r="V246" s="4" t="s">
        <v>30</v>
      </c>
      <c r="W246" s="3" t="s">
        <v>36</v>
      </c>
      <c r="X246" s="4" t="s">
        <v>730</v>
      </c>
      <c r="Y246" s="5"/>
      <c r="Z246" s="5"/>
      <c r="AA246" s="5"/>
      <c r="AB246" s="5"/>
      <c r="AC246" s="5"/>
      <c r="AD246" s="4" t="s">
        <v>871</v>
      </c>
      <c r="AE246" s="17" t="s">
        <v>1779</v>
      </c>
      <c r="AF246" s="3" t="s">
        <v>1400</v>
      </c>
      <c r="AG246" s="5"/>
      <c r="AH246" s="5"/>
      <c r="AI246" s="5"/>
      <c r="AJ246" s="3" t="s">
        <v>191</v>
      </c>
      <c r="AK246" s="18"/>
    </row>
    <row r="247" ht="12" customHeight="1" spans="1:37" x14ac:dyDescent="0.25">
      <c r="A247" s="13" t="s">
        <v>373</v>
      </c>
      <c r="B247" s="13" t="s">
        <v>40</v>
      </c>
      <c r="C247" s="13" t="s">
        <v>1397</v>
      </c>
      <c r="D247" s="14" t="s">
        <v>774</v>
      </c>
      <c r="E247" s="15" t="s">
        <v>1602</v>
      </c>
      <c r="F247" s="3" t="s">
        <v>97</v>
      </c>
      <c r="G247" s="3" t="s">
        <v>778</v>
      </c>
      <c r="H247" s="16" t="s">
        <v>95</v>
      </c>
      <c r="I247" s="3" t="s">
        <v>1399</v>
      </c>
      <c r="J247" s="3" t="s">
        <v>1400</v>
      </c>
      <c r="K247" s="3"/>
      <c r="L247" s="16" t="s">
        <v>1401</v>
      </c>
      <c r="M247" s="3" t="s">
        <v>97</v>
      </c>
      <c r="N247" s="3" t="s">
        <v>1402</v>
      </c>
      <c r="O247" s="16" t="s">
        <v>1411</v>
      </c>
      <c r="P247" s="16"/>
      <c r="Q247" s="16"/>
      <c r="R247" s="3" t="s">
        <v>31</v>
      </c>
      <c r="S247" s="3" t="s">
        <v>32</v>
      </c>
      <c r="T247" s="3" t="s">
        <v>40</v>
      </c>
      <c r="U247" s="3" t="s">
        <v>35</v>
      </c>
      <c r="V247" s="4" t="s">
        <v>30</v>
      </c>
      <c r="W247" s="3" t="s">
        <v>96</v>
      </c>
      <c r="X247" s="4" t="s">
        <v>966</v>
      </c>
      <c r="Y247" s="5"/>
      <c r="Z247" s="5"/>
      <c r="AA247" s="5"/>
      <c r="AB247" s="5"/>
      <c r="AC247" s="5"/>
      <c r="AD247" s="4" t="s">
        <v>797</v>
      </c>
      <c r="AE247" s="17" t="s">
        <v>1523</v>
      </c>
      <c r="AF247" s="3" t="s">
        <v>1400</v>
      </c>
      <c r="AG247" s="5"/>
      <c r="AH247" s="5"/>
      <c r="AI247" s="5"/>
      <c r="AJ247" s="3" t="s">
        <v>100</v>
      </c>
      <c r="AK247" s="18"/>
    </row>
    <row r="248" ht="12" customHeight="1" spans="1:37" x14ac:dyDescent="0.25">
      <c r="A248" s="13" t="s">
        <v>286</v>
      </c>
      <c r="B248" s="13" t="s">
        <v>40</v>
      </c>
      <c r="C248" s="13" t="s">
        <v>1397</v>
      </c>
      <c r="D248" s="14" t="s">
        <v>759</v>
      </c>
      <c r="E248" s="15" t="s">
        <v>1780</v>
      </c>
      <c r="F248" s="3" t="s">
        <v>280</v>
      </c>
      <c r="G248" s="3" t="s">
        <v>732</v>
      </c>
      <c r="H248" s="16" t="s">
        <v>95</v>
      </c>
      <c r="I248" s="3" t="s">
        <v>1399</v>
      </c>
      <c r="J248" s="3" t="s">
        <v>1400</v>
      </c>
      <c r="K248" s="3"/>
      <c r="L248" s="16" t="s">
        <v>1401</v>
      </c>
      <c r="M248" s="3" t="s">
        <v>280</v>
      </c>
      <c r="N248" s="3" t="s">
        <v>1469</v>
      </c>
      <c r="O248" s="16" t="s">
        <v>1411</v>
      </c>
      <c r="P248" s="16"/>
      <c r="Q248" s="16"/>
      <c r="R248" s="3" t="s">
        <v>1470</v>
      </c>
      <c r="S248" s="3" t="s">
        <v>1471</v>
      </c>
      <c r="T248" s="3" t="s">
        <v>40</v>
      </c>
      <c r="U248" s="3" t="s">
        <v>35</v>
      </c>
      <c r="V248" s="4" t="s">
        <v>30</v>
      </c>
      <c r="W248" s="3" t="s">
        <v>279</v>
      </c>
      <c r="X248" s="4" t="s">
        <v>966</v>
      </c>
      <c r="Y248" s="5"/>
      <c r="Z248" s="5"/>
      <c r="AA248" s="5"/>
      <c r="AB248" s="5"/>
      <c r="AC248" s="5"/>
      <c r="AD248" s="4" t="s">
        <v>759</v>
      </c>
      <c r="AE248" s="17" t="s">
        <v>1604</v>
      </c>
      <c r="AF248" s="3" t="s">
        <v>1400</v>
      </c>
      <c r="AG248" s="5"/>
      <c r="AH248" s="5"/>
      <c r="AI248" s="5"/>
      <c r="AJ248" s="3" t="s">
        <v>282</v>
      </c>
      <c r="AK248" s="18"/>
    </row>
    <row r="249" ht="12" customHeight="1" spans="1:37" x14ac:dyDescent="0.25">
      <c r="A249" s="13" t="s">
        <v>318</v>
      </c>
      <c r="B249" s="13" t="s">
        <v>40</v>
      </c>
      <c r="C249" s="13" t="s">
        <v>1397</v>
      </c>
      <c r="D249" s="14" t="s">
        <v>910</v>
      </c>
      <c r="E249" s="15" t="s">
        <v>1781</v>
      </c>
      <c r="F249" s="3" t="s">
        <v>320</v>
      </c>
      <c r="G249" s="3" t="s">
        <v>732</v>
      </c>
      <c r="H249" s="16" t="s">
        <v>95</v>
      </c>
      <c r="I249" s="3" t="s">
        <v>1399</v>
      </c>
      <c r="J249" s="3" t="s">
        <v>1400</v>
      </c>
      <c r="K249" s="3"/>
      <c r="L249" s="16" t="s">
        <v>1401</v>
      </c>
      <c r="M249" s="3" t="s">
        <v>320</v>
      </c>
      <c r="N249" s="3" t="s">
        <v>1490</v>
      </c>
      <c r="O249" s="16" t="s">
        <v>1411</v>
      </c>
      <c r="P249" s="16"/>
      <c r="Q249" s="16"/>
      <c r="R249" s="3" t="s">
        <v>31</v>
      </c>
      <c r="S249" s="3" t="s">
        <v>32</v>
      </c>
      <c r="T249" s="3" t="s">
        <v>40</v>
      </c>
      <c r="U249" s="3" t="s">
        <v>35</v>
      </c>
      <c r="V249" s="4" t="s">
        <v>30</v>
      </c>
      <c r="W249" s="3" t="s">
        <v>319</v>
      </c>
      <c r="X249" s="4" t="s">
        <v>966</v>
      </c>
      <c r="Y249" s="5"/>
      <c r="Z249" s="5"/>
      <c r="AA249" s="5"/>
      <c r="AB249" s="5"/>
      <c r="AC249" s="5"/>
      <c r="AD249" s="4" t="s">
        <v>910</v>
      </c>
      <c r="AE249" s="17" t="s">
        <v>1549</v>
      </c>
      <c r="AF249" s="3" t="s">
        <v>1400</v>
      </c>
      <c r="AG249" s="5"/>
      <c r="AH249" s="5"/>
      <c r="AI249" s="5"/>
      <c r="AJ249" s="3" t="s">
        <v>282</v>
      </c>
      <c r="AK249" s="18"/>
    </row>
    <row r="250" ht="12" customHeight="1" spans="1:37" x14ac:dyDescent="0.25">
      <c r="A250" s="13" t="s">
        <v>457</v>
      </c>
      <c r="B250" s="13" t="s">
        <v>40</v>
      </c>
      <c r="C250" s="13" t="s">
        <v>1397</v>
      </c>
      <c r="D250" s="14" t="s">
        <v>774</v>
      </c>
      <c r="E250" s="15" t="s">
        <v>1782</v>
      </c>
      <c r="F250" s="3" t="s">
        <v>97</v>
      </c>
      <c r="G250" s="3" t="s">
        <v>778</v>
      </c>
      <c r="H250" s="16" t="s">
        <v>95</v>
      </c>
      <c r="I250" s="3" t="s">
        <v>1399</v>
      </c>
      <c r="J250" s="3" t="s">
        <v>1400</v>
      </c>
      <c r="K250" s="3"/>
      <c r="L250" s="16" t="s">
        <v>1401</v>
      </c>
      <c r="M250" s="3" t="s">
        <v>97</v>
      </c>
      <c r="N250" s="3" t="s">
        <v>1402</v>
      </c>
      <c r="O250" s="16" t="s">
        <v>1735</v>
      </c>
      <c r="P250" s="16"/>
      <c r="Q250" s="16"/>
      <c r="R250" s="3" t="s">
        <v>31</v>
      </c>
      <c r="S250" s="3" t="s">
        <v>32</v>
      </c>
      <c r="T250" s="3" t="s">
        <v>40</v>
      </c>
      <c r="U250" s="3" t="s">
        <v>35</v>
      </c>
      <c r="V250" s="4" t="s">
        <v>30</v>
      </c>
      <c r="W250" s="3" t="s">
        <v>96</v>
      </c>
      <c r="X250" s="4" t="s">
        <v>966</v>
      </c>
      <c r="Y250" s="5"/>
      <c r="Z250" s="5"/>
      <c r="AA250" s="5"/>
      <c r="AB250" s="5"/>
      <c r="AC250" s="5"/>
      <c r="AD250" s="4" t="s">
        <v>774</v>
      </c>
      <c r="AE250" s="17" t="s">
        <v>1625</v>
      </c>
      <c r="AF250" s="3" t="s">
        <v>1400</v>
      </c>
      <c r="AG250" s="5"/>
      <c r="AH250" s="5"/>
      <c r="AI250" s="5"/>
      <c r="AJ250" s="3" t="s">
        <v>100</v>
      </c>
      <c r="AK250" s="18"/>
    </row>
    <row r="251" ht="12" customHeight="1" spans="1:37" x14ac:dyDescent="0.25">
      <c r="A251" s="13" t="s">
        <v>365</v>
      </c>
      <c r="B251" s="13" t="s">
        <v>40</v>
      </c>
      <c r="C251" s="13" t="s">
        <v>1397</v>
      </c>
      <c r="D251" s="14" t="s">
        <v>797</v>
      </c>
      <c r="E251" s="15" t="s">
        <v>1783</v>
      </c>
      <c r="F251" s="3" t="s">
        <v>97</v>
      </c>
      <c r="G251" s="3" t="s">
        <v>778</v>
      </c>
      <c r="H251" s="16" t="s">
        <v>95</v>
      </c>
      <c r="I251" s="3" t="s">
        <v>1399</v>
      </c>
      <c r="J251" s="3" t="s">
        <v>1400</v>
      </c>
      <c r="K251" s="3"/>
      <c r="L251" s="16" t="s">
        <v>1401</v>
      </c>
      <c r="M251" s="3" t="s">
        <v>97</v>
      </c>
      <c r="N251" s="3" t="s">
        <v>1402</v>
      </c>
      <c r="O251" s="16" t="s">
        <v>1735</v>
      </c>
      <c r="P251" s="16"/>
      <c r="Q251" s="16"/>
      <c r="R251" s="3" t="s">
        <v>31</v>
      </c>
      <c r="S251" s="3" t="s">
        <v>32</v>
      </c>
      <c r="T251" s="3" t="s">
        <v>40</v>
      </c>
      <c r="U251" s="3" t="s">
        <v>35</v>
      </c>
      <c r="V251" s="4" t="s">
        <v>30</v>
      </c>
      <c r="W251" s="3" t="s">
        <v>96</v>
      </c>
      <c r="X251" s="4" t="s">
        <v>966</v>
      </c>
      <c r="Y251" s="5"/>
      <c r="Z251" s="5"/>
      <c r="AA251" s="5"/>
      <c r="AB251" s="5"/>
      <c r="AC251" s="5"/>
      <c r="AD251" s="4" t="s">
        <v>797</v>
      </c>
      <c r="AE251" s="17" t="s">
        <v>1508</v>
      </c>
      <c r="AF251" s="3" t="s">
        <v>1400</v>
      </c>
      <c r="AG251" s="5"/>
      <c r="AH251" s="5"/>
      <c r="AI251" s="5"/>
      <c r="AJ251" s="3" t="s">
        <v>100</v>
      </c>
      <c r="AK251" s="18"/>
    </row>
    <row r="252" ht="12" customHeight="1" spans="1:37" x14ac:dyDescent="0.25">
      <c r="A252" s="13" t="s">
        <v>310</v>
      </c>
      <c r="B252" s="13" t="s">
        <v>40</v>
      </c>
      <c r="C252" s="13" t="s">
        <v>1397</v>
      </c>
      <c r="D252" s="14" t="s">
        <v>769</v>
      </c>
      <c r="E252" s="15" t="s">
        <v>1784</v>
      </c>
      <c r="F252" s="3" t="s">
        <v>312</v>
      </c>
      <c r="G252" s="3" t="s">
        <v>732</v>
      </c>
      <c r="H252" s="16" t="s">
        <v>95</v>
      </c>
      <c r="I252" s="3" t="s">
        <v>1399</v>
      </c>
      <c r="J252" s="3" t="s">
        <v>1400</v>
      </c>
      <c r="K252" s="3"/>
      <c r="L252" s="16" t="s">
        <v>1401</v>
      </c>
      <c r="M252" s="3" t="s">
        <v>312</v>
      </c>
      <c r="N252" s="3" t="s">
        <v>1438</v>
      </c>
      <c r="O252" s="16" t="s">
        <v>1735</v>
      </c>
      <c r="P252" s="16"/>
      <c r="Q252" s="16"/>
      <c r="R252" s="3" t="s">
        <v>31</v>
      </c>
      <c r="S252" s="3" t="s">
        <v>32</v>
      </c>
      <c r="T252" s="3" t="s">
        <v>40</v>
      </c>
      <c r="U252" s="3" t="s">
        <v>35</v>
      </c>
      <c r="V252" s="4" t="s">
        <v>30</v>
      </c>
      <c r="W252" s="3" t="s">
        <v>311</v>
      </c>
      <c r="X252" s="4" t="s">
        <v>966</v>
      </c>
      <c r="Y252" s="5"/>
      <c r="Z252" s="5"/>
      <c r="AA252" s="5"/>
      <c r="AB252" s="5"/>
      <c r="AC252" s="5"/>
      <c r="AD252" s="4" t="s">
        <v>769</v>
      </c>
      <c r="AE252" s="17" t="s">
        <v>1785</v>
      </c>
      <c r="AF252" s="3" t="s">
        <v>1400</v>
      </c>
      <c r="AG252" s="5"/>
      <c r="AH252" s="5"/>
      <c r="AI252" s="5"/>
      <c r="AJ252" s="3" t="s">
        <v>282</v>
      </c>
      <c r="AK252" s="18"/>
    </row>
    <row r="253" ht="12" customHeight="1" spans="1:37" x14ac:dyDescent="0.25">
      <c r="A253" s="13" t="s">
        <v>295</v>
      </c>
      <c r="B253" s="13" t="s">
        <v>40</v>
      </c>
      <c r="C253" s="13" t="s">
        <v>1397</v>
      </c>
      <c r="D253" s="14" t="s">
        <v>792</v>
      </c>
      <c r="E253" s="15" t="s">
        <v>1786</v>
      </c>
      <c r="F253" s="3" t="s">
        <v>296</v>
      </c>
      <c r="G253" s="3" t="s">
        <v>47</v>
      </c>
      <c r="H253" s="16" t="s">
        <v>95</v>
      </c>
      <c r="I253" s="3" t="s">
        <v>1399</v>
      </c>
      <c r="J253" s="3" t="s">
        <v>1400</v>
      </c>
      <c r="K253" s="3"/>
      <c r="L253" s="16" t="s">
        <v>1401</v>
      </c>
      <c r="M253" s="3" t="s">
        <v>296</v>
      </c>
      <c r="N253" s="3" t="s">
        <v>1438</v>
      </c>
      <c r="O253" s="16" t="s">
        <v>1735</v>
      </c>
      <c r="P253" s="16"/>
      <c r="Q253" s="16"/>
      <c r="R253" s="3" t="s">
        <v>31</v>
      </c>
      <c r="S253" s="3" t="s">
        <v>32</v>
      </c>
      <c r="T253" s="3" t="s">
        <v>40</v>
      </c>
      <c r="U253" s="3" t="s">
        <v>35</v>
      </c>
      <c r="V253" s="4" t="s">
        <v>30</v>
      </c>
      <c r="W253" s="3" t="s">
        <v>36</v>
      </c>
      <c r="X253" s="4" t="s">
        <v>730</v>
      </c>
      <c r="Y253" s="5"/>
      <c r="Z253" s="5"/>
      <c r="AA253" s="5"/>
      <c r="AB253" s="5"/>
      <c r="AC253" s="5"/>
      <c r="AD253" s="4" t="s">
        <v>1405</v>
      </c>
      <c r="AE253" s="17" t="s">
        <v>1787</v>
      </c>
      <c r="AF253" s="3" t="s">
        <v>1400</v>
      </c>
      <c r="AG253" s="5"/>
      <c r="AH253" s="5"/>
      <c r="AI253" s="5"/>
      <c r="AJ253" s="3" t="s">
        <v>297</v>
      </c>
      <c r="AK253" s="18"/>
    </row>
    <row r="254" ht="12" customHeight="1" spans="1:37" x14ac:dyDescent="0.25">
      <c r="A254" s="13" t="s">
        <v>366</v>
      </c>
      <c r="B254" s="13" t="s">
        <v>40</v>
      </c>
      <c r="C254" s="13" t="s">
        <v>1397</v>
      </c>
      <c r="D254" s="14" t="s">
        <v>774</v>
      </c>
      <c r="E254" s="15" t="s">
        <v>1458</v>
      </c>
      <c r="F254" s="3" t="s">
        <v>97</v>
      </c>
      <c r="G254" s="3" t="s">
        <v>778</v>
      </c>
      <c r="H254" s="16" t="s">
        <v>95</v>
      </c>
      <c r="I254" s="3" t="s">
        <v>1399</v>
      </c>
      <c r="J254" s="3" t="s">
        <v>1400</v>
      </c>
      <c r="K254" s="3"/>
      <c r="L254" s="16" t="s">
        <v>1401</v>
      </c>
      <c r="M254" s="3" t="s">
        <v>97</v>
      </c>
      <c r="N254" s="3" t="s">
        <v>1402</v>
      </c>
      <c r="O254" s="16" t="s">
        <v>1735</v>
      </c>
      <c r="P254" s="16"/>
      <c r="Q254" s="16"/>
      <c r="R254" s="3" t="s">
        <v>31</v>
      </c>
      <c r="S254" s="3" t="s">
        <v>32</v>
      </c>
      <c r="T254" s="3" t="s">
        <v>40</v>
      </c>
      <c r="U254" s="3" t="s">
        <v>35</v>
      </c>
      <c r="V254" s="4" t="s">
        <v>30</v>
      </c>
      <c r="W254" s="3" t="s">
        <v>96</v>
      </c>
      <c r="X254" s="4" t="s">
        <v>966</v>
      </c>
      <c r="Y254" s="5"/>
      <c r="Z254" s="5"/>
      <c r="AA254" s="5"/>
      <c r="AB254" s="5"/>
      <c r="AC254" s="5"/>
      <c r="AD254" s="4" t="s">
        <v>774</v>
      </c>
      <c r="AE254" s="17" t="s">
        <v>1788</v>
      </c>
      <c r="AF254" s="3" t="s">
        <v>1400</v>
      </c>
      <c r="AG254" s="5"/>
      <c r="AH254" s="5"/>
      <c r="AI254" s="5"/>
      <c r="AJ254" s="3" t="s">
        <v>100</v>
      </c>
      <c r="AK254" s="18"/>
    </row>
    <row r="255" ht="12" customHeight="1" spans="1:37" x14ac:dyDescent="0.25">
      <c r="A255" s="13" t="s">
        <v>275</v>
      </c>
      <c r="B255" s="13" t="s">
        <v>40</v>
      </c>
      <c r="C255" s="13" t="s">
        <v>1397</v>
      </c>
      <c r="D255" s="14" t="s">
        <v>774</v>
      </c>
      <c r="E255" s="15" t="s">
        <v>1789</v>
      </c>
      <c r="F255" s="3" t="s">
        <v>97</v>
      </c>
      <c r="G255" s="3" t="s">
        <v>778</v>
      </c>
      <c r="H255" s="16" t="s">
        <v>95</v>
      </c>
      <c r="I255" s="3" t="s">
        <v>1399</v>
      </c>
      <c r="J255" s="3" t="s">
        <v>1400</v>
      </c>
      <c r="K255" s="3"/>
      <c r="L255" s="16" t="s">
        <v>1401</v>
      </c>
      <c r="M255" s="3" t="s">
        <v>97</v>
      </c>
      <c r="N255" s="3" t="s">
        <v>1402</v>
      </c>
      <c r="O255" s="16" t="s">
        <v>1711</v>
      </c>
      <c r="P255" s="16"/>
      <c r="Q255" s="16"/>
      <c r="R255" s="3" t="s">
        <v>31</v>
      </c>
      <c r="S255" s="3" t="s">
        <v>32</v>
      </c>
      <c r="T255" s="3" t="s">
        <v>40</v>
      </c>
      <c r="U255" s="3" t="s">
        <v>35</v>
      </c>
      <c r="V255" s="4" t="s">
        <v>30</v>
      </c>
      <c r="W255" s="3" t="s">
        <v>96</v>
      </c>
      <c r="X255" s="4" t="s">
        <v>966</v>
      </c>
      <c r="Y255" s="5"/>
      <c r="Z255" s="5"/>
      <c r="AA255" s="5"/>
      <c r="AB255" s="5"/>
      <c r="AC255" s="5"/>
      <c r="AD255" s="4" t="s">
        <v>797</v>
      </c>
      <c r="AE255" s="17" t="s">
        <v>1452</v>
      </c>
      <c r="AF255" s="3" t="s">
        <v>1400</v>
      </c>
      <c r="AG255" s="5"/>
      <c r="AH255" s="5"/>
      <c r="AI255" s="5"/>
      <c r="AJ255" s="3" t="s">
        <v>100</v>
      </c>
      <c r="AK255" s="18"/>
    </row>
    <row r="256" ht="12" customHeight="1" spans="1:37" x14ac:dyDescent="0.25">
      <c r="A256" s="13" t="s">
        <v>367</v>
      </c>
      <c r="B256" s="13" t="s">
        <v>40</v>
      </c>
      <c r="C256" s="13" t="s">
        <v>1397</v>
      </c>
      <c r="D256" s="14" t="s">
        <v>797</v>
      </c>
      <c r="E256" s="15" t="s">
        <v>1552</v>
      </c>
      <c r="F256" s="3" t="s">
        <v>97</v>
      </c>
      <c r="G256" s="3" t="s">
        <v>778</v>
      </c>
      <c r="H256" s="16" t="s">
        <v>95</v>
      </c>
      <c r="I256" s="3" t="s">
        <v>1399</v>
      </c>
      <c r="J256" s="3" t="s">
        <v>1400</v>
      </c>
      <c r="K256" s="3"/>
      <c r="L256" s="16" t="s">
        <v>1401</v>
      </c>
      <c r="M256" s="3" t="s">
        <v>97</v>
      </c>
      <c r="N256" s="3" t="s">
        <v>1402</v>
      </c>
      <c r="O256" s="16" t="s">
        <v>1711</v>
      </c>
      <c r="P256" s="16"/>
      <c r="Q256" s="16"/>
      <c r="R256" s="3" t="s">
        <v>31</v>
      </c>
      <c r="S256" s="3" t="s">
        <v>32</v>
      </c>
      <c r="T256" s="3" t="s">
        <v>40</v>
      </c>
      <c r="U256" s="3" t="s">
        <v>35</v>
      </c>
      <c r="V256" s="4" t="s">
        <v>30</v>
      </c>
      <c r="W256" s="3" t="s">
        <v>96</v>
      </c>
      <c r="X256" s="4" t="s">
        <v>966</v>
      </c>
      <c r="Y256" s="5"/>
      <c r="Z256" s="5"/>
      <c r="AA256" s="5"/>
      <c r="AB256" s="5"/>
      <c r="AC256" s="5"/>
      <c r="AD256" s="4" t="s">
        <v>797</v>
      </c>
      <c r="AE256" s="17" t="s">
        <v>1521</v>
      </c>
      <c r="AF256" s="3" t="s">
        <v>1400</v>
      </c>
      <c r="AG256" s="5"/>
      <c r="AH256" s="5"/>
      <c r="AI256" s="5"/>
      <c r="AJ256" s="3" t="s">
        <v>100</v>
      </c>
      <c r="AK256" s="18"/>
    </row>
    <row r="257" ht="12" customHeight="1" spans="1:37" x14ac:dyDescent="0.25">
      <c r="A257" s="13" t="s">
        <v>368</v>
      </c>
      <c r="B257" s="13" t="s">
        <v>40</v>
      </c>
      <c r="C257" s="13" t="s">
        <v>1397</v>
      </c>
      <c r="D257" s="14" t="s">
        <v>797</v>
      </c>
      <c r="E257" s="15" t="s">
        <v>1790</v>
      </c>
      <c r="F257" s="3" t="s">
        <v>97</v>
      </c>
      <c r="G257" s="3" t="s">
        <v>778</v>
      </c>
      <c r="H257" s="16" t="s">
        <v>95</v>
      </c>
      <c r="I257" s="3" t="s">
        <v>1399</v>
      </c>
      <c r="J257" s="3" t="s">
        <v>1400</v>
      </c>
      <c r="K257" s="3"/>
      <c r="L257" s="16" t="s">
        <v>1401</v>
      </c>
      <c r="M257" s="3" t="s">
        <v>97</v>
      </c>
      <c r="N257" s="3" t="s">
        <v>1402</v>
      </c>
      <c r="O257" s="16" t="s">
        <v>1711</v>
      </c>
      <c r="P257" s="16"/>
      <c r="Q257" s="16"/>
      <c r="R257" s="3" t="s">
        <v>31</v>
      </c>
      <c r="S257" s="3" t="s">
        <v>32</v>
      </c>
      <c r="T257" s="3" t="s">
        <v>40</v>
      </c>
      <c r="U257" s="3" t="s">
        <v>35</v>
      </c>
      <c r="V257" s="4" t="s">
        <v>30</v>
      </c>
      <c r="W257" s="3" t="s">
        <v>96</v>
      </c>
      <c r="X257" s="4" t="s">
        <v>966</v>
      </c>
      <c r="Y257" s="5"/>
      <c r="Z257" s="5"/>
      <c r="AA257" s="5"/>
      <c r="AB257" s="5"/>
      <c r="AC257" s="5"/>
      <c r="AD257" s="4" t="s">
        <v>797</v>
      </c>
      <c r="AE257" s="17" t="s">
        <v>1521</v>
      </c>
      <c r="AF257" s="3" t="s">
        <v>1400</v>
      </c>
      <c r="AG257" s="5"/>
      <c r="AH257" s="5"/>
      <c r="AI257" s="5"/>
      <c r="AJ257" s="3" t="s">
        <v>100</v>
      </c>
      <c r="AK257" s="18"/>
    </row>
    <row r="258" ht="12" customHeight="1" spans="1:37" x14ac:dyDescent="0.25">
      <c r="A258" s="13" t="s">
        <v>301</v>
      </c>
      <c r="B258" s="13" t="s">
        <v>40</v>
      </c>
      <c r="C258" s="13" t="s">
        <v>1397</v>
      </c>
      <c r="D258" s="14" t="s">
        <v>774</v>
      </c>
      <c r="E258" s="15" t="s">
        <v>1791</v>
      </c>
      <c r="F258" s="3" t="s">
        <v>97</v>
      </c>
      <c r="G258" s="3" t="s">
        <v>778</v>
      </c>
      <c r="H258" s="16" t="s">
        <v>95</v>
      </c>
      <c r="I258" s="3" t="s">
        <v>1399</v>
      </c>
      <c r="J258" s="3" t="s">
        <v>1400</v>
      </c>
      <c r="K258" s="3"/>
      <c r="L258" s="16" t="s">
        <v>1401</v>
      </c>
      <c r="M258" s="3" t="s">
        <v>97</v>
      </c>
      <c r="N258" s="3" t="s">
        <v>1402</v>
      </c>
      <c r="O258" s="16" t="s">
        <v>1711</v>
      </c>
      <c r="P258" s="16"/>
      <c r="Q258" s="16"/>
      <c r="R258" s="3" t="s">
        <v>31</v>
      </c>
      <c r="S258" s="3" t="s">
        <v>32</v>
      </c>
      <c r="T258" s="3" t="s">
        <v>40</v>
      </c>
      <c r="U258" s="3" t="s">
        <v>35</v>
      </c>
      <c r="V258" s="4" t="s">
        <v>30</v>
      </c>
      <c r="W258" s="3" t="s">
        <v>96</v>
      </c>
      <c r="X258" s="4" t="s">
        <v>966</v>
      </c>
      <c r="Y258" s="5"/>
      <c r="Z258" s="5"/>
      <c r="AA258" s="5"/>
      <c r="AB258" s="5"/>
      <c r="AC258" s="5"/>
      <c r="AD258" s="4" t="s">
        <v>774</v>
      </c>
      <c r="AE258" s="17" t="s">
        <v>1792</v>
      </c>
      <c r="AF258" s="3" t="s">
        <v>1400</v>
      </c>
      <c r="AG258" s="5"/>
      <c r="AH258" s="5"/>
      <c r="AI258" s="5"/>
      <c r="AJ258" s="3" t="s">
        <v>100</v>
      </c>
      <c r="AK258" s="18"/>
    </row>
    <row r="259" ht="12" customHeight="1" spans="1:37" x14ac:dyDescent="0.25">
      <c r="A259" s="13" t="s">
        <v>450</v>
      </c>
      <c r="B259" s="13" t="s">
        <v>40</v>
      </c>
      <c r="C259" s="13" t="s">
        <v>1397</v>
      </c>
      <c r="D259" s="14" t="s">
        <v>1405</v>
      </c>
      <c r="E259" s="15" t="s">
        <v>1793</v>
      </c>
      <c r="F259" s="3" t="s">
        <v>451</v>
      </c>
      <c r="G259" s="3" t="s">
        <v>1117</v>
      </c>
      <c r="H259" s="16" t="s">
        <v>95</v>
      </c>
      <c r="I259" s="3" t="s">
        <v>1399</v>
      </c>
      <c r="J259" s="3" t="s">
        <v>1400</v>
      </c>
      <c r="K259" s="3"/>
      <c r="L259" s="16" t="s">
        <v>1401</v>
      </c>
      <c r="M259" s="3" t="s">
        <v>451</v>
      </c>
      <c r="N259" s="3" t="s">
        <v>1438</v>
      </c>
      <c r="O259" s="16" t="s">
        <v>1711</v>
      </c>
      <c r="P259" s="16"/>
      <c r="Q259" s="16"/>
      <c r="R259" s="3" t="s">
        <v>31</v>
      </c>
      <c r="S259" s="3" t="s">
        <v>32</v>
      </c>
      <c r="T259" s="3" t="s">
        <v>40</v>
      </c>
      <c r="U259" s="3" t="s">
        <v>35</v>
      </c>
      <c r="V259" s="4" t="s">
        <v>30</v>
      </c>
      <c r="W259" s="3" t="s">
        <v>328</v>
      </c>
      <c r="X259" s="4" t="s">
        <v>966</v>
      </c>
      <c r="Y259" s="5"/>
      <c r="Z259" s="5"/>
      <c r="AA259" s="5"/>
      <c r="AB259" s="5"/>
      <c r="AC259" s="5"/>
      <c r="AD259" s="4" t="s">
        <v>1405</v>
      </c>
      <c r="AE259" s="17" t="s">
        <v>1486</v>
      </c>
      <c r="AF259" s="3" t="s">
        <v>1400</v>
      </c>
      <c r="AG259" s="5"/>
      <c r="AH259" s="5"/>
      <c r="AI259" s="5"/>
      <c r="AJ259" s="3" t="s">
        <v>453</v>
      </c>
      <c r="AK259" s="18"/>
    </row>
    <row r="260" ht="12" customHeight="1" spans="1:37" x14ac:dyDescent="0.25">
      <c r="A260" s="13" t="s">
        <v>302</v>
      </c>
      <c r="B260" s="13" t="s">
        <v>40</v>
      </c>
      <c r="C260" s="13" t="s">
        <v>1397</v>
      </c>
      <c r="D260" s="14" t="s">
        <v>774</v>
      </c>
      <c r="E260" s="15" t="s">
        <v>1794</v>
      </c>
      <c r="F260" s="3" t="s">
        <v>97</v>
      </c>
      <c r="G260" s="3" t="s">
        <v>778</v>
      </c>
      <c r="H260" s="16" t="s">
        <v>95</v>
      </c>
      <c r="I260" s="3" t="s">
        <v>1399</v>
      </c>
      <c r="J260" s="3" t="s">
        <v>1400</v>
      </c>
      <c r="K260" s="3"/>
      <c r="L260" s="16" t="s">
        <v>1401</v>
      </c>
      <c r="M260" s="3" t="s">
        <v>97</v>
      </c>
      <c r="N260" s="3" t="s">
        <v>1402</v>
      </c>
      <c r="O260" s="16" t="s">
        <v>1711</v>
      </c>
      <c r="P260" s="16"/>
      <c r="Q260" s="16"/>
      <c r="R260" s="3" t="s">
        <v>31</v>
      </c>
      <c r="S260" s="3" t="s">
        <v>32</v>
      </c>
      <c r="T260" s="3" t="s">
        <v>40</v>
      </c>
      <c r="U260" s="3" t="s">
        <v>35</v>
      </c>
      <c r="V260" s="4" t="s">
        <v>30</v>
      </c>
      <c r="W260" s="3" t="s">
        <v>96</v>
      </c>
      <c r="X260" s="4" t="s">
        <v>966</v>
      </c>
      <c r="Y260" s="5"/>
      <c r="Z260" s="5"/>
      <c r="AA260" s="5"/>
      <c r="AB260" s="5"/>
      <c r="AC260" s="5"/>
      <c r="AD260" s="4" t="s">
        <v>774</v>
      </c>
      <c r="AE260" s="17" t="s">
        <v>1625</v>
      </c>
      <c r="AF260" s="3" t="s">
        <v>1400</v>
      </c>
      <c r="AG260" s="5"/>
      <c r="AH260" s="5"/>
      <c r="AI260" s="5"/>
      <c r="AJ260" s="3" t="s">
        <v>100</v>
      </c>
      <c r="AK260" s="18"/>
    </row>
    <row r="261" ht="12" customHeight="1" spans="1:37" x14ac:dyDescent="0.25">
      <c r="A261" s="13" t="s">
        <v>288</v>
      </c>
      <c r="B261" s="13" t="s">
        <v>40</v>
      </c>
      <c r="C261" s="13" t="s">
        <v>1397</v>
      </c>
      <c r="D261" s="14" t="s">
        <v>797</v>
      </c>
      <c r="E261" s="15" t="s">
        <v>1795</v>
      </c>
      <c r="F261" s="3" t="s">
        <v>97</v>
      </c>
      <c r="G261" s="3" t="s">
        <v>778</v>
      </c>
      <c r="H261" s="16" t="s">
        <v>95</v>
      </c>
      <c r="I261" s="3" t="s">
        <v>1399</v>
      </c>
      <c r="J261" s="3" t="s">
        <v>1400</v>
      </c>
      <c r="K261" s="3"/>
      <c r="L261" s="16" t="s">
        <v>1401</v>
      </c>
      <c r="M261" s="3" t="s">
        <v>97</v>
      </c>
      <c r="N261" s="3" t="s">
        <v>1402</v>
      </c>
      <c r="O261" s="16" t="s">
        <v>1711</v>
      </c>
      <c r="P261" s="16"/>
      <c r="Q261" s="16"/>
      <c r="R261" s="3" t="s">
        <v>31</v>
      </c>
      <c r="S261" s="3" t="s">
        <v>32</v>
      </c>
      <c r="T261" s="3" t="s">
        <v>40</v>
      </c>
      <c r="U261" s="3" t="s">
        <v>35</v>
      </c>
      <c r="V261" s="4" t="s">
        <v>30</v>
      </c>
      <c r="W261" s="3" t="s">
        <v>96</v>
      </c>
      <c r="X261" s="4" t="s">
        <v>966</v>
      </c>
      <c r="Y261" s="5"/>
      <c r="Z261" s="5"/>
      <c r="AA261" s="5"/>
      <c r="AB261" s="5"/>
      <c r="AC261" s="5"/>
      <c r="AD261" s="4" t="s">
        <v>797</v>
      </c>
      <c r="AE261" s="17" t="s">
        <v>1521</v>
      </c>
      <c r="AF261" s="3" t="s">
        <v>1400</v>
      </c>
      <c r="AG261" s="5"/>
      <c r="AH261" s="5"/>
      <c r="AI261" s="5"/>
      <c r="AJ261" s="3" t="s">
        <v>100</v>
      </c>
      <c r="AK261" s="18"/>
    </row>
    <row r="262" ht="12" customHeight="1" spans="1:37" x14ac:dyDescent="0.25">
      <c r="A262" s="13" t="s">
        <v>424</v>
      </c>
      <c r="B262" s="13" t="s">
        <v>40</v>
      </c>
      <c r="C262" s="13" t="s">
        <v>1397</v>
      </c>
      <c r="D262" s="14" t="s">
        <v>910</v>
      </c>
      <c r="E262" s="15" t="s">
        <v>1479</v>
      </c>
      <c r="F262" s="3" t="s">
        <v>425</v>
      </c>
      <c r="G262" s="3" t="s">
        <v>916</v>
      </c>
      <c r="H262" s="16" t="s">
        <v>95</v>
      </c>
      <c r="I262" s="3" t="s">
        <v>1399</v>
      </c>
      <c r="J262" s="3" t="s">
        <v>1400</v>
      </c>
      <c r="K262" s="3"/>
      <c r="L262" s="16" t="s">
        <v>1401</v>
      </c>
      <c r="M262" s="3" t="s">
        <v>425</v>
      </c>
      <c r="N262" s="3" t="s">
        <v>1490</v>
      </c>
      <c r="O262" s="16" t="s">
        <v>1711</v>
      </c>
      <c r="P262" s="16"/>
      <c r="Q262" s="16"/>
      <c r="R262" s="3" t="s">
        <v>1412</v>
      </c>
      <c r="S262" s="3" t="s">
        <v>32</v>
      </c>
      <c r="T262" s="3" t="s">
        <v>40</v>
      </c>
      <c r="U262" s="3" t="s">
        <v>35</v>
      </c>
      <c r="V262" s="4" t="s">
        <v>30</v>
      </c>
      <c r="W262" s="3" t="s">
        <v>36</v>
      </c>
      <c r="X262" s="4" t="s">
        <v>730</v>
      </c>
      <c r="Y262" s="5"/>
      <c r="Z262" s="5"/>
      <c r="AA262" s="5"/>
      <c r="AB262" s="5"/>
      <c r="AC262" s="5"/>
      <c r="AD262" s="4" t="s">
        <v>910</v>
      </c>
      <c r="AE262" s="17" t="s">
        <v>1542</v>
      </c>
      <c r="AF262" s="3" t="s">
        <v>1400</v>
      </c>
      <c r="AG262" s="5"/>
      <c r="AH262" s="5"/>
      <c r="AI262" s="5"/>
      <c r="AJ262" s="3" t="s">
        <v>427</v>
      </c>
      <c r="AK262" s="18"/>
    </row>
    <row r="263" ht="12" customHeight="1" spans="1:37" x14ac:dyDescent="0.25">
      <c r="A263" s="13" t="s">
        <v>278</v>
      </c>
      <c r="B263" s="13" t="s">
        <v>40</v>
      </c>
      <c r="C263" s="13" t="s">
        <v>1397</v>
      </c>
      <c r="D263" s="14" t="s">
        <v>1057</v>
      </c>
      <c r="E263" s="15" t="s">
        <v>1796</v>
      </c>
      <c r="F263" s="3" t="s">
        <v>280</v>
      </c>
      <c r="G263" s="3" t="s">
        <v>732</v>
      </c>
      <c r="H263" s="16" t="s">
        <v>95</v>
      </c>
      <c r="I263" s="3" t="s">
        <v>1399</v>
      </c>
      <c r="J263" s="3" t="s">
        <v>1400</v>
      </c>
      <c r="K263" s="3"/>
      <c r="L263" s="16" t="s">
        <v>1401</v>
      </c>
      <c r="M263" s="3" t="s">
        <v>280</v>
      </c>
      <c r="N263" s="3" t="s">
        <v>1469</v>
      </c>
      <c r="O263" s="16" t="s">
        <v>1711</v>
      </c>
      <c r="P263" s="16"/>
      <c r="Q263" s="16"/>
      <c r="R263" s="3" t="s">
        <v>1470</v>
      </c>
      <c r="S263" s="3" t="s">
        <v>1471</v>
      </c>
      <c r="T263" s="3" t="s">
        <v>40</v>
      </c>
      <c r="U263" s="3" t="s">
        <v>35</v>
      </c>
      <c r="V263" s="4" t="s">
        <v>30</v>
      </c>
      <c r="W263" s="3" t="s">
        <v>279</v>
      </c>
      <c r="X263" s="4" t="s">
        <v>966</v>
      </c>
      <c r="Y263" s="5"/>
      <c r="Z263" s="5"/>
      <c r="AA263" s="5"/>
      <c r="AB263" s="5"/>
      <c r="AC263" s="5"/>
      <c r="AD263" s="4" t="s">
        <v>1057</v>
      </c>
      <c r="AE263" s="17" t="s">
        <v>1599</v>
      </c>
      <c r="AF263" s="3" t="s">
        <v>1400</v>
      </c>
      <c r="AG263" s="5"/>
      <c r="AH263" s="5"/>
      <c r="AI263" s="5"/>
      <c r="AJ263" s="3" t="s">
        <v>282</v>
      </c>
      <c r="AK263" s="18"/>
    </row>
    <row r="264" ht="12" customHeight="1" spans="1:37" x14ac:dyDescent="0.25">
      <c r="A264" s="13" t="s">
        <v>378</v>
      </c>
      <c r="B264" s="13" t="s">
        <v>40</v>
      </c>
      <c r="C264" s="13" t="s">
        <v>1397</v>
      </c>
      <c r="D264" s="14" t="s">
        <v>1405</v>
      </c>
      <c r="E264" s="15" t="s">
        <v>1797</v>
      </c>
      <c r="F264" s="3" t="s">
        <v>379</v>
      </c>
      <c r="G264" s="3" t="s">
        <v>958</v>
      </c>
      <c r="H264" s="16" t="s">
        <v>95</v>
      </c>
      <c r="I264" s="3" t="s">
        <v>1399</v>
      </c>
      <c r="J264" s="3" t="s">
        <v>1400</v>
      </c>
      <c r="K264" s="3"/>
      <c r="L264" s="16" t="s">
        <v>1401</v>
      </c>
      <c r="M264" s="3" t="s">
        <v>379</v>
      </c>
      <c r="N264" s="3" t="s">
        <v>1438</v>
      </c>
      <c r="O264" s="16" t="s">
        <v>1711</v>
      </c>
      <c r="P264" s="16"/>
      <c r="Q264" s="16"/>
      <c r="R264" s="3" t="s">
        <v>31</v>
      </c>
      <c r="S264" s="3" t="s">
        <v>32</v>
      </c>
      <c r="T264" s="3" t="s">
        <v>40</v>
      </c>
      <c r="U264" s="3" t="s">
        <v>35</v>
      </c>
      <c r="V264" s="4" t="s">
        <v>30</v>
      </c>
      <c r="W264" s="3" t="s">
        <v>36</v>
      </c>
      <c r="X264" s="4" t="s">
        <v>730</v>
      </c>
      <c r="Y264" s="5"/>
      <c r="Z264" s="5"/>
      <c r="AA264" s="5"/>
      <c r="AB264" s="5"/>
      <c r="AC264" s="5"/>
      <c r="AD264" s="4" t="s">
        <v>1405</v>
      </c>
      <c r="AE264" s="17" t="s">
        <v>1486</v>
      </c>
      <c r="AF264" s="3" t="s">
        <v>1400</v>
      </c>
      <c r="AG264" s="5"/>
      <c r="AH264" s="5"/>
      <c r="AI264" s="5"/>
      <c r="AJ264" s="3" t="s">
        <v>87</v>
      </c>
      <c r="AK264" s="18"/>
    </row>
    <row r="265" ht="12" customHeight="1" spans="1:37" x14ac:dyDescent="0.25">
      <c r="A265" s="13" t="s">
        <v>428</v>
      </c>
      <c r="B265" s="13" t="s">
        <v>40</v>
      </c>
      <c r="C265" s="13" t="s">
        <v>1397</v>
      </c>
      <c r="D265" s="14" t="s">
        <v>810</v>
      </c>
      <c r="E265" s="15" t="s">
        <v>1798</v>
      </c>
      <c r="F265" s="3" t="s">
        <v>425</v>
      </c>
      <c r="G265" s="3" t="s">
        <v>916</v>
      </c>
      <c r="H265" s="16" t="s">
        <v>95</v>
      </c>
      <c r="I265" s="3" t="s">
        <v>1399</v>
      </c>
      <c r="J265" s="3" t="s">
        <v>1400</v>
      </c>
      <c r="K265" s="3"/>
      <c r="L265" s="16" t="s">
        <v>1401</v>
      </c>
      <c r="M265" s="3" t="s">
        <v>425</v>
      </c>
      <c r="N265" s="3" t="s">
        <v>1490</v>
      </c>
      <c r="O265" s="16" t="s">
        <v>1711</v>
      </c>
      <c r="P265" s="16"/>
      <c r="Q265" s="16"/>
      <c r="R265" s="3" t="s">
        <v>1412</v>
      </c>
      <c r="S265" s="3" t="s">
        <v>32</v>
      </c>
      <c r="T265" s="3" t="s">
        <v>40</v>
      </c>
      <c r="U265" s="3" t="s">
        <v>35</v>
      </c>
      <c r="V265" s="4" t="s">
        <v>30</v>
      </c>
      <c r="W265" s="3" t="s">
        <v>36</v>
      </c>
      <c r="X265" s="4" t="s">
        <v>730</v>
      </c>
      <c r="Y265" s="5"/>
      <c r="Z265" s="5"/>
      <c r="AA265" s="5"/>
      <c r="AB265" s="5"/>
      <c r="AC265" s="5"/>
      <c r="AD265" s="4" t="s">
        <v>910</v>
      </c>
      <c r="AE265" s="17" t="s">
        <v>1799</v>
      </c>
      <c r="AF265" s="3" t="s">
        <v>1400</v>
      </c>
      <c r="AG265" s="5"/>
      <c r="AH265" s="5"/>
      <c r="AI265" s="5"/>
      <c r="AJ265" s="3" t="s">
        <v>427</v>
      </c>
      <c r="AK265" s="18"/>
    </row>
    <row r="266" ht="12" customHeight="1" spans="1:37" x14ac:dyDescent="0.25">
      <c r="A266" s="13" t="s">
        <v>289</v>
      </c>
      <c r="B266" s="13" t="s">
        <v>40</v>
      </c>
      <c r="C266" s="13" t="s">
        <v>1397</v>
      </c>
      <c r="D266" s="14" t="s">
        <v>797</v>
      </c>
      <c r="E266" s="15" t="s">
        <v>1800</v>
      </c>
      <c r="F266" s="3" t="s">
        <v>97</v>
      </c>
      <c r="G266" s="3" t="s">
        <v>778</v>
      </c>
      <c r="H266" s="16" t="s">
        <v>95</v>
      </c>
      <c r="I266" s="3" t="s">
        <v>1399</v>
      </c>
      <c r="J266" s="3" t="s">
        <v>1400</v>
      </c>
      <c r="K266" s="3"/>
      <c r="L266" s="16" t="s">
        <v>1401</v>
      </c>
      <c r="M266" s="3" t="s">
        <v>97</v>
      </c>
      <c r="N266" s="3" t="s">
        <v>1402</v>
      </c>
      <c r="O266" s="16" t="s">
        <v>1711</v>
      </c>
      <c r="P266" s="16"/>
      <c r="Q266" s="16"/>
      <c r="R266" s="3" t="s">
        <v>31</v>
      </c>
      <c r="S266" s="3" t="s">
        <v>32</v>
      </c>
      <c r="T266" s="3" t="s">
        <v>40</v>
      </c>
      <c r="U266" s="3" t="s">
        <v>35</v>
      </c>
      <c r="V266" s="4" t="s">
        <v>30</v>
      </c>
      <c r="W266" s="3" t="s">
        <v>96</v>
      </c>
      <c r="X266" s="4" t="s">
        <v>966</v>
      </c>
      <c r="Y266" s="5"/>
      <c r="Z266" s="5"/>
      <c r="AA266" s="5"/>
      <c r="AB266" s="5"/>
      <c r="AC266" s="5"/>
      <c r="AD266" s="4" t="s">
        <v>797</v>
      </c>
      <c r="AE266" s="17" t="s">
        <v>1771</v>
      </c>
      <c r="AF266" s="3" t="s">
        <v>1400</v>
      </c>
      <c r="AG266" s="5"/>
      <c r="AH266" s="5"/>
      <c r="AI266" s="5"/>
      <c r="AJ266" s="3" t="s">
        <v>100</v>
      </c>
      <c r="AK266" s="18"/>
    </row>
    <row r="267" ht="12" customHeight="1" spans="1:37" x14ac:dyDescent="0.25">
      <c r="A267" s="13" t="s">
        <v>290</v>
      </c>
      <c r="B267" s="13" t="s">
        <v>40</v>
      </c>
      <c r="C267" s="13" t="s">
        <v>1397</v>
      </c>
      <c r="D267" s="14" t="s">
        <v>774</v>
      </c>
      <c r="E267" s="15" t="s">
        <v>1793</v>
      </c>
      <c r="F267" s="3" t="s">
        <v>97</v>
      </c>
      <c r="G267" s="3" t="s">
        <v>778</v>
      </c>
      <c r="H267" s="16" t="s">
        <v>95</v>
      </c>
      <c r="I267" s="3" t="s">
        <v>1399</v>
      </c>
      <c r="J267" s="3" t="s">
        <v>1400</v>
      </c>
      <c r="K267" s="3"/>
      <c r="L267" s="16" t="s">
        <v>1401</v>
      </c>
      <c r="M267" s="3" t="s">
        <v>97</v>
      </c>
      <c r="N267" s="3" t="s">
        <v>1402</v>
      </c>
      <c r="O267" s="16" t="s">
        <v>1711</v>
      </c>
      <c r="P267" s="16"/>
      <c r="Q267" s="16"/>
      <c r="R267" s="3" t="s">
        <v>31</v>
      </c>
      <c r="S267" s="3" t="s">
        <v>32</v>
      </c>
      <c r="T267" s="3" t="s">
        <v>40</v>
      </c>
      <c r="U267" s="3" t="s">
        <v>35</v>
      </c>
      <c r="V267" s="4" t="s">
        <v>30</v>
      </c>
      <c r="W267" s="3" t="s">
        <v>96</v>
      </c>
      <c r="X267" s="4" t="s">
        <v>966</v>
      </c>
      <c r="Y267" s="5"/>
      <c r="Z267" s="5"/>
      <c r="AA267" s="5"/>
      <c r="AB267" s="5"/>
      <c r="AC267" s="5"/>
      <c r="AD267" s="4" t="s">
        <v>774</v>
      </c>
      <c r="AE267" s="17" t="s">
        <v>1801</v>
      </c>
      <c r="AF267" s="3" t="s">
        <v>1400</v>
      </c>
      <c r="AG267" s="5"/>
      <c r="AH267" s="5"/>
      <c r="AI267" s="5"/>
      <c r="AJ267" s="3" t="s">
        <v>100</v>
      </c>
      <c r="AK267" s="18"/>
    </row>
    <row r="268" ht="12" customHeight="1" spans="1:37" x14ac:dyDescent="0.25">
      <c r="A268" s="13" t="s">
        <v>372</v>
      </c>
      <c r="B268" s="13" t="s">
        <v>40</v>
      </c>
      <c r="C268" s="13" t="s">
        <v>1397</v>
      </c>
      <c r="D268" s="14" t="s">
        <v>744</v>
      </c>
      <c r="E268" s="15" t="s">
        <v>1802</v>
      </c>
      <c r="F268" s="3" t="s">
        <v>370</v>
      </c>
      <c r="G268" s="3" t="s">
        <v>855</v>
      </c>
      <c r="H268" s="16" t="s">
        <v>95</v>
      </c>
      <c r="I268" s="3" t="s">
        <v>1399</v>
      </c>
      <c r="J268" s="3" t="s">
        <v>1400</v>
      </c>
      <c r="K268" s="3"/>
      <c r="L268" s="16" t="s">
        <v>1401</v>
      </c>
      <c r="M268" s="3" t="s">
        <v>370</v>
      </c>
      <c r="N268" s="3" t="s">
        <v>1456</v>
      </c>
      <c r="O268" s="16" t="s">
        <v>1711</v>
      </c>
      <c r="P268" s="16"/>
      <c r="Q268" s="16"/>
      <c r="R268" s="3" t="s">
        <v>1412</v>
      </c>
      <c r="S268" s="3" t="s">
        <v>32</v>
      </c>
      <c r="T268" s="3" t="s">
        <v>40</v>
      </c>
      <c r="U268" s="3" t="s">
        <v>35</v>
      </c>
      <c r="V268" s="4" t="s">
        <v>30</v>
      </c>
      <c r="W268" s="3" t="s">
        <v>36</v>
      </c>
      <c r="X268" s="4" t="s">
        <v>730</v>
      </c>
      <c r="Y268" s="5"/>
      <c r="Z268" s="5"/>
      <c r="AA268" s="5"/>
      <c r="AB268" s="5"/>
      <c r="AC268" s="5"/>
      <c r="AD268" s="4" t="s">
        <v>744</v>
      </c>
      <c r="AE268" s="17" t="s">
        <v>1457</v>
      </c>
      <c r="AF268" s="3" t="s">
        <v>1400</v>
      </c>
      <c r="AG268" s="5"/>
      <c r="AH268" s="5"/>
      <c r="AI268" s="5"/>
      <c r="AJ268" s="3" t="s">
        <v>371</v>
      </c>
      <c r="AK268" s="18"/>
    </row>
    <row r="269" ht="12" customHeight="1" spans="1:37" x14ac:dyDescent="0.25">
      <c r="A269" s="13" t="s">
        <v>355</v>
      </c>
      <c r="B269" s="13" t="s">
        <v>40</v>
      </c>
      <c r="C269" s="13" t="s">
        <v>1397</v>
      </c>
      <c r="D269" s="14" t="s">
        <v>774</v>
      </c>
      <c r="E269" s="15" t="s">
        <v>1803</v>
      </c>
      <c r="F269" s="3" t="s">
        <v>356</v>
      </c>
      <c r="G269" s="3" t="s">
        <v>978</v>
      </c>
      <c r="H269" s="16" t="s">
        <v>95</v>
      </c>
      <c r="I269" s="3" t="s">
        <v>1399</v>
      </c>
      <c r="J269" s="3" t="s">
        <v>1400</v>
      </c>
      <c r="K269" s="3"/>
      <c r="L269" s="16" t="s">
        <v>1401</v>
      </c>
      <c r="M269" s="3" t="s">
        <v>356</v>
      </c>
      <c r="N269" s="3" t="s">
        <v>1438</v>
      </c>
      <c r="O269" s="16" t="s">
        <v>1711</v>
      </c>
      <c r="P269" s="16"/>
      <c r="Q269" s="16"/>
      <c r="R269" s="3" t="s">
        <v>31</v>
      </c>
      <c r="S269" s="3" t="s">
        <v>32</v>
      </c>
      <c r="T269" s="3" t="s">
        <v>40</v>
      </c>
      <c r="U269" s="3" t="s">
        <v>35</v>
      </c>
      <c r="V269" s="4" t="s">
        <v>30</v>
      </c>
      <c r="W269" s="3" t="s">
        <v>36</v>
      </c>
      <c r="X269" s="4" t="s">
        <v>730</v>
      </c>
      <c r="Y269" s="5"/>
      <c r="Z269" s="5"/>
      <c r="AA269" s="5"/>
      <c r="AB269" s="5"/>
      <c r="AC269" s="5"/>
      <c r="AD269" s="4" t="s">
        <v>774</v>
      </c>
      <c r="AE269" s="17" t="s">
        <v>1804</v>
      </c>
      <c r="AF269" s="3" t="s">
        <v>1400</v>
      </c>
      <c r="AG269" s="5"/>
      <c r="AH269" s="5"/>
      <c r="AI269" s="5"/>
      <c r="AJ269" s="3" t="s">
        <v>358</v>
      </c>
      <c r="AK269" s="18"/>
    </row>
    <row r="270" ht="12" customHeight="1" spans="1:37" x14ac:dyDescent="0.25">
      <c r="A270" s="13" t="s">
        <v>314</v>
      </c>
      <c r="B270" s="13" t="s">
        <v>40</v>
      </c>
      <c r="C270" s="13" t="s">
        <v>1397</v>
      </c>
      <c r="D270" s="14" t="s">
        <v>792</v>
      </c>
      <c r="E270" s="15" t="s">
        <v>1805</v>
      </c>
      <c r="F270" s="3" t="s">
        <v>315</v>
      </c>
      <c r="G270" s="3" t="s">
        <v>316</v>
      </c>
      <c r="H270" s="16" t="s">
        <v>95</v>
      </c>
      <c r="I270" s="3" t="s">
        <v>1399</v>
      </c>
      <c r="J270" s="3" t="s">
        <v>1400</v>
      </c>
      <c r="K270" s="3"/>
      <c r="L270" s="16" t="s">
        <v>1401</v>
      </c>
      <c r="M270" s="3" t="s">
        <v>315</v>
      </c>
      <c r="N270" s="3" t="s">
        <v>1438</v>
      </c>
      <c r="O270" s="16" t="s">
        <v>1711</v>
      </c>
      <c r="P270" s="16"/>
      <c r="Q270" s="16"/>
      <c r="R270" s="3" t="s">
        <v>31</v>
      </c>
      <c r="S270" s="3" t="s">
        <v>32</v>
      </c>
      <c r="T270" s="3" t="s">
        <v>40</v>
      </c>
      <c r="U270" s="3" t="s">
        <v>35</v>
      </c>
      <c r="V270" s="4" t="s">
        <v>30</v>
      </c>
      <c r="W270" s="3" t="s">
        <v>36</v>
      </c>
      <c r="X270" s="4" t="s">
        <v>730</v>
      </c>
      <c r="Y270" s="5"/>
      <c r="Z270" s="5"/>
      <c r="AA270" s="5"/>
      <c r="AB270" s="5"/>
      <c r="AC270" s="5"/>
      <c r="AD270" s="4" t="s">
        <v>792</v>
      </c>
      <c r="AE270" s="17" t="s">
        <v>1806</v>
      </c>
      <c r="AF270" s="3" t="s">
        <v>1400</v>
      </c>
      <c r="AG270" s="5"/>
      <c r="AH270" s="5"/>
      <c r="AI270" s="5"/>
      <c r="AJ270" s="3" t="s">
        <v>317</v>
      </c>
      <c r="AK270" s="18"/>
    </row>
    <row r="271" ht="12" customHeight="1" spans="1:37" x14ac:dyDescent="0.25">
      <c r="A271" s="13" t="s">
        <v>334</v>
      </c>
      <c r="B271" s="13" t="s">
        <v>40</v>
      </c>
      <c r="C271" s="13" t="s">
        <v>1397</v>
      </c>
      <c r="D271" s="14" t="s">
        <v>828</v>
      </c>
      <c r="E271" s="15" t="s">
        <v>1807</v>
      </c>
      <c r="F271" s="3" t="s">
        <v>335</v>
      </c>
      <c r="G271" s="3" t="s">
        <v>732</v>
      </c>
      <c r="H271" s="16" t="s">
        <v>95</v>
      </c>
      <c r="I271" s="3" t="s">
        <v>1399</v>
      </c>
      <c r="J271" s="3" t="s">
        <v>1400</v>
      </c>
      <c r="K271" s="3"/>
      <c r="L271" s="16" t="s">
        <v>1401</v>
      </c>
      <c r="M271" s="3" t="s">
        <v>335</v>
      </c>
      <c r="N271" s="3" t="s">
        <v>1544</v>
      </c>
      <c r="O271" s="16" t="s">
        <v>1711</v>
      </c>
      <c r="P271" s="16"/>
      <c r="Q271" s="16"/>
      <c r="R271" s="3" t="s">
        <v>31</v>
      </c>
      <c r="S271" s="3" t="s">
        <v>32</v>
      </c>
      <c r="T271" s="3" t="s">
        <v>40</v>
      </c>
      <c r="U271" s="3" t="s">
        <v>35</v>
      </c>
      <c r="V271" s="4" t="s">
        <v>30</v>
      </c>
      <c r="W271" s="3" t="s">
        <v>324</v>
      </c>
      <c r="X271" s="4" t="s">
        <v>966</v>
      </c>
      <c r="Y271" s="5"/>
      <c r="Z271" s="5"/>
      <c r="AA271" s="5"/>
      <c r="AB271" s="5"/>
      <c r="AC271" s="5"/>
      <c r="AD271" s="4" t="s">
        <v>828</v>
      </c>
      <c r="AE271" s="17" t="s">
        <v>1704</v>
      </c>
      <c r="AF271" s="3" t="s">
        <v>1400</v>
      </c>
      <c r="AG271" s="5"/>
      <c r="AH271" s="5"/>
      <c r="AI271" s="5"/>
      <c r="AJ271" s="3" t="s">
        <v>282</v>
      </c>
      <c r="AK271" s="18"/>
    </row>
    <row r="272" ht="12" customHeight="1" spans="1:37" x14ac:dyDescent="0.25">
      <c r="A272" s="13" t="s">
        <v>291</v>
      </c>
      <c r="B272" s="13" t="s">
        <v>40</v>
      </c>
      <c r="C272" s="13" t="s">
        <v>1397</v>
      </c>
      <c r="D272" s="14" t="s">
        <v>797</v>
      </c>
      <c r="E272" s="15" t="s">
        <v>1647</v>
      </c>
      <c r="F272" s="3" t="s">
        <v>97</v>
      </c>
      <c r="G272" s="3" t="s">
        <v>778</v>
      </c>
      <c r="H272" s="16" t="s">
        <v>95</v>
      </c>
      <c r="I272" s="3" t="s">
        <v>1399</v>
      </c>
      <c r="J272" s="3" t="s">
        <v>1400</v>
      </c>
      <c r="K272" s="3"/>
      <c r="L272" s="16" t="s">
        <v>1401</v>
      </c>
      <c r="M272" s="3" t="s">
        <v>97</v>
      </c>
      <c r="N272" s="3" t="s">
        <v>1402</v>
      </c>
      <c r="O272" s="16" t="s">
        <v>1422</v>
      </c>
      <c r="P272" s="16"/>
      <c r="Q272" s="16"/>
      <c r="R272" s="3" t="s">
        <v>31</v>
      </c>
      <c r="S272" s="3" t="s">
        <v>32</v>
      </c>
      <c r="T272" s="3" t="s">
        <v>40</v>
      </c>
      <c r="U272" s="3" t="s">
        <v>35</v>
      </c>
      <c r="V272" s="4" t="s">
        <v>30</v>
      </c>
      <c r="W272" s="3" t="s">
        <v>96</v>
      </c>
      <c r="X272" s="4" t="s">
        <v>966</v>
      </c>
      <c r="Y272" s="5"/>
      <c r="Z272" s="5"/>
      <c r="AA272" s="5"/>
      <c r="AB272" s="5"/>
      <c r="AC272" s="5"/>
      <c r="AD272" s="4" t="s">
        <v>797</v>
      </c>
      <c r="AE272" s="17" t="s">
        <v>1771</v>
      </c>
      <c r="AF272" s="3" t="s">
        <v>1400</v>
      </c>
      <c r="AG272" s="5"/>
      <c r="AH272" s="5"/>
      <c r="AI272" s="5"/>
      <c r="AJ272" s="3" t="s">
        <v>100</v>
      </c>
      <c r="AK272" s="18"/>
    </row>
    <row r="273" ht="12" customHeight="1" spans="1:37" x14ac:dyDescent="0.25">
      <c r="A273" s="13" t="s">
        <v>353</v>
      </c>
      <c r="B273" s="13" t="s">
        <v>40</v>
      </c>
      <c r="C273" s="13" t="s">
        <v>1397</v>
      </c>
      <c r="D273" s="14" t="s">
        <v>787</v>
      </c>
      <c r="E273" s="15" t="s">
        <v>1808</v>
      </c>
      <c r="F273" s="3" t="s">
        <v>354</v>
      </c>
      <c r="G273" s="3" t="s">
        <v>925</v>
      </c>
      <c r="H273" s="16" t="s">
        <v>95</v>
      </c>
      <c r="I273" s="3" t="s">
        <v>1399</v>
      </c>
      <c r="J273" s="3" t="s">
        <v>1400</v>
      </c>
      <c r="K273" s="3"/>
      <c r="L273" s="16" t="s">
        <v>1401</v>
      </c>
      <c r="M273" s="3" t="s">
        <v>354</v>
      </c>
      <c r="N273" s="3" t="s">
        <v>1438</v>
      </c>
      <c r="O273" s="16" t="s">
        <v>1422</v>
      </c>
      <c r="P273" s="16"/>
      <c r="Q273" s="16"/>
      <c r="R273" s="3" t="s">
        <v>31</v>
      </c>
      <c r="S273" s="3" t="s">
        <v>32</v>
      </c>
      <c r="T273" s="3" t="s">
        <v>40</v>
      </c>
      <c r="U273" s="3" t="s">
        <v>35</v>
      </c>
      <c r="V273" s="4" t="s">
        <v>30</v>
      </c>
      <c r="W273" s="3" t="s">
        <v>36</v>
      </c>
      <c r="X273" s="4" t="s">
        <v>730</v>
      </c>
      <c r="Y273" s="5"/>
      <c r="Z273" s="5"/>
      <c r="AA273" s="5"/>
      <c r="AB273" s="5"/>
      <c r="AC273" s="5"/>
      <c r="AD273" s="4" t="s">
        <v>909</v>
      </c>
      <c r="AE273" s="17" t="s">
        <v>1809</v>
      </c>
      <c r="AF273" s="3" t="s">
        <v>1400</v>
      </c>
      <c r="AG273" s="5"/>
      <c r="AH273" s="5"/>
      <c r="AI273" s="5"/>
      <c r="AJ273" s="3" t="s">
        <v>191</v>
      </c>
      <c r="AK273" s="18"/>
    </row>
    <row r="274" ht="12" customHeight="1" spans="1:37" x14ac:dyDescent="0.25">
      <c r="A274" s="13" t="s">
        <v>336</v>
      </c>
      <c r="B274" s="13" t="s">
        <v>40</v>
      </c>
      <c r="C274" s="13" t="s">
        <v>1397</v>
      </c>
      <c r="D274" s="14" t="s">
        <v>828</v>
      </c>
      <c r="E274" s="15" t="s">
        <v>1810</v>
      </c>
      <c r="F274" s="3" t="s">
        <v>335</v>
      </c>
      <c r="G274" s="3" t="s">
        <v>732</v>
      </c>
      <c r="H274" s="16" t="s">
        <v>95</v>
      </c>
      <c r="I274" s="3" t="s">
        <v>1399</v>
      </c>
      <c r="J274" s="3" t="s">
        <v>1400</v>
      </c>
      <c r="K274" s="3"/>
      <c r="L274" s="16" t="s">
        <v>1401</v>
      </c>
      <c r="M274" s="3" t="s">
        <v>335</v>
      </c>
      <c r="N274" s="3" t="s">
        <v>1544</v>
      </c>
      <c r="O274" s="16" t="s">
        <v>1422</v>
      </c>
      <c r="P274" s="16"/>
      <c r="Q274" s="16"/>
      <c r="R274" s="3" t="s">
        <v>31</v>
      </c>
      <c r="S274" s="3" t="s">
        <v>32</v>
      </c>
      <c r="T274" s="3" t="s">
        <v>40</v>
      </c>
      <c r="U274" s="3" t="s">
        <v>35</v>
      </c>
      <c r="V274" s="4" t="s">
        <v>30</v>
      </c>
      <c r="W274" s="3" t="s">
        <v>324</v>
      </c>
      <c r="X274" s="4" t="s">
        <v>966</v>
      </c>
      <c r="Y274" s="5"/>
      <c r="Z274" s="5"/>
      <c r="AA274" s="5"/>
      <c r="AB274" s="5"/>
      <c r="AC274" s="5"/>
      <c r="AD274" s="4" t="s">
        <v>828</v>
      </c>
      <c r="AE274" s="17" t="s">
        <v>1811</v>
      </c>
      <c r="AF274" s="3" t="s">
        <v>1400</v>
      </c>
      <c r="AG274" s="5"/>
      <c r="AH274" s="5"/>
      <c r="AI274" s="5"/>
      <c r="AJ274" s="3" t="s">
        <v>282</v>
      </c>
      <c r="AK274" s="18"/>
    </row>
    <row r="275" ht="12" customHeight="1" spans="1:37" x14ac:dyDescent="0.25">
      <c r="A275" s="13" t="s">
        <v>294</v>
      </c>
      <c r="B275" s="13" t="s">
        <v>40</v>
      </c>
      <c r="C275" s="13" t="s">
        <v>1397</v>
      </c>
      <c r="D275" s="14" t="s">
        <v>797</v>
      </c>
      <c r="E275" s="15" t="s">
        <v>1812</v>
      </c>
      <c r="F275" s="3" t="s">
        <v>97</v>
      </c>
      <c r="G275" s="3" t="s">
        <v>778</v>
      </c>
      <c r="H275" s="16" t="s">
        <v>95</v>
      </c>
      <c r="I275" s="3" t="s">
        <v>1399</v>
      </c>
      <c r="J275" s="3" t="s">
        <v>1400</v>
      </c>
      <c r="K275" s="3"/>
      <c r="L275" s="16" t="s">
        <v>1401</v>
      </c>
      <c r="M275" s="3" t="s">
        <v>97</v>
      </c>
      <c r="N275" s="3" t="s">
        <v>1402</v>
      </c>
      <c r="O275" s="16" t="s">
        <v>1422</v>
      </c>
      <c r="P275" s="16"/>
      <c r="Q275" s="16"/>
      <c r="R275" s="3" t="s">
        <v>31</v>
      </c>
      <c r="S275" s="3" t="s">
        <v>32</v>
      </c>
      <c r="T275" s="3" t="s">
        <v>40</v>
      </c>
      <c r="U275" s="3" t="s">
        <v>35</v>
      </c>
      <c r="V275" s="4" t="s">
        <v>30</v>
      </c>
      <c r="W275" s="3" t="s">
        <v>96</v>
      </c>
      <c r="X275" s="4" t="s">
        <v>966</v>
      </c>
      <c r="Y275" s="5"/>
      <c r="Z275" s="5"/>
      <c r="AA275" s="5"/>
      <c r="AB275" s="5"/>
      <c r="AC275" s="5"/>
      <c r="AD275" s="4" t="s">
        <v>797</v>
      </c>
      <c r="AE275" s="17" t="s">
        <v>1440</v>
      </c>
      <c r="AF275" s="3" t="s">
        <v>1400</v>
      </c>
      <c r="AG275" s="5"/>
      <c r="AH275" s="5"/>
      <c r="AI275" s="5"/>
      <c r="AJ275" s="3" t="s">
        <v>100</v>
      </c>
      <c r="AK275" s="18"/>
    </row>
    <row r="276" ht="12" customHeight="1" spans="1:37" x14ac:dyDescent="0.25">
      <c r="A276" s="13" t="s">
        <v>360</v>
      </c>
      <c r="B276" s="13" t="s">
        <v>40</v>
      </c>
      <c r="C276" s="13" t="s">
        <v>1397</v>
      </c>
      <c r="D276" s="14" t="s">
        <v>1405</v>
      </c>
      <c r="E276" s="15" t="s">
        <v>1813</v>
      </c>
      <c r="F276" s="3" t="s">
        <v>361</v>
      </c>
      <c r="G276" s="3" t="s">
        <v>855</v>
      </c>
      <c r="H276" s="16" t="s">
        <v>95</v>
      </c>
      <c r="I276" s="3" t="s">
        <v>1399</v>
      </c>
      <c r="J276" s="3" t="s">
        <v>1400</v>
      </c>
      <c r="K276" s="3"/>
      <c r="L276" s="16" t="s">
        <v>1401</v>
      </c>
      <c r="M276" s="3" t="s">
        <v>361</v>
      </c>
      <c r="N276" s="3" t="s">
        <v>1494</v>
      </c>
      <c r="O276" s="16" t="s">
        <v>1422</v>
      </c>
      <c r="P276" s="16"/>
      <c r="Q276" s="16"/>
      <c r="R276" s="3" t="s">
        <v>31</v>
      </c>
      <c r="S276" s="3" t="s">
        <v>32</v>
      </c>
      <c r="T276" s="3" t="s">
        <v>40</v>
      </c>
      <c r="U276" s="3" t="s">
        <v>35</v>
      </c>
      <c r="V276" s="4" t="s">
        <v>30</v>
      </c>
      <c r="W276" s="3" t="s">
        <v>36</v>
      </c>
      <c r="X276" s="4" t="s">
        <v>730</v>
      </c>
      <c r="Y276" s="5"/>
      <c r="Z276" s="5"/>
      <c r="AA276" s="5"/>
      <c r="AB276" s="5"/>
      <c r="AC276" s="5"/>
      <c r="AD276" s="4" t="s">
        <v>1405</v>
      </c>
      <c r="AE276" s="17" t="s">
        <v>1651</v>
      </c>
      <c r="AF276" s="3" t="s">
        <v>1400</v>
      </c>
      <c r="AG276" s="5"/>
      <c r="AH276" s="5"/>
      <c r="AI276" s="5"/>
      <c r="AJ276" s="3" t="s">
        <v>363</v>
      </c>
      <c r="AK276" s="18"/>
    </row>
    <row r="277" ht="12" customHeight="1" spans="1:37" x14ac:dyDescent="0.25">
      <c r="A277" s="13" t="s">
        <v>284</v>
      </c>
      <c r="B277" s="13" t="s">
        <v>40</v>
      </c>
      <c r="C277" s="13" t="s">
        <v>1397</v>
      </c>
      <c r="D277" s="14" t="s">
        <v>1057</v>
      </c>
      <c r="E277" s="15" t="s">
        <v>1796</v>
      </c>
      <c r="F277" s="3" t="s">
        <v>280</v>
      </c>
      <c r="G277" s="3" t="s">
        <v>732</v>
      </c>
      <c r="H277" s="16" t="s">
        <v>95</v>
      </c>
      <c r="I277" s="3" t="s">
        <v>1399</v>
      </c>
      <c r="J277" s="3" t="s">
        <v>1400</v>
      </c>
      <c r="K277" s="3"/>
      <c r="L277" s="16" t="s">
        <v>1401</v>
      </c>
      <c r="M277" s="3" t="s">
        <v>280</v>
      </c>
      <c r="N277" s="3" t="s">
        <v>1469</v>
      </c>
      <c r="O277" s="16" t="s">
        <v>1422</v>
      </c>
      <c r="P277" s="16"/>
      <c r="Q277" s="16"/>
      <c r="R277" s="3" t="s">
        <v>1470</v>
      </c>
      <c r="S277" s="3" t="s">
        <v>1471</v>
      </c>
      <c r="T277" s="3" t="s">
        <v>40</v>
      </c>
      <c r="U277" s="3" t="s">
        <v>35</v>
      </c>
      <c r="V277" s="4" t="s">
        <v>30</v>
      </c>
      <c r="W277" s="3" t="s">
        <v>279</v>
      </c>
      <c r="X277" s="4" t="s">
        <v>966</v>
      </c>
      <c r="Y277" s="5"/>
      <c r="Z277" s="5"/>
      <c r="AA277" s="5"/>
      <c r="AB277" s="5"/>
      <c r="AC277" s="5"/>
      <c r="AD277" s="4" t="s">
        <v>1057</v>
      </c>
      <c r="AE277" s="17" t="s">
        <v>1599</v>
      </c>
      <c r="AF277" s="3" t="s">
        <v>1400</v>
      </c>
      <c r="AG277" s="5"/>
      <c r="AH277" s="5"/>
      <c r="AI277" s="5"/>
      <c r="AJ277" s="3" t="s">
        <v>282</v>
      </c>
      <c r="AK277" s="18"/>
    </row>
    <row r="278" ht="12" customHeight="1" spans="1:37" x14ac:dyDescent="0.25">
      <c r="A278" s="13" t="s">
        <v>390</v>
      </c>
      <c r="B278" s="13" t="s">
        <v>40</v>
      </c>
      <c r="C278" s="13" t="s">
        <v>1397</v>
      </c>
      <c r="D278" s="14" t="s">
        <v>1405</v>
      </c>
      <c r="E278" s="15" t="s">
        <v>1814</v>
      </c>
      <c r="F278" s="3" t="s">
        <v>391</v>
      </c>
      <c r="G278" s="3" t="s">
        <v>1282</v>
      </c>
      <c r="H278" s="16" t="s">
        <v>95</v>
      </c>
      <c r="I278" s="3" t="s">
        <v>1399</v>
      </c>
      <c r="J278" s="3" t="s">
        <v>1400</v>
      </c>
      <c r="K278" s="3"/>
      <c r="L278" s="16" t="s">
        <v>1401</v>
      </c>
      <c r="M278" s="3" t="s">
        <v>391</v>
      </c>
      <c r="N278" s="3" t="s">
        <v>1438</v>
      </c>
      <c r="O278" s="16" t="s">
        <v>1460</v>
      </c>
      <c r="P278" s="16"/>
      <c r="Q278" s="16"/>
      <c r="R278" s="3" t="s">
        <v>31</v>
      </c>
      <c r="S278" s="3" t="s">
        <v>32</v>
      </c>
      <c r="T278" s="3" t="s">
        <v>40</v>
      </c>
      <c r="U278" s="3" t="s">
        <v>35</v>
      </c>
      <c r="V278" s="4" t="s">
        <v>30</v>
      </c>
      <c r="W278" s="3" t="s">
        <v>36</v>
      </c>
      <c r="X278" s="4" t="s">
        <v>730</v>
      </c>
      <c r="Y278" s="5"/>
      <c r="Z278" s="5"/>
      <c r="AA278" s="5"/>
      <c r="AB278" s="5"/>
      <c r="AC278" s="5"/>
      <c r="AD278" s="4" t="s">
        <v>1405</v>
      </c>
      <c r="AE278" s="17" t="s">
        <v>1486</v>
      </c>
      <c r="AF278" s="3" t="s">
        <v>1400</v>
      </c>
      <c r="AG278" s="5"/>
      <c r="AH278" s="5"/>
      <c r="AI278" s="5"/>
      <c r="AJ278" s="3" t="s">
        <v>393</v>
      </c>
      <c r="AK278" s="18"/>
    </row>
    <row r="279" ht="12" customHeight="1" spans="1:37" x14ac:dyDescent="0.25">
      <c r="A279" s="13" t="s">
        <v>337</v>
      </c>
      <c r="B279" s="13" t="s">
        <v>40</v>
      </c>
      <c r="C279" s="13" t="s">
        <v>1397</v>
      </c>
      <c r="D279" s="14" t="s">
        <v>828</v>
      </c>
      <c r="E279" s="15" t="s">
        <v>1815</v>
      </c>
      <c r="F279" s="3" t="s">
        <v>335</v>
      </c>
      <c r="G279" s="3" t="s">
        <v>732</v>
      </c>
      <c r="H279" s="16" t="s">
        <v>95</v>
      </c>
      <c r="I279" s="3" t="s">
        <v>1399</v>
      </c>
      <c r="J279" s="3" t="s">
        <v>1400</v>
      </c>
      <c r="K279" s="3"/>
      <c r="L279" s="16" t="s">
        <v>1401</v>
      </c>
      <c r="M279" s="3" t="s">
        <v>335</v>
      </c>
      <c r="N279" s="3" t="s">
        <v>1544</v>
      </c>
      <c r="O279" s="16" t="s">
        <v>1460</v>
      </c>
      <c r="P279" s="16"/>
      <c r="Q279" s="16"/>
      <c r="R279" s="3" t="s">
        <v>31</v>
      </c>
      <c r="S279" s="3" t="s">
        <v>32</v>
      </c>
      <c r="T279" s="3" t="s">
        <v>40</v>
      </c>
      <c r="U279" s="3" t="s">
        <v>35</v>
      </c>
      <c r="V279" s="4" t="s">
        <v>30</v>
      </c>
      <c r="W279" s="3" t="s">
        <v>324</v>
      </c>
      <c r="X279" s="4" t="s">
        <v>966</v>
      </c>
      <c r="Y279" s="5"/>
      <c r="Z279" s="5"/>
      <c r="AA279" s="5"/>
      <c r="AB279" s="5"/>
      <c r="AC279" s="5"/>
      <c r="AD279" s="4" t="s">
        <v>828</v>
      </c>
      <c r="AE279" s="17" t="s">
        <v>1444</v>
      </c>
      <c r="AF279" s="3" t="s">
        <v>1400</v>
      </c>
      <c r="AG279" s="5"/>
      <c r="AH279" s="5"/>
      <c r="AI279" s="5"/>
      <c r="AJ279" s="3" t="s">
        <v>282</v>
      </c>
      <c r="AK279" s="18"/>
    </row>
    <row r="280" ht="12" customHeight="1" spans="1:37" x14ac:dyDescent="0.25">
      <c r="A280" s="13" t="s">
        <v>416</v>
      </c>
      <c r="B280" s="13" t="s">
        <v>40</v>
      </c>
      <c r="C280" s="13" t="s">
        <v>1397</v>
      </c>
      <c r="D280" s="14" t="s">
        <v>769</v>
      </c>
      <c r="E280" s="15" t="s">
        <v>1816</v>
      </c>
      <c r="F280" s="3" t="s">
        <v>413</v>
      </c>
      <c r="G280" s="3" t="s">
        <v>1189</v>
      </c>
      <c r="H280" s="16" t="s">
        <v>95</v>
      </c>
      <c r="I280" s="3" t="s">
        <v>1399</v>
      </c>
      <c r="J280" s="3" t="s">
        <v>1400</v>
      </c>
      <c r="K280" s="3"/>
      <c r="L280" s="16" t="s">
        <v>1401</v>
      </c>
      <c r="M280" s="3" t="s">
        <v>413</v>
      </c>
      <c r="N280" s="3" t="s">
        <v>1459</v>
      </c>
      <c r="O280" s="16" t="s">
        <v>1460</v>
      </c>
      <c r="P280" s="16"/>
      <c r="Q280" s="16"/>
      <c r="R280" s="3" t="s">
        <v>31</v>
      </c>
      <c r="S280" s="3" t="s">
        <v>32</v>
      </c>
      <c r="T280" s="3" t="s">
        <v>40</v>
      </c>
      <c r="U280" s="3" t="s">
        <v>35</v>
      </c>
      <c r="V280" s="4" t="s">
        <v>30</v>
      </c>
      <c r="W280" s="3" t="s">
        <v>36</v>
      </c>
      <c r="X280" s="4" t="s">
        <v>730</v>
      </c>
      <c r="Y280" s="5"/>
      <c r="Z280" s="5"/>
      <c r="AA280" s="5"/>
      <c r="AB280" s="5"/>
      <c r="AC280" s="5"/>
      <c r="AD280" s="4" t="s">
        <v>785</v>
      </c>
      <c r="AE280" s="17" t="s">
        <v>1536</v>
      </c>
      <c r="AF280" s="3" t="s">
        <v>1400</v>
      </c>
      <c r="AG280" s="5"/>
      <c r="AH280" s="5"/>
      <c r="AI280" s="5"/>
      <c r="AJ280" s="3" t="s">
        <v>131</v>
      </c>
      <c r="AK280" s="18"/>
    </row>
    <row r="281" ht="12" customHeight="1" spans="1:37" x14ac:dyDescent="0.25">
      <c r="A281" s="13" t="s">
        <v>292</v>
      </c>
      <c r="B281" s="13" t="s">
        <v>40</v>
      </c>
      <c r="C281" s="13" t="s">
        <v>1397</v>
      </c>
      <c r="D281" s="14" t="s">
        <v>774</v>
      </c>
      <c r="E281" s="15" t="s">
        <v>1817</v>
      </c>
      <c r="F281" s="3" t="s">
        <v>97</v>
      </c>
      <c r="G281" s="3" t="s">
        <v>778</v>
      </c>
      <c r="H281" s="16" t="s">
        <v>95</v>
      </c>
      <c r="I281" s="3" t="s">
        <v>1399</v>
      </c>
      <c r="J281" s="3" t="s">
        <v>1400</v>
      </c>
      <c r="K281" s="3"/>
      <c r="L281" s="16" t="s">
        <v>1401</v>
      </c>
      <c r="M281" s="3" t="s">
        <v>97</v>
      </c>
      <c r="N281" s="3" t="s">
        <v>1402</v>
      </c>
      <c r="O281" s="16" t="s">
        <v>1460</v>
      </c>
      <c r="P281" s="16"/>
      <c r="Q281" s="16"/>
      <c r="R281" s="3" t="s">
        <v>31</v>
      </c>
      <c r="S281" s="3" t="s">
        <v>32</v>
      </c>
      <c r="T281" s="3" t="s">
        <v>40</v>
      </c>
      <c r="U281" s="3" t="s">
        <v>35</v>
      </c>
      <c r="V281" s="4" t="s">
        <v>30</v>
      </c>
      <c r="W281" s="3" t="s">
        <v>96</v>
      </c>
      <c r="X281" s="4" t="s">
        <v>966</v>
      </c>
      <c r="Y281" s="5"/>
      <c r="Z281" s="5"/>
      <c r="AA281" s="5"/>
      <c r="AB281" s="5"/>
      <c r="AC281" s="5"/>
      <c r="AD281" s="4" t="s">
        <v>774</v>
      </c>
      <c r="AE281" s="17" t="s">
        <v>1788</v>
      </c>
      <c r="AF281" s="3" t="s">
        <v>1400</v>
      </c>
      <c r="AG281" s="5"/>
      <c r="AH281" s="5"/>
      <c r="AI281" s="5"/>
      <c r="AJ281" s="3" t="s">
        <v>100</v>
      </c>
      <c r="AK281" s="18"/>
    </row>
    <row r="282" ht="12" customHeight="1" spans="1:37" x14ac:dyDescent="0.25">
      <c r="A282" s="13" t="s">
        <v>455</v>
      </c>
      <c r="B282" s="13" t="s">
        <v>40</v>
      </c>
      <c r="C282" s="13" t="s">
        <v>1397</v>
      </c>
      <c r="D282" s="14" t="s">
        <v>1405</v>
      </c>
      <c r="E282" s="15" t="s">
        <v>1549</v>
      </c>
      <c r="F282" s="3" t="s">
        <v>456</v>
      </c>
      <c r="G282" s="3" t="s">
        <v>1117</v>
      </c>
      <c r="H282" s="16" t="s">
        <v>95</v>
      </c>
      <c r="I282" s="3" t="s">
        <v>1399</v>
      </c>
      <c r="J282" s="3" t="s">
        <v>1400</v>
      </c>
      <c r="K282" s="3"/>
      <c r="L282" s="16" t="s">
        <v>1401</v>
      </c>
      <c r="M282" s="3" t="s">
        <v>456</v>
      </c>
      <c r="N282" s="3" t="s">
        <v>1438</v>
      </c>
      <c r="O282" s="16" t="s">
        <v>1460</v>
      </c>
      <c r="P282" s="16"/>
      <c r="Q282" s="16"/>
      <c r="R282" s="3" t="s">
        <v>31</v>
      </c>
      <c r="S282" s="3" t="s">
        <v>32</v>
      </c>
      <c r="T282" s="3" t="s">
        <v>40</v>
      </c>
      <c r="U282" s="3" t="s">
        <v>35</v>
      </c>
      <c r="V282" s="4" t="s">
        <v>30</v>
      </c>
      <c r="W282" s="3" t="s">
        <v>328</v>
      </c>
      <c r="X282" s="4" t="s">
        <v>966</v>
      </c>
      <c r="Y282" s="5"/>
      <c r="Z282" s="5"/>
      <c r="AA282" s="5"/>
      <c r="AB282" s="5"/>
      <c r="AC282" s="5"/>
      <c r="AD282" s="4" t="s">
        <v>1405</v>
      </c>
      <c r="AE282" s="17" t="s">
        <v>1679</v>
      </c>
      <c r="AF282" s="3" t="s">
        <v>1400</v>
      </c>
      <c r="AG282" s="5"/>
      <c r="AH282" s="5"/>
      <c r="AI282" s="5"/>
      <c r="AJ282" s="3" t="s">
        <v>453</v>
      </c>
      <c r="AK282" s="18"/>
    </row>
    <row r="283" ht="12" customHeight="1" spans="1:37" x14ac:dyDescent="0.25">
      <c r="A283" s="13" t="s">
        <v>417</v>
      </c>
      <c r="B283" s="13" t="s">
        <v>40</v>
      </c>
      <c r="C283" s="13" t="s">
        <v>1397</v>
      </c>
      <c r="D283" s="14" t="s">
        <v>785</v>
      </c>
      <c r="E283" s="15" t="s">
        <v>1818</v>
      </c>
      <c r="F283" s="3" t="s">
        <v>413</v>
      </c>
      <c r="G283" s="3" t="s">
        <v>1189</v>
      </c>
      <c r="H283" s="16" t="s">
        <v>95</v>
      </c>
      <c r="I283" s="3" t="s">
        <v>1399</v>
      </c>
      <c r="J283" s="3" t="s">
        <v>1400</v>
      </c>
      <c r="K283" s="3"/>
      <c r="L283" s="16" t="s">
        <v>1401</v>
      </c>
      <c r="M283" s="3" t="s">
        <v>413</v>
      </c>
      <c r="N283" s="3" t="s">
        <v>1459</v>
      </c>
      <c r="O283" s="16" t="s">
        <v>1460</v>
      </c>
      <c r="P283" s="16"/>
      <c r="Q283" s="16"/>
      <c r="R283" s="3" t="s">
        <v>31</v>
      </c>
      <c r="S283" s="3" t="s">
        <v>32</v>
      </c>
      <c r="T283" s="3" t="s">
        <v>40</v>
      </c>
      <c r="U283" s="3" t="s">
        <v>35</v>
      </c>
      <c r="V283" s="4" t="s">
        <v>30</v>
      </c>
      <c r="W283" s="3" t="s">
        <v>36</v>
      </c>
      <c r="X283" s="4" t="s">
        <v>730</v>
      </c>
      <c r="Y283" s="5"/>
      <c r="Z283" s="5"/>
      <c r="AA283" s="5"/>
      <c r="AB283" s="5"/>
      <c r="AC283" s="5"/>
      <c r="AD283" s="4" t="s">
        <v>785</v>
      </c>
      <c r="AE283" s="17" t="s">
        <v>1819</v>
      </c>
      <c r="AF283" s="3" t="s">
        <v>1400</v>
      </c>
      <c r="AG283" s="5"/>
      <c r="AH283" s="5"/>
      <c r="AI283" s="5"/>
      <c r="AJ283" s="3" t="s">
        <v>131</v>
      </c>
      <c r="AK283" s="18"/>
    </row>
    <row r="284" ht="12" customHeight="1" spans="1:37" x14ac:dyDescent="0.25">
      <c r="A284" s="13" t="s">
        <v>418</v>
      </c>
      <c r="B284" s="13" t="s">
        <v>40</v>
      </c>
      <c r="C284" s="13" t="s">
        <v>1397</v>
      </c>
      <c r="D284" s="14" t="s">
        <v>769</v>
      </c>
      <c r="E284" s="15" t="s">
        <v>1820</v>
      </c>
      <c r="F284" s="3" t="s">
        <v>413</v>
      </c>
      <c r="G284" s="3" t="s">
        <v>1189</v>
      </c>
      <c r="H284" s="16" t="s">
        <v>95</v>
      </c>
      <c r="I284" s="3" t="s">
        <v>1399</v>
      </c>
      <c r="J284" s="3" t="s">
        <v>1400</v>
      </c>
      <c r="K284" s="3"/>
      <c r="L284" s="16" t="s">
        <v>1401</v>
      </c>
      <c r="M284" s="3" t="s">
        <v>413</v>
      </c>
      <c r="N284" s="3" t="s">
        <v>1459</v>
      </c>
      <c r="O284" s="16" t="s">
        <v>1460</v>
      </c>
      <c r="P284" s="16"/>
      <c r="Q284" s="16"/>
      <c r="R284" s="3" t="s">
        <v>31</v>
      </c>
      <c r="S284" s="3" t="s">
        <v>32</v>
      </c>
      <c r="T284" s="3" t="s">
        <v>40</v>
      </c>
      <c r="U284" s="3" t="s">
        <v>35</v>
      </c>
      <c r="V284" s="4" t="s">
        <v>30</v>
      </c>
      <c r="W284" s="3" t="s">
        <v>36</v>
      </c>
      <c r="X284" s="4" t="s">
        <v>730</v>
      </c>
      <c r="Y284" s="5"/>
      <c r="Z284" s="5"/>
      <c r="AA284" s="5"/>
      <c r="AB284" s="5"/>
      <c r="AC284" s="5"/>
      <c r="AD284" s="4" t="s">
        <v>769</v>
      </c>
      <c r="AE284" s="17" t="s">
        <v>1461</v>
      </c>
      <c r="AF284" s="3" t="s">
        <v>1400</v>
      </c>
      <c r="AG284" s="5"/>
      <c r="AH284" s="5"/>
      <c r="AI284" s="5"/>
      <c r="AJ284" s="3" t="s">
        <v>131</v>
      </c>
      <c r="AK284" s="18"/>
    </row>
    <row r="285" ht="12" customHeight="1" spans="1:37" x14ac:dyDescent="0.25">
      <c r="A285" s="13" t="s">
        <v>398</v>
      </c>
      <c r="B285" s="13" t="s">
        <v>40</v>
      </c>
      <c r="C285" s="13" t="s">
        <v>1397</v>
      </c>
      <c r="D285" s="14" t="s">
        <v>1405</v>
      </c>
      <c r="E285" s="15" t="s">
        <v>1821</v>
      </c>
      <c r="F285" s="3" t="s">
        <v>399</v>
      </c>
      <c r="G285" s="3" t="s">
        <v>1161</v>
      </c>
      <c r="H285" s="16" t="s">
        <v>95</v>
      </c>
      <c r="I285" s="3" t="s">
        <v>1399</v>
      </c>
      <c r="J285" s="3" t="s">
        <v>1400</v>
      </c>
      <c r="K285" s="3"/>
      <c r="L285" s="16" t="s">
        <v>1401</v>
      </c>
      <c r="M285" s="3" t="s">
        <v>399</v>
      </c>
      <c r="N285" s="3" t="s">
        <v>1544</v>
      </c>
      <c r="O285" s="16" t="s">
        <v>1460</v>
      </c>
      <c r="P285" s="16"/>
      <c r="Q285" s="16"/>
      <c r="R285" s="3" t="s">
        <v>31</v>
      </c>
      <c r="S285" s="3" t="s">
        <v>32</v>
      </c>
      <c r="T285" s="3" t="s">
        <v>40</v>
      </c>
      <c r="U285" s="3" t="s">
        <v>35</v>
      </c>
      <c r="V285" s="4" t="s">
        <v>30</v>
      </c>
      <c r="W285" s="3" t="s">
        <v>36</v>
      </c>
      <c r="X285" s="4" t="s">
        <v>730</v>
      </c>
      <c r="Y285" s="5"/>
      <c r="Z285" s="5"/>
      <c r="AA285" s="5"/>
      <c r="AB285" s="5"/>
      <c r="AC285" s="5"/>
      <c r="AD285" s="4" t="s">
        <v>1405</v>
      </c>
      <c r="AE285" s="17" t="s">
        <v>1486</v>
      </c>
      <c r="AF285" s="3" t="s">
        <v>1400</v>
      </c>
      <c r="AG285" s="5"/>
      <c r="AH285" s="5"/>
      <c r="AI285" s="5"/>
      <c r="AJ285" s="3" t="s">
        <v>401</v>
      </c>
      <c r="AK285" s="18"/>
    </row>
    <row r="286" ht="12" customHeight="1" spans="1:37" x14ac:dyDescent="0.25">
      <c r="A286" s="13" t="s">
        <v>293</v>
      </c>
      <c r="B286" s="13" t="s">
        <v>40</v>
      </c>
      <c r="C286" s="13" t="s">
        <v>1397</v>
      </c>
      <c r="D286" s="14" t="s">
        <v>774</v>
      </c>
      <c r="E286" s="15" t="s">
        <v>1822</v>
      </c>
      <c r="F286" s="3" t="s">
        <v>97</v>
      </c>
      <c r="G286" s="3" t="s">
        <v>778</v>
      </c>
      <c r="H286" s="16" t="s">
        <v>95</v>
      </c>
      <c r="I286" s="3" t="s">
        <v>1399</v>
      </c>
      <c r="J286" s="3" t="s">
        <v>1400</v>
      </c>
      <c r="K286" s="3"/>
      <c r="L286" s="16" t="s">
        <v>1401</v>
      </c>
      <c r="M286" s="3" t="s">
        <v>97</v>
      </c>
      <c r="N286" s="3" t="s">
        <v>1402</v>
      </c>
      <c r="O286" s="16" t="s">
        <v>1460</v>
      </c>
      <c r="P286" s="16"/>
      <c r="Q286" s="16"/>
      <c r="R286" s="3" t="s">
        <v>31</v>
      </c>
      <c r="S286" s="3" t="s">
        <v>32</v>
      </c>
      <c r="T286" s="3" t="s">
        <v>40</v>
      </c>
      <c r="U286" s="3" t="s">
        <v>35</v>
      </c>
      <c r="V286" s="4" t="s">
        <v>30</v>
      </c>
      <c r="W286" s="3" t="s">
        <v>96</v>
      </c>
      <c r="X286" s="4" t="s">
        <v>966</v>
      </c>
      <c r="Y286" s="5"/>
      <c r="Z286" s="5"/>
      <c r="AA286" s="5"/>
      <c r="AB286" s="5"/>
      <c r="AC286" s="5"/>
      <c r="AD286" s="4" t="s">
        <v>774</v>
      </c>
      <c r="AE286" s="17" t="s">
        <v>1823</v>
      </c>
      <c r="AF286" s="3" t="s">
        <v>1400</v>
      </c>
      <c r="AG286" s="5"/>
      <c r="AH286" s="5"/>
      <c r="AI286" s="5"/>
      <c r="AJ286" s="3" t="s">
        <v>100</v>
      </c>
      <c r="AK286" s="18"/>
    </row>
    <row r="287" ht="12" customHeight="1" spans="1:37" x14ac:dyDescent="0.25">
      <c r="A287" s="13" t="s">
        <v>419</v>
      </c>
      <c r="B287" s="13" t="s">
        <v>40</v>
      </c>
      <c r="C287" s="13" t="s">
        <v>1397</v>
      </c>
      <c r="D287" s="14" t="s">
        <v>769</v>
      </c>
      <c r="E287" s="15" t="s">
        <v>1634</v>
      </c>
      <c r="F287" s="3" t="s">
        <v>413</v>
      </c>
      <c r="G287" s="3" t="s">
        <v>1189</v>
      </c>
      <c r="H287" s="16" t="s">
        <v>95</v>
      </c>
      <c r="I287" s="3" t="s">
        <v>1399</v>
      </c>
      <c r="J287" s="3" t="s">
        <v>1400</v>
      </c>
      <c r="K287" s="3"/>
      <c r="L287" s="16" t="s">
        <v>1401</v>
      </c>
      <c r="M287" s="3" t="s">
        <v>413</v>
      </c>
      <c r="N287" s="3" t="s">
        <v>1459</v>
      </c>
      <c r="O287" s="16" t="s">
        <v>1460</v>
      </c>
      <c r="P287" s="16"/>
      <c r="Q287" s="16"/>
      <c r="R287" s="3" t="s">
        <v>31</v>
      </c>
      <c r="S287" s="3" t="s">
        <v>32</v>
      </c>
      <c r="T287" s="3" t="s">
        <v>40</v>
      </c>
      <c r="U287" s="3" t="s">
        <v>35</v>
      </c>
      <c r="V287" s="4" t="s">
        <v>30</v>
      </c>
      <c r="W287" s="3" t="s">
        <v>36</v>
      </c>
      <c r="X287" s="4" t="s">
        <v>730</v>
      </c>
      <c r="Y287" s="5"/>
      <c r="Z287" s="5"/>
      <c r="AA287" s="5"/>
      <c r="AB287" s="5"/>
      <c r="AC287" s="5"/>
      <c r="AD287" s="4" t="s">
        <v>769</v>
      </c>
      <c r="AE287" s="17" t="s">
        <v>1461</v>
      </c>
      <c r="AF287" s="3" t="s">
        <v>1400</v>
      </c>
      <c r="AG287" s="5"/>
      <c r="AH287" s="5"/>
      <c r="AI287" s="5"/>
      <c r="AJ287" s="3" t="s">
        <v>131</v>
      </c>
      <c r="AK287" s="18"/>
    </row>
    <row r="288" ht="12" customHeight="1" spans="1:37" x14ac:dyDescent="0.25">
      <c r="A288" s="13" t="s">
        <v>298</v>
      </c>
      <c r="B288" s="13" t="s">
        <v>40</v>
      </c>
      <c r="C288" s="13" t="s">
        <v>1397</v>
      </c>
      <c r="D288" s="14" t="s">
        <v>774</v>
      </c>
      <c r="E288" s="15" t="s">
        <v>1824</v>
      </c>
      <c r="F288" s="3" t="s">
        <v>97</v>
      </c>
      <c r="G288" s="3" t="s">
        <v>778</v>
      </c>
      <c r="H288" s="16" t="s">
        <v>95</v>
      </c>
      <c r="I288" s="3" t="s">
        <v>1399</v>
      </c>
      <c r="J288" s="3" t="s">
        <v>1400</v>
      </c>
      <c r="K288" s="3"/>
      <c r="L288" s="16" t="s">
        <v>1401</v>
      </c>
      <c r="M288" s="3" t="s">
        <v>97</v>
      </c>
      <c r="N288" s="3" t="s">
        <v>1402</v>
      </c>
      <c r="O288" s="16" t="s">
        <v>1460</v>
      </c>
      <c r="P288" s="16"/>
      <c r="Q288" s="16"/>
      <c r="R288" s="3" t="s">
        <v>31</v>
      </c>
      <c r="S288" s="3" t="s">
        <v>32</v>
      </c>
      <c r="T288" s="3" t="s">
        <v>40</v>
      </c>
      <c r="U288" s="3" t="s">
        <v>35</v>
      </c>
      <c r="V288" s="4" t="s">
        <v>30</v>
      </c>
      <c r="W288" s="3" t="s">
        <v>96</v>
      </c>
      <c r="X288" s="4" t="s">
        <v>966</v>
      </c>
      <c r="Y288" s="5"/>
      <c r="Z288" s="5"/>
      <c r="AA288" s="5"/>
      <c r="AB288" s="5"/>
      <c r="AC288" s="5"/>
      <c r="AD288" s="4" t="s">
        <v>774</v>
      </c>
      <c r="AE288" s="17" t="s">
        <v>1766</v>
      </c>
      <c r="AF288" s="3" t="s">
        <v>1400</v>
      </c>
      <c r="AG288" s="5"/>
      <c r="AH288" s="5"/>
      <c r="AI288" s="5"/>
      <c r="AJ288" s="3" t="s">
        <v>100</v>
      </c>
      <c r="AK288" s="18"/>
    </row>
    <row r="289" ht="12" customHeight="1" spans="1:37" x14ac:dyDescent="0.25">
      <c r="A289" s="13" t="s">
        <v>442</v>
      </c>
      <c r="B289" s="13" t="s">
        <v>40</v>
      </c>
      <c r="C289" s="13" t="s">
        <v>1397</v>
      </c>
      <c r="D289" s="14" t="s">
        <v>841</v>
      </c>
      <c r="E289" s="15" t="s">
        <v>1825</v>
      </c>
      <c r="F289" s="3" t="s">
        <v>439</v>
      </c>
      <c r="G289" s="3" t="s">
        <v>732</v>
      </c>
      <c r="H289" s="16" t="s">
        <v>95</v>
      </c>
      <c r="I289" s="3" t="s">
        <v>1399</v>
      </c>
      <c r="J289" s="3" t="s">
        <v>1400</v>
      </c>
      <c r="K289" s="3"/>
      <c r="L289" s="16" t="s">
        <v>1401</v>
      </c>
      <c r="M289" s="3" t="s">
        <v>439</v>
      </c>
      <c r="N289" s="3" t="s">
        <v>1469</v>
      </c>
      <c r="O289" s="16" t="s">
        <v>1460</v>
      </c>
      <c r="P289" s="16"/>
      <c r="Q289" s="16"/>
      <c r="R289" s="3" t="s">
        <v>31</v>
      </c>
      <c r="S289" s="3" t="s">
        <v>32</v>
      </c>
      <c r="T289" s="3" t="s">
        <v>40</v>
      </c>
      <c r="U289" s="3" t="s">
        <v>35</v>
      </c>
      <c r="V289" s="4" t="s">
        <v>30</v>
      </c>
      <c r="W289" s="3" t="s">
        <v>328</v>
      </c>
      <c r="X289" s="4" t="s">
        <v>966</v>
      </c>
      <c r="Y289" s="5"/>
      <c r="Z289" s="5"/>
      <c r="AA289" s="5"/>
      <c r="AB289" s="5"/>
      <c r="AC289" s="5"/>
      <c r="AD289" s="4" t="s">
        <v>841</v>
      </c>
      <c r="AE289" s="17" t="s">
        <v>1826</v>
      </c>
      <c r="AF289" s="3" t="s">
        <v>1400</v>
      </c>
      <c r="AG289" s="5"/>
      <c r="AH289" s="5"/>
      <c r="AI289" s="5"/>
      <c r="AJ289" s="3" t="s">
        <v>440</v>
      </c>
      <c r="AK289" s="18"/>
    </row>
    <row r="290" ht="12" customHeight="1" spans="1:37" x14ac:dyDescent="0.25">
      <c r="A290" s="13" t="s">
        <v>420</v>
      </c>
      <c r="B290" s="13" t="s">
        <v>40</v>
      </c>
      <c r="C290" s="13" t="s">
        <v>1397</v>
      </c>
      <c r="D290" s="14" t="s">
        <v>769</v>
      </c>
      <c r="E290" s="15" t="s">
        <v>1827</v>
      </c>
      <c r="F290" s="3" t="s">
        <v>413</v>
      </c>
      <c r="G290" s="3" t="s">
        <v>1189</v>
      </c>
      <c r="H290" s="16" t="s">
        <v>95</v>
      </c>
      <c r="I290" s="3" t="s">
        <v>1399</v>
      </c>
      <c r="J290" s="3" t="s">
        <v>1400</v>
      </c>
      <c r="K290" s="3"/>
      <c r="L290" s="16" t="s">
        <v>1401</v>
      </c>
      <c r="M290" s="3" t="s">
        <v>413</v>
      </c>
      <c r="N290" s="3" t="s">
        <v>1459</v>
      </c>
      <c r="O290" s="16" t="s">
        <v>1439</v>
      </c>
      <c r="P290" s="16"/>
      <c r="Q290" s="16"/>
      <c r="R290" s="3" t="s">
        <v>31</v>
      </c>
      <c r="S290" s="3" t="s">
        <v>32</v>
      </c>
      <c r="T290" s="3" t="s">
        <v>40</v>
      </c>
      <c r="U290" s="3" t="s">
        <v>35</v>
      </c>
      <c r="V290" s="4" t="s">
        <v>30</v>
      </c>
      <c r="W290" s="3" t="s">
        <v>36</v>
      </c>
      <c r="X290" s="4" t="s">
        <v>730</v>
      </c>
      <c r="Y290" s="5"/>
      <c r="Z290" s="5"/>
      <c r="AA290" s="5"/>
      <c r="AB290" s="5"/>
      <c r="AC290" s="5"/>
      <c r="AD290" s="4" t="s">
        <v>769</v>
      </c>
      <c r="AE290" s="17" t="s">
        <v>1468</v>
      </c>
      <c r="AF290" s="3" t="s">
        <v>1400</v>
      </c>
      <c r="AG290" s="5"/>
      <c r="AH290" s="5"/>
      <c r="AI290" s="5"/>
      <c r="AJ290" s="3" t="s">
        <v>131</v>
      </c>
      <c r="AK290" s="18"/>
    </row>
    <row r="291" ht="12" customHeight="1" spans="1:37" x14ac:dyDescent="0.25">
      <c r="A291" s="13" t="s">
        <v>364</v>
      </c>
      <c r="B291" s="13" t="s">
        <v>40</v>
      </c>
      <c r="C291" s="13" t="s">
        <v>1397</v>
      </c>
      <c r="D291" s="14" t="s">
        <v>1405</v>
      </c>
      <c r="E291" s="15" t="s">
        <v>1617</v>
      </c>
      <c r="F291" s="3" t="s">
        <v>361</v>
      </c>
      <c r="G291" s="3" t="s">
        <v>855</v>
      </c>
      <c r="H291" s="16" t="s">
        <v>95</v>
      </c>
      <c r="I291" s="3" t="s">
        <v>1399</v>
      </c>
      <c r="J291" s="3" t="s">
        <v>1400</v>
      </c>
      <c r="K291" s="3"/>
      <c r="L291" s="16" t="s">
        <v>1401</v>
      </c>
      <c r="M291" s="3" t="s">
        <v>361</v>
      </c>
      <c r="N291" s="3" t="s">
        <v>1494</v>
      </c>
      <c r="O291" s="16" t="s">
        <v>1439</v>
      </c>
      <c r="P291" s="16"/>
      <c r="Q291" s="16"/>
      <c r="R291" s="3" t="s">
        <v>31</v>
      </c>
      <c r="S291" s="3" t="s">
        <v>32</v>
      </c>
      <c r="T291" s="3" t="s">
        <v>40</v>
      </c>
      <c r="U291" s="3" t="s">
        <v>35</v>
      </c>
      <c r="V291" s="4" t="s">
        <v>30</v>
      </c>
      <c r="W291" s="3" t="s">
        <v>36</v>
      </c>
      <c r="X291" s="4" t="s">
        <v>730</v>
      </c>
      <c r="Y291" s="5"/>
      <c r="Z291" s="5"/>
      <c r="AA291" s="5"/>
      <c r="AB291" s="5"/>
      <c r="AC291" s="5"/>
      <c r="AD291" s="4" t="s">
        <v>1405</v>
      </c>
      <c r="AE291" s="17" t="s">
        <v>1486</v>
      </c>
      <c r="AF291" s="3" t="s">
        <v>1400</v>
      </c>
      <c r="AG291" s="5"/>
      <c r="AH291" s="5"/>
      <c r="AI291" s="5"/>
      <c r="AJ291" s="3" t="s">
        <v>363</v>
      </c>
      <c r="AK291" s="18"/>
    </row>
    <row r="292" ht="12" customHeight="1" spans="1:37" x14ac:dyDescent="0.25">
      <c r="A292" s="13" t="s">
        <v>421</v>
      </c>
      <c r="B292" s="13" t="s">
        <v>40</v>
      </c>
      <c r="C292" s="13" t="s">
        <v>1397</v>
      </c>
      <c r="D292" s="14" t="s">
        <v>785</v>
      </c>
      <c r="E292" s="15" t="s">
        <v>1607</v>
      </c>
      <c r="F292" s="3" t="s">
        <v>413</v>
      </c>
      <c r="G292" s="3" t="s">
        <v>1189</v>
      </c>
      <c r="H292" s="16" t="s">
        <v>95</v>
      </c>
      <c r="I292" s="3" t="s">
        <v>1399</v>
      </c>
      <c r="J292" s="3" t="s">
        <v>1400</v>
      </c>
      <c r="K292" s="3"/>
      <c r="L292" s="16" t="s">
        <v>1401</v>
      </c>
      <c r="M292" s="3" t="s">
        <v>413</v>
      </c>
      <c r="N292" s="3" t="s">
        <v>1459</v>
      </c>
      <c r="O292" s="16" t="s">
        <v>1439</v>
      </c>
      <c r="P292" s="16"/>
      <c r="Q292" s="16"/>
      <c r="R292" s="3" t="s">
        <v>31</v>
      </c>
      <c r="S292" s="3" t="s">
        <v>32</v>
      </c>
      <c r="T292" s="3" t="s">
        <v>40</v>
      </c>
      <c r="U292" s="3" t="s">
        <v>35</v>
      </c>
      <c r="V292" s="4" t="s">
        <v>30</v>
      </c>
      <c r="W292" s="3" t="s">
        <v>36</v>
      </c>
      <c r="X292" s="4" t="s">
        <v>730</v>
      </c>
      <c r="Y292" s="5"/>
      <c r="Z292" s="5"/>
      <c r="AA292" s="5"/>
      <c r="AB292" s="5"/>
      <c r="AC292" s="5"/>
      <c r="AD292" s="4" t="s">
        <v>785</v>
      </c>
      <c r="AE292" s="17" t="s">
        <v>1819</v>
      </c>
      <c r="AF292" s="3" t="s">
        <v>1400</v>
      </c>
      <c r="AG292" s="5"/>
      <c r="AH292" s="5"/>
      <c r="AI292" s="5"/>
      <c r="AJ292" s="3" t="s">
        <v>131</v>
      </c>
      <c r="AK292" s="18"/>
    </row>
    <row r="293" ht="12" customHeight="1" spans="1:37" x14ac:dyDescent="0.25">
      <c r="A293" s="13" t="s">
        <v>380</v>
      </c>
      <c r="B293" s="13" t="s">
        <v>40</v>
      </c>
      <c r="C293" s="13" t="s">
        <v>1397</v>
      </c>
      <c r="D293" s="14" t="s">
        <v>797</v>
      </c>
      <c r="E293" s="15" t="s">
        <v>1828</v>
      </c>
      <c r="F293" s="3" t="s">
        <v>381</v>
      </c>
      <c r="G293" s="3" t="s">
        <v>945</v>
      </c>
      <c r="H293" s="16" t="s">
        <v>95</v>
      </c>
      <c r="I293" s="3" t="s">
        <v>1399</v>
      </c>
      <c r="J293" s="3" t="s">
        <v>1400</v>
      </c>
      <c r="K293" s="3"/>
      <c r="L293" s="16" t="s">
        <v>1401</v>
      </c>
      <c r="M293" s="3" t="s">
        <v>381</v>
      </c>
      <c r="N293" s="3" t="s">
        <v>1438</v>
      </c>
      <c r="O293" s="16" t="s">
        <v>1439</v>
      </c>
      <c r="P293" s="16"/>
      <c r="Q293" s="16"/>
      <c r="R293" s="3" t="s">
        <v>31</v>
      </c>
      <c r="S293" s="3" t="s">
        <v>32</v>
      </c>
      <c r="T293" s="3" t="s">
        <v>40</v>
      </c>
      <c r="U293" s="3" t="s">
        <v>35</v>
      </c>
      <c r="V293" s="4" t="s">
        <v>30</v>
      </c>
      <c r="W293" s="3" t="s">
        <v>36</v>
      </c>
      <c r="X293" s="4" t="s">
        <v>730</v>
      </c>
      <c r="Y293" s="5"/>
      <c r="Z293" s="5"/>
      <c r="AA293" s="5"/>
      <c r="AB293" s="5"/>
      <c r="AC293" s="5"/>
      <c r="AD293" s="4" t="s">
        <v>797</v>
      </c>
      <c r="AE293" s="17" t="s">
        <v>1436</v>
      </c>
      <c r="AF293" s="3" t="s">
        <v>1400</v>
      </c>
      <c r="AG293" s="5"/>
      <c r="AH293" s="5"/>
      <c r="AI293" s="5"/>
      <c r="AJ293" s="3" t="s">
        <v>383</v>
      </c>
      <c r="AK293" s="18"/>
    </row>
    <row r="294" ht="12" customHeight="1" spans="1:37" x14ac:dyDescent="0.25">
      <c r="A294" s="13" t="s">
        <v>422</v>
      </c>
      <c r="B294" s="13" t="s">
        <v>40</v>
      </c>
      <c r="C294" s="13" t="s">
        <v>1397</v>
      </c>
      <c r="D294" s="14" t="s">
        <v>769</v>
      </c>
      <c r="E294" s="15" t="s">
        <v>1829</v>
      </c>
      <c r="F294" s="3" t="s">
        <v>413</v>
      </c>
      <c r="G294" s="3" t="s">
        <v>1189</v>
      </c>
      <c r="H294" s="16" t="s">
        <v>95</v>
      </c>
      <c r="I294" s="3" t="s">
        <v>1399</v>
      </c>
      <c r="J294" s="3" t="s">
        <v>1400</v>
      </c>
      <c r="K294" s="3"/>
      <c r="L294" s="16" t="s">
        <v>1401</v>
      </c>
      <c r="M294" s="3" t="s">
        <v>413</v>
      </c>
      <c r="N294" s="3" t="s">
        <v>1459</v>
      </c>
      <c r="O294" s="16" t="s">
        <v>1439</v>
      </c>
      <c r="P294" s="16"/>
      <c r="Q294" s="16"/>
      <c r="R294" s="3" t="s">
        <v>31</v>
      </c>
      <c r="S294" s="3" t="s">
        <v>32</v>
      </c>
      <c r="T294" s="3" t="s">
        <v>40</v>
      </c>
      <c r="U294" s="3" t="s">
        <v>35</v>
      </c>
      <c r="V294" s="4" t="s">
        <v>30</v>
      </c>
      <c r="W294" s="3" t="s">
        <v>36</v>
      </c>
      <c r="X294" s="4" t="s">
        <v>730</v>
      </c>
      <c r="Y294" s="5"/>
      <c r="Z294" s="5"/>
      <c r="AA294" s="5"/>
      <c r="AB294" s="5"/>
      <c r="AC294" s="5"/>
      <c r="AD294" s="4" t="s">
        <v>769</v>
      </c>
      <c r="AE294" s="17" t="s">
        <v>1468</v>
      </c>
      <c r="AF294" s="3" t="s">
        <v>1400</v>
      </c>
      <c r="AG294" s="5"/>
      <c r="AH294" s="5"/>
      <c r="AI294" s="5"/>
      <c r="AJ294" s="3" t="s">
        <v>131</v>
      </c>
      <c r="AK294" s="18"/>
    </row>
    <row r="295" ht="12" customHeight="1" spans="1:37" x14ac:dyDescent="0.25">
      <c r="A295" s="13" t="s">
        <v>299</v>
      </c>
      <c r="B295" s="13" t="s">
        <v>40</v>
      </c>
      <c r="C295" s="13" t="s">
        <v>1397</v>
      </c>
      <c r="D295" s="14" t="s">
        <v>774</v>
      </c>
      <c r="E295" s="15" t="s">
        <v>1693</v>
      </c>
      <c r="F295" s="3" t="s">
        <v>97</v>
      </c>
      <c r="G295" s="3" t="s">
        <v>778</v>
      </c>
      <c r="H295" s="16" t="s">
        <v>95</v>
      </c>
      <c r="I295" s="3" t="s">
        <v>1399</v>
      </c>
      <c r="J295" s="3" t="s">
        <v>1400</v>
      </c>
      <c r="K295" s="3"/>
      <c r="L295" s="16" t="s">
        <v>1401</v>
      </c>
      <c r="M295" s="3" t="s">
        <v>97</v>
      </c>
      <c r="N295" s="3" t="s">
        <v>1402</v>
      </c>
      <c r="O295" s="16" t="s">
        <v>1439</v>
      </c>
      <c r="P295" s="16"/>
      <c r="Q295" s="16"/>
      <c r="R295" s="3" t="s">
        <v>31</v>
      </c>
      <c r="S295" s="3" t="s">
        <v>32</v>
      </c>
      <c r="T295" s="3" t="s">
        <v>40</v>
      </c>
      <c r="U295" s="3" t="s">
        <v>35</v>
      </c>
      <c r="V295" s="4" t="s">
        <v>30</v>
      </c>
      <c r="W295" s="3" t="s">
        <v>96</v>
      </c>
      <c r="X295" s="4" t="s">
        <v>966</v>
      </c>
      <c r="Y295" s="5"/>
      <c r="Z295" s="5"/>
      <c r="AA295" s="5"/>
      <c r="AB295" s="5"/>
      <c r="AC295" s="5"/>
      <c r="AD295" s="4" t="s">
        <v>774</v>
      </c>
      <c r="AE295" s="17" t="s">
        <v>1476</v>
      </c>
      <c r="AF295" s="3" t="s">
        <v>1400</v>
      </c>
      <c r="AG295" s="5"/>
      <c r="AH295" s="5"/>
      <c r="AI295" s="5"/>
      <c r="AJ295" s="3" t="s">
        <v>100</v>
      </c>
      <c r="AK295" s="18"/>
    </row>
    <row r="296" ht="12" customHeight="1" spans="1:37" x14ac:dyDescent="0.25">
      <c r="A296" s="13" t="s">
        <v>441</v>
      </c>
      <c r="B296" s="13" t="s">
        <v>40</v>
      </c>
      <c r="C296" s="13" t="s">
        <v>1397</v>
      </c>
      <c r="D296" s="14" t="s">
        <v>841</v>
      </c>
      <c r="E296" s="15" t="s">
        <v>1825</v>
      </c>
      <c r="F296" s="3" t="s">
        <v>439</v>
      </c>
      <c r="G296" s="3" t="s">
        <v>732</v>
      </c>
      <c r="H296" s="16" t="s">
        <v>95</v>
      </c>
      <c r="I296" s="3" t="s">
        <v>1399</v>
      </c>
      <c r="J296" s="3" t="s">
        <v>1400</v>
      </c>
      <c r="K296" s="3"/>
      <c r="L296" s="16" t="s">
        <v>1401</v>
      </c>
      <c r="M296" s="3" t="s">
        <v>439</v>
      </c>
      <c r="N296" s="3" t="s">
        <v>1469</v>
      </c>
      <c r="O296" s="16" t="s">
        <v>1439</v>
      </c>
      <c r="P296" s="16"/>
      <c r="Q296" s="16"/>
      <c r="R296" s="3" t="s">
        <v>31</v>
      </c>
      <c r="S296" s="3" t="s">
        <v>32</v>
      </c>
      <c r="T296" s="3" t="s">
        <v>40</v>
      </c>
      <c r="U296" s="3" t="s">
        <v>35</v>
      </c>
      <c r="V296" s="4" t="s">
        <v>30</v>
      </c>
      <c r="W296" s="3" t="s">
        <v>328</v>
      </c>
      <c r="X296" s="4" t="s">
        <v>966</v>
      </c>
      <c r="Y296" s="5"/>
      <c r="Z296" s="5"/>
      <c r="AA296" s="5"/>
      <c r="AB296" s="5"/>
      <c r="AC296" s="5"/>
      <c r="AD296" s="4" t="s">
        <v>841</v>
      </c>
      <c r="AE296" s="17" t="s">
        <v>1826</v>
      </c>
      <c r="AF296" s="3" t="s">
        <v>1400</v>
      </c>
      <c r="AG296" s="5"/>
      <c r="AH296" s="5"/>
      <c r="AI296" s="5"/>
      <c r="AJ296" s="3" t="s">
        <v>440</v>
      </c>
      <c r="AK296" s="18"/>
    </row>
    <row r="297" ht="12" customHeight="1" spans="1:37" x14ac:dyDescent="0.25">
      <c r="A297" s="13" t="s">
        <v>332</v>
      </c>
      <c r="B297" s="13" t="s">
        <v>40</v>
      </c>
      <c r="C297" s="13" t="s">
        <v>1397</v>
      </c>
      <c r="D297" s="14" t="s">
        <v>828</v>
      </c>
      <c r="E297" s="15" t="s">
        <v>1830</v>
      </c>
      <c r="F297" s="3" t="s">
        <v>329</v>
      </c>
      <c r="G297" s="3" t="s">
        <v>732</v>
      </c>
      <c r="H297" s="16" t="s">
        <v>95</v>
      </c>
      <c r="I297" s="3" t="s">
        <v>1399</v>
      </c>
      <c r="J297" s="3" t="s">
        <v>1400</v>
      </c>
      <c r="K297" s="3"/>
      <c r="L297" s="16" t="s">
        <v>1401</v>
      </c>
      <c r="M297" s="3" t="s">
        <v>329</v>
      </c>
      <c r="N297" s="3" t="s">
        <v>1497</v>
      </c>
      <c r="O297" s="16" t="s">
        <v>1439</v>
      </c>
      <c r="P297" s="16"/>
      <c r="Q297" s="16"/>
      <c r="R297" s="3" t="s">
        <v>31</v>
      </c>
      <c r="S297" s="3" t="s">
        <v>32</v>
      </c>
      <c r="T297" s="3" t="s">
        <v>40</v>
      </c>
      <c r="U297" s="3" t="s">
        <v>35</v>
      </c>
      <c r="V297" s="4" t="s">
        <v>30</v>
      </c>
      <c r="W297" s="3" t="s">
        <v>328</v>
      </c>
      <c r="X297" s="4" t="s">
        <v>966</v>
      </c>
      <c r="Y297" s="5"/>
      <c r="Z297" s="5"/>
      <c r="AA297" s="5"/>
      <c r="AB297" s="5"/>
      <c r="AC297" s="5"/>
      <c r="AD297" s="4" t="s">
        <v>828</v>
      </c>
      <c r="AE297" s="17" t="s">
        <v>1831</v>
      </c>
      <c r="AF297" s="3" t="s">
        <v>1400</v>
      </c>
      <c r="AG297" s="5"/>
      <c r="AH297" s="5"/>
      <c r="AI297" s="5"/>
      <c r="AJ297" s="3" t="s">
        <v>330</v>
      </c>
      <c r="AK297" s="18"/>
    </row>
    <row r="298" ht="12" customHeight="1" spans="1:37" x14ac:dyDescent="0.25">
      <c r="A298" s="13" t="s">
        <v>300</v>
      </c>
      <c r="B298" s="13" t="s">
        <v>40</v>
      </c>
      <c r="C298" s="13" t="s">
        <v>1397</v>
      </c>
      <c r="D298" s="14" t="s">
        <v>797</v>
      </c>
      <c r="E298" s="15" t="s">
        <v>1832</v>
      </c>
      <c r="F298" s="3" t="s">
        <v>97</v>
      </c>
      <c r="G298" s="3" t="s">
        <v>778</v>
      </c>
      <c r="H298" s="16" t="s">
        <v>95</v>
      </c>
      <c r="I298" s="3" t="s">
        <v>1399</v>
      </c>
      <c r="J298" s="3" t="s">
        <v>1400</v>
      </c>
      <c r="K298" s="3"/>
      <c r="L298" s="16" t="s">
        <v>1401</v>
      </c>
      <c r="M298" s="3" t="s">
        <v>97</v>
      </c>
      <c r="N298" s="3" t="s">
        <v>1402</v>
      </c>
      <c r="O298" s="16" t="s">
        <v>1439</v>
      </c>
      <c r="P298" s="16"/>
      <c r="Q298" s="16"/>
      <c r="R298" s="3" t="s">
        <v>31</v>
      </c>
      <c r="S298" s="3" t="s">
        <v>32</v>
      </c>
      <c r="T298" s="3" t="s">
        <v>40</v>
      </c>
      <c r="U298" s="3" t="s">
        <v>35</v>
      </c>
      <c r="V298" s="4" t="s">
        <v>30</v>
      </c>
      <c r="W298" s="3" t="s">
        <v>96</v>
      </c>
      <c r="X298" s="4" t="s">
        <v>966</v>
      </c>
      <c r="Y298" s="5"/>
      <c r="Z298" s="5"/>
      <c r="AA298" s="5"/>
      <c r="AB298" s="5"/>
      <c r="AC298" s="5"/>
      <c r="AD298" s="4" t="s">
        <v>797</v>
      </c>
      <c r="AE298" s="17" t="s">
        <v>1521</v>
      </c>
      <c r="AF298" s="3" t="s">
        <v>1400</v>
      </c>
      <c r="AG298" s="5"/>
      <c r="AH298" s="5"/>
      <c r="AI298" s="5"/>
      <c r="AJ298" s="3" t="s">
        <v>100</v>
      </c>
      <c r="AK298" s="18"/>
    </row>
    <row r="299" ht="12" customHeight="1" spans="1:37" x14ac:dyDescent="0.25">
      <c r="A299" s="13" t="s">
        <v>423</v>
      </c>
      <c r="B299" s="13" t="s">
        <v>40</v>
      </c>
      <c r="C299" s="13" t="s">
        <v>1397</v>
      </c>
      <c r="D299" s="14" t="s">
        <v>769</v>
      </c>
      <c r="E299" s="15" t="s">
        <v>1707</v>
      </c>
      <c r="F299" s="3" t="s">
        <v>413</v>
      </c>
      <c r="G299" s="3" t="s">
        <v>1189</v>
      </c>
      <c r="H299" s="16" t="s">
        <v>95</v>
      </c>
      <c r="I299" s="3" t="s">
        <v>1399</v>
      </c>
      <c r="J299" s="3" t="s">
        <v>1400</v>
      </c>
      <c r="K299" s="3"/>
      <c r="L299" s="16" t="s">
        <v>1401</v>
      </c>
      <c r="M299" s="3" t="s">
        <v>413</v>
      </c>
      <c r="N299" s="3" t="s">
        <v>1459</v>
      </c>
      <c r="O299" s="16" t="s">
        <v>1439</v>
      </c>
      <c r="P299" s="16"/>
      <c r="Q299" s="16"/>
      <c r="R299" s="3" t="s">
        <v>31</v>
      </c>
      <c r="S299" s="3" t="s">
        <v>32</v>
      </c>
      <c r="T299" s="3" t="s">
        <v>40</v>
      </c>
      <c r="U299" s="3" t="s">
        <v>35</v>
      </c>
      <c r="V299" s="4" t="s">
        <v>30</v>
      </c>
      <c r="W299" s="3" t="s">
        <v>36</v>
      </c>
      <c r="X299" s="4" t="s">
        <v>730</v>
      </c>
      <c r="Y299" s="5"/>
      <c r="Z299" s="5"/>
      <c r="AA299" s="5"/>
      <c r="AB299" s="5"/>
      <c r="AC299" s="5"/>
      <c r="AD299" s="4" t="s">
        <v>769</v>
      </c>
      <c r="AE299" s="17" t="s">
        <v>1461</v>
      </c>
      <c r="AF299" s="3" t="s">
        <v>1400</v>
      </c>
      <c r="AG299" s="5"/>
      <c r="AH299" s="5"/>
      <c r="AI299" s="5"/>
      <c r="AJ299" s="3" t="s">
        <v>131</v>
      </c>
      <c r="AK299" s="18"/>
    </row>
    <row r="300" ht="12" customHeight="1" spans="1:37" x14ac:dyDescent="0.25">
      <c r="A300" s="13" t="s">
        <v>443</v>
      </c>
      <c r="B300" s="13" t="s">
        <v>40</v>
      </c>
      <c r="C300" s="13" t="s">
        <v>1397</v>
      </c>
      <c r="D300" s="14" t="s">
        <v>841</v>
      </c>
      <c r="E300" s="15" t="s">
        <v>1525</v>
      </c>
      <c r="F300" s="3" t="s">
        <v>439</v>
      </c>
      <c r="G300" s="3" t="s">
        <v>732</v>
      </c>
      <c r="H300" s="16" t="s">
        <v>95</v>
      </c>
      <c r="I300" s="3" t="s">
        <v>1399</v>
      </c>
      <c r="J300" s="3" t="s">
        <v>1400</v>
      </c>
      <c r="K300" s="3"/>
      <c r="L300" s="16" t="s">
        <v>1401</v>
      </c>
      <c r="M300" s="3" t="s">
        <v>439</v>
      </c>
      <c r="N300" s="3" t="s">
        <v>1469</v>
      </c>
      <c r="O300" s="16" t="s">
        <v>1439</v>
      </c>
      <c r="P300" s="16"/>
      <c r="Q300" s="16"/>
      <c r="R300" s="3" t="s">
        <v>31</v>
      </c>
      <c r="S300" s="3" t="s">
        <v>32</v>
      </c>
      <c r="T300" s="3" t="s">
        <v>40</v>
      </c>
      <c r="U300" s="3" t="s">
        <v>35</v>
      </c>
      <c r="V300" s="4" t="s">
        <v>30</v>
      </c>
      <c r="W300" s="3" t="s">
        <v>328</v>
      </c>
      <c r="X300" s="4" t="s">
        <v>966</v>
      </c>
      <c r="Y300" s="5"/>
      <c r="Z300" s="5"/>
      <c r="AA300" s="5"/>
      <c r="AB300" s="5"/>
      <c r="AC300" s="5"/>
      <c r="AD300" s="4" t="s">
        <v>841</v>
      </c>
      <c r="AE300" s="17" t="s">
        <v>1526</v>
      </c>
      <c r="AF300" s="3" t="s">
        <v>1400</v>
      </c>
      <c r="AG300" s="5"/>
      <c r="AH300" s="5"/>
      <c r="AI300" s="5"/>
      <c r="AJ300" s="3" t="s">
        <v>440</v>
      </c>
      <c r="AK300" s="18"/>
    </row>
    <row r="301" ht="12" customHeight="1" spans="1:37" x14ac:dyDescent="0.25">
      <c r="A301" s="13" t="s">
        <v>333</v>
      </c>
      <c r="B301" s="13" t="s">
        <v>40</v>
      </c>
      <c r="C301" s="13" t="s">
        <v>1397</v>
      </c>
      <c r="D301" s="14" t="s">
        <v>828</v>
      </c>
      <c r="E301" s="15" t="s">
        <v>1830</v>
      </c>
      <c r="F301" s="3" t="s">
        <v>329</v>
      </c>
      <c r="G301" s="3" t="s">
        <v>732</v>
      </c>
      <c r="H301" s="16" t="s">
        <v>95</v>
      </c>
      <c r="I301" s="3" t="s">
        <v>1399</v>
      </c>
      <c r="J301" s="3" t="s">
        <v>1400</v>
      </c>
      <c r="K301" s="3"/>
      <c r="L301" s="16" t="s">
        <v>1401</v>
      </c>
      <c r="M301" s="3" t="s">
        <v>329</v>
      </c>
      <c r="N301" s="3" t="s">
        <v>1497</v>
      </c>
      <c r="O301" s="16" t="s">
        <v>1439</v>
      </c>
      <c r="P301" s="16"/>
      <c r="Q301" s="16"/>
      <c r="R301" s="3" t="s">
        <v>31</v>
      </c>
      <c r="S301" s="3" t="s">
        <v>32</v>
      </c>
      <c r="T301" s="3" t="s">
        <v>40</v>
      </c>
      <c r="U301" s="3" t="s">
        <v>35</v>
      </c>
      <c r="V301" s="4" t="s">
        <v>30</v>
      </c>
      <c r="W301" s="3" t="s">
        <v>328</v>
      </c>
      <c r="X301" s="4" t="s">
        <v>966</v>
      </c>
      <c r="Y301" s="5"/>
      <c r="Z301" s="5"/>
      <c r="AA301" s="5"/>
      <c r="AB301" s="5"/>
      <c r="AC301" s="5"/>
      <c r="AD301" s="4" t="s">
        <v>828</v>
      </c>
      <c r="AE301" s="17" t="s">
        <v>1831</v>
      </c>
      <c r="AF301" s="3" t="s">
        <v>1400</v>
      </c>
      <c r="AG301" s="5"/>
      <c r="AH301" s="5"/>
      <c r="AI301" s="5"/>
      <c r="AJ301" s="3" t="s">
        <v>330</v>
      </c>
      <c r="AK301" s="18"/>
    </row>
    <row r="302" ht="12" customHeight="1" spans="1:37" x14ac:dyDescent="0.25">
      <c r="A302" s="13" t="s">
        <v>322</v>
      </c>
      <c r="B302" s="13" t="s">
        <v>40</v>
      </c>
      <c r="C302" s="13" t="s">
        <v>1397</v>
      </c>
      <c r="D302" s="14" t="s">
        <v>910</v>
      </c>
      <c r="E302" s="15" t="s">
        <v>1781</v>
      </c>
      <c r="F302" s="3" t="s">
        <v>320</v>
      </c>
      <c r="G302" s="3" t="s">
        <v>732</v>
      </c>
      <c r="H302" s="16" t="s">
        <v>95</v>
      </c>
      <c r="I302" s="3" t="s">
        <v>1399</v>
      </c>
      <c r="J302" s="3" t="s">
        <v>1400</v>
      </c>
      <c r="K302" s="3"/>
      <c r="L302" s="16" t="s">
        <v>1401</v>
      </c>
      <c r="M302" s="3" t="s">
        <v>320</v>
      </c>
      <c r="N302" s="3" t="s">
        <v>1490</v>
      </c>
      <c r="O302" s="16" t="s">
        <v>1439</v>
      </c>
      <c r="P302" s="16"/>
      <c r="Q302" s="16"/>
      <c r="R302" s="3" t="s">
        <v>31</v>
      </c>
      <c r="S302" s="3" t="s">
        <v>32</v>
      </c>
      <c r="T302" s="3" t="s">
        <v>40</v>
      </c>
      <c r="U302" s="3" t="s">
        <v>35</v>
      </c>
      <c r="V302" s="4" t="s">
        <v>30</v>
      </c>
      <c r="W302" s="3" t="s">
        <v>319</v>
      </c>
      <c r="X302" s="4" t="s">
        <v>966</v>
      </c>
      <c r="Y302" s="5"/>
      <c r="Z302" s="5"/>
      <c r="AA302" s="5"/>
      <c r="AB302" s="5"/>
      <c r="AC302" s="5"/>
      <c r="AD302" s="4" t="s">
        <v>910</v>
      </c>
      <c r="AE302" s="17" t="s">
        <v>1549</v>
      </c>
      <c r="AF302" s="3" t="s">
        <v>1400</v>
      </c>
      <c r="AG302" s="5"/>
      <c r="AH302" s="5"/>
      <c r="AI302" s="5"/>
      <c r="AJ302" s="3" t="s">
        <v>282</v>
      </c>
      <c r="AK302" s="18"/>
    </row>
    <row r="303" ht="12" customHeight="1" spans="1:37" x14ac:dyDescent="0.25">
      <c r="A303" s="13" t="s">
        <v>180</v>
      </c>
      <c r="B303" s="13" t="s">
        <v>40</v>
      </c>
      <c r="C303" s="13" t="s">
        <v>1397</v>
      </c>
      <c r="D303" s="14" t="s">
        <v>1057</v>
      </c>
      <c r="E303" s="15" t="s">
        <v>1833</v>
      </c>
      <c r="F303" s="3" t="s">
        <v>173</v>
      </c>
      <c r="G303" s="3" t="s">
        <v>1028</v>
      </c>
      <c r="H303" s="16" t="s">
        <v>33</v>
      </c>
      <c r="I303" s="3" t="s">
        <v>1399</v>
      </c>
      <c r="J303" s="3" t="s">
        <v>1400</v>
      </c>
      <c r="K303" s="3"/>
      <c r="L303" s="16" t="s">
        <v>1401</v>
      </c>
      <c r="M303" s="3" t="s">
        <v>173</v>
      </c>
      <c r="N303" s="3" t="s">
        <v>1418</v>
      </c>
      <c r="O303" s="16" t="s">
        <v>1548</v>
      </c>
      <c r="P303" s="16"/>
      <c r="Q303" s="16"/>
      <c r="R303" s="3" t="s">
        <v>1470</v>
      </c>
      <c r="S303" s="3" t="s">
        <v>1471</v>
      </c>
      <c r="T303" s="3" t="s">
        <v>40</v>
      </c>
      <c r="U303" s="3" t="s">
        <v>35</v>
      </c>
      <c r="V303" s="4" t="s">
        <v>30</v>
      </c>
      <c r="W303" s="3" t="s">
        <v>36</v>
      </c>
      <c r="X303" s="4" t="s">
        <v>730</v>
      </c>
      <c r="Y303" s="5"/>
      <c r="Z303" s="5"/>
      <c r="AA303" s="5"/>
      <c r="AB303" s="5"/>
      <c r="AC303" s="5"/>
      <c r="AD303" s="4" t="s">
        <v>1057</v>
      </c>
      <c r="AE303" s="17" t="s">
        <v>1834</v>
      </c>
      <c r="AF303" s="3" t="s">
        <v>1400</v>
      </c>
      <c r="AG303" s="5"/>
      <c r="AH303" s="5"/>
      <c r="AI303" s="5"/>
      <c r="AJ303" s="3" t="s">
        <v>175</v>
      </c>
      <c r="AK303" s="18"/>
    </row>
    <row r="304" ht="12" customHeight="1" spans="1:37" x14ac:dyDescent="0.25">
      <c r="A304" s="13" t="s">
        <v>147</v>
      </c>
      <c r="B304" s="13" t="s">
        <v>40</v>
      </c>
      <c r="C304" s="13" t="s">
        <v>1397</v>
      </c>
      <c r="D304" s="14" t="s">
        <v>797</v>
      </c>
      <c r="E304" s="15" t="s">
        <v>1835</v>
      </c>
      <c r="F304" s="3" t="s">
        <v>43</v>
      </c>
      <c r="G304" s="3" t="s">
        <v>47</v>
      </c>
      <c r="H304" s="16" t="s">
        <v>33</v>
      </c>
      <c r="I304" s="3" t="s">
        <v>1399</v>
      </c>
      <c r="J304" s="3" t="s">
        <v>1400</v>
      </c>
      <c r="K304" s="3"/>
      <c r="L304" s="16" t="s">
        <v>1401</v>
      </c>
      <c r="M304" s="3" t="s">
        <v>43</v>
      </c>
      <c r="N304" s="3" t="s">
        <v>1428</v>
      </c>
      <c r="O304" s="16" t="s">
        <v>1403</v>
      </c>
      <c r="P304" s="16"/>
      <c r="Q304" s="16"/>
      <c r="R304" s="3" t="s">
        <v>31</v>
      </c>
      <c r="S304" s="3" t="s">
        <v>32</v>
      </c>
      <c r="T304" s="3" t="s">
        <v>40</v>
      </c>
      <c r="U304" s="3" t="s">
        <v>35</v>
      </c>
      <c r="V304" s="4" t="s">
        <v>30</v>
      </c>
      <c r="W304" s="3" t="s">
        <v>36</v>
      </c>
      <c r="X304" s="4" t="s">
        <v>730</v>
      </c>
      <c r="Y304" s="5"/>
      <c r="Z304" s="5"/>
      <c r="AA304" s="5"/>
      <c r="AB304" s="5"/>
      <c r="AC304" s="5"/>
      <c r="AD304" s="4" t="s">
        <v>769</v>
      </c>
      <c r="AE304" s="17" t="s">
        <v>1632</v>
      </c>
      <c r="AF304" s="3" t="s">
        <v>1400</v>
      </c>
      <c r="AG304" s="5"/>
      <c r="AH304" s="5"/>
      <c r="AI304" s="5"/>
      <c r="AJ304" s="3" t="s">
        <v>49</v>
      </c>
      <c r="AK304" s="18"/>
    </row>
    <row r="305" ht="12" customHeight="1" spans="1:37" x14ac:dyDescent="0.25">
      <c r="A305" s="13" t="s">
        <v>148</v>
      </c>
      <c r="B305" s="13" t="s">
        <v>40</v>
      </c>
      <c r="C305" s="13" t="s">
        <v>1397</v>
      </c>
      <c r="D305" s="14" t="s">
        <v>797</v>
      </c>
      <c r="E305" s="15" t="s">
        <v>1836</v>
      </c>
      <c r="F305" s="3" t="s">
        <v>43</v>
      </c>
      <c r="G305" s="3" t="s">
        <v>47</v>
      </c>
      <c r="H305" s="16" t="s">
        <v>33</v>
      </c>
      <c r="I305" s="3" t="s">
        <v>1399</v>
      </c>
      <c r="J305" s="3" t="s">
        <v>1400</v>
      </c>
      <c r="K305" s="3"/>
      <c r="L305" s="16" t="s">
        <v>1401</v>
      </c>
      <c r="M305" s="3" t="s">
        <v>43</v>
      </c>
      <c r="N305" s="3" t="s">
        <v>1428</v>
      </c>
      <c r="O305" s="16" t="s">
        <v>1550</v>
      </c>
      <c r="P305" s="16"/>
      <c r="Q305" s="16"/>
      <c r="R305" s="3" t="s">
        <v>31</v>
      </c>
      <c r="S305" s="3" t="s">
        <v>32</v>
      </c>
      <c r="T305" s="3" t="s">
        <v>40</v>
      </c>
      <c r="U305" s="3" t="s">
        <v>35</v>
      </c>
      <c r="V305" s="4" t="s">
        <v>30</v>
      </c>
      <c r="W305" s="3" t="s">
        <v>36</v>
      </c>
      <c r="X305" s="4" t="s">
        <v>730</v>
      </c>
      <c r="Y305" s="5"/>
      <c r="Z305" s="5"/>
      <c r="AA305" s="5"/>
      <c r="AB305" s="5"/>
      <c r="AC305" s="5"/>
      <c r="AD305" s="4" t="s">
        <v>769</v>
      </c>
      <c r="AE305" s="17" t="s">
        <v>1590</v>
      </c>
      <c r="AF305" s="3" t="s">
        <v>1400</v>
      </c>
      <c r="AG305" s="5"/>
      <c r="AH305" s="5"/>
      <c r="AI305" s="5"/>
      <c r="AJ305" s="3" t="s">
        <v>49</v>
      </c>
      <c r="AK305" s="18"/>
    </row>
    <row r="306" ht="12" customHeight="1" spans="1:37" x14ac:dyDescent="0.25">
      <c r="A306" s="13" t="s">
        <v>153</v>
      </c>
      <c r="B306" s="13" t="s">
        <v>40</v>
      </c>
      <c r="C306" s="13" t="s">
        <v>1397</v>
      </c>
      <c r="D306" s="14" t="s">
        <v>1405</v>
      </c>
      <c r="E306" s="15" t="s">
        <v>1837</v>
      </c>
      <c r="F306" s="3" t="s">
        <v>136</v>
      </c>
      <c r="G306" s="3" t="s">
        <v>1218</v>
      </c>
      <c r="H306" s="16" t="s">
        <v>33</v>
      </c>
      <c r="I306" s="3" t="s">
        <v>1399</v>
      </c>
      <c r="J306" s="3" t="s">
        <v>1400</v>
      </c>
      <c r="K306" s="3"/>
      <c r="L306" s="16" t="s">
        <v>1401</v>
      </c>
      <c r="M306" s="3" t="s">
        <v>136</v>
      </c>
      <c r="N306" s="3" t="s">
        <v>1435</v>
      </c>
      <c r="O306" s="16" t="s">
        <v>1550</v>
      </c>
      <c r="P306" s="16"/>
      <c r="Q306" s="16"/>
      <c r="R306" s="3" t="s">
        <v>31</v>
      </c>
      <c r="S306" s="3" t="s">
        <v>32</v>
      </c>
      <c r="T306" s="3" t="s">
        <v>40</v>
      </c>
      <c r="U306" s="3" t="s">
        <v>35</v>
      </c>
      <c r="V306" s="4" t="s">
        <v>30</v>
      </c>
      <c r="W306" s="3" t="s">
        <v>36</v>
      </c>
      <c r="X306" s="4" t="s">
        <v>730</v>
      </c>
      <c r="Y306" s="5"/>
      <c r="Z306" s="5"/>
      <c r="AA306" s="5"/>
      <c r="AB306" s="5"/>
      <c r="AC306" s="5"/>
      <c r="AD306" s="4" t="s">
        <v>1405</v>
      </c>
      <c r="AE306" s="17" t="s">
        <v>1555</v>
      </c>
      <c r="AF306" s="3" t="s">
        <v>1400</v>
      </c>
      <c r="AG306" s="5"/>
      <c r="AH306" s="5"/>
      <c r="AI306" s="5"/>
      <c r="AJ306" s="3" t="s">
        <v>56</v>
      </c>
      <c r="AK306" s="18"/>
    </row>
    <row r="307" ht="12" customHeight="1" spans="1:37" x14ac:dyDescent="0.25">
      <c r="A307" s="13" t="s">
        <v>149</v>
      </c>
      <c r="B307" s="13" t="s">
        <v>40</v>
      </c>
      <c r="C307" s="13" t="s">
        <v>1397</v>
      </c>
      <c r="D307" s="14" t="s">
        <v>769</v>
      </c>
      <c r="E307" s="15" t="s">
        <v>1838</v>
      </c>
      <c r="F307" s="3" t="s">
        <v>43</v>
      </c>
      <c r="G307" s="3" t="s">
        <v>47</v>
      </c>
      <c r="H307" s="16" t="s">
        <v>33</v>
      </c>
      <c r="I307" s="3" t="s">
        <v>1399</v>
      </c>
      <c r="J307" s="3" t="s">
        <v>1400</v>
      </c>
      <c r="K307" s="3"/>
      <c r="L307" s="16" t="s">
        <v>1401</v>
      </c>
      <c r="M307" s="3" t="s">
        <v>43</v>
      </c>
      <c r="N307" s="3" t="s">
        <v>1428</v>
      </c>
      <c r="O307" s="16" t="s">
        <v>1548</v>
      </c>
      <c r="P307" s="16"/>
      <c r="Q307" s="16"/>
      <c r="R307" s="3" t="s">
        <v>31</v>
      </c>
      <c r="S307" s="3" t="s">
        <v>32</v>
      </c>
      <c r="T307" s="3" t="s">
        <v>40</v>
      </c>
      <c r="U307" s="3" t="s">
        <v>35</v>
      </c>
      <c r="V307" s="4" t="s">
        <v>30</v>
      </c>
      <c r="W307" s="3" t="s">
        <v>36</v>
      </c>
      <c r="X307" s="4" t="s">
        <v>730</v>
      </c>
      <c r="Y307" s="5"/>
      <c r="Z307" s="5"/>
      <c r="AA307" s="5"/>
      <c r="AB307" s="5"/>
      <c r="AC307" s="5"/>
      <c r="AD307" s="4" t="s">
        <v>769</v>
      </c>
      <c r="AE307" s="17" t="s">
        <v>1839</v>
      </c>
      <c r="AF307" s="3" t="s">
        <v>1400</v>
      </c>
      <c r="AG307" s="5"/>
      <c r="AH307" s="5"/>
      <c r="AI307" s="5"/>
      <c r="AJ307" s="3" t="s">
        <v>49</v>
      </c>
      <c r="AK307" s="18"/>
    </row>
    <row r="308" ht="12" customHeight="1" spans="1:37" x14ac:dyDescent="0.25">
      <c r="A308" s="13" t="s">
        <v>248</v>
      </c>
      <c r="B308" s="13" t="s">
        <v>40</v>
      </c>
      <c r="C308" s="13" t="s">
        <v>1397</v>
      </c>
      <c r="D308" s="14" t="s">
        <v>797</v>
      </c>
      <c r="E308" s="15" t="s">
        <v>1605</v>
      </c>
      <c r="F308" s="3" t="s">
        <v>249</v>
      </c>
      <c r="G308" s="3" t="s">
        <v>47</v>
      </c>
      <c r="H308" s="16" t="s">
        <v>33</v>
      </c>
      <c r="I308" s="3" t="s">
        <v>1399</v>
      </c>
      <c r="J308" s="3" t="s">
        <v>1400</v>
      </c>
      <c r="K308" s="3"/>
      <c r="L308" s="16" t="s">
        <v>1401</v>
      </c>
      <c r="M308" s="3" t="s">
        <v>249</v>
      </c>
      <c r="N308" s="3" t="s">
        <v>1415</v>
      </c>
      <c r="O308" s="16" t="s">
        <v>1840</v>
      </c>
      <c r="P308" s="16"/>
      <c r="Q308" s="16"/>
      <c r="R308" s="3" t="s">
        <v>31</v>
      </c>
      <c r="S308" s="3" t="s">
        <v>32</v>
      </c>
      <c r="T308" s="3" t="s">
        <v>40</v>
      </c>
      <c r="U308" s="3" t="s">
        <v>35</v>
      </c>
      <c r="V308" s="4" t="s">
        <v>30</v>
      </c>
      <c r="W308" s="3" t="s">
        <v>36</v>
      </c>
      <c r="X308" s="4" t="s">
        <v>730</v>
      </c>
      <c r="Y308" s="5"/>
      <c r="Z308" s="5"/>
      <c r="AA308" s="5"/>
      <c r="AB308" s="5"/>
      <c r="AC308" s="5"/>
      <c r="AD308" s="4" t="s">
        <v>797</v>
      </c>
      <c r="AE308" s="17" t="s">
        <v>1458</v>
      </c>
      <c r="AF308" s="3" t="s">
        <v>1400</v>
      </c>
      <c r="AG308" s="5"/>
      <c r="AH308" s="5"/>
      <c r="AI308" s="5"/>
      <c r="AJ308" s="3" t="s">
        <v>250</v>
      </c>
      <c r="AK308" s="18"/>
    </row>
    <row r="309" ht="12" customHeight="1" spans="1:37" x14ac:dyDescent="0.25">
      <c r="A309" s="13" t="s">
        <v>223</v>
      </c>
      <c r="B309" s="13" t="s">
        <v>40</v>
      </c>
      <c r="C309" s="13" t="s">
        <v>1397</v>
      </c>
      <c r="D309" s="14" t="s">
        <v>785</v>
      </c>
      <c r="E309" s="15" t="s">
        <v>1841</v>
      </c>
      <c r="F309" s="3" t="s">
        <v>218</v>
      </c>
      <c r="G309" s="3" t="s">
        <v>1263</v>
      </c>
      <c r="H309" s="16" t="s">
        <v>33</v>
      </c>
      <c r="I309" s="3" t="s">
        <v>1399</v>
      </c>
      <c r="J309" s="3" t="s">
        <v>1400</v>
      </c>
      <c r="K309" s="3"/>
      <c r="L309" s="16" t="s">
        <v>1401</v>
      </c>
      <c r="M309" s="3" t="s">
        <v>218</v>
      </c>
      <c r="N309" s="3" t="s">
        <v>1547</v>
      </c>
      <c r="O309" s="16" t="s">
        <v>1550</v>
      </c>
      <c r="P309" s="16"/>
      <c r="Q309" s="16"/>
      <c r="R309" s="3" t="s">
        <v>31</v>
      </c>
      <c r="S309" s="3" t="s">
        <v>32</v>
      </c>
      <c r="T309" s="3" t="s">
        <v>40</v>
      </c>
      <c r="U309" s="3" t="s">
        <v>35</v>
      </c>
      <c r="V309" s="4" t="s">
        <v>30</v>
      </c>
      <c r="W309" s="3" t="s">
        <v>36</v>
      </c>
      <c r="X309" s="4" t="s">
        <v>730</v>
      </c>
      <c r="Y309" s="5"/>
      <c r="Z309" s="5"/>
      <c r="AA309" s="5"/>
      <c r="AB309" s="5"/>
      <c r="AC309" s="5"/>
      <c r="AD309" s="4" t="s">
        <v>785</v>
      </c>
      <c r="AE309" s="17" t="s">
        <v>1842</v>
      </c>
      <c r="AF309" s="3" t="s">
        <v>1400</v>
      </c>
      <c r="AG309" s="5"/>
      <c r="AH309" s="5"/>
      <c r="AI309" s="5"/>
      <c r="AJ309" s="3" t="s">
        <v>220</v>
      </c>
      <c r="AK309" s="18"/>
    </row>
    <row r="310" ht="12" customHeight="1" spans="1:37" x14ac:dyDescent="0.25">
      <c r="A310" s="13" t="s">
        <v>285</v>
      </c>
      <c r="B310" s="13" t="s">
        <v>40</v>
      </c>
      <c r="C310" s="13" t="s">
        <v>1397</v>
      </c>
      <c r="D310" s="14" t="s">
        <v>759</v>
      </c>
      <c r="E310" s="15" t="s">
        <v>1473</v>
      </c>
      <c r="F310" s="3" t="s">
        <v>280</v>
      </c>
      <c r="G310" s="3" t="s">
        <v>732</v>
      </c>
      <c r="H310" s="16" t="s">
        <v>95</v>
      </c>
      <c r="I310" s="3" t="s">
        <v>1399</v>
      </c>
      <c r="J310" s="3" t="s">
        <v>1400</v>
      </c>
      <c r="K310" s="3"/>
      <c r="L310" s="16" t="s">
        <v>1401</v>
      </c>
      <c r="M310" s="3" t="s">
        <v>280</v>
      </c>
      <c r="N310" s="3" t="s">
        <v>1469</v>
      </c>
      <c r="O310" s="16" t="s">
        <v>1460</v>
      </c>
      <c r="P310" s="16"/>
      <c r="Q310" s="16"/>
      <c r="R310" s="3" t="s">
        <v>1470</v>
      </c>
      <c r="S310" s="3" t="s">
        <v>1471</v>
      </c>
      <c r="T310" s="3" t="s">
        <v>40</v>
      </c>
      <c r="U310" s="3" t="s">
        <v>35</v>
      </c>
      <c r="V310" s="4" t="s">
        <v>30</v>
      </c>
      <c r="W310" s="3" t="s">
        <v>279</v>
      </c>
      <c r="X310" s="4" t="s">
        <v>966</v>
      </c>
      <c r="Y310" s="5"/>
      <c r="Z310" s="5"/>
      <c r="AA310" s="5"/>
      <c r="AB310" s="5"/>
      <c r="AC310" s="5"/>
      <c r="AD310" s="4" t="s">
        <v>1057</v>
      </c>
      <c r="AE310" s="17" t="s">
        <v>1472</v>
      </c>
      <c r="AF310" s="3" t="s">
        <v>1400</v>
      </c>
      <c r="AG310" s="5"/>
      <c r="AH310" s="5"/>
      <c r="AI310" s="5"/>
      <c r="AJ310" s="3" t="s">
        <v>282</v>
      </c>
      <c r="AK310" s="18"/>
    </row>
    <row r="311" ht="12" customHeight="1" spans="1:37" x14ac:dyDescent="0.25">
      <c r="A311" s="13" t="s">
        <v>150</v>
      </c>
      <c r="B311" s="13" t="s">
        <v>40</v>
      </c>
      <c r="C311" s="13" t="s">
        <v>1397</v>
      </c>
      <c r="D311" s="14" t="s">
        <v>769</v>
      </c>
      <c r="E311" s="15" t="s">
        <v>1843</v>
      </c>
      <c r="F311" s="3" t="s">
        <v>43</v>
      </c>
      <c r="G311" s="3" t="s">
        <v>47</v>
      </c>
      <c r="H311" s="16" t="s">
        <v>33</v>
      </c>
      <c r="I311" s="3" t="s">
        <v>1399</v>
      </c>
      <c r="J311" s="3" t="s">
        <v>1400</v>
      </c>
      <c r="K311" s="3"/>
      <c r="L311" s="16" t="s">
        <v>1401</v>
      </c>
      <c r="M311" s="3" t="s">
        <v>43</v>
      </c>
      <c r="N311" s="3" t="s">
        <v>1428</v>
      </c>
      <c r="O311" s="16" t="s">
        <v>1844</v>
      </c>
      <c r="P311" s="16"/>
      <c r="Q311" s="16"/>
      <c r="R311" s="3" t="s">
        <v>31</v>
      </c>
      <c r="S311" s="3" t="s">
        <v>32</v>
      </c>
      <c r="T311" s="3" t="s">
        <v>40</v>
      </c>
      <c r="U311" s="3" t="s">
        <v>35</v>
      </c>
      <c r="V311" s="4" t="s">
        <v>30</v>
      </c>
      <c r="W311" s="3" t="s">
        <v>36</v>
      </c>
      <c r="X311" s="4" t="s">
        <v>730</v>
      </c>
      <c r="Y311" s="5"/>
      <c r="Z311" s="5"/>
      <c r="AA311" s="5"/>
      <c r="AB311" s="5"/>
      <c r="AC311" s="5"/>
      <c r="AD311" s="4" t="s">
        <v>769</v>
      </c>
      <c r="AE311" s="17" t="s">
        <v>1845</v>
      </c>
      <c r="AF311" s="3" t="s">
        <v>1400</v>
      </c>
      <c r="AG311" s="5"/>
      <c r="AH311" s="5"/>
      <c r="AI311" s="5"/>
      <c r="AJ311" s="3" t="s">
        <v>49</v>
      </c>
      <c r="AK311" s="18"/>
    </row>
    <row r="312" ht="12" customHeight="1" spans="1:37" x14ac:dyDescent="0.25">
      <c r="A312" s="13" t="s">
        <v>230</v>
      </c>
      <c r="B312" s="13" t="s">
        <v>40</v>
      </c>
      <c r="C312" s="13" t="s">
        <v>1397</v>
      </c>
      <c r="D312" s="14" t="s">
        <v>1405</v>
      </c>
      <c r="E312" s="15" t="s">
        <v>1846</v>
      </c>
      <c r="F312" s="3" t="s">
        <v>53</v>
      </c>
      <c r="G312" s="3" t="s">
        <v>1218</v>
      </c>
      <c r="H312" s="16" t="s">
        <v>33</v>
      </c>
      <c r="I312" s="3" t="s">
        <v>1399</v>
      </c>
      <c r="J312" s="3" t="s">
        <v>1400</v>
      </c>
      <c r="K312" s="3"/>
      <c r="L312" s="16" t="s">
        <v>1401</v>
      </c>
      <c r="M312" s="3" t="s">
        <v>53</v>
      </c>
      <c r="N312" s="3" t="s">
        <v>1558</v>
      </c>
      <c r="O312" s="16" t="s">
        <v>1422</v>
      </c>
      <c r="P312" s="16"/>
      <c r="Q312" s="16"/>
      <c r="R312" s="3" t="s">
        <v>31</v>
      </c>
      <c r="S312" s="3" t="s">
        <v>32</v>
      </c>
      <c r="T312" s="3" t="s">
        <v>40</v>
      </c>
      <c r="U312" s="3" t="s">
        <v>35</v>
      </c>
      <c r="V312" s="4" t="s">
        <v>30</v>
      </c>
      <c r="W312" s="3" t="s">
        <v>36</v>
      </c>
      <c r="X312" s="4" t="s">
        <v>730</v>
      </c>
      <c r="Y312" s="5"/>
      <c r="Z312" s="5"/>
      <c r="AA312" s="5"/>
      <c r="AB312" s="5"/>
      <c r="AC312" s="5"/>
      <c r="AD312" s="4" t="s">
        <v>1405</v>
      </c>
      <c r="AE312" s="17" t="s">
        <v>1408</v>
      </c>
      <c r="AF312" s="3" t="s">
        <v>1400</v>
      </c>
      <c r="AG312" s="5"/>
      <c r="AH312" s="5"/>
      <c r="AI312" s="5"/>
      <c r="AJ312" s="3" t="s">
        <v>56</v>
      </c>
      <c r="AK312" s="18"/>
    </row>
    <row r="313" ht="12" customHeight="1" spans="1:37" x14ac:dyDescent="0.25">
      <c r="A313" s="13" t="s">
        <v>216</v>
      </c>
      <c r="B313" s="13" t="s">
        <v>40</v>
      </c>
      <c r="C313" s="13" t="s">
        <v>1397</v>
      </c>
      <c r="D313" s="14" t="s">
        <v>1568</v>
      </c>
      <c r="E313" s="15" t="s">
        <v>1847</v>
      </c>
      <c r="F313" s="3" t="s">
        <v>79</v>
      </c>
      <c r="G313" s="3" t="s">
        <v>802</v>
      </c>
      <c r="H313" s="16" t="s">
        <v>33</v>
      </c>
      <c r="I313" s="3" t="s">
        <v>1399</v>
      </c>
      <c r="J313" s="3" t="s">
        <v>1400</v>
      </c>
      <c r="K313" s="3"/>
      <c r="L313" s="16" t="s">
        <v>1401</v>
      </c>
      <c r="M313" s="3" t="s">
        <v>79</v>
      </c>
      <c r="N313" s="3" t="s">
        <v>1410</v>
      </c>
      <c r="O313" s="16" t="s">
        <v>1422</v>
      </c>
      <c r="P313" s="16"/>
      <c r="Q313" s="16"/>
      <c r="R313" s="3" t="s">
        <v>1412</v>
      </c>
      <c r="S313" s="3" t="s">
        <v>32</v>
      </c>
      <c r="T313" s="3" t="s">
        <v>40</v>
      </c>
      <c r="U313" s="3" t="s">
        <v>35</v>
      </c>
      <c r="V313" s="4" t="s">
        <v>30</v>
      </c>
      <c r="W313" s="3" t="s">
        <v>36</v>
      </c>
      <c r="X313" s="4" t="s">
        <v>730</v>
      </c>
      <c r="Y313" s="5"/>
      <c r="Z313" s="5"/>
      <c r="AA313" s="5"/>
      <c r="AB313" s="5"/>
      <c r="AC313" s="5"/>
      <c r="AD313" s="4" t="s">
        <v>1568</v>
      </c>
      <c r="AE313" s="17" t="s">
        <v>1594</v>
      </c>
      <c r="AF313" s="3" t="s">
        <v>1400</v>
      </c>
      <c r="AG313" s="5"/>
      <c r="AH313" s="5"/>
      <c r="AI313" s="5"/>
      <c r="AJ313" s="3" t="s">
        <v>83</v>
      </c>
      <c r="AK313" s="18"/>
    </row>
    <row r="314" ht="12" customHeight="1" spans="1:37" x14ac:dyDescent="0.25">
      <c r="A314" s="13" t="s">
        <v>151</v>
      </c>
      <c r="B314" s="13" t="s">
        <v>40</v>
      </c>
      <c r="C314" s="13" t="s">
        <v>1397</v>
      </c>
      <c r="D314" s="14" t="s">
        <v>769</v>
      </c>
      <c r="E314" s="15" t="s">
        <v>1848</v>
      </c>
      <c r="F314" s="3" t="s">
        <v>43</v>
      </c>
      <c r="G314" s="3" t="s">
        <v>47</v>
      </c>
      <c r="H314" s="16" t="s">
        <v>33</v>
      </c>
      <c r="I314" s="3" t="s">
        <v>1399</v>
      </c>
      <c r="J314" s="3" t="s">
        <v>1400</v>
      </c>
      <c r="K314" s="3"/>
      <c r="L314" s="16" t="s">
        <v>1401</v>
      </c>
      <c r="M314" s="3" t="s">
        <v>43</v>
      </c>
      <c r="N314" s="3" t="s">
        <v>1428</v>
      </c>
      <c r="O314" s="16" t="s">
        <v>1422</v>
      </c>
      <c r="P314" s="16"/>
      <c r="Q314" s="16"/>
      <c r="R314" s="3" t="s">
        <v>31</v>
      </c>
      <c r="S314" s="3" t="s">
        <v>32</v>
      </c>
      <c r="T314" s="3" t="s">
        <v>40</v>
      </c>
      <c r="U314" s="3" t="s">
        <v>35</v>
      </c>
      <c r="V314" s="4" t="s">
        <v>30</v>
      </c>
      <c r="W314" s="3" t="s">
        <v>36</v>
      </c>
      <c r="X314" s="4" t="s">
        <v>730</v>
      </c>
      <c r="Y314" s="5"/>
      <c r="Z314" s="5"/>
      <c r="AA314" s="5"/>
      <c r="AB314" s="5"/>
      <c r="AC314" s="5"/>
      <c r="AD314" s="4" t="s">
        <v>769</v>
      </c>
      <c r="AE314" s="17" t="s">
        <v>1748</v>
      </c>
      <c r="AF314" s="3" t="s">
        <v>1400</v>
      </c>
      <c r="AG314" s="5"/>
      <c r="AH314" s="5"/>
      <c r="AI314" s="5"/>
      <c r="AJ314" s="3" t="s">
        <v>49</v>
      </c>
      <c r="AK314" s="18"/>
    </row>
    <row r="315" ht="12" customHeight="1" spans="1:37" x14ac:dyDescent="0.25">
      <c r="A315" s="13" t="s">
        <v>264</v>
      </c>
      <c r="B315" s="13" t="s">
        <v>40</v>
      </c>
      <c r="C315" s="13" t="s">
        <v>1397</v>
      </c>
      <c r="D315" s="14" t="s">
        <v>1057</v>
      </c>
      <c r="E315" s="15" t="s">
        <v>1678</v>
      </c>
      <c r="F315" s="3" t="s">
        <v>257</v>
      </c>
      <c r="G315" s="3" t="s">
        <v>732</v>
      </c>
      <c r="H315" s="16" t="s">
        <v>33</v>
      </c>
      <c r="I315" s="3" t="s">
        <v>1399</v>
      </c>
      <c r="J315" s="3" t="s">
        <v>1400</v>
      </c>
      <c r="K315" s="3"/>
      <c r="L315" s="16" t="s">
        <v>1401</v>
      </c>
      <c r="M315" s="3" t="s">
        <v>257</v>
      </c>
      <c r="N315" s="3" t="s">
        <v>1598</v>
      </c>
      <c r="O315" s="16" t="s">
        <v>1422</v>
      </c>
      <c r="P315" s="16"/>
      <c r="Q315" s="16"/>
      <c r="R315" s="3" t="s">
        <v>1470</v>
      </c>
      <c r="S315" s="3" t="s">
        <v>1471</v>
      </c>
      <c r="T315" s="3" t="s">
        <v>40</v>
      </c>
      <c r="U315" s="3" t="s">
        <v>35</v>
      </c>
      <c r="V315" s="4" t="s">
        <v>30</v>
      </c>
      <c r="W315" s="3" t="s">
        <v>36</v>
      </c>
      <c r="X315" s="4" t="s">
        <v>730</v>
      </c>
      <c r="Y315" s="5"/>
      <c r="Z315" s="5"/>
      <c r="AA315" s="5"/>
      <c r="AB315" s="5"/>
      <c r="AC315" s="5"/>
      <c r="AD315" s="4" t="s">
        <v>1057</v>
      </c>
      <c r="AE315" s="17" t="s">
        <v>1849</v>
      </c>
      <c r="AF315" s="3" t="s">
        <v>1400</v>
      </c>
      <c r="AG315" s="5"/>
      <c r="AH315" s="5"/>
      <c r="AI315" s="5"/>
      <c r="AJ315" s="3" t="s">
        <v>111</v>
      </c>
      <c r="AK315" s="18"/>
    </row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16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19" customWidth="1"/>
    <col min="2" max="2" width="4.75" style="20" customWidth="1"/>
    <col min="3" max="3" width="5.875" style="19" customWidth="1"/>
    <col min="4" max="4" width="13.125" style="19" customWidth="1"/>
    <col min="5" max="6" width="16.75" style="19" customWidth="1"/>
    <col min="7" max="7" width="7.875" style="21" customWidth="1"/>
    <col min="8" max="10" width="6.625" style="19" customWidth="1"/>
    <col min="11" max="11" width="3.875" style="19" customWidth="1"/>
    <col min="12" max="12" width="4.625" style="19" customWidth="1"/>
    <col min="13" max="13" width="2.625" style="19" customWidth="1"/>
    <col min="14" max="14" width="2.5" style="19" customWidth="1"/>
    <col min="15" max="15" width="4.625" style="19" customWidth="1"/>
    <col min="16" max="16" width="5.375" style="19" customWidth="1"/>
    <col min="17" max="17" width="4.5" style="19" customWidth="1"/>
    <col min="18" max="18" width="3.25" style="19" customWidth="1"/>
    <col min="19" max="19" width="3.375" style="22" customWidth="1"/>
    <col min="20" max="20" width="7.875" style="19" customWidth="1"/>
    <col min="21" max="21" width="6.875" style="19" customWidth="1"/>
    <col min="22" max="22" width="4" style="22" customWidth="1"/>
    <col min="23" max="23" width="7.875" style="19" customWidth="1"/>
    <col min="24" max="26" width="3.875" style="19" customWidth="1"/>
    <col min="27" max="27" width="11.625" style="22" customWidth="1"/>
    <col min="28" max="29" width="4.625" style="22" customWidth="1"/>
    <col min="30" max="30" width="7.75" style="19" customWidth="1"/>
    <col min="31" max="31" width="5.625" style="19" customWidth="1"/>
    <col min="32" max="32" width="4.625" style="19" customWidth="1"/>
    <col min="33" max="33" width="11.625" style="22" customWidth="1"/>
    <col min="34" max="34" width="4.625" style="22" customWidth="1"/>
    <col min="35" max="35" width="10.125" style="22" customWidth="1"/>
    <col min="36" max="36" width="4.25" style="21" customWidth="1"/>
    <col min="37" max="37" width="14.375" style="23" customWidth="1"/>
    <col min="38" max="38" width="7.875" style="21" customWidth="1"/>
    <col min="39" max="39" width="7.125" style="19" customWidth="1"/>
    <col min="40" max="40" width="15.375" style="19" customWidth="1"/>
    <col min="41" max="16384" width="7.125" style="19" customWidth="1"/>
  </cols>
  <sheetData>
    <row r="1" ht="39.95" customHeight="1" spans="1:38" s="24" customFormat="1" x14ac:dyDescent="0.25">
      <c r="A1" s="25" t="s">
        <v>1850</v>
      </c>
      <c r="B1" s="26"/>
      <c r="C1" s="27"/>
      <c r="G1" s="27"/>
      <c r="R1" s="28" t="s">
        <v>1851</v>
      </c>
      <c r="S1" s="29"/>
      <c r="U1" s="30"/>
      <c r="V1" s="31"/>
      <c r="W1" s="25" t="s">
        <v>1852</v>
      </c>
      <c r="X1" s="25"/>
      <c r="Y1" s="30"/>
      <c r="Z1" s="32"/>
      <c r="AA1" s="33">
        <f>SUM(AA3:AA1353)</f>
        <v>387575</v>
      </c>
      <c r="AB1" s="34"/>
      <c r="AC1" s="34"/>
      <c r="AF1" s="32"/>
      <c r="AG1" s="33">
        <f>SUM(AG3:AG1353)</f>
        <v>0</v>
      </c>
      <c r="AH1" s="33">
        <f>SUM(AH3:AH1353)</f>
        <v>0</v>
      </c>
      <c r="AI1" s="33">
        <f>SUM(AI3:AI1353)</f>
        <v>387575</v>
      </c>
      <c r="AK1" s="35"/>
      <c r="AL1" s="27"/>
    </row>
    <row r="2" ht="39.95" customHeight="1" spans="1:41" s="36" customFormat="1" x14ac:dyDescent="0.25">
      <c r="A2" s="37" t="s">
        <v>0</v>
      </c>
      <c r="B2" s="38" t="s">
        <v>1853</v>
      </c>
      <c r="C2" s="39" t="s">
        <v>13</v>
      </c>
      <c r="D2" s="40" t="s">
        <v>16</v>
      </c>
      <c r="E2" s="40" t="s">
        <v>22</v>
      </c>
      <c r="F2" s="40" t="s">
        <v>659</v>
      </c>
      <c r="G2" s="41" t="s">
        <v>637</v>
      </c>
      <c r="H2" s="40" t="s">
        <v>647</v>
      </c>
      <c r="I2" s="40" t="s">
        <v>651</v>
      </c>
      <c r="J2" s="42" t="s">
        <v>658</v>
      </c>
      <c r="K2" s="43" t="s">
        <v>4</v>
      </c>
      <c r="L2" s="43" t="s">
        <v>711</v>
      </c>
      <c r="M2" s="40" t="s">
        <v>674</v>
      </c>
      <c r="N2" s="40" t="s">
        <v>676</v>
      </c>
      <c r="O2" s="40" t="s">
        <v>2</v>
      </c>
      <c r="P2" s="40" t="s">
        <v>3</v>
      </c>
      <c r="Q2" s="40" t="s">
        <v>644</v>
      </c>
      <c r="R2" s="44" t="s">
        <v>1854</v>
      </c>
      <c r="S2" s="45" t="s">
        <v>1855</v>
      </c>
      <c r="T2" s="40" t="s">
        <v>650</v>
      </c>
      <c r="U2" s="46" t="s">
        <v>1856</v>
      </c>
      <c r="V2" s="47" t="s">
        <v>1857</v>
      </c>
      <c r="W2" s="39" t="s">
        <v>1858</v>
      </c>
      <c r="X2" s="46" t="s">
        <v>1859</v>
      </c>
      <c r="Y2" s="46" t="s">
        <v>1860</v>
      </c>
      <c r="Z2" s="46" t="s">
        <v>1861</v>
      </c>
      <c r="AA2" s="48" t="s">
        <v>1862</v>
      </c>
      <c r="AB2" s="49" t="s">
        <v>1863</v>
      </c>
      <c r="AC2" s="49" t="s">
        <v>1864</v>
      </c>
      <c r="AD2" s="44" t="s">
        <v>1865</v>
      </c>
      <c r="AE2" s="44" t="s">
        <v>1866</v>
      </c>
      <c r="AF2" s="46" t="s">
        <v>1867</v>
      </c>
      <c r="AG2" s="48" t="s">
        <v>1868</v>
      </c>
      <c r="AH2" s="49" t="s">
        <v>1869</v>
      </c>
      <c r="AI2" s="48" t="s">
        <v>1870</v>
      </c>
      <c r="AJ2" s="50" t="s">
        <v>20</v>
      </c>
      <c r="AK2" s="40" t="s">
        <v>671</v>
      </c>
      <c r="AL2" s="41" t="s">
        <v>724</v>
      </c>
      <c r="AM2" s="51" t="s">
        <v>1871</v>
      </c>
      <c r="AN2" s="52" t="s">
        <v>1872</v>
      </c>
      <c r="AO2" s="52" t="s">
        <v>1873</v>
      </c>
    </row>
    <row r="3" ht="12.95" customHeight="1" spans="1:41" x14ac:dyDescent="0.25">
      <c r="A3" s="3" t="s">
        <v>94</v>
      </c>
      <c r="B3" s="53" t="str">
        <f>IF(C3=Charge!$M$1,Charge!$J$1,IF(C3=Charge!$M$23,Charge!$J$23,IF(C3=Charge!$M$17,Charge!$J$17,IF(C3=Charge!$N$17,Charge!$J$17,Charge!$J$7))))</f>
        <v>G2</v>
      </c>
      <c r="C3" s="54" t="str">
        <f>VLOOKUP(A3,'1.Loading'!A:R,14,FALSE)</f>
        <v>LCH06</v>
      </c>
      <c r="D3" s="54" t="str">
        <f>VLOOKUP(A3,'1.Loading'!A:R,17,FALSE)</f>
        <v>HASLS22260900170</v>
      </c>
      <c r="E3" s="55" t="str">
        <f>VLOOKUP(D3,'2.Bookinglist'!A:CT,27,FALSE)</f>
        <v>PANDA GOGO LOGISTICS CO., LTD.</v>
      </c>
      <c r="F3" s="55" t="str">
        <f>VLOOKUP(D3,'2.Bookinglist'!A:CT,28,FALSE)</f>
        <v>GC-M PTA COMPANY LIMITED</v>
      </c>
      <c r="G3" s="56">
        <f>VLOOKUP(D3,'2.Bookinglist'!A:E,5,FALSE)</f>
        <v>0</v>
      </c>
      <c r="H3" s="54" t="str">
        <f>VLOOKUP(D3,'2.Bookinglist'!A:CT,15,FALSE)</f>
        <v>THLCH</v>
      </c>
      <c r="I3" s="54" t="str">
        <f>VLOOKUP(D3,'2.Bookinglist'!A:CT,19,FALSE)</f>
        <v>JPTRG</v>
      </c>
      <c r="J3" s="54" t="str">
        <f>VLOOKUP(D3,'2.Bookinglist'!A:CT,26,FALSE)</f>
        <v>KRPUS</v>
      </c>
      <c r="K3" s="54" t="str">
        <f>VLOOKUP(A3,'1.Loading'!A:R,5,FALSE)</f>
        <v>22GP</v>
      </c>
      <c r="L3" s="56" t="str">
        <f>VLOOKUP(D3,'2.Bookinglist'!A:CT,85,FALSE)</f>
        <v>CY/CY</v>
      </c>
      <c r="M3" s="56" t="str">
        <f>IF(VLOOKUP(D3,'2.Bookinglist'!A:CT,43,FALSE)=0,"","DG")</f>
        <v/>
      </c>
      <c r="N3" s="56" t="str">
        <f>IF(RIGHT(K3,2)="RE","RF","")</f>
        <v/>
      </c>
      <c r="O3" s="54" t="str">
        <f>VLOOKUP(A3,'1.Loading'!A:R,3,FALSE)</f>
        <v>HMVY</v>
      </c>
      <c r="P3" s="54" t="str">
        <f>VLOOKUP(A3,'1.Loading'!A:R,4,FALSE)</f>
        <v>2609N</v>
      </c>
      <c r="Q3" s="54" t="str">
        <f>VLOOKUP(D3,'2.Bookinglist'!A:CT,12,FALSE)</f>
        <v>PCI2</v>
      </c>
      <c r="R3" s="56" t="str">
        <f>IF(LEFT(K3,2)="22","20'","40'")</f>
        <v>20'</v>
      </c>
      <c r="S3" s="38"/>
      <c r="T3" s="54" t="str">
        <f>VLOOKUP(A3,'1.Loading'!A:R,2,FALSE)</f>
        <v>2026-10-28</v>
      </c>
      <c r="U3" s="57">
        <f>T3-S3</f>
        <v>46323</v>
      </c>
      <c r="V3" s="58"/>
      <c r="W3" s="54" t="str">
        <f>VLOOKUP(A3,'3.GateMove'!A:D,4,FALSE)</f>
        <v>2026-10-18</v>
      </c>
      <c r="X3" s="57">
        <f>((T3-W3)+1)</f>
        <v>11</v>
      </c>
      <c r="Y3" s="59">
        <f>IF(AND(OR(C3="BKK01",C3="BKK04"),L3="CFS/CY"),0,IF(M3="DG",1,IF(LEFT(C3,3)="LCH",7,IF(C3="BKK02",5,3))))</f>
        <v>7</v>
      </c>
      <c r="Z3" s="57">
        <f>IF(IF(AND(AC3="TML",AB3&gt;0),((T3-W3)+1)-AB3,((T3-W3)+1)-Y3)&gt;0,IF(AND(AC3="TML",AB3&gt;0),((T3-W3)+1)-AB3,((T3-W3)+1)-Y3),0)</f>
        <v>4</v>
      </c>
      <c r="AA3" s="48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500</v>
      </c>
      <c r="AB3" s="53"/>
      <c r="AC3" s="53"/>
      <c r="AD3" s="56">
        <f>IF(M3="DG",3,IF(N3="RF",3,5))+IF(AND(LEFT(C3,3)="BKK",N3="RF",Q3="KTS"),1,0)+IF(Q3="KHS",1,0)</f>
        <v>5</v>
      </c>
      <c r="AE3" s="57">
        <f>(T3-V3)+1</f>
        <v>46324</v>
      </c>
      <c r="AF3" s="57">
        <f>IF(AB3&gt;IF((V3-W3)&gt;0,V3-W3,0),0,IF(AB3&lt;IF((V3-W3)&gt;0,V3-W3,0),IF((V3-W3)&gt;0,V3-W3,0)-AB3,IF((V3-W3)&gt;0,V3-W3,0)))</f>
        <v>0</v>
      </c>
      <c r="AG3" s="48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0"/>
      <c r="AI3" s="60">
        <f>AA3-AH3</f>
        <v>500</v>
      </c>
      <c r="AJ3" s="61"/>
      <c r="AK3" s="55" t="str">
        <f>VLOOKUP(D3,'2.Bookinglist'!A:CT,40,FALSE)</f>
        <v>Tarn(Supaporn)</v>
      </c>
      <c r="AL3" s="56" t="str">
        <f>VLOOKUP(D3,'2.Bookinglist'!A:CW,101,FALSE)</f>
        <v>2026-10-22</v>
      </c>
      <c r="AM3" s="56" t="str">
        <f>VLOOKUP(D3,'2.Bookinglist'!A:BK,63,FALSE)</f>
        <v>LCHY5</v>
      </c>
      <c r="AN3" s="55" t="str">
        <f>VLOOKUP(D3,'2.Bookinglist'!A:AZ,52,FALSE)</f>
        <v>[FIX]Pickup : 2026-10-14, Return : 2026-10-15 [1ST RTN 16/10/2026 W/O RENT]
** PLEASE CHECK OPEN GATE BEFORE RETURN CONTAINER ** </v>
      </c>
      <c r="AO3" s="55">
        <f>VLOOKUP(D3,'2.Bookinglist'!A:CY,103,FALSE)</f>
        <v>0</v>
      </c>
    </row>
    <row r="4" ht="12.95" customHeight="1" spans="1:41" x14ac:dyDescent="0.25">
      <c r="A4" s="3" t="s">
        <v>154</v>
      </c>
      <c r="B4" s="53" t="str">
        <f>IF(C4=Charge!$M$1,Charge!$J$1,IF(C4=Charge!$M$23,Charge!$J$23,IF(C4=Charge!$M$17,Charge!$J$17,IF(C4=Charge!$N$17,Charge!$J$17,Charge!$J$7))))</f>
        <v>G2</v>
      </c>
      <c r="C4" s="54" t="str">
        <f>VLOOKUP(A4,'1.Loading'!A:R,14,FALSE)</f>
        <v>LCH06</v>
      </c>
      <c r="D4" s="54" t="str">
        <f>VLOOKUP(A4,'1.Loading'!A:R,17,FALSE)</f>
        <v>HASLS22261000875</v>
      </c>
      <c r="E4" s="55" t="str">
        <f>VLOOKUP(D4,'2.Bookinglist'!A:CT,27,FALSE)</f>
        <v>SUN-OCEAN GLOBAL SUPPLY CHAIN CO., LTD.</v>
      </c>
      <c r="F4" s="55" t="str">
        <f>VLOOKUP(D4,'2.Bookinglist'!A:CT,28,FALSE)</f>
        <v>I.P. ONE COMPANY LIMITED</v>
      </c>
      <c r="G4" s="56" t="str">
        <f>VLOOKUP(D4,'2.Bookinglist'!A:E,5,FALSE)</f>
        <v>THSRP</v>
      </c>
      <c r="H4" s="54" t="str">
        <f>VLOOKUP(D4,'2.Bookinglist'!A:CT,15,FALSE)</f>
        <v>THLCH</v>
      </c>
      <c r="I4" s="54" t="str">
        <f>VLOOKUP(D4,'2.Bookinglist'!A:CT,19,FALSE)</f>
        <v>CNSHA</v>
      </c>
      <c r="J4" s="54">
        <f>VLOOKUP(D4,'2.Bookinglist'!A:CT,26,FALSE)</f>
        <v>0</v>
      </c>
      <c r="K4" s="54" t="str">
        <f>VLOOKUP(A4,'1.Loading'!A:R,5,FALSE)</f>
        <v>45GP</v>
      </c>
      <c r="L4" s="56" t="str">
        <f>VLOOKUP(D4,'2.Bookinglist'!A:CT,85,FALSE)</f>
        <v>CY/CY</v>
      </c>
      <c r="M4" s="56" t="str">
        <f>IF(VLOOKUP(D4,'2.Bookinglist'!A:CT,43,FALSE)=0,"","DG")</f>
        <v/>
      </c>
      <c r="N4" s="56" t="str">
        <f>IF(RIGHT(K4,2)="RE","RF","")</f>
        <v/>
      </c>
      <c r="O4" s="54" t="str">
        <f>VLOOKUP(A4,'1.Loading'!A:R,3,FALSE)</f>
        <v>HMVY</v>
      </c>
      <c r="P4" s="54" t="str">
        <f>VLOOKUP(A4,'1.Loading'!A:R,4,FALSE)</f>
        <v>2609N</v>
      </c>
      <c r="Q4" s="54" t="str">
        <f>VLOOKUP(D4,'2.Bookinglist'!A:CT,12,FALSE)</f>
        <v>PCI2</v>
      </c>
      <c r="R4" s="56" t="str">
        <f>IF(LEFT(K4,2)="22","20'","40'")</f>
        <v>40'</v>
      </c>
      <c r="S4" s="38"/>
      <c r="T4" s="54" t="str">
        <f>VLOOKUP(A4,'1.Loading'!A:R,2,FALSE)</f>
        <v>2026-10-28</v>
      </c>
      <c r="U4" s="57">
        <f>T4-S4</f>
        <v>46323</v>
      </c>
      <c r="V4" s="58"/>
      <c r="W4" s="54" t="str">
        <f>VLOOKUP(A4,'3.GateMove'!A:D,4,FALSE)</f>
        <v>2026-10-23</v>
      </c>
      <c r="X4" s="57">
        <f>((T4-W4)+1)</f>
        <v>6</v>
      </c>
      <c r="Y4" s="59">
        <f>IF(AND(OR(C4="BKK01",C4="BKK04"),L4="CFS/CY"),0,IF(M4="DG",1,IF(LEFT(C4,3)="LCH",7,IF(C4="BKK02",5,3))))</f>
        <v>7</v>
      </c>
      <c r="Z4" s="57">
        <f>IF(IF(AND(AC4="TML",AB4&gt;0),((T4-W4)+1)-AB4,((T4-W4)+1)-Y4)&gt;0,IF(AND(AC4="TML",AB4&gt;0),((T4-W4)+1)-AB4,((T4-W4)+1)-Y4),0)</f>
        <v>0</v>
      </c>
      <c r="AA4" s="48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53"/>
      <c r="AC4" s="53"/>
      <c r="AD4" s="56">
        <f>IF(M4="DG",3,IF(N4="RF",3,5))+IF(AND(LEFT(C4,3)="BKK",N4="RF",Q4="KTS"),1,0)+IF(Q4="KHS",1,0)</f>
        <v>5</v>
      </c>
      <c r="AE4" s="57">
        <f>(T4-V4)+1</f>
        <v>46324</v>
      </c>
      <c r="AF4" s="57">
        <f>IF(AB4&gt;IF((V4-W4)&gt;0,V4-W4,0),0,IF(AB4&lt;IF((V4-W4)&gt;0,V4-W4,0),IF((V4-W4)&gt;0,V4-W4,0)-AB4,IF((V4-W4)&gt;0,V4-W4,0)))</f>
        <v>0</v>
      </c>
      <c r="AG4" s="48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0"/>
      <c r="AI4" s="60">
        <f>AA4-AH4</f>
        <v>0</v>
      </c>
      <c r="AJ4" s="61"/>
      <c r="AK4" s="55" t="str">
        <f>VLOOKUP(D4,'2.Bookinglist'!A:CT,40,FALSE)</f>
        <v>Arunphat W. (Aiw)</v>
      </c>
      <c r="AL4" s="56" t="str">
        <f>VLOOKUP(D4,'2.Bookinglist'!A:CW,101,FALSE)</f>
        <v>2026-10-22</v>
      </c>
      <c r="AM4" s="56" t="str">
        <f>VLOOKUP(D4,'2.Bookinglist'!A:BK,63,FALSE)</f>
        <v>BKK27</v>
      </c>
      <c r="AN4" s="55" t="str">
        <f>VLOOKUP(D4,'2.Bookinglist'!A:AZ,52,FALSE)</f>
        <v>Pickup : 2026-10-19, Return SRP : 2026-10-19 [PAPERLESS CODE 2829]
CLS TIME 24/10/26 @21.00 (1ST RETURN DATE 21/10/26)</v>
      </c>
      <c r="AO4" s="55">
        <f>VLOOKUP(D4,'2.Bookinglist'!A:CY,103,FALSE)</f>
        <v>0</v>
      </c>
    </row>
    <row r="5" ht="12.95" customHeight="1" spans="1:41" x14ac:dyDescent="0.25">
      <c r="A5" s="3" t="s">
        <v>78</v>
      </c>
      <c r="B5" s="53" t="str">
        <f>IF(C5=Charge!$M$1,Charge!$J$1,IF(C5=Charge!$M$23,Charge!$J$23,IF(C5=Charge!$M$17,Charge!$J$17,IF(C5=Charge!$N$17,Charge!$J$17,Charge!$J$7))))</f>
        <v>G2</v>
      </c>
      <c r="C5" s="54" t="str">
        <f>VLOOKUP(A5,'1.Loading'!A:R,14,FALSE)</f>
        <v>LCH06</v>
      </c>
      <c r="D5" s="54" t="str">
        <f>VLOOKUP(A5,'1.Loading'!A:R,17,FALSE)</f>
        <v>HASLS22260900442</v>
      </c>
      <c r="E5" s="55" t="str">
        <f>VLOOKUP(D5,'2.Bookinglist'!A:CT,27,FALSE)</f>
        <v>BARKLAYS LOGISTICS (THAILAND) CO., LTD.</v>
      </c>
      <c r="F5" s="55" t="str">
        <f>VLOOKUP(D5,'2.Bookinglist'!A:CT,28,FALSE)</f>
        <v>SHUN YI INTERNATIONAL TRADING CO., LTD.</v>
      </c>
      <c r="G5" s="56">
        <f>VLOOKUP(D5,'2.Bookinglist'!A:E,5,FALSE)</f>
        <v>0</v>
      </c>
      <c r="H5" s="54" t="str">
        <f>VLOOKUP(D5,'2.Bookinglist'!A:CT,15,FALSE)</f>
        <v>THLCH</v>
      </c>
      <c r="I5" s="54" t="str">
        <f>VLOOKUP(D5,'2.Bookinglist'!A:CT,19,FALSE)</f>
        <v>CNSHA</v>
      </c>
      <c r="J5" s="54">
        <f>VLOOKUP(D5,'2.Bookinglist'!A:CT,26,FALSE)</f>
        <v>0</v>
      </c>
      <c r="K5" s="54" t="str">
        <f>VLOOKUP(A5,'1.Loading'!A:R,5,FALSE)</f>
        <v>45GP</v>
      </c>
      <c r="L5" s="56" t="str">
        <f>VLOOKUP(D5,'2.Bookinglist'!A:CT,85,FALSE)</f>
        <v>CY/CY</v>
      </c>
      <c r="M5" s="56" t="str">
        <f>IF(VLOOKUP(D5,'2.Bookinglist'!A:CT,43,FALSE)=0,"","DG")</f>
        <v/>
      </c>
      <c r="N5" s="56" t="str">
        <f>IF(RIGHT(K5,2)="RE","RF","")</f>
        <v/>
      </c>
      <c r="O5" s="54" t="str">
        <f>VLOOKUP(A5,'1.Loading'!A:R,3,FALSE)</f>
        <v>HMVY</v>
      </c>
      <c r="P5" s="54" t="str">
        <f>VLOOKUP(A5,'1.Loading'!A:R,4,FALSE)</f>
        <v>2609N</v>
      </c>
      <c r="Q5" s="54" t="str">
        <f>VLOOKUP(D5,'2.Bookinglist'!A:CT,12,FALSE)</f>
        <v>PCI2</v>
      </c>
      <c r="R5" s="56" t="str">
        <f>IF(LEFT(K5,2)="22","20'","40'")</f>
        <v>40'</v>
      </c>
      <c r="S5" s="38"/>
      <c r="T5" s="54" t="str">
        <f>VLOOKUP(A5,'1.Loading'!A:R,2,FALSE)</f>
        <v>2026-10-28</v>
      </c>
      <c r="U5" s="57">
        <f>T5-S5</f>
        <v>46323</v>
      </c>
      <c r="V5" s="58"/>
      <c r="W5" s="54" t="str">
        <f>VLOOKUP(A5,'3.GateMove'!A:D,4,FALSE)</f>
        <v>2026-10-05</v>
      </c>
      <c r="X5" s="57">
        <f>((T5-W5)+1)</f>
        <v>24</v>
      </c>
      <c r="Y5" s="59">
        <f>IF(AND(OR(C5="BKK01",C5="BKK04"),L5="CFS/CY"),0,IF(M5="DG",1,IF(LEFT(C5,3)="LCH",7,IF(C5="BKK02",5,3))))</f>
        <v>7</v>
      </c>
      <c r="Z5" s="57">
        <f>IF(IF(AND(AC5="TML",AB5&gt;0),((T5-W5)+1)-AB5,((T5-W5)+1)-Y5)&gt;0,IF(AND(AC5="TML",AB5&gt;0),((T5-W5)+1)-AB5,((T5-W5)+1)-Y5),0)</f>
        <v>17</v>
      </c>
      <c r="AA5" s="48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7650</v>
      </c>
      <c r="AB5" s="53"/>
      <c r="AC5" s="53"/>
      <c r="AD5" s="56">
        <f>IF(M5="DG",3,IF(N5="RF",3,5))+IF(AND(LEFT(C5,3)="BKK",N5="RF",Q5="KTS"),1,0)+IF(Q5="KHS",1,0)</f>
        <v>5</v>
      </c>
      <c r="AE5" s="57">
        <f>(T5-V5)+1</f>
        <v>46324</v>
      </c>
      <c r="AF5" s="57">
        <f>IF(AB5&gt;IF((V5-W5)&gt;0,V5-W5,0),0,IF(AB5&lt;IF((V5-W5)&gt;0,V5-W5,0),IF((V5-W5)&gt;0,V5-W5,0)-AB5,IF((V5-W5)&gt;0,V5-W5,0)))</f>
        <v>0</v>
      </c>
      <c r="AG5" s="48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0"/>
      <c r="AI5" s="60">
        <f>AA5-AH5</f>
        <v>7650</v>
      </c>
      <c r="AJ5" s="61"/>
      <c r="AK5" s="55" t="str">
        <f>VLOOKUP(D5,'2.Bookinglist'!A:CT,40,FALSE)</f>
        <v>Nannaapust Sukporntaweewat</v>
      </c>
      <c r="AL5" s="56" t="str">
        <f>VLOOKUP(D5,'2.Bookinglist'!A:CW,101,FALSE)</f>
        <v>2026-10-22</v>
      </c>
      <c r="AM5" s="56" t="str">
        <f>VLOOKUP(D5,'2.Bookinglist'!A:BK,63,FALSE)</f>
        <v>LCHY5</v>
      </c>
      <c r="AN5" s="55" t="str">
        <f>VLOOKUP(D5,'2.Bookinglist'!A:AZ,52,FALSE)</f>
        <v>Pickup : 2026-10-02, Return : 2026-10-04 *1ST RETURN CNTR DD.08/10/2026*</v>
      </c>
      <c r="AO5" s="55" t="str">
        <f>VLOOKUP(D5,'2.Bookinglist'!A:CY,103,FALSE)</f>
        <v>ROLL OVER FROM PREVIOUS VSL SWRG 2609N BY ALLOCATION TEAM MS.TAN APPROVED COST IS UNDER HA DD.09/10</v>
      </c>
    </row>
    <row r="6" ht="12.95" customHeight="1" spans="1:41" x14ac:dyDescent="0.25">
      <c r="A6" s="3" t="s">
        <v>84</v>
      </c>
      <c r="B6" s="53" t="str">
        <f>IF(C6=Charge!$M$1,Charge!$J$1,IF(C6=Charge!$M$23,Charge!$J$23,IF(C6=Charge!$M$17,Charge!$J$17,IF(C6=Charge!$N$17,Charge!$J$17,Charge!$J$7))))</f>
        <v>G2</v>
      </c>
      <c r="C6" s="54" t="str">
        <f>VLOOKUP(A6,'1.Loading'!A:R,14,FALSE)</f>
        <v>LCH06</v>
      </c>
      <c r="D6" s="54" t="str">
        <f>VLOOKUP(A6,'1.Loading'!A:R,17,FALSE)</f>
        <v>HASLS22261000614</v>
      </c>
      <c r="E6" s="55" t="str">
        <f>VLOOKUP(D6,'2.Bookinglist'!A:CT,27,FALSE)</f>
        <v>YUSEN LOGISTICS (THAILAND) CO., LTD.</v>
      </c>
      <c r="F6" s="55" t="str">
        <f>VLOOKUP(D6,'2.Bookinglist'!A:CT,28,FALSE)</f>
        <v>KUBOTA ENGINE ( THAILAND ) CO., LTD.</v>
      </c>
      <c r="G6" s="56">
        <f>VLOOKUP(D6,'2.Bookinglist'!A:E,5,FALSE)</f>
        <v>0</v>
      </c>
      <c r="H6" s="54" t="str">
        <f>VLOOKUP(D6,'2.Bookinglist'!A:CT,15,FALSE)</f>
        <v>THLCH</v>
      </c>
      <c r="I6" s="54" t="str">
        <f>VLOOKUP(D6,'2.Bookinglist'!A:CT,19,FALSE)</f>
        <v>CNSHA</v>
      </c>
      <c r="J6" s="54">
        <f>VLOOKUP(D6,'2.Bookinglist'!A:CT,26,FALSE)</f>
        <v>0</v>
      </c>
      <c r="K6" s="54" t="str">
        <f>VLOOKUP(A6,'1.Loading'!A:R,5,FALSE)</f>
        <v>45GP</v>
      </c>
      <c r="L6" s="56" t="str">
        <f>VLOOKUP(D6,'2.Bookinglist'!A:CT,85,FALSE)</f>
        <v>CY/CY</v>
      </c>
      <c r="M6" s="56" t="str">
        <f>IF(VLOOKUP(D6,'2.Bookinglist'!A:CT,43,FALSE)=0,"","DG")</f>
        <v/>
      </c>
      <c r="N6" s="56" t="str">
        <f>IF(RIGHT(K6,2)="RE","RF","")</f>
        <v/>
      </c>
      <c r="O6" s="54" t="str">
        <f>VLOOKUP(A6,'1.Loading'!A:R,3,FALSE)</f>
        <v>HMVY</v>
      </c>
      <c r="P6" s="54" t="str">
        <f>VLOOKUP(A6,'1.Loading'!A:R,4,FALSE)</f>
        <v>2609N</v>
      </c>
      <c r="Q6" s="54" t="str">
        <f>VLOOKUP(D6,'2.Bookinglist'!A:CT,12,FALSE)</f>
        <v>PCI2</v>
      </c>
      <c r="R6" s="56" t="str">
        <f>IF(LEFT(K6,2)="22","20'","40'")</f>
        <v>40'</v>
      </c>
      <c r="S6" s="38"/>
      <c r="T6" s="54" t="str">
        <f>VLOOKUP(A6,'1.Loading'!A:R,2,FALSE)</f>
        <v>2026-10-28</v>
      </c>
      <c r="U6" s="57">
        <f>T6-S6</f>
        <v>46323</v>
      </c>
      <c r="V6" s="58"/>
      <c r="W6" s="54" t="str">
        <f>VLOOKUP(A6,'3.GateMove'!A:D,4,FALSE)</f>
        <v>2026-10-19</v>
      </c>
      <c r="X6" s="57">
        <f>((T6-W6)+1)</f>
        <v>10</v>
      </c>
      <c r="Y6" s="59">
        <f>IF(AND(OR(C6="BKK01",C6="BKK04"),L6="CFS/CY"),0,IF(M6="DG",1,IF(LEFT(C6,3)="LCH",7,IF(C6="BKK02",5,3))))</f>
        <v>7</v>
      </c>
      <c r="Z6" s="57">
        <f>IF(IF(AND(AC6="TML",AB6&gt;0),((T6-W6)+1)-AB6,((T6-W6)+1)-Y6)&gt;0,IF(AND(AC6="TML",AB6&gt;0),((T6-W6)+1)-AB6,((T6-W6)+1)-Y6),0)</f>
        <v>3</v>
      </c>
      <c r="AA6" s="48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750</v>
      </c>
      <c r="AB6" s="53"/>
      <c r="AC6" s="53"/>
      <c r="AD6" s="56">
        <f>IF(M6="DG",3,IF(N6="RF",3,5))+IF(AND(LEFT(C6,3)="BKK",N6="RF",Q6="KTS"),1,0)+IF(Q6="KHS",1,0)</f>
        <v>5</v>
      </c>
      <c r="AE6" s="57">
        <f>(T6-V6)+1</f>
        <v>46324</v>
      </c>
      <c r="AF6" s="57">
        <f>IF(AB6&gt;IF((V6-W6)&gt;0,V6-W6,0),0,IF(AB6&lt;IF((V6-W6)&gt;0,V6-W6,0),IF((V6-W6)&gt;0,V6-W6,0)-AB6,IF((V6-W6)&gt;0,V6-W6,0)))</f>
        <v>0</v>
      </c>
      <c r="AG6" s="48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0"/>
      <c r="AI6" s="60">
        <f>AA6-AH6</f>
        <v>750</v>
      </c>
      <c r="AJ6" s="61"/>
      <c r="AK6" s="55" t="str">
        <f>VLOOKUP(D6,'2.Bookinglist'!A:CT,40,FALSE)</f>
        <v>Vilaiporn</v>
      </c>
      <c r="AL6" s="56" t="str">
        <f>VLOOKUP(D6,'2.Bookinglist'!A:CW,101,FALSE)</f>
        <v>2026-10-22</v>
      </c>
      <c r="AM6" s="56" t="str">
        <f>VLOOKUP(D6,'2.Bookinglist'!A:BK,63,FALSE)</f>
        <v>LCHY5</v>
      </c>
      <c r="AN6" s="55" t="str">
        <f>VLOOKUP(D6,'2.Bookinglist'!A:AZ,52,FALSE)</f>
        <v>Pickup : 2026-10-19, Return : 2026-10-19 (1ST RTN DD: 18/10/26 WO/RENT)</v>
      </c>
      <c r="AO6" s="55">
        <f>VLOOKUP(D6,'2.Bookinglist'!A:CY,103,FALSE)</f>
        <v>0</v>
      </c>
    </row>
    <row r="7" ht="12.95" customHeight="1" spans="1:41" x14ac:dyDescent="0.25">
      <c r="A7" s="3" t="s">
        <v>181</v>
      </c>
      <c r="B7" s="53" t="str">
        <f>IF(C7=Charge!$M$1,Charge!$J$1,IF(C7=Charge!$M$23,Charge!$J$23,IF(C7=Charge!$M$17,Charge!$J$17,IF(C7=Charge!$N$17,Charge!$J$17,Charge!$J$7))))</f>
        <v>G2</v>
      </c>
      <c r="C7" s="54" t="str">
        <f>VLOOKUP(A7,'1.Loading'!A:R,14,FALSE)</f>
        <v>LCH06</v>
      </c>
      <c r="D7" s="54" t="str">
        <f>VLOOKUP(A7,'1.Loading'!A:R,17,FALSE)</f>
        <v>HASLS22261001354</v>
      </c>
      <c r="E7" s="55" t="str">
        <f>VLOOKUP(D7,'2.Bookinglist'!A:CT,27,FALSE)</f>
        <v>THAIGO LOGISTICS CO.,LTD</v>
      </c>
      <c r="F7" s="55" t="str">
        <f>VLOOKUP(D7,'2.Bookinglist'!A:CT,28,FALSE)</f>
        <v>THAIGO LOGISTICS CO.,LTD</v>
      </c>
      <c r="G7" s="56" t="str">
        <f>VLOOKUP(D7,'2.Bookinglist'!A:E,5,FALSE)</f>
        <v>THSRP</v>
      </c>
      <c r="H7" s="54" t="str">
        <f>VLOOKUP(D7,'2.Bookinglist'!A:CT,15,FALSE)</f>
        <v>THLCH</v>
      </c>
      <c r="I7" s="54" t="str">
        <f>VLOOKUP(D7,'2.Bookinglist'!A:CT,19,FALSE)</f>
        <v>CNSHA</v>
      </c>
      <c r="J7" s="54">
        <f>VLOOKUP(D7,'2.Bookinglist'!A:CT,26,FALSE)</f>
        <v>0</v>
      </c>
      <c r="K7" s="54" t="str">
        <f>VLOOKUP(A7,'1.Loading'!A:R,5,FALSE)</f>
        <v>45GP</v>
      </c>
      <c r="L7" s="56" t="str">
        <f>VLOOKUP(D7,'2.Bookinglist'!A:CT,85,FALSE)</f>
        <v>CY/CY</v>
      </c>
      <c r="M7" s="56" t="str">
        <f>IF(VLOOKUP(D7,'2.Bookinglist'!A:CT,43,FALSE)=0,"","DG")</f>
        <v/>
      </c>
      <c r="N7" s="56" t="str">
        <f>IF(RIGHT(K7,2)="RE","RF","")</f>
        <v/>
      </c>
      <c r="O7" s="54" t="str">
        <f>VLOOKUP(A7,'1.Loading'!A:R,3,FALSE)</f>
        <v>HMVY</v>
      </c>
      <c r="P7" s="54" t="str">
        <f>VLOOKUP(A7,'1.Loading'!A:R,4,FALSE)</f>
        <v>2609N</v>
      </c>
      <c r="Q7" s="54" t="str">
        <f>VLOOKUP(D7,'2.Bookinglist'!A:CT,12,FALSE)</f>
        <v>PCI2</v>
      </c>
      <c r="R7" s="56" t="str">
        <f>IF(LEFT(K7,2)="22","20'","40'")</f>
        <v>40'</v>
      </c>
      <c r="S7" s="38"/>
      <c r="T7" s="54" t="str">
        <f>VLOOKUP(A7,'1.Loading'!A:R,2,FALSE)</f>
        <v>2026-10-28</v>
      </c>
      <c r="U7" s="57">
        <f>T7-S7</f>
        <v>46323</v>
      </c>
      <c r="V7" s="58"/>
      <c r="W7" s="54" t="str">
        <f>VLOOKUP(A7,'3.GateMove'!A:D,4,FALSE)</f>
        <v>2026-10-24</v>
      </c>
      <c r="X7" s="57">
        <f>((T7-W7)+1)</f>
        <v>5</v>
      </c>
      <c r="Y7" s="59">
        <f>IF(AND(OR(C7="BKK01",C7="BKK04"),L7="CFS/CY"),0,IF(M7="DG",1,IF(LEFT(C7,3)="LCH",7,IF(C7="BKK02",5,3))))</f>
        <v>7</v>
      </c>
      <c r="Z7" s="57">
        <f>IF(IF(AND(AC7="TML",AB7&gt;0),((T7-W7)+1)-AB7,((T7-W7)+1)-Y7)&gt;0,IF(AND(AC7="TML",AB7&gt;0),((T7-W7)+1)-AB7,((T7-W7)+1)-Y7),0)</f>
        <v>0</v>
      </c>
      <c r="AA7" s="48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53"/>
      <c r="AC7" s="53"/>
      <c r="AD7" s="56">
        <f>IF(M7="DG",3,IF(N7="RF",3,5))+IF(AND(LEFT(C7,3)="BKK",N7="RF",Q7="KTS"),1,0)+IF(Q7="KHS",1,0)</f>
        <v>5</v>
      </c>
      <c r="AE7" s="57">
        <f>(T7-V7)+1</f>
        <v>46324</v>
      </c>
      <c r="AF7" s="57">
        <f>IF(AB7&gt;IF((V7-W7)&gt;0,V7-W7,0),0,IF(AB7&lt;IF((V7-W7)&gt;0,V7-W7,0),IF((V7-W7)&gt;0,V7-W7,0)-AB7,IF((V7-W7)&gt;0,V7-W7,0)))</f>
        <v>0</v>
      </c>
      <c r="AG7" s="48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0"/>
      <c r="AI7" s="60">
        <f>AA7-AH7</f>
        <v>0</v>
      </c>
      <c r="AJ7" s="61"/>
      <c r="AK7" s="55" t="str">
        <f>VLOOKUP(D7,'2.Bookinglist'!A:CT,40,FALSE)</f>
        <v>Nannaapust Sukporntaweewat</v>
      </c>
      <c r="AL7" s="56" t="str">
        <f>VLOOKUP(D7,'2.Bookinglist'!A:CW,101,FALSE)</f>
        <v>2026-10-27</v>
      </c>
      <c r="AM7" s="56" t="str">
        <f>VLOOKUP(D7,'2.Bookinglist'!A:BK,63,FALSE)</f>
        <v>BKK27</v>
      </c>
      <c r="AN7" s="55" t="str">
        <f>VLOOKUP(D7,'2.Bookinglist'!A:AZ,52,FALSE)</f>
        <v>Pickup : 2026-10-20, Return SRP : 2026-10-21 [PAPERLESS CODE 2829]
CLS TIME 24/10/26 @18.00</v>
      </c>
      <c r="AO7" s="55">
        <f>VLOOKUP(D7,'2.Bookinglist'!A:CY,103,FALSE)</f>
        <v>0</v>
      </c>
    </row>
    <row r="8" ht="12.95" customHeight="1" spans="1:41" x14ac:dyDescent="0.25">
      <c r="A8" s="3" t="s">
        <v>267</v>
      </c>
      <c r="B8" s="53" t="str">
        <f>IF(C8=Charge!$M$1,Charge!$J$1,IF(C8=Charge!$M$23,Charge!$J$23,IF(C8=Charge!$M$17,Charge!$J$17,IF(C8=Charge!$N$17,Charge!$J$17,Charge!$J$7))))</f>
        <v>G2</v>
      </c>
      <c r="C8" s="54" t="str">
        <f>VLOOKUP(A8,'1.Loading'!A:R,14,FALSE)</f>
        <v>LCH06</v>
      </c>
      <c r="D8" s="54" t="str">
        <f>VLOOKUP(A8,'1.Loading'!A:R,17,FALSE)</f>
        <v>HASLS22261001717</v>
      </c>
      <c r="E8" s="55" t="str">
        <f>VLOOKUP(D8,'2.Bookinglist'!A:CT,27,FALSE)</f>
        <v>ISSIRA INTERGROUP CO., LTD.</v>
      </c>
      <c r="F8" s="55" t="str">
        <f>VLOOKUP(D8,'2.Bookinglist'!A:CT,28,FALSE)</f>
        <v>PJW CORPORATION CO.,LTD.</v>
      </c>
      <c r="G8" s="56">
        <f>VLOOKUP(D8,'2.Bookinglist'!A:E,5,FALSE)</f>
        <v>0</v>
      </c>
      <c r="H8" s="54" t="str">
        <f>VLOOKUP(D8,'2.Bookinglist'!A:CT,15,FALSE)</f>
        <v>THLCH</v>
      </c>
      <c r="I8" s="54" t="str">
        <f>VLOOKUP(D8,'2.Bookinglist'!A:CT,19,FALSE)</f>
        <v>KRPUS</v>
      </c>
      <c r="J8" s="54">
        <f>VLOOKUP(D8,'2.Bookinglist'!A:CT,26,FALSE)</f>
        <v>0</v>
      </c>
      <c r="K8" s="54" t="str">
        <f>VLOOKUP(A8,'1.Loading'!A:R,5,FALSE)</f>
        <v>45RE</v>
      </c>
      <c r="L8" s="56" t="str">
        <f>VLOOKUP(D8,'2.Bookinglist'!A:CT,85,FALSE)</f>
        <v>CY/CY</v>
      </c>
      <c r="M8" s="56" t="str">
        <f>IF(VLOOKUP(D8,'2.Bookinglist'!A:CT,43,FALSE)=0,"","DG")</f>
        <v/>
      </c>
      <c r="N8" s="56" t="str">
        <f>IF(RIGHT(K8,2)="RE","RF","")</f>
        <v>RF</v>
      </c>
      <c r="O8" s="54" t="str">
        <f>VLOOKUP(A8,'1.Loading'!A:R,3,FALSE)</f>
        <v>HMVY</v>
      </c>
      <c r="P8" s="54" t="str">
        <f>VLOOKUP(A8,'1.Loading'!A:R,4,FALSE)</f>
        <v>2609N</v>
      </c>
      <c r="Q8" s="54" t="str">
        <f>VLOOKUP(D8,'2.Bookinglist'!A:CT,12,FALSE)</f>
        <v>PCI2</v>
      </c>
      <c r="R8" s="56" t="str">
        <f>IF(LEFT(K8,2)="22","20'","40'")</f>
        <v>40'</v>
      </c>
      <c r="S8" s="38"/>
      <c r="T8" s="54" t="str">
        <f>VLOOKUP(A8,'1.Loading'!A:R,2,FALSE)</f>
        <v>2026-10-28</v>
      </c>
      <c r="U8" s="57">
        <f>T8-S8</f>
        <v>46323</v>
      </c>
      <c r="V8" s="58"/>
      <c r="W8" s="54" t="str">
        <f>VLOOKUP(A8,'3.GateMove'!A:D,4,FALSE)</f>
        <v>2026-10-24</v>
      </c>
      <c r="X8" s="57">
        <f>((T8-W8)+1)</f>
        <v>5</v>
      </c>
      <c r="Y8" s="59">
        <f>IF(AND(OR(C8="BKK01",C8="BKK04"),L8="CFS/CY"),0,IF(M8="DG",1,IF(LEFT(C8,3)="LCH",7,IF(C8="BKK02",5,3))))</f>
        <v>7</v>
      </c>
      <c r="Z8" s="57">
        <f>IF(IF(AND(AC8="TML",AB8&gt;0),((T8-W8)+1)-AB8,((T8-W8)+1)-Y8)&gt;0,IF(AND(AC8="TML",AB8&gt;0),((T8-W8)+1)-AB8,((T8-W8)+1)-Y8),0)</f>
        <v>0</v>
      </c>
      <c r="AA8" s="48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53"/>
      <c r="AC8" s="53"/>
      <c r="AD8" s="56">
        <f>IF(M8="DG",3,IF(N8="RF",3,5))+IF(AND(LEFT(C8,3)="BKK",N8="RF",Q8="KTS"),1,0)+IF(Q8="KHS",1,0)</f>
        <v>3</v>
      </c>
      <c r="AE8" s="57">
        <f>(T8-V8)+1</f>
        <v>46324</v>
      </c>
      <c r="AF8" s="57">
        <f>IF(AB8&gt;IF((V8-W8)&gt;0,V8-W8,0),0,IF(AB8&lt;IF((V8-W8)&gt;0,V8-W8,0),IF((V8-W8)&gt;0,V8-W8,0)-AB8,IF((V8-W8)&gt;0,V8-W8,0)))</f>
        <v>0</v>
      </c>
      <c r="AG8" s="48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0"/>
      <c r="AI8" s="60">
        <f>AA8-AH8</f>
        <v>0</v>
      </c>
      <c r="AJ8" s="61"/>
      <c r="AK8" s="55" t="str">
        <f>VLOOKUP(D8,'2.Bookinglist'!A:CT,40,FALSE)</f>
        <v>Tarn(Supaporn)</v>
      </c>
      <c r="AL8" s="56" t="str">
        <f>VLOOKUP(D8,'2.Bookinglist'!A:CW,101,FALSE)</f>
        <v>2026-10-27</v>
      </c>
      <c r="AM8" s="56" t="str">
        <f>VLOOKUP(D8,'2.Bookinglist'!A:BK,63,FALSE)</f>
        <v>LCH27</v>
      </c>
      <c r="AN8" s="55" t="str">
        <f>VLOOKUP(D8,'2.Bookinglist'!A:AZ,52,FALSE)</f>
        <v>Pickup : 2026-10-22, Return : 2026-10-24 (Temp -20.0℃ / Vent Close)
CLS TIME DD.26/10/2026 @ 15.00Hrs.</v>
      </c>
      <c r="AO8" s="55">
        <f>VLOOKUP(D8,'2.Bookinglist'!A:CY,103,FALSE)</f>
        <v>0</v>
      </c>
    </row>
    <row r="9" ht="12.95" customHeight="1" spans="1:41" x14ac:dyDescent="0.25">
      <c r="A9" s="3" t="s">
        <v>134</v>
      </c>
      <c r="B9" s="53" t="str">
        <f>IF(C9=Charge!$M$1,Charge!$J$1,IF(C9=Charge!$M$23,Charge!$J$23,IF(C9=Charge!$M$17,Charge!$J$17,IF(C9=Charge!$N$17,Charge!$J$17,Charge!$J$7))))</f>
        <v>G2</v>
      </c>
      <c r="C9" s="54" t="str">
        <f>VLOOKUP(A9,'1.Loading'!A:R,14,FALSE)</f>
        <v>LCH06</v>
      </c>
      <c r="D9" s="54" t="str">
        <f>VLOOKUP(A9,'1.Loading'!A:R,17,FALSE)</f>
        <v>HASLS22261000285</v>
      </c>
      <c r="E9" s="55" t="str">
        <f>VLOOKUP(D9,'2.Bookinglist'!A:CT,27,FALSE)</f>
        <v>AGC VINYTHAI PUBLIC COMPANY LIMITED</v>
      </c>
      <c r="F9" s="55" t="str">
        <f>VLOOKUP(D9,'2.Bookinglist'!A:CT,28,FALSE)</f>
        <v>AGC VINYTHAI PUBLIC COMPANY LIMITED</v>
      </c>
      <c r="G9" s="56">
        <f>VLOOKUP(D9,'2.Bookinglist'!A:E,5,FALSE)</f>
        <v>0</v>
      </c>
      <c r="H9" s="54" t="str">
        <f>VLOOKUP(D9,'2.Bookinglist'!A:CT,15,FALSE)</f>
        <v>THLCH</v>
      </c>
      <c r="I9" s="54" t="str">
        <f>VLOOKUP(D9,'2.Bookinglist'!A:CT,19,FALSE)</f>
        <v>CNSHA</v>
      </c>
      <c r="J9" s="54">
        <f>VLOOKUP(D9,'2.Bookinglist'!A:CT,26,FALSE)</f>
        <v>0</v>
      </c>
      <c r="K9" s="54" t="str">
        <f>VLOOKUP(A9,'1.Loading'!A:R,5,FALSE)</f>
        <v>45GP</v>
      </c>
      <c r="L9" s="56" t="str">
        <f>VLOOKUP(D9,'2.Bookinglist'!A:CT,85,FALSE)</f>
        <v>CY/CY</v>
      </c>
      <c r="M9" s="56" t="str">
        <f>IF(VLOOKUP(D9,'2.Bookinglist'!A:CT,43,FALSE)=0,"","DG")</f>
        <v/>
      </c>
      <c r="N9" s="56" t="str">
        <f>IF(RIGHT(K9,2)="RE","RF","")</f>
        <v/>
      </c>
      <c r="O9" s="54" t="str">
        <f>VLOOKUP(A9,'1.Loading'!A:R,3,FALSE)</f>
        <v>HMVY</v>
      </c>
      <c r="P9" s="54" t="str">
        <f>VLOOKUP(A9,'1.Loading'!A:R,4,FALSE)</f>
        <v>2609N</v>
      </c>
      <c r="Q9" s="54" t="str">
        <f>VLOOKUP(D9,'2.Bookinglist'!A:CT,12,FALSE)</f>
        <v>PCI2</v>
      </c>
      <c r="R9" s="56" t="str">
        <f>IF(LEFT(K9,2)="22","20'","40'")</f>
        <v>40'</v>
      </c>
      <c r="S9" s="38"/>
      <c r="T9" s="54" t="str">
        <f>VLOOKUP(A9,'1.Loading'!A:R,2,FALSE)</f>
        <v>2026-10-28</v>
      </c>
      <c r="U9" s="57">
        <f>T9-S9</f>
        <v>46323</v>
      </c>
      <c r="V9" s="58"/>
      <c r="W9" s="54" t="str">
        <f>VLOOKUP(A9,'3.GateMove'!A:D,4,FALSE)</f>
        <v>2026-10-17</v>
      </c>
      <c r="X9" s="57">
        <f>((T9-W9)+1)</f>
        <v>12</v>
      </c>
      <c r="Y9" s="59">
        <f>IF(AND(OR(C9="BKK01",C9="BKK04"),L9="CFS/CY"),0,IF(M9="DG",1,IF(LEFT(C9,3)="LCH",7,IF(C9="BKK02",5,3))))</f>
        <v>7</v>
      </c>
      <c r="Z9" s="57">
        <f>IF(IF(AND(AC9="TML",AB9&gt;0),((T9-W9)+1)-AB9,((T9-W9)+1)-Y9)&gt;0,IF(AND(AC9="TML",AB9&gt;0),((T9-W9)+1)-AB9,((T9-W9)+1)-Y9),0)</f>
        <v>5</v>
      </c>
      <c r="AA9" s="48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1250</v>
      </c>
      <c r="AB9" s="53"/>
      <c r="AC9" s="53"/>
      <c r="AD9" s="56">
        <f>IF(M9="DG",3,IF(N9="RF",3,5))+IF(AND(LEFT(C9,3)="BKK",N9="RF",Q9="KTS"),1,0)+IF(Q9="KHS",1,0)</f>
        <v>5</v>
      </c>
      <c r="AE9" s="57">
        <f>(T9-V9)+1</f>
        <v>46324</v>
      </c>
      <c r="AF9" s="57">
        <f>IF(AB9&gt;IF((V9-W9)&gt;0,V9-W9,0),0,IF(AB9&lt;IF((V9-W9)&gt;0,V9-W9,0),IF((V9-W9)&gt;0,V9-W9,0)-AB9,IF((V9-W9)&gt;0,V9-W9,0)))</f>
        <v>0</v>
      </c>
      <c r="AG9" s="48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0"/>
      <c r="AI9" s="60">
        <f>AA9-AH9</f>
        <v>1250</v>
      </c>
      <c r="AJ9" s="61"/>
      <c r="AK9" s="55" t="str">
        <f>VLOOKUP(D9,'2.Bookinglist'!A:CT,40,FALSE)</f>
        <v>Nannaapust Sukporntaweewat</v>
      </c>
      <c r="AL9" s="56" t="str">
        <f>VLOOKUP(D9,'2.Bookinglist'!A:CW,101,FALSE)</f>
        <v>2026-10-24</v>
      </c>
      <c r="AM9" s="56" t="str">
        <f>VLOOKUP(D9,'2.Bookinglist'!A:BK,63,FALSE)</f>
        <v>LCHY5</v>
      </c>
      <c r="AN9" s="55" t="str">
        <f>VLOOKUP(D9,'2.Bookinglist'!A:AZ,52,FALSE)</f>
        <v>Pickup : 2026-10-15, Return : 2026-10-16</v>
      </c>
      <c r="AO9" s="55">
        <f>VLOOKUP(D9,'2.Bookinglist'!A:CY,103,FALSE)</f>
        <v>0</v>
      </c>
    </row>
    <row r="10" ht="12.95" customHeight="1" spans="1:41" x14ac:dyDescent="0.25">
      <c r="A10" s="3" t="s">
        <v>90</v>
      </c>
      <c r="B10" s="53" t="str">
        <f>IF(C10=Charge!$M$1,Charge!$J$1,IF(C10=Charge!$M$23,Charge!$J$23,IF(C10=Charge!$M$17,Charge!$J$17,IF(C10=Charge!$N$17,Charge!$J$17,Charge!$J$7))))</f>
        <v>G2</v>
      </c>
      <c r="C10" s="54" t="str">
        <f>VLOOKUP(A10,'1.Loading'!A:R,14,FALSE)</f>
        <v>LCH06</v>
      </c>
      <c r="D10" s="54" t="str">
        <f>VLOOKUP(A10,'1.Loading'!A:R,17,FALSE)</f>
        <v>HASLS22261000285</v>
      </c>
      <c r="E10" s="55" t="str">
        <f>VLOOKUP(D10,'2.Bookinglist'!A:CT,27,FALSE)</f>
        <v>AGC VINYTHAI PUBLIC COMPANY LIMITED</v>
      </c>
      <c r="F10" s="55" t="str">
        <f>VLOOKUP(D10,'2.Bookinglist'!A:CT,28,FALSE)</f>
        <v>AGC VINYTHAI PUBLIC COMPANY LIMITED</v>
      </c>
      <c r="G10" s="56">
        <f>VLOOKUP(D10,'2.Bookinglist'!A:E,5,FALSE)</f>
        <v>0</v>
      </c>
      <c r="H10" s="54" t="str">
        <f>VLOOKUP(D10,'2.Bookinglist'!A:CT,15,FALSE)</f>
        <v>THLCH</v>
      </c>
      <c r="I10" s="54" t="str">
        <f>VLOOKUP(D10,'2.Bookinglist'!A:CT,19,FALSE)</f>
        <v>CNSHA</v>
      </c>
      <c r="J10" s="54">
        <f>VLOOKUP(D10,'2.Bookinglist'!A:CT,26,FALSE)</f>
        <v>0</v>
      </c>
      <c r="K10" s="54" t="str">
        <f>VLOOKUP(A10,'1.Loading'!A:R,5,FALSE)</f>
        <v>45GP</v>
      </c>
      <c r="L10" s="56" t="str">
        <f>VLOOKUP(D10,'2.Bookinglist'!A:CT,85,FALSE)</f>
        <v>CY/CY</v>
      </c>
      <c r="M10" s="56" t="str">
        <f>IF(VLOOKUP(D10,'2.Bookinglist'!A:CT,43,FALSE)=0,"","DG")</f>
        <v/>
      </c>
      <c r="N10" s="56" t="str">
        <f>IF(RIGHT(K10,2)="RE","RF","")</f>
        <v/>
      </c>
      <c r="O10" s="54" t="str">
        <f>VLOOKUP(A10,'1.Loading'!A:R,3,FALSE)</f>
        <v>HMVY</v>
      </c>
      <c r="P10" s="54" t="str">
        <f>VLOOKUP(A10,'1.Loading'!A:R,4,FALSE)</f>
        <v>2609N</v>
      </c>
      <c r="Q10" s="54" t="str">
        <f>VLOOKUP(D10,'2.Bookinglist'!A:CT,12,FALSE)</f>
        <v>PCI2</v>
      </c>
      <c r="R10" s="56" t="str">
        <f>IF(LEFT(K10,2)="22","20'","40'")</f>
        <v>40'</v>
      </c>
      <c r="S10" s="38"/>
      <c r="T10" s="54" t="str">
        <f>VLOOKUP(A10,'1.Loading'!A:R,2,FALSE)</f>
        <v>2026-10-28</v>
      </c>
      <c r="U10" s="57">
        <f>T10-S10</f>
        <v>46323</v>
      </c>
      <c r="V10" s="58"/>
      <c r="W10" s="54" t="str">
        <f>VLOOKUP(A10,'3.GateMove'!A:D,4,FALSE)</f>
        <v>2026-10-20</v>
      </c>
      <c r="X10" s="57">
        <f>((T10-W10)+1)</f>
        <v>9</v>
      </c>
      <c r="Y10" s="59">
        <f>IF(AND(OR(C10="BKK01",C10="BKK04"),L10="CFS/CY"),0,IF(M10="DG",1,IF(LEFT(C10,3)="LCH",7,IF(C10="BKK02",5,3))))</f>
        <v>7</v>
      </c>
      <c r="Z10" s="57">
        <f>IF(IF(AND(AC10="TML",AB10&gt;0),((T10-W10)+1)-AB10,((T10-W10)+1)-Y10)&gt;0,IF(AND(AC10="TML",AB10&gt;0),((T10-W10)+1)-AB10,((T10-W10)+1)-Y10),0)</f>
        <v>2</v>
      </c>
      <c r="AA10" s="48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500</v>
      </c>
      <c r="AB10" s="53"/>
      <c r="AC10" s="53"/>
      <c r="AD10" s="56">
        <f>IF(M10="DG",3,IF(N10="RF",3,5))+IF(AND(LEFT(C10,3)="BKK",N10="RF",Q10="KTS"),1,0)+IF(Q10="KHS",1,0)</f>
        <v>5</v>
      </c>
      <c r="AE10" s="57">
        <f>(T10-V10)+1</f>
        <v>46324</v>
      </c>
      <c r="AF10" s="57">
        <f>IF(AB10&gt;IF((V10-W10)&gt;0,V10-W10,0),0,IF(AB10&lt;IF((V10-W10)&gt;0,V10-W10,0),IF((V10-W10)&gt;0,V10-W10,0)-AB10,IF((V10-W10)&gt;0,V10-W10,0)))</f>
        <v>0</v>
      </c>
      <c r="AG10" s="48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0"/>
      <c r="AI10" s="60">
        <f>AA10-AH10</f>
        <v>500</v>
      </c>
      <c r="AJ10" s="61"/>
      <c r="AK10" s="55" t="str">
        <f>VLOOKUP(D10,'2.Bookinglist'!A:CT,40,FALSE)</f>
        <v>Nannaapust Sukporntaweewat</v>
      </c>
      <c r="AL10" s="56" t="str">
        <f>VLOOKUP(D10,'2.Bookinglist'!A:CW,101,FALSE)</f>
        <v>2026-10-24</v>
      </c>
      <c r="AM10" s="56" t="str">
        <f>VLOOKUP(D10,'2.Bookinglist'!A:BK,63,FALSE)</f>
        <v>LCHY5</v>
      </c>
      <c r="AN10" s="55" t="str">
        <f>VLOOKUP(D10,'2.Bookinglist'!A:AZ,52,FALSE)</f>
        <v>Pickup : 2026-10-15, Return : 2026-10-16</v>
      </c>
      <c r="AO10" s="55">
        <f>VLOOKUP(D10,'2.Bookinglist'!A:CY,103,FALSE)</f>
        <v>0</v>
      </c>
    </row>
    <row r="11" ht="12.95" customHeight="1" spans="1:41" x14ac:dyDescent="0.25">
      <c r="A11" s="3" t="s">
        <v>246</v>
      </c>
      <c r="B11" s="53" t="str">
        <f>IF(C11=Charge!$M$1,Charge!$J$1,IF(C11=Charge!$M$23,Charge!$J$23,IF(C11=Charge!$M$17,Charge!$J$17,IF(C11=Charge!$N$17,Charge!$J$17,Charge!$J$7))))</f>
        <v>G2</v>
      </c>
      <c r="C11" s="54" t="str">
        <f>VLOOKUP(A11,'1.Loading'!A:R,14,FALSE)</f>
        <v>LCH06</v>
      </c>
      <c r="D11" s="54" t="str">
        <f>VLOOKUP(A11,'1.Loading'!A:R,17,FALSE)</f>
        <v>HASLS22261000876</v>
      </c>
      <c r="E11" s="55" t="str">
        <f>VLOOKUP(D11,'2.Bookinglist'!A:CT,27,FALSE)</f>
        <v>SUN-OCEAN GLOBAL SUPPLY CHAIN CO., LTD.</v>
      </c>
      <c r="F11" s="55" t="str">
        <f>VLOOKUP(D11,'2.Bookinglist'!A:CT,28,FALSE)</f>
        <v>I.P. ONE COMPANY LIMITED</v>
      </c>
      <c r="G11" s="56" t="str">
        <f>VLOOKUP(D11,'2.Bookinglist'!A:E,5,FALSE)</f>
        <v>THSRP</v>
      </c>
      <c r="H11" s="54" t="str">
        <f>VLOOKUP(D11,'2.Bookinglist'!A:CT,15,FALSE)</f>
        <v>THLCH</v>
      </c>
      <c r="I11" s="54" t="str">
        <f>VLOOKUP(D11,'2.Bookinglist'!A:CT,19,FALSE)</f>
        <v>CNSHA</v>
      </c>
      <c r="J11" s="54">
        <f>VLOOKUP(D11,'2.Bookinglist'!A:CT,26,FALSE)</f>
        <v>0</v>
      </c>
      <c r="K11" s="54" t="str">
        <f>VLOOKUP(A11,'1.Loading'!A:R,5,FALSE)</f>
        <v>45GP</v>
      </c>
      <c r="L11" s="56" t="str">
        <f>VLOOKUP(D11,'2.Bookinglist'!A:CT,85,FALSE)</f>
        <v>CY/CY</v>
      </c>
      <c r="M11" s="56" t="str">
        <f>IF(VLOOKUP(D11,'2.Bookinglist'!A:CT,43,FALSE)=0,"","DG")</f>
        <v/>
      </c>
      <c r="N11" s="56" t="str">
        <f>IF(RIGHT(K11,2)="RE","RF","")</f>
        <v/>
      </c>
      <c r="O11" s="54" t="str">
        <f>VLOOKUP(A11,'1.Loading'!A:R,3,FALSE)</f>
        <v>HMVY</v>
      </c>
      <c r="P11" s="54" t="str">
        <f>VLOOKUP(A11,'1.Loading'!A:R,4,FALSE)</f>
        <v>2609N</v>
      </c>
      <c r="Q11" s="54" t="str">
        <f>VLOOKUP(D11,'2.Bookinglist'!A:CT,12,FALSE)</f>
        <v>PCI2</v>
      </c>
      <c r="R11" s="56" t="str">
        <f>IF(LEFT(K11,2)="22","20'","40'")</f>
        <v>40'</v>
      </c>
      <c r="S11" s="38"/>
      <c r="T11" s="54" t="str">
        <f>VLOOKUP(A11,'1.Loading'!A:R,2,FALSE)</f>
        <v>2026-10-28</v>
      </c>
      <c r="U11" s="57">
        <f>T11-S11</f>
        <v>46323</v>
      </c>
      <c r="V11" s="58"/>
      <c r="W11" s="54" t="str">
        <f>VLOOKUP(A11,'3.GateMove'!A:D,4,FALSE)</f>
        <v>2026-10-23</v>
      </c>
      <c r="X11" s="57">
        <f>((T11-W11)+1)</f>
        <v>6</v>
      </c>
      <c r="Y11" s="59">
        <f>IF(AND(OR(C11="BKK01",C11="BKK04"),L11="CFS/CY"),0,IF(M11="DG",1,IF(LEFT(C11,3)="LCH",7,IF(C11="BKK02",5,3))))</f>
        <v>7</v>
      </c>
      <c r="Z11" s="57">
        <f>IF(IF(AND(AC11="TML",AB11&gt;0),((T11-W11)+1)-AB11,((T11-W11)+1)-Y11)&gt;0,IF(AND(AC11="TML",AB11&gt;0),((T11-W11)+1)-AB11,((T11-W11)+1)-Y11),0)</f>
        <v>0</v>
      </c>
      <c r="AA11" s="48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53"/>
      <c r="AC11" s="53"/>
      <c r="AD11" s="56">
        <f>IF(M11="DG",3,IF(N11="RF",3,5))+IF(AND(LEFT(C11,3)="BKK",N11="RF",Q11="KTS"),1,0)+IF(Q11="KHS",1,0)</f>
        <v>5</v>
      </c>
      <c r="AE11" s="57">
        <f>(T11-V11)+1</f>
        <v>46324</v>
      </c>
      <c r="AF11" s="57">
        <f>IF(AB11&gt;IF((V11-W11)&gt;0,V11-W11,0),0,IF(AB11&lt;IF((V11-W11)&gt;0,V11-W11,0),IF((V11-W11)&gt;0,V11-W11,0)-AB11,IF((V11-W11)&gt;0,V11-W11,0)))</f>
        <v>0</v>
      </c>
      <c r="AG11" s="48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0"/>
      <c r="AI11" s="60">
        <f>AA11-AH11</f>
        <v>0</v>
      </c>
      <c r="AJ11" s="61"/>
      <c r="AK11" s="55" t="str">
        <f>VLOOKUP(D11,'2.Bookinglist'!A:CT,40,FALSE)</f>
        <v>Arunphat W. (Aiw)</v>
      </c>
      <c r="AL11" s="56" t="str">
        <f>VLOOKUP(D11,'2.Bookinglist'!A:CW,101,FALSE)</f>
        <v>2026-10-22</v>
      </c>
      <c r="AM11" s="56" t="str">
        <f>VLOOKUP(D11,'2.Bookinglist'!A:BK,63,FALSE)</f>
        <v>BKK27</v>
      </c>
      <c r="AN11" s="55" t="str">
        <f>VLOOKUP(D11,'2.Bookinglist'!A:AZ,52,FALSE)</f>
        <v>Pickup : 2026-10-16, Return SRP : 2026-10-17 [PAPERLESS CODE 2829]
CLS TIME 24/10/26 @21.00 (1ST RETURN 17/10/26)</v>
      </c>
      <c r="AO11" s="55">
        <f>VLOOKUP(D11,'2.Bookinglist'!A:CY,103,FALSE)</f>
        <v>0</v>
      </c>
    </row>
    <row r="12" ht="12.95" customHeight="1" spans="1:41" x14ac:dyDescent="0.25">
      <c r="A12" s="3" t="s">
        <v>304</v>
      </c>
      <c r="B12" s="53" t="str">
        <f>IF(C12=Charge!$M$1,Charge!$J$1,IF(C12=Charge!$M$23,Charge!$J$23,IF(C12=Charge!$M$17,Charge!$J$17,IF(C12=Charge!$N$17,Charge!$J$17,Charge!$J$7))))</f>
        <v>G2</v>
      </c>
      <c r="C12" s="54" t="str">
        <f>VLOOKUP(A12,'1.Loading'!A:R,14,FALSE)</f>
        <v>LCH06</v>
      </c>
      <c r="D12" s="54" t="str">
        <f>VLOOKUP(A12,'1.Loading'!A:R,17,FALSE)</f>
        <v>HASLS22260902238</v>
      </c>
      <c r="E12" s="55" t="str">
        <f>VLOOKUP(D12,'2.Bookinglist'!A:CT,27,FALSE)</f>
        <v>UBE CHEMICALS (ASIA) PUBLIC COMPANY LIMITED</v>
      </c>
      <c r="F12" s="55" t="str">
        <f>VLOOKUP(D12,'2.Bookinglist'!A:CT,28,FALSE)</f>
        <v>UBE CHEMICALS (ASIA) PUBLIC COMPANY LIMITED</v>
      </c>
      <c r="G12" s="56">
        <f>VLOOKUP(D12,'2.Bookinglist'!A:E,5,FALSE)</f>
        <v>0</v>
      </c>
      <c r="H12" s="54" t="str">
        <f>VLOOKUP(D12,'2.Bookinglist'!A:CT,15,FALSE)</f>
        <v>THLCH</v>
      </c>
      <c r="I12" s="54" t="str">
        <f>VLOOKUP(D12,'2.Bookinglist'!A:CT,19,FALSE)</f>
        <v>KRPUS</v>
      </c>
      <c r="J12" s="54">
        <f>VLOOKUP(D12,'2.Bookinglist'!A:CT,26,FALSE)</f>
        <v>0</v>
      </c>
      <c r="K12" s="54" t="str">
        <f>VLOOKUP(A12,'1.Loading'!A:R,5,FALSE)</f>
        <v>22GP</v>
      </c>
      <c r="L12" s="56" t="str">
        <f>VLOOKUP(D12,'2.Bookinglist'!A:CT,85,FALSE)</f>
        <v>CY/CY</v>
      </c>
      <c r="M12" s="56" t="str">
        <f>IF(VLOOKUP(D12,'2.Bookinglist'!A:CT,43,FALSE)=0,"","DG")</f>
        <v/>
      </c>
      <c r="N12" s="56" t="str">
        <f>IF(RIGHT(K12,2)="RE","RF","")</f>
        <v/>
      </c>
      <c r="O12" s="54" t="str">
        <f>VLOOKUP(A12,'1.Loading'!A:R,3,FALSE)</f>
        <v>HMVY</v>
      </c>
      <c r="P12" s="54" t="str">
        <f>VLOOKUP(A12,'1.Loading'!A:R,4,FALSE)</f>
        <v>2609N</v>
      </c>
      <c r="Q12" s="54" t="str">
        <f>VLOOKUP(D12,'2.Bookinglist'!A:CT,12,FALSE)</f>
        <v>PCI2</v>
      </c>
      <c r="R12" s="56" t="str">
        <f>IF(LEFT(K12,2)="22","20'","40'")</f>
        <v>20'</v>
      </c>
      <c r="S12" s="38"/>
      <c r="T12" s="54" t="str">
        <f>VLOOKUP(A12,'1.Loading'!A:R,2,FALSE)</f>
        <v>2026-10-28</v>
      </c>
      <c r="U12" s="57">
        <f>T12-S12</f>
        <v>46323</v>
      </c>
      <c r="V12" s="58"/>
      <c r="W12" s="54" t="str">
        <f>VLOOKUP(A12,'3.GateMove'!A:D,4,FALSE)</f>
        <v>2026-10-20</v>
      </c>
      <c r="X12" s="57">
        <f>((T12-W12)+1)</f>
        <v>9</v>
      </c>
      <c r="Y12" s="59">
        <f>IF(AND(OR(C12="BKK01",C12="BKK04"),L12="CFS/CY"),0,IF(M12="DG",1,IF(LEFT(C12,3)="LCH",7,IF(C12="BKK02",5,3))))</f>
        <v>7</v>
      </c>
      <c r="Z12" s="57">
        <f>IF(IF(AND(AC12="TML",AB12&gt;0),((T12-W12)+1)-AB12,((T12-W12)+1)-Y12)&gt;0,IF(AND(AC12="TML",AB12&gt;0),((T12-W12)+1)-AB12,((T12-W12)+1)-Y12),0)</f>
        <v>2</v>
      </c>
      <c r="AA12" s="48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250</v>
      </c>
      <c r="AB12" s="53"/>
      <c r="AC12" s="53"/>
      <c r="AD12" s="56">
        <f>IF(M12="DG",3,IF(N12="RF",3,5))+IF(AND(LEFT(C12,3)="BKK",N12="RF",Q12="KTS"),1,0)+IF(Q12="KHS",1,0)</f>
        <v>5</v>
      </c>
      <c r="AE12" s="57">
        <f>(T12-V12)+1</f>
        <v>46324</v>
      </c>
      <c r="AF12" s="57">
        <f>IF(AB12&gt;IF((V12-W12)&gt;0,V12-W12,0),0,IF(AB12&lt;IF((V12-W12)&gt;0,V12-W12,0),IF((V12-W12)&gt;0,V12-W12,0)-AB12,IF((V12-W12)&gt;0,V12-W12,0)))</f>
        <v>0</v>
      </c>
      <c r="AG12" s="48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0"/>
      <c r="AI12" s="60">
        <f>AA12-AH12</f>
        <v>250</v>
      </c>
      <c r="AJ12" s="61"/>
      <c r="AK12" s="55" t="str">
        <f>VLOOKUP(D12,'2.Bookinglist'!A:CT,40,FALSE)</f>
        <v>Tarn(Supaporn)</v>
      </c>
      <c r="AL12" s="56" t="str">
        <f>VLOOKUP(D12,'2.Bookinglist'!A:CW,101,FALSE)</f>
        <v>2026-10-18</v>
      </c>
      <c r="AM12" s="56" t="str">
        <f>VLOOKUP(D12,'2.Bookinglist'!A:BK,63,FALSE)</f>
        <v>LCHY5</v>
      </c>
      <c r="AN12" s="55" t="str">
        <f>VLOOKUP(D12,'2.Bookinglist'!A:AZ,52,FALSE)</f>
        <v>CY-RTN 10-12/10/26 (2002054623)
*PLD CHECK OPEN GATE BEFORE ERTURN CTNR*</v>
      </c>
      <c r="AO12" s="55">
        <f>VLOOKUP(D12,'2.Bookinglist'!A:CY,103,FALSE)</f>
        <v>0</v>
      </c>
    </row>
    <row r="13" ht="12.95" customHeight="1" spans="1:41" x14ac:dyDescent="0.25">
      <c r="A13" s="3" t="s">
        <v>128</v>
      </c>
      <c r="B13" s="53" t="str">
        <f>IF(C13=Charge!$M$1,Charge!$J$1,IF(C13=Charge!$M$23,Charge!$J$23,IF(C13=Charge!$M$17,Charge!$J$17,IF(C13=Charge!$N$17,Charge!$J$17,Charge!$J$7))))</f>
        <v>G2</v>
      </c>
      <c r="C13" s="54" t="str">
        <f>VLOOKUP(A13,'1.Loading'!A:R,14,FALSE)</f>
        <v>LCH06</v>
      </c>
      <c r="D13" s="54" t="str">
        <f>VLOOKUP(A13,'1.Loading'!A:R,17,FALSE)</f>
        <v>HASLS22260902492</v>
      </c>
      <c r="E13" s="55" t="str">
        <f>VLOOKUP(D13,'2.Bookinglist'!A:CT,27,FALSE)</f>
        <v>SCGJWD LOGISTICS PUBLIC COMPANY LIMITED</v>
      </c>
      <c r="F13" s="55" t="str">
        <f>VLOOKUP(D13,'2.Bookinglist'!A:CT,28,FALSE)</f>
        <v>THAI POLYETHYLENE CO., LTD.</v>
      </c>
      <c r="G13" s="56">
        <f>VLOOKUP(D13,'2.Bookinglist'!A:E,5,FALSE)</f>
        <v>0</v>
      </c>
      <c r="H13" s="54" t="str">
        <f>VLOOKUP(D13,'2.Bookinglist'!A:CT,15,FALSE)</f>
        <v>THLCH</v>
      </c>
      <c r="I13" s="54" t="str">
        <f>VLOOKUP(D13,'2.Bookinglist'!A:CT,19,FALSE)</f>
        <v>CNSHA</v>
      </c>
      <c r="J13" s="54">
        <f>VLOOKUP(D13,'2.Bookinglist'!A:CT,26,FALSE)</f>
        <v>0</v>
      </c>
      <c r="K13" s="54" t="str">
        <f>VLOOKUP(A13,'1.Loading'!A:R,5,FALSE)</f>
        <v>45GP</v>
      </c>
      <c r="L13" s="56" t="str">
        <f>VLOOKUP(D13,'2.Bookinglist'!A:CT,85,FALSE)</f>
        <v>CY/CY</v>
      </c>
      <c r="M13" s="56" t="str">
        <f>IF(VLOOKUP(D13,'2.Bookinglist'!A:CT,43,FALSE)=0,"","DG")</f>
        <v/>
      </c>
      <c r="N13" s="56" t="str">
        <f>IF(RIGHT(K13,2)="RE","RF","")</f>
        <v/>
      </c>
      <c r="O13" s="54" t="str">
        <f>VLOOKUP(A13,'1.Loading'!A:R,3,FALSE)</f>
        <v>HMVY</v>
      </c>
      <c r="P13" s="54" t="str">
        <f>VLOOKUP(A13,'1.Loading'!A:R,4,FALSE)</f>
        <v>2609N</v>
      </c>
      <c r="Q13" s="54" t="str">
        <f>VLOOKUP(D13,'2.Bookinglist'!A:CT,12,FALSE)</f>
        <v>PCI2</v>
      </c>
      <c r="R13" s="56" t="str">
        <f>IF(LEFT(K13,2)="22","20'","40'")</f>
        <v>40'</v>
      </c>
      <c r="S13" s="38"/>
      <c r="T13" s="54" t="str">
        <f>VLOOKUP(A13,'1.Loading'!A:R,2,FALSE)</f>
        <v>2026-10-28</v>
      </c>
      <c r="U13" s="57">
        <f>T13-S13</f>
        <v>46323</v>
      </c>
      <c r="V13" s="58"/>
      <c r="W13" s="54" t="str">
        <f>VLOOKUP(A13,'3.GateMove'!A:D,4,FALSE)</f>
        <v>2026-10-22</v>
      </c>
      <c r="X13" s="57">
        <f>((T13-W13)+1)</f>
        <v>7</v>
      </c>
      <c r="Y13" s="59">
        <f>IF(AND(OR(C13="BKK01",C13="BKK04"),L13="CFS/CY"),0,IF(M13="DG",1,IF(LEFT(C13,3)="LCH",7,IF(C13="BKK02",5,3))))</f>
        <v>7</v>
      </c>
      <c r="Z13" s="57">
        <f>IF(IF(AND(AC13="TML",AB13&gt;0),((T13-W13)+1)-AB13,((T13-W13)+1)-Y13)&gt;0,IF(AND(AC13="TML",AB13&gt;0),((T13-W13)+1)-AB13,((T13-W13)+1)-Y13),0)</f>
        <v>0</v>
      </c>
      <c r="AA13" s="48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53"/>
      <c r="AC13" s="53"/>
      <c r="AD13" s="56">
        <f>IF(M13="DG",3,IF(N13="RF",3,5))+IF(AND(LEFT(C13,3)="BKK",N13="RF",Q13="KTS"),1,0)+IF(Q13="KHS",1,0)</f>
        <v>5</v>
      </c>
      <c r="AE13" s="57">
        <f>(T13-V13)+1</f>
        <v>46324</v>
      </c>
      <c r="AF13" s="57">
        <f>IF(AB13&gt;IF((V13-W13)&gt;0,V13-W13,0),0,IF(AB13&lt;IF((V13-W13)&gt;0,V13-W13,0),IF((V13-W13)&gt;0,V13-W13,0)-AB13,IF((V13-W13)&gt;0,V13-W13,0)))</f>
        <v>0</v>
      </c>
      <c r="AG13" s="48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0"/>
      <c r="AI13" s="60">
        <f>AA13-AH13</f>
        <v>0</v>
      </c>
      <c r="AJ13" s="61"/>
      <c r="AK13" s="55" t="str">
        <f>VLOOKUP(D13,'2.Bookinglist'!A:CT,40,FALSE)</f>
        <v>Kanokporn</v>
      </c>
      <c r="AL13" s="56" t="str">
        <f>VLOOKUP(D13,'2.Bookinglist'!A:CW,101,FALSE)</f>
        <v>2026-10-18</v>
      </c>
      <c r="AM13" s="56" t="str">
        <f>VLOOKUP(D13,'2.Bookinglist'!A:BK,63,FALSE)</f>
        <v>LCHY5</v>
      </c>
      <c r="AN13" s="55" t="str">
        <f>VLOOKUP(D13,'2.Bookinglist'!A:AZ,52,FALSE)</f>
        <v>CY-RTN 09-12/10/26 (INV. 3031062392)
</v>
      </c>
      <c r="AO13" s="55">
        <f>VLOOKUP(D13,'2.Bookinglist'!A:CY,103,FALSE)</f>
        <v>0</v>
      </c>
    </row>
    <row r="14" ht="12.95" customHeight="1" spans="1:41" x14ac:dyDescent="0.25">
      <c r="A14" s="3" t="s">
        <v>133</v>
      </c>
      <c r="B14" s="53" t="str">
        <f>IF(C14=Charge!$M$1,Charge!$J$1,IF(C14=Charge!$M$23,Charge!$J$23,IF(C14=Charge!$M$17,Charge!$J$17,IF(C14=Charge!$N$17,Charge!$J$17,Charge!$J$7))))</f>
        <v>G2</v>
      </c>
      <c r="C14" s="54" t="str">
        <f>VLOOKUP(A14,'1.Loading'!A:R,14,FALSE)</f>
        <v>LCH06</v>
      </c>
      <c r="D14" s="54" t="str">
        <f>VLOOKUP(A14,'1.Loading'!A:R,17,FALSE)</f>
        <v>HASLS22261000285</v>
      </c>
      <c r="E14" s="55" t="str">
        <f>VLOOKUP(D14,'2.Bookinglist'!A:CT,27,FALSE)</f>
        <v>AGC VINYTHAI PUBLIC COMPANY LIMITED</v>
      </c>
      <c r="F14" s="55" t="str">
        <f>VLOOKUP(D14,'2.Bookinglist'!A:CT,28,FALSE)</f>
        <v>AGC VINYTHAI PUBLIC COMPANY LIMITED</v>
      </c>
      <c r="G14" s="56">
        <f>VLOOKUP(D14,'2.Bookinglist'!A:E,5,FALSE)</f>
        <v>0</v>
      </c>
      <c r="H14" s="54" t="str">
        <f>VLOOKUP(D14,'2.Bookinglist'!A:CT,15,FALSE)</f>
        <v>THLCH</v>
      </c>
      <c r="I14" s="54" t="str">
        <f>VLOOKUP(D14,'2.Bookinglist'!A:CT,19,FALSE)</f>
        <v>CNSHA</v>
      </c>
      <c r="J14" s="54">
        <f>VLOOKUP(D14,'2.Bookinglist'!A:CT,26,FALSE)</f>
        <v>0</v>
      </c>
      <c r="K14" s="54" t="str">
        <f>VLOOKUP(A14,'1.Loading'!A:R,5,FALSE)</f>
        <v>45GP</v>
      </c>
      <c r="L14" s="56" t="str">
        <f>VLOOKUP(D14,'2.Bookinglist'!A:CT,85,FALSE)</f>
        <v>CY/CY</v>
      </c>
      <c r="M14" s="56" t="str">
        <f>IF(VLOOKUP(D14,'2.Bookinglist'!A:CT,43,FALSE)=0,"","DG")</f>
        <v/>
      </c>
      <c r="N14" s="56" t="str">
        <f>IF(RIGHT(K14,2)="RE","RF","")</f>
        <v/>
      </c>
      <c r="O14" s="54" t="str">
        <f>VLOOKUP(A14,'1.Loading'!A:R,3,FALSE)</f>
        <v>HMVY</v>
      </c>
      <c r="P14" s="54" t="str">
        <f>VLOOKUP(A14,'1.Loading'!A:R,4,FALSE)</f>
        <v>2609N</v>
      </c>
      <c r="Q14" s="54" t="str">
        <f>VLOOKUP(D14,'2.Bookinglist'!A:CT,12,FALSE)</f>
        <v>PCI2</v>
      </c>
      <c r="R14" s="56" t="str">
        <f>IF(LEFT(K14,2)="22","20'","40'")</f>
        <v>40'</v>
      </c>
      <c r="S14" s="38"/>
      <c r="T14" s="54" t="str">
        <f>VLOOKUP(A14,'1.Loading'!A:R,2,FALSE)</f>
        <v>2026-10-28</v>
      </c>
      <c r="U14" s="57">
        <f>T14-S14</f>
        <v>46323</v>
      </c>
      <c r="V14" s="58"/>
      <c r="W14" s="54" t="str">
        <f>VLOOKUP(A14,'3.GateMove'!A:D,4,FALSE)</f>
        <v>2026-10-17</v>
      </c>
      <c r="X14" s="57">
        <f>((T14-W14)+1)</f>
        <v>12</v>
      </c>
      <c r="Y14" s="59">
        <f>IF(AND(OR(C14="BKK01",C14="BKK04"),L14="CFS/CY"),0,IF(M14="DG",1,IF(LEFT(C14,3)="LCH",7,IF(C14="BKK02",5,3))))</f>
        <v>7</v>
      </c>
      <c r="Z14" s="57">
        <f>IF(IF(AND(AC14="TML",AB14&gt;0),((T14-W14)+1)-AB14,((T14-W14)+1)-Y14)&gt;0,IF(AND(AC14="TML",AB14&gt;0),((T14-W14)+1)-AB14,((T14-W14)+1)-Y14),0)</f>
        <v>5</v>
      </c>
      <c r="AA14" s="48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1250</v>
      </c>
      <c r="AB14" s="53"/>
      <c r="AC14" s="53"/>
      <c r="AD14" s="56">
        <f>IF(M14="DG",3,IF(N14="RF",3,5))+IF(AND(LEFT(C14,3)="BKK",N14="RF",Q14="KTS"),1,0)+IF(Q14="KHS",1,0)</f>
        <v>5</v>
      </c>
      <c r="AE14" s="57">
        <f>(T14-V14)+1</f>
        <v>46324</v>
      </c>
      <c r="AF14" s="57">
        <f>IF(AB14&gt;IF((V14-W14)&gt;0,V14-W14,0),0,IF(AB14&lt;IF((V14-W14)&gt;0,V14-W14,0),IF((V14-W14)&gt;0,V14-W14,0)-AB14,IF((V14-W14)&gt;0,V14-W14,0)))</f>
        <v>0</v>
      </c>
      <c r="AG14" s="48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0"/>
      <c r="AI14" s="60">
        <f>AA14-AH14</f>
        <v>1250</v>
      </c>
      <c r="AJ14" s="61"/>
      <c r="AK14" s="55" t="str">
        <f>VLOOKUP(D14,'2.Bookinglist'!A:CT,40,FALSE)</f>
        <v>Nannaapust Sukporntaweewat</v>
      </c>
      <c r="AL14" s="56" t="str">
        <f>VLOOKUP(D14,'2.Bookinglist'!A:CW,101,FALSE)</f>
        <v>2026-10-24</v>
      </c>
      <c r="AM14" s="56" t="str">
        <f>VLOOKUP(D14,'2.Bookinglist'!A:BK,63,FALSE)</f>
        <v>LCHY5</v>
      </c>
      <c r="AN14" s="55" t="str">
        <f>VLOOKUP(D14,'2.Bookinglist'!A:AZ,52,FALSE)</f>
        <v>Pickup : 2026-10-15, Return : 2026-10-16</v>
      </c>
      <c r="AO14" s="55">
        <f>VLOOKUP(D14,'2.Bookinglist'!A:CY,103,FALSE)</f>
        <v>0</v>
      </c>
    </row>
    <row r="15" ht="12.95" customHeight="1" spans="1:41" x14ac:dyDescent="0.25">
      <c r="A15" s="3" t="s">
        <v>303</v>
      </c>
      <c r="B15" s="53" t="str">
        <f>IF(C15=Charge!$M$1,Charge!$J$1,IF(C15=Charge!$M$23,Charge!$J$23,IF(C15=Charge!$M$17,Charge!$J$17,IF(C15=Charge!$N$17,Charge!$J$17,Charge!$J$7))))</f>
        <v>G2</v>
      </c>
      <c r="C15" s="54" t="str">
        <f>VLOOKUP(A15,'1.Loading'!A:R,14,FALSE)</f>
        <v>LCH06</v>
      </c>
      <c r="D15" s="54" t="str">
        <f>VLOOKUP(A15,'1.Loading'!A:R,17,FALSE)</f>
        <v>HASLS22260900170</v>
      </c>
      <c r="E15" s="55" t="str">
        <f>VLOOKUP(D15,'2.Bookinglist'!A:CT,27,FALSE)</f>
        <v>PANDA GOGO LOGISTICS CO., LTD.</v>
      </c>
      <c r="F15" s="55" t="str">
        <f>VLOOKUP(D15,'2.Bookinglist'!A:CT,28,FALSE)</f>
        <v>GC-M PTA COMPANY LIMITED</v>
      </c>
      <c r="G15" s="56">
        <f>VLOOKUP(D15,'2.Bookinglist'!A:E,5,FALSE)</f>
        <v>0</v>
      </c>
      <c r="H15" s="54" t="str">
        <f>VLOOKUP(D15,'2.Bookinglist'!A:CT,15,FALSE)</f>
        <v>THLCH</v>
      </c>
      <c r="I15" s="54" t="str">
        <f>VLOOKUP(D15,'2.Bookinglist'!A:CT,19,FALSE)</f>
        <v>JPTRG</v>
      </c>
      <c r="J15" s="54" t="str">
        <f>VLOOKUP(D15,'2.Bookinglist'!A:CT,26,FALSE)</f>
        <v>KRPUS</v>
      </c>
      <c r="K15" s="54" t="str">
        <f>VLOOKUP(A15,'1.Loading'!A:R,5,FALSE)</f>
        <v>22GP</v>
      </c>
      <c r="L15" s="56" t="str">
        <f>VLOOKUP(D15,'2.Bookinglist'!A:CT,85,FALSE)</f>
        <v>CY/CY</v>
      </c>
      <c r="M15" s="56" t="str">
        <f>IF(VLOOKUP(D15,'2.Bookinglist'!A:CT,43,FALSE)=0,"","DG")</f>
        <v/>
      </c>
      <c r="N15" s="56" t="str">
        <f>IF(RIGHT(K15,2)="RE","RF","")</f>
        <v/>
      </c>
      <c r="O15" s="54" t="str">
        <f>VLOOKUP(A15,'1.Loading'!A:R,3,FALSE)</f>
        <v>HMVY</v>
      </c>
      <c r="P15" s="54" t="str">
        <f>VLOOKUP(A15,'1.Loading'!A:R,4,FALSE)</f>
        <v>2609N</v>
      </c>
      <c r="Q15" s="54" t="str">
        <f>VLOOKUP(D15,'2.Bookinglist'!A:CT,12,FALSE)</f>
        <v>PCI2</v>
      </c>
      <c r="R15" s="56" t="str">
        <f>IF(LEFT(K15,2)="22","20'","40'")</f>
        <v>20'</v>
      </c>
      <c r="S15" s="38"/>
      <c r="T15" s="54" t="str">
        <f>VLOOKUP(A15,'1.Loading'!A:R,2,FALSE)</f>
        <v>2026-10-28</v>
      </c>
      <c r="U15" s="57">
        <f>T15-S15</f>
        <v>46323</v>
      </c>
      <c r="V15" s="58"/>
      <c r="W15" s="54" t="str">
        <f>VLOOKUP(A15,'3.GateMove'!A:D,4,FALSE)</f>
        <v>2026-10-18</v>
      </c>
      <c r="X15" s="57">
        <f>((T15-W15)+1)</f>
        <v>11</v>
      </c>
      <c r="Y15" s="59">
        <f>IF(AND(OR(C15="BKK01",C15="BKK04"),L15="CFS/CY"),0,IF(M15="DG",1,IF(LEFT(C15,3)="LCH",7,IF(C15="BKK02",5,3))))</f>
        <v>7</v>
      </c>
      <c r="Z15" s="57">
        <f>IF(IF(AND(AC15="TML",AB15&gt;0),((T15-W15)+1)-AB15,((T15-W15)+1)-Y15)&gt;0,IF(AND(AC15="TML",AB15&gt;0),((T15-W15)+1)-AB15,((T15-W15)+1)-Y15),0)</f>
        <v>4</v>
      </c>
      <c r="AA15" s="48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500</v>
      </c>
      <c r="AB15" s="53"/>
      <c r="AC15" s="53"/>
      <c r="AD15" s="56">
        <f>IF(M15="DG",3,IF(N15="RF",3,5))+IF(AND(LEFT(C15,3)="BKK",N15="RF",Q15="KTS"),1,0)+IF(Q15="KHS",1,0)</f>
        <v>5</v>
      </c>
      <c r="AE15" s="57">
        <f>(T15-V15)+1</f>
        <v>46324</v>
      </c>
      <c r="AF15" s="57">
        <f>IF(AB15&gt;IF((V15-W15)&gt;0,V15-W15,0),0,IF(AB15&lt;IF((V15-W15)&gt;0,V15-W15,0),IF((V15-W15)&gt;0,V15-W15,0)-AB15,IF((V15-W15)&gt;0,V15-W15,0)))</f>
        <v>0</v>
      </c>
      <c r="AG15" s="48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0"/>
      <c r="AI15" s="60">
        <f>AA15-AH15</f>
        <v>500</v>
      </c>
      <c r="AJ15" s="61"/>
      <c r="AK15" s="55" t="str">
        <f>VLOOKUP(D15,'2.Bookinglist'!A:CT,40,FALSE)</f>
        <v>Tarn(Supaporn)</v>
      </c>
      <c r="AL15" s="56" t="str">
        <f>VLOOKUP(D15,'2.Bookinglist'!A:CW,101,FALSE)</f>
        <v>2026-10-22</v>
      </c>
      <c r="AM15" s="56" t="str">
        <f>VLOOKUP(D15,'2.Bookinglist'!A:BK,63,FALSE)</f>
        <v>LCHY5</v>
      </c>
      <c r="AN15" s="55" t="str">
        <f>VLOOKUP(D15,'2.Bookinglist'!A:AZ,52,FALSE)</f>
        <v>[FIX]Pickup : 2026-10-14, Return : 2026-10-15 [1ST RTN 16/10/2026 W/O RENT]
** PLEASE CHECK OPEN GATE BEFORE RETURN CONTAINER ** </v>
      </c>
      <c r="AO15" s="55">
        <f>VLOOKUP(D15,'2.Bookinglist'!A:CY,103,FALSE)</f>
        <v>0</v>
      </c>
    </row>
    <row r="16" ht="12.95" customHeight="1" spans="1:41" x14ac:dyDescent="0.25">
      <c r="A16" s="3" t="s">
        <v>384</v>
      </c>
      <c r="B16" s="53" t="str">
        <f>IF(C16=Charge!$M$1,Charge!$J$1,IF(C16=Charge!$M$23,Charge!$J$23,IF(C16=Charge!$M$17,Charge!$J$17,IF(C16=Charge!$N$17,Charge!$J$17,Charge!$J$7))))</f>
        <v>G2</v>
      </c>
      <c r="C16" s="54" t="str">
        <f>VLOOKUP(A16,'1.Loading'!A:R,14,FALSE)</f>
        <v>LCH06</v>
      </c>
      <c r="D16" s="54" t="str">
        <f>VLOOKUP(A16,'1.Loading'!A:R,17,FALSE)</f>
        <v>HASLS22260900170</v>
      </c>
      <c r="E16" s="55" t="str">
        <f>VLOOKUP(D16,'2.Bookinglist'!A:CT,27,FALSE)</f>
        <v>PANDA GOGO LOGISTICS CO., LTD.</v>
      </c>
      <c r="F16" s="55" t="str">
        <f>VLOOKUP(D16,'2.Bookinglist'!A:CT,28,FALSE)</f>
        <v>GC-M PTA COMPANY LIMITED</v>
      </c>
      <c r="G16" s="56">
        <f>VLOOKUP(D16,'2.Bookinglist'!A:E,5,FALSE)</f>
        <v>0</v>
      </c>
      <c r="H16" s="54" t="str">
        <f>VLOOKUP(D16,'2.Bookinglist'!A:CT,15,FALSE)</f>
        <v>THLCH</v>
      </c>
      <c r="I16" s="54" t="str">
        <f>VLOOKUP(D16,'2.Bookinglist'!A:CT,19,FALSE)</f>
        <v>JPTRG</v>
      </c>
      <c r="J16" s="54" t="str">
        <f>VLOOKUP(D16,'2.Bookinglist'!A:CT,26,FALSE)</f>
        <v>KRPUS</v>
      </c>
      <c r="K16" s="54" t="str">
        <f>VLOOKUP(A16,'1.Loading'!A:R,5,FALSE)</f>
        <v>22GP</v>
      </c>
      <c r="L16" s="56" t="str">
        <f>VLOOKUP(D16,'2.Bookinglist'!A:CT,85,FALSE)</f>
        <v>CY/CY</v>
      </c>
      <c r="M16" s="56" t="str">
        <f>IF(VLOOKUP(D16,'2.Bookinglist'!A:CT,43,FALSE)=0,"","DG")</f>
        <v/>
      </c>
      <c r="N16" s="56" t="str">
        <f>IF(RIGHT(K16,2)="RE","RF","")</f>
        <v/>
      </c>
      <c r="O16" s="54" t="str">
        <f>VLOOKUP(A16,'1.Loading'!A:R,3,FALSE)</f>
        <v>HMVY</v>
      </c>
      <c r="P16" s="54" t="str">
        <f>VLOOKUP(A16,'1.Loading'!A:R,4,FALSE)</f>
        <v>2609N</v>
      </c>
      <c r="Q16" s="54" t="str">
        <f>VLOOKUP(D16,'2.Bookinglist'!A:CT,12,FALSE)</f>
        <v>PCI2</v>
      </c>
      <c r="R16" s="56" t="str">
        <f>IF(LEFT(K16,2)="22","20'","40'")</f>
        <v>20'</v>
      </c>
      <c r="S16" s="38"/>
      <c r="T16" s="54" t="str">
        <f>VLOOKUP(A16,'1.Loading'!A:R,2,FALSE)</f>
        <v>2026-10-28</v>
      </c>
      <c r="U16" s="57">
        <f>T16-S16</f>
        <v>46323</v>
      </c>
      <c r="V16" s="58"/>
      <c r="W16" s="54" t="str">
        <f>VLOOKUP(A16,'3.GateMove'!A:D,4,FALSE)</f>
        <v>2026-10-19</v>
      </c>
      <c r="X16" s="57">
        <f>((T16-W16)+1)</f>
        <v>10</v>
      </c>
      <c r="Y16" s="59">
        <f>IF(AND(OR(C16="BKK01",C16="BKK04"),L16="CFS/CY"),0,IF(M16="DG",1,IF(LEFT(C16,3)="LCH",7,IF(C16="BKK02",5,3))))</f>
        <v>7</v>
      </c>
      <c r="Z16" s="57">
        <f>IF(IF(AND(AC16="TML",AB16&gt;0),((T16-W16)+1)-AB16,((T16-W16)+1)-Y16)&gt;0,IF(AND(AC16="TML",AB16&gt;0),((T16-W16)+1)-AB16,((T16-W16)+1)-Y16),0)</f>
        <v>3</v>
      </c>
      <c r="AA16" s="48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375</v>
      </c>
      <c r="AB16" s="53"/>
      <c r="AC16" s="53"/>
      <c r="AD16" s="56">
        <f>IF(M16="DG",3,IF(N16="RF",3,5))+IF(AND(LEFT(C16,3)="BKK",N16="RF",Q16="KTS"),1,0)+IF(Q16="KHS",1,0)</f>
        <v>5</v>
      </c>
      <c r="AE16" s="57">
        <f>(T16-V16)+1</f>
        <v>46324</v>
      </c>
      <c r="AF16" s="57">
        <f>IF(AB16&gt;IF((V16-W16)&gt;0,V16-W16,0),0,IF(AB16&lt;IF((V16-W16)&gt;0,V16-W16,0),IF((V16-W16)&gt;0,V16-W16,0)-AB16,IF((V16-W16)&gt;0,V16-W16,0)))</f>
        <v>0</v>
      </c>
      <c r="AG16" s="48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0"/>
      <c r="AI16" s="60">
        <f>AA16-AH16</f>
        <v>375</v>
      </c>
      <c r="AJ16" s="61"/>
      <c r="AK16" s="55" t="str">
        <f>VLOOKUP(D16,'2.Bookinglist'!A:CT,40,FALSE)</f>
        <v>Tarn(Supaporn)</v>
      </c>
      <c r="AL16" s="56" t="str">
        <f>VLOOKUP(D16,'2.Bookinglist'!A:CW,101,FALSE)</f>
        <v>2026-10-22</v>
      </c>
      <c r="AM16" s="56" t="str">
        <f>VLOOKUP(D16,'2.Bookinglist'!A:BK,63,FALSE)</f>
        <v>LCHY5</v>
      </c>
      <c r="AN16" s="55" t="str">
        <f>VLOOKUP(D16,'2.Bookinglist'!A:AZ,52,FALSE)</f>
        <v>[FIX]Pickup : 2026-10-14, Return : 2026-10-15 [1ST RTN 16/10/2026 W/O RENT]
** PLEASE CHECK OPEN GATE BEFORE RETURN CONTAINER ** </v>
      </c>
      <c r="AO16" s="55">
        <f>VLOOKUP(D16,'2.Bookinglist'!A:CY,103,FALSE)</f>
        <v>0</v>
      </c>
    </row>
    <row r="17" ht="12.95" customHeight="1" spans="1:41" x14ac:dyDescent="0.25">
      <c r="A17" s="3" t="s">
        <v>385</v>
      </c>
      <c r="B17" s="53" t="str">
        <f>IF(C17=Charge!$M$1,Charge!$J$1,IF(C17=Charge!$M$23,Charge!$J$23,IF(C17=Charge!$M$17,Charge!$J$17,IF(C17=Charge!$N$17,Charge!$J$17,Charge!$J$7))))</f>
        <v>G2</v>
      </c>
      <c r="C17" s="54" t="str">
        <f>VLOOKUP(A17,'1.Loading'!A:R,14,FALSE)</f>
        <v>LCH06</v>
      </c>
      <c r="D17" s="54" t="str">
        <f>VLOOKUP(A17,'1.Loading'!A:R,17,FALSE)</f>
        <v>HASLS22260900170</v>
      </c>
      <c r="E17" s="55" t="str">
        <f>VLOOKUP(D17,'2.Bookinglist'!A:CT,27,FALSE)</f>
        <v>PANDA GOGO LOGISTICS CO., LTD.</v>
      </c>
      <c r="F17" s="55" t="str">
        <f>VLOOKUP(D17,'2.Bookinglist'!A:CT,28,FALSE)</f>
        <v>GC-M PTA COMPANY LIMITED</v>
      </c>
      <c r="G17" s="56">
        <f>VLOOKUP(D17,'2.Bookinglist'!A:E,5,FALSE)</f>
        <v>0</v>
      </c>
      <c r="H17" s="54" t="str">
        <f>VLOOKUP(D17,'2.Bookinglist'!A:CT,15,FALSE)</f>
        <v>THLCH</v>
      </c>
      <c r="I17" s="54" t="str">
        <f>VLOOKUP(D17,'2.Bookinglist'!A:CT,19,FALSE)</f>
        <v>JPTRG</v>
      </c>
      <c r="J17" s="54" t="str">
        <f>VLOOKUP(D17,'2.Bookinglist'!A:CT,26,FALSE)</f>
        <v>KRPUS</v>
      </c>
      <c r="K17" s="54" t="str">
        <f>VLOOKUP(A17,'1.Loading'!A:R,5,FALSE)</f>
        <v>22GP</v>
      </c>
      <c r="L17" s="56" t="str">
        <f>VLOOKUP(D17,'2.Bookinglist'!A:CT,85,FALSE)</f>
        <v>CY/CY</v>
      </c>
      <c r="M17" s="56" t="str">
        <f>IF(VLOOKUP(D17,'2.Bookinglist'!A:CT,43,FALSE)=0,"","DG")</f>
        <v/>
      </c>
      <c r="N17" s="56" t="str">
        <f>IF(RIGHT(K17,2)="RE","RF","")</f>
        <v/>
      </c>
      <c r="O17" s="54" t="str">
        <f>VLOOKUP(A17,'1.Loading'!A:R,3,FALSE)</f>
        <v>HMVY</v>
      </c>
      <c r="P17" s="54" t="str">
        <f>VLOOKUP(A17,'1.Loading'!A:R,4,FALSE)</f>
        <v>2609N</v>
      </c>
      <c r="Q17" s="54" t="str">
        <f>VLOOKUP(D17,'2.Bookinglist'!A:CT,12,FALSE)</f>
        <v>PCI2</v>
      </c>
      <c r="R17" s="56" t="str">
        <f>IF(LEFT(K17,2)="22","20'","40'")</f>
        <v>20'</v>
      </c>
      <c r="S17" s="38"/>
      <c r="T17" s="54" t="str">
        <f>VLOOKUP(A17,'1.Loading'!A:R,2,FALSE)</f>
        <v>2026-10-28</v>
      </c>
      <c r="U17" s="57">
        <f>T17-S17</f>
        <v>46323</v>
      </c>
      <c r="V17" s="58"/>
      <c r="W17" s="54" t="str">
        <f>VLOOKUP(A17,'3.GateMove'!A:D,4,FALSE)</f>
        <v>2026-10-18</v>
      </c>
      <c r="X17" s="57">
        <f>((T17-W17)+1)</f>
        <v>11</v>
      </c>
      <c r="Y17" s="59">
        <f>IF(AND(OR(C17="BKK01",C17="BKK04"),L17="CFS/CY"),0,IF(M17="DG",1,IF(LEFT(C17,3)="LCH",7,IF(C17="BKK02",5,3))))</f>
        <v>7</v>
      </c>
      <c r="Z17" s="57">
        <f>IF(IF(AND(AC17="TML",AB17&gt;0),((T17-W17)+1)-AB17,((T17-W17)+1)-Y17)&gt;0,IF(AND(AC17="TML",AB17&gt;0),((T17-W17)+1)-AB17,((T17-W17)+1)-Y17),0)</f>
        <v>4</v>
      </c>
      <c r="AA17" s="48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500</v>
      </c>
      <c r="AB17" s="53"/>
      <c r="AC17" s="53"/>
      <c r="AD17" s="56">
        <f>IF(M17="DG",3,IF(N17="RF",3,5))+IF(AND(LEFT(C17,3)="BKK",N17="RF",Q17="KTS"),1,0)+IF(Q17="KHS",1,0)</f>
        <v>5</v>
      </c>
      <c r="AE17" s="57">
        <f>(T17-V17)+1</f>
        <v>46324</v>
      </c>
      <c r="AF17" s="57">
        <f>IF(AB17&gt;IF((V17-W17)&gt;0,V17-W17,0),0,IF(AB17&lt;IF((V17-W17)&gt;0,V17-W17,0),IF((V17-W17)&gt;0,V17-W17,0)-AB17,IF((V17-W17)&gt;0,V17-W17,0)))</f>
        <v>0</v>
      </c>
      <c r="AG17" s="48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0"/>
      <c r="AI17" s="60">
        <f>AA17-AH17</f>
        <v>500</v>
      </c>
      <c r="AJ17" s="61"/>
      <c r="AK17" s="55" t="str">
        <f>VLOOKUP(D17,'2.Bookinglist'!A:CT,40,FALSE)</f>
        <v>Tarn(Supaporn)</v>
      </c>
      <c r="AL17" s="56" t="str">
        <f>VLOOKUP(D17,'2.Bookinglist'!A:CW,101,FALSE)</f>
        <v>2026-10-22</v>
      </c>
      <c r="AM17" s="56" t="str">
        <f>VLOOKUP(D17,'2.Bookinglist'!A:BK,63,FALSE)</f>
        <v>LCHY5</v>
      </c>
      <c r="AN17" s="55" t="str">
        <f>VLOOKUP(D17,'2.Bookinglist'!A:AZ,52,FALSE)</f>
        <v>[FIX]Pickup : 2026-10-14, Return : 2026-10-15 [1ST RTN 16/10/2026 W/O RENT]
** PLEASE CHECK OPEN GATE BEFORE RETURN CONTAINER ** </v>
      </c>
      <c r="AO17" s="55">
        <f>VLOOKUP(D17,'2.Bookinglist'!A:CY,103,FALSE)</f>
        <v>0</v>
      </c>
    </row>
    <row r="18" ht="12.95" customHeight="1" spans="1:41" x14ac:dyDescent="0.25">
      <c r="A18" s="3" t="s">
        <v>102</v>
      </c>
      <c r="B18" s="53" t="str">
        <f>IF(C18=Charge!$M$1,Charge!$J$1,IF(C18=Charge!$M$23,Charge!$J$23,IF(C18=Charge!$M$17,Charge!$J$17,IF(C18=Charge!$N$17,Charge!$J$17,Charge!$J$7))))</f>
        <v>G2</v>
      </c>
      <c r="C18" s="54" t="str">
        <f>VLOOKUP(A18,'1.Loading'!A:R,14,FALSE)</f>
        <v>LCH06</v>
      </c>
      <c r="D18" s="54" t="str">
        <f>VLOOKUP(A18,'1.Loading'!A:R,17,FALSE)</f>
        <v>HASLS22261001034</v>
      </c>
      <c r="E18" s="55" t="str">
        <f>VLOOKUP(D18,'2.Bookinglist'!A:CT,27,FALSE)</f>
        <v>BNE GLOBAL CO.,LTD.</v>
      </c>
      <c r="F18" s="55" t="str">
        <f>VLOOKUP(D18,'2.Bookinglist'!A:CT,28,FALSE)</f>
        <v>SEFAR (THAILAND) CO LTD</v>
      </c>
      <c r="G18" s="56">
        <f>VLOOKUP(D18,'2.Bookinglist'!A:E,5,FALSE)</f>
        <v>0</v>
      </c>
      <c r="H18" s="54" t="str">
        <f>VLOOKUP(D18,'2.Bookinglist'!A:CT,15,FALSE)</f>
        <v>THLCH</v>
      </c>
      <c r="I18" s="54" t="str">
        <f>VLOOKUP(D18,'2.Bookinglist'!A:CT,19,FALSE)</f>
        <v>CNSHA</v>
      </c>
      <c r="J18" s="54">
        <f>VLOOKUP(D18,'2.Bookinglist'!A:CT,26,FALSE)</f>
        <v>0</v>
      </c>
      <c r="K18" s="54" t="str">
        <f>VLOOKUP(A18,'1.Loading'!A:R,5,FALSE)</f>
        <v>22GP</v>
      </c>
      <c r="L18" s="56" t="str">
        <f>VLOOKUP(D18,'2.Bookinglist'!A:CT,85,FALSE)</f>
        <v>CY/CY</v>
      </c>
      <c r="M18" s="56" t="str">
        <f>IF(VLOOKUP(D18,'2.Bookinglist'!A:CT,43,FALSE)=0,"","DG")</f>
        <v/>
      </c>
      <c r="N18" s="56" t="str">
        <f>IF(RIGHT(K18,2)="RE","RF","")</f>
        <v/>
      </c>
      <c r="O18" s="54" t="str">
        <f>VLOOKUP(A18,'1.Loading'!A:R,3,FALSE)</f>
        <v>HMVY</v>
      </c>
      <c r="P18" s="54" t="str">
        <f>VLOOKUP(A18,'1.Loading'!A:R,4,FALSE)</f>
        <v>2609N</v>
      </c>
      <c r="Q18" s="54" t="str">
        <f>VLOOKUP(D18,'2.Bookinglist'!A:CT,12,FALSE)</f>
        <v>PCI2</v>
      </c>
      <c r="R18" s="56" t="str">
        <f>IF(LEFT(K18,2)="22","20'","40'")</f>
        <v>20'</v>
      </c>
      <c r="S18" s="38"/>
      <c r="T18" s="54" t="str">
        <f>VLOOKUP(A18,'1.Loading'!A:R,2,FALSE)</f>
        <v>2026-10-28</v>
      </c>
      <c r="U18" s="57">
        <f>T18-S18</f>
        <v>46323</v>
      </c>
      <c r="V18" s="58"/>
      <c r="W18" s="54" t="str">
        <f>VLOOKUP(A18,'3.GateMove'!A:D,4,FALSE)</f>
        <v>2026-10-20</v>
      </c>
      <c r="X18" s="57">
        <f>((T18-W18)+1)</f>
        <v>9</v>
      </c>
      <c r="Y18" s="59">
        <f>IF(AND(OR(C18="BKK01",C18="BKK04"),L18="CFS/CY"),0,IF(M18="DG",1,IF(LEFT(C18,3)="LCH",7,IF(C18="BKK02",5,3))))</f>
        <v>7</v>
      </c>
      <c r="Z18" s="57">
        <f>IF(IF(AND(AC18="TML",AB18&gt;0),((T18-W18)+1)-AB18,((T18-W18)+1)-Y18)&gt;0,IF(AND(AC18="TML",AB18&gt;0),((T18-W18)+1)-AB18,((T18-W18)+1)-Y18),0)</f>
        <v>2</v>
      </c>
      <c r="AA18" s="48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250</v>
      </c>
      <c r="AB18" s="53"/>
      <c r="AC18" s="53"/>
      <c r="AD18" s="56">
        <f>IF(M18="DG",3,IF(N18="RF",3,5))+IF(AND(LEFT(C18,3)="BKK",N18="RF",Q18="KTS"),1,0)+IF(Q18="KHS",1,0)</f>
        <v>5</v>
      </c>
      <c r="AE18" s="57">
        <f>(T18-V18)+1</f>
        <v>46324</v>
      </c>
      <c r="AF18" s="57">
        <f>IF(AB18&gt;IF((V18-W18)&gt;0,V18-W18,0),0,IF(AB18&lt;IF((V18-W18)&gt;0,V18-W18,0),IF((V18-W18)&gt;0,V18-W18,0)-AB18,IF((V18-W18)&gt;0,V18-W18,0)))</f>
        <v>0</v>
      </c>
      <c r="AG18" s="48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0"/>
      <c r="AI18" s="60">
        <f>AA18-AH18</f>
        <v>250</v>
      </c>
      <c r="AJ18" s="61"/>
      <c r="AK18" s="55" t="str">
        <f>VLOOKUP(D18,'2.Bookinglist'!A:CT,40,FALSE)</f>
        <v>Nustsireerach</v>
      </c>
      <c r="AL18" s="56" t="str">
        <f>VLOOKUP(D18,'2.Bookinglist'!A:CW,101,FALSE)</f>
        <v>2026-10-24</v>
      </c>
      <c r="AM18" s="56" t="str">
        <f>VLOOKUP(D18,'2.Bookinglist'!A:BK,63,FALSE)</f>
        <v>LCHY5</v>
      </c>
      <c r="AN18" s="55" t="str">
        <f>VLOOKUP(D18,'2.Bookinglist'!A:AZ,52,FALSE)</f>
        <v>Pickup : 2026-10-19, Return : 2026-10-20  </v>
      </c>
      <c r="AO18" s="55">
        <f>VLOOKUP(D18,'2.Bookinglist'!A:CY,103,FALSE)</f>
        <v>0</v>
      </c>
    </row>
    <row r="19" ht="12.95" customHeight="1" spans="1:41" x14ac:dyDescent="0.25">
      <c r="A19" s="3" t="s">
        <v>468</v>
      </c>
      <c r="B19" s="53" t="str">
        <f>IF(C19=Charge!$M$1,Charge!$J$1,IF(C19=Charge!$M$23,Charge!$J$23,IF(C19=Charge!$M$17,Charge!$J$17,IF(C19=Charge!$N$17,Charge!$J$17,Charge!$J$7))))</f>
        <v>G2</v>
      </c>
      <c r="C19" s="54" t="str">
        <f>VLOOKUP(A19,'1.Loading'!A:R,14,FALSE)</f>
        <v>LCH06</v>
      </c>
      <c r="D19" s="54" t="str">
        <f>VLOOKUP(A19,'1.Loading'!A:R,17,FALSE)</f>
        <v>HASLS22260901418</v>
      </c>
      <c r="E19" s="55" t="str">
        <f>VLOOKUP(D19,'2.Bookinglist'!A:CT,27,FALSE)</f>
        <v>RCL LOGISTICS CO., LTD.</v>
      </c>
      <c r="F19" s="55" t="str">
        <f>VLOOKUP(D19,'2.Bookinglist'!A:CT,28,FALSE)</f>
        <v>SMS CORPORATION CO., LTD.</v>
      </c>
      <c r="G19" s="56" t="str">
        <f>VLOOKUP(D19,'2.Bookinglist'!A:E,5,FALSE)</f>
        <v>THSRP</v>
      </c>
      <c r="H19" s="54" t="str">
        <f>VLOOKUP(D19,'2.Bookinglist'!A:CT,15,FALSE)</f>
        <v>THLCH</v>
      </c>
      <c r="I19" s="54" t="str">
        <f>VLOOKUP(D19,'2.Bookinglist'!A:CT,19,FALSE)</f>
        <v>CNSHA</v>
      </c>
      <c r="J19" s="54">
        <f>VLOOKUP(D19,'2.Bookinglist'!A:CT,26,FALSE)</f>
        <v>0</v>
      </c>
      <c r="K19" s="54" t="str">
        <f>VLOOKUP(A19,'1.Loading'!A:R,5,FALSE)</f>
        <v>22GP</v>
      </c>
      <c r="L19" s="56" t="str">
        <f>VLOOKUP(D19,'2.Bookinglist'!A:CT,85,FALSE)</f>
        <v>CY/CY</v>
      </c>
      <c r="M19" s="56" t="str">
        <f>IF(VLOOKUP(D19,'2.Bookinglist'!A:CT,43,FALSE)=0,"","DG")</f>
        <v/>
      </c>
      <c r="N19" s="56" t="str">
        <f>IF(RIGHT(K19,2)="RE","RF","")</f>
        <v/>
      </c>
      <c r="O19" s="54" t="str">
        <f>VLOOKUP(A19,'1.Loading'!A:R,3,FALSE)</f>
        <v>HMVY</v>
      </c>
      <c r="P19" s="54" t="str">
        <f>VLOOKUP(A19,'1.Loading'!A:R,4,FALSE)</f>
        <v>2609N</v>
      </c>
      <c r="Q19" s="54" t="str">
        <f>VLOOKUP(D19,'2.Bookinglist'!A:CT,12,FALSE)</f>
        <v>PCI2</v>
      </c>
      <c r="R19" s="56" t="str">
        <f>IF(LEFT(K19,2)="22","20'","40'")</f>
        <v>20'</v>
      </c>
      <c r="S19" s="38"/>
      <c r="T19" s="54" t="str">
        <f>VLOOKUP(A19,'1.Loading'!A:R,2,FALSE)</f>
        <v>2026-10-28</v>
      </c>
      <c r="U19" s="57">
        <f>T19-S19</f>
        <v>46323</v>
      </c>
      <c r="V19" s="58"/>
      <c r="W19" s="54" t="str">
        <f>VLOOKUP(A19,'3.GateMove'!A:D,4,FALSE)</f>
        <v>2026-10-13</v>
      </c>
      <c r="X19" s="57">
        <f>((T19-W19)+1)</f>
        <v>16</v>
      </c>
      <c r="Y19" s="59">
        <f>IF(AND(OR(C19="BKK01",C19="BKK04"),L19="CFS/CY"),0,IF(M19="DG",1,IF(LEFT(C19,3)="LCH",7,IF(C19="BKK02",5,3))))</f>
        <v>7</v>
      </c>
      <c r="Z19" s="57">
        <f>IF(IF(AND(AC19="TML",AB19&gt;0),((T19-W19)+1)-AB19,((T19-W19)+1)-Y19)&gt;0,IF(AND(AC19="TML",AB19&gt;0),((T19-W19)+1)-AB19,((T19-W19)+1)-Y19),0)</f>
        <v>9</v>
      </c>
      <c r="AA19" s="48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1375</v>
      </c>
      <c r="AB19" s="53"/>
      <c r="AC19" s="53"/>
      <c r="AD19" s="56">
        <f>IF(M19="DG",3,IF(N19="RF",3,5))+IF(AND(LEFT(C19,3)="BKK",N19="RF",Q19="KTS"),1,0)+IF(Q19="KHS",1,0)</f>
        <v>5</v>
      </c>
      <c r="AE19" s="57">
        <f>(T19-V19)+1</f>
        <v>46324</v>
      </c>
      <c r="AF19" s="57">
        <f>IF(AB19&gt;IF((V19-W19)&gt;0,V19-W19,0),0,IF(AB19&lt;IF((V19-W19)&gt;0,V19-W19,0),IF((V19-W19)&gt;0,V19-W19,0)-AB19,IF((V19-W19)&gt;0,V19-W19,0)))</f>
        <v>0</v>
      </c>
      <c r="AG19" s="48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0"/>
      <c r="AI19" s="60">
        <f>AA19-AH19</f>
        <v>1375</v>
      </c>
      <c r="AJ19" s="61"/>
      <c r="AK19" s="55" t="str">
        <f>VLOOKUP(D19,'2.Bookinglist'!A:CT,40,FALSE)</f>
        <v>Pattarapong Saengthong</v>
      </c>
      <c r="AL19" s="56" t="str">
        <f>VLOOKUP(D19,'2.Bookinglist'!A:CW,101,FALSE)</f>
        <v>2026-10-24</v>
      </c>
      <c r="AM19" s="56" t="str">
        <f>VLOOKUP(D19,'2.Bookinglist'!A:BK,63,FALSE)</f>
        <v>BKK25</v>
      </c>
      <c r="AN19" s="55" t="str">
        <f>VLOOKUP(D19,'2.Bookinglist'!A:AZ,52,FALSE)</f>
        <v>Pickup : 2026-10-02, Return @SRP : 2026-10-06 (PAPERLESS CODE : 2829)
CLS TIME @SRP : 06/10/2026 @23.59 </v>
      </c>
      <c r="AO19" s="55" t="str">
        <f>VLOOKUP(D19,'2.Bookinglist'!A:CY,103,FALSE)</f>
        <v>ROLL OVER FROM PREVIOUS VSL SWRG 2609N BY ALLOCATION TEAM MS.TAN APPROVED COST IS UNDER HA DD.13/10</v>
      </c>
    </row>
    <row r="20" ht="12.95" customHeight="1" spans="1:41" x14ac:dyDescent="0.25">
      <c r="A20" s="3" t="s">
        <v>478</v>
      </c>
      <c r="B20" s="53" t="str">
        <f>IF(C20=Charge!$M$1,Charge!$J$1,IF(C20=Charge!$M$23,Charge!$J$23,IF(C20=Charge!$M$17,Charge!$J$17,IF(C20=Charge!$N$17,Charge!$J$17,Charge!$J$7))))</f>
        <v>G2</v>
      </c>
      <c r="C20" s="54" t="str">
        <f>VLOOKUP(A20,'1.Loading'!A:R,14,FALSE)</f>
        <v>LCH06</v>
      </c>
      <c r="D20" s="54" t="str">
        <f>VLOOKUP(A20,'1.Loading'!A:R,17,FALSE)</f>
        <v>HASLS22261000756</v>
      </c>
      <c r="E20" s="55" t="str">
        <f>VLOOKUP(D20,'2.Bookinglist'!A:CT,27,FALSE)</f>
        <v>TOP INTER FREIGHT CO., LTD.</v>
      </c>
      <c r="F20" s="55" t="str">
        <f>VLOOKUP(D20,'2.Bookinglist'!A:CT,28,FALSE)</f>
        <v>TOP PREMIUM STARCH CO., LTD.</v>
      </c>
      <c r="G20" s="56" t="str">
        <f>VLOOKUP(D20,'2.Bookinglist'!A:E,5,FALSE)</f>
        <v>THLKR</v>
      </c>
      <c r="H20" s="54" t="str">
        <f>VLOOKUP(D20,'2.Bookinglist'!A:CT,15,FALSE)</f>
        <v>THLCH</v>
      </c>
      <c r="I20" s="54" t="str">
        <f>VLOOKUP(D20,'2.Bookinglist'!A:CT,19,FALSE)</f>
        <v>CNSHA</v>
      </c>
      <c r="J20" s="54">
        <f>VLOOKUP(D20,'2.Bookinglist'!A:CT,26,FALSE)</f>
        <v>0</v>
      </c>
      <c r="K20" s="54" t="str">
        <f>VLOOKUP(A20,'1.Loading'!A:R,5,FALSE)</f>
        <v>22GP</v>
      </c>
      <c r="L20" s="56" t="str">
        <f>VLOOKUP(D20,'2.Bookinglist'!A:CT,85,FALSE)</f>
        <v>CFS/CY</v>
      </c>
      <c r="M20" s="56" t="str">
        <f>IF(VLOOKUP(D20,'2.Bookinglist'!A:CT,43,FALSE)=0,"","DG")</f>
        <v/>
      </c>
      <c r="N20" s="56" t="str">
        <f>IF(RIGHT(K20,2)="RE","RF","")</f>
        <v/>
      </c>
      <c r="O20" s="54" t="str">
        <f>VLOOKUP(A20,'1.Loading'!A:R,3,FALSE)</f>
        <v>HMVY</v>
      </c>
      <c r="P20" s="54" t="str">
        <f>VLOOKUP(A20,'1.Loading'!A:R,4,FALSE)</f>
        <v>2609N</v>
      </c>
      <c r="Q20" s="54" t="str">
        <f>VLOOKUP(D20,'2.Bookinglist'!A:CT,12,FALSE)</f>
        <v>PCI2</v>
      </c>
      <c r="R20" s="56" t="str">
        <f>IF(LEFT(K20,2)="22","20'","40'")</f>
        <v>20'</v>
      </c>
      <c r="S20" s="38"/>
      <c r="T20" s="54" t="str">
        <f>VLOOKUP(A20,'1.Loading'!A:R,2,FALSE)</f>
        <v>2026-10-28</v>
      </c>
      <c r="U20" s="57">
        <f>T20-S20</f>
        <v>46323</v>
      </c>
      <c r="V20" s="58"/>
      <c r="W20" s="54" t="str">
        <f>VLOOKUP(A20,'3.GateMove'!A:D,4,FALSE)</f>
        <v>2026-10-20</v>
      </c>
      <c r="X20" s="57">
        <f>((T20-W20)+1)</f>
        <v>9</v>
      </c>
      <c r="Y20" s="59">
        <f>IF(AND(OR(C20="BKK01",C20="BKK04"),L20="CFS/CY"),0,IF(M20="DG",1,IF(LEFT(C20,3)="LCH",7,IF(C20="BKK02",5,3))))</f>
        <v>7</v>
      </c>
      <c r="Z20" s="57">
        <f>IF(IF(AND(AC20="TML",AB20&gt;0),((T20-W20)+1)-AB20,((T20-W20)+1)-Y20)&gt;0,IF(AND(AC20="TML",AB20&gt;0),((T20-W20)+1)-AB20,((T20-W20)+1)-Y20),0)</f>
        <v>2</v>
      </c>
      <c r="AA20" s="48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250</v>
      </c>
      <c r="AB20" s="53"/>
      <c r="AC20" s="53"/>
      <c r="AD20" s="56">
        <f>IF(M20="DG",3,IF(N20="RF",3,5))+IF(AND(LEFT(C20,3)="BKK",N20="RF",Q20="KTS"),1,0)+IF(Q20="KHS",1,0)</f>
        <v>5</v>
      </c>
      <c r="AE20" s="57">
        <f>(T20-V20)+1</f>
        <v>46324</v>
      </c>
      <c r="AF20" s="57">
        <f>IF(AB20&gt;IF((V20-W20)&gt;0,V20-W20,0),0,IF(AB20&lt;IF((V20-W20)&gt;0,V20-W20,0),IF((V20-W20)&gt;0,V20-W20,0)-AB20,IF((V20-W20)&gt;0,V20-W20,0)))</f>
        <v>0</v>
      </c>
      <c r="AG20" s="48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0"/>
      <c r="AI20" s="60">
        <f>AA20-AH20</f>
        <v>250</v>
      </c>
      <c r="AJ20" s="61"/>
      <c r="AK20" s="55" t="str">
        <f>VLOOKUP(D20,'2.Bookinglist'!A:CT,40,FALSE)</f>
        <v>Arunphat W. (Aiw)</v>
      </c>
      <c r="AL20" s="56" t="str">
        <f>VLOOKUP(D20,'2.Bookinglist'!A:CW,101,FALSE)</f>
        <v>2026-10-22</v>
      </c>
      <c r="AM20" s="56" t="str">
        <f>VLOOKUP(D20,'2.Bookinglist'!A:BK,63,FALSE)</f>
        <v>LCH54</v>
      </c>
      <c r="AN20" s="55" t="str">
        <f>VLOOKUP(D20,'2.Bookinglist'!A:AZ,52,FALSE)</f>
        <v>STUFFING CARGO AT TIFFA ICD DD.16-17/10/26 [PAPERLESS CODE 2829]
CLS TIME 19/10/26 @17.00</v>
      </c>
      <c r="AO20" s="55">
        <f>VLOOKUP(D20,'2.Bookinglist'!A:CY,103,FALSE)</f>
        <v>0</v>
      </c>
    </row>
    <row r="21" ht="12.95" customHeight="1" spans="1:41" x14ac:dyDescent="0.25">
      <c r="A21" s="3" t="s">
        <v>476</v>
      </c>
      <c r="B21" s="53" t="str">
        <f>IF(C21=Charge!$M$1,Charge!$J$1,IF(C21=Charge!$M$23,Charge!$J$23,IF(C21=Charge!$M$17,Charge!$J$17,IF(C21=Charge!$N$17,Charge!$J$17,Charge!$J$7))))</f>
        <v>G2</v>
      </c>
      <c r="C21" s="54" t="str">
        <f>VLOOKUP(A21,'1.Loading'!A:R,14,FALSE)</f>
        <v>LCH06</v>
      </c>
      <c r="D21" s="54" t="str">
        <f>VLOOKUP(A21,'1.Loading'!A:R,17,FALSE)</f>
        <v>HASLS22260900170</v>
      </c>
      <c r="E21" s="55" t="str">
        <f>VLOOKUP(D21,'2.Bookinglist'!A:CT,27,FALSE)</f>
        <v>PANDA GOGO LOGISTICS CO., LTD.</v>
      </c>
      <c r="F21" s="55" t="str">
        <f>VLOOKUP(D21,'2.Bookinglist'!A:CT,28,FALSE)</f>
        <v>GC-M PTA COMPANY LIMITED</v>
      </c>
      <c r="G21" s="56">
        <f>VLOOKUP(D21,'2.Bookinglist'!A:E,5,FALSE)</f>
        <v>0</v>
      </c>
      <c r="H21" s="54" t="str">
        <f>VLOOKUP(D21,'2.Bookinglist'!A:CT,15,FALSE)</f>
        <v>THLCH</v>
      </c>
      <c r="I21" s="54" t="str">
        <f>VLOOKUP(D21,'2.Bookinglist'!A:CT,19,FALSE)</f>
        <v>JPTRG</v>
      </c>
      <c r="J21" s="54" t="str">
        <f>VLOOKUP(D21,'2.Bookinglist'!A:CT,26,FALSE)</f>
        <v>KRPUS</v>
      </c>
      <c r="K21" s="54" t="str">
        <f>VLOOKUP(A21,'1.Loading'!A:R,5,FALSE)</f>
        <v>22GP</v>
      </c>
      <c r="L21" s="56" t="str">
        <f>VLOOKUP(D21,'2.Bookinglist'!A:CT,85,FALSE)</f>
        <v>CY/CY</v>
      </c>
      <c r="M21" s="56" t="str">
        <f>IF(VLOOKUP(D21,'2.Bookinglist'!A:CT,43,FALSE)=0,"","DG")</f>
        <v/>
      </c>
      <c r="N21" s="56" t="str">
        <f>IF(RIGHT(K21,2)="RE","RF","")</f>
        <v/>
      </c>
      <c r="O21" s="54" t="str">
        <f>VLOOKUP(A21,'1.Loading'!A:R,3,FALSE)</f>
        <v>HMVY</v>
      </c>
      <c r="P21" s="54" t="str">
        <f>VLOOKUP(A21,'1.Loading'!A:R,4,FALSE)</f>
        <v>2609N</v>
      </c>
      <c r="Q21" s="54" t="str">
        <f>VLOOKUP(D21,'2.Bookinglist'!A:CT,12,FALSE)</f>
        <v>PCI2</v>
      </c>
      <c r="R21" s="56" t="str">
        <f>IF(LEFT(K21,2)="22","20'","40'")</f>
        <v>20'</v>
      </c>
      <c r="S21" s="38"/>
      <c r="T21" s="54" t="str">
        <f>VLOOKUP(A21,'1.Loading'!A:R,2,FALSE)</f>
        <v>2026-10-28</v>
      </c>
      <c r="U21" s="57">
        <f>T21-S21</f>
        <v>46323</v>
      </c>
      <c r="V21" s="58"/>
      <c r="W21" s="54" t="str">
        <f>VLOOKUP(A21,'3.GateMove'!A:D,4,FALSE)</f>
        <v>2026-10-18</v>
      </c>
      <c r="X21" s="57">
        <f>((T21-W21)+1)</f>
        <v>11</v>
      </c>
      <c r="Y21" s="59">
        <f>IF(AND(OR(C21="BKK01",C21="BKK04"),L21="CFS/CY"),0,IF(M21="DG",1,IF(LEFT(C21,3)="LCH",7,IF(C21="BKK02",5,3))))</f>
        <v>7</v>
      </c>
      <c r="Z21" s="57">
        <f>IF(IF(AND(AC21="TML",AB21&gt;0),((T21-W21)+1)-AB21,((T21-W21)+1)-Y21)&gt;0,IF(AND(AC21="TML",AB21&gt;0),((T21-W21)+1)-AB21,((T21-W21)+1)-Y21),0)</f>
        <v>4</v>
      </c>
      <c r="AA21" s="48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500</v>
      </c>
      <c r="AB21" s="53"/>
      <c r="AC21" s="53"/>
      <c r="AD21" s="56">
        <f>IF(M21="DG",3,IF(N21="RF",3,5))+IF(AND(LEFT(C21,3)="BKK",N21="RF",Q21="KTS"),1,0)+IF(Q21="KHS",1,0)</f>
        <v>5</v>
      </c>
      <c r="AE21" s="57">
        <f>(T21-V21)+1</f>
        <v>46324</v>
      </c>
      <c r="AF21" s="57">
        <f>IF(AB21&gt;IF((V21-W21)&gt;0,V21-W21,0),0,IF(AB21&lt;IF((V21-W21)&gt;0,V21-W21,0),IF((V21-W21)&gt;0,V21-W21,0)-AB21,IF((V21-W21)&gt;0,V21-W21,0)))</f>
        <v>0</v>
      </c>
      <c r="AG21" s="48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0"/>
      <c r="AI21" s="60">
        <f>AA21-AH21</f>
        <v>500</v>
      </c>
      <c r="AJ21" s="61"/>
      <c r="AK21" s="55" t="str">
        <f>VLOOKUP(D21,'2.Bookinglist'!A:CT,40,FALSE)</f>
        <v>Tarn(Supaporn)</v>
      </c>
      <c r="AL21" s="56" t="str">
        <f>VLOOKUP(D21,'2.Bookinglist'!A:CW,101,FALSE)</f>
        <v>2026-10-22</v>
      </c>
      <c r="AM21" s="56" t="str">
        <f>VLOOKUP(D21,'2.Bookinglist'!A:BK,63,FALSE)</f>
        <v>LCHY5</v>
      </c>
      <c r="AN21" s="55" t="str">
        <f>VLOOKUP(D21,'2.Bookinglist'!A:AZ,52,FALSE)</f>
        <v>[FIX]Pickup : 2026-10-14, Return : 2026-10-15 [1ST RTN 16/10/2026 W/O RENT]
** PLEASE CHECK OPEN GATE BEFORE RETURN CONTAINER ** </v>
      </c>
      <c r="AO21" s="55">
        <f>VLOOKUP(D21,'2.Bookinglist'!A:CY,103,FALSE)</f>
        <v>0</v>
      </c>
    </row>
    <row r="22" ht="12.95" customHeight="1" spans="1:41" x14ac:dyDescent="0.25">
      <c r="A22" s="3" t="s">
        <v>472</v>
      </c>
      <c r="B22" s="53" t="str">
        <f>IF(C22=Charge!$M$1,Charge!$J$1,IF(C22=Charge!$M$23,Charge!$J$23,IF(C22=Charge!$M$17,Charge!$J$17,IF(C22=Charge!$N$17,Charge!$J$17,Charge!$J$7))))</f>
        <v>G2</v>
      </c>
      <c r="C22" s="54" t="str">
        <f>VLOOKUP(A22,'1.Loading'!A:R,14,FALSE)</f>
        <v>LCH06</v>
      </c>
      <c r="D22" s="54" t="str">
        <f>VLOOKUP(A22,'1.Loading'!A:R,17,FALSE)</f>
        <v>HASLS22261000756</v>
      </c>
      <c r="E22" s="55" t="str">
        <f>VLOOKUP(D22,'2.Bookinglist'!A:CT,27,FALSE)</f>
        <v>TOP INTER FREIGHT CO., LTD.</v>
      </c>
      <c r="F22" s="55" t="str">
        <f>VLOOKUP(D22,'2.Bookinglist'!A:CT,28,FALSE)</f>
        <v>TOP PREMIUM STARCH CO., LTD.</v>
      </c>
      <c r="G22" s="56" t="str">
        <f>VLOOKUP(D22,'2.Bookinglist'!A:E,5,FALSE)</f>
        <v>THLKR</v>
      </c>
      <c r="H22" s="54" t="str">
        <f>VLOOKUP(D22,'2.Bookinglist'!A:CT,15,FALSE)</f>
        <v>THLCH</v>
      </c>
      <c r="I22" s="54" t="str">
        <f>VLOOKUP(D22,'2.Bookinglist'!A:CT,19,FALSE)</f>
        <v>CNSHA</v>
      </c>
      <c r="J22" s="54">
        <f>VLOOKUP(D22,'2.Bookinglist'!A:CT,26,FALSE)</f>
        <v>0</v>
      </c>
      <c r="K22" s="54" t="str">
        <f>VLOOKUP(A22,'1.Loading'!A:R,5,FALSE)</f>
        <v>22GP</v>
      </c>
      <c r="L22" s="56" t="str">
        <f>VLOOKUP(D22,'2.Bookinglist'!A:CT,85,FALSE)</f>
        <v>CFS/CY</v>
      </c>
      <c r="M22" s="56" t="str">
        <f>IF(VLOOKUP(D22,'2.Bookinglist'!A:CT,43,FALSE)=0,"","DG")</f>
        <v/>
      </c>
      <c r="N22" s="56" t="str">
        <f>IF(RIGHT(K22,2)="RE","RF","")</f>
        <v/>
      </c>
      <c r="O22" s="54" t="str">
        <f>VLOOKUP(A22,'1.Loading'!A:R,3,FALSE)</f>
        <v>HMVY</v>
      </c>
      <c r="P22" s="54" t="str">
        <f>VLOOKUP(A22,'1.Loading'!A:R,4,FALSE)</f>
        <v>2609N</v>
      </c>
      <c r="Q22" s="54" t="str">
        <f>VLOOKUP(D22,'2.Bookinglist'!A:CT,12,FALSE)</f>
        <v>PCI2</v>
      </c>
      <c r="R22" s="56" t="str">
        <f>IF(LEFT(K22,2)="22","20'","40'")</f>
        <v>20'</v>
      </c>
      <c r="S22" s="38"/>
      <c r="T22" s="54" t="str">
        <f>VLOOKUP(A22,'1.Loading'!A:R,2,FALSE)</f>
        <v>2026-10-28</v>
      </c>
      <c r="U22" s="57">
        <f>T22-S22</f>
        <v>46323</v>
      </c>
      <c r="V22" s="58"/>
      <c r="W22" s="54" t="str">
        <f>VLOOKUP(A22,'3.GateMove'!A:D,4,FALSE)</f>
        <v>2026-10-20</v>
      </c>
      <c r="X22" s="57">
        <f>((T22-W22)+1)</f>
        <v>9</v>
      </c>
      <c r="Y22" s="59">
        <f>IF(AND(OR(C22="BKK01",C22="BKK04"),L22="CFS/CY"),0,IF(M22="DG",1,IF(LEFT(C22,3)="LCH",7,IF(C22="BKK02",5,3))))</f>
        <v>7</v>
      </c>
      <c r="Z22" s="57">
        <f>IF(IF(AND(AC22="TML",AB22&gt;0),((T22-W22)+1)-AB22,((T22-W22)+1)-Y22)&gt;0,IF(AND(AC22="TML",AB22&gt;0),((T22-W22)+1)-AB22,((T22-W22)+1)-Y22),0)</f>
        <v>2</v>
      </c>
      <c r="AA22" s="48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250</v>
      </c>
      <c r="AB22" s="53"/>
      <c r="AC22" s="53"/>
      <c r="AD22" s="56">
        <f>IF(M22="DG",3,IF(N22="RF",3,5))+IF(AND(LEFT(C22,3)="BKK",N22="RF",Q22="KTS"),1,0)+IF(Q22="KHS",1,0)</f>
        <v>5</v>
      </c>
      <c r="AE22" s="57">
        <f>(T22-V22)+1</f>
        <v>46324</v>
      </c>
      <c r="AF22" s="57">
        <f>IF(AB22&gt;IF((V22-W22)&gt;0,V22-W22,0),0,IF(AB22&lt;IF((V22-W22)&gt;0,V22-W22,0),IF((V22-W22)&gt;0,V22-W22,0)-AB22,IF((V22-W22)&gt;0,V22-W22,0)))</f>
        <v>0</v>
      </c>
      <c r="AG22" s="48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0"/>
      <c r="AI22" s="60">
        <f>AA22-AH22</f>
        <v>250</v>
      </c>
      <c r="AJ22" s="61"/>
      <c r="AK22" s="55" t="str">
        <f>VLOOKUP(D22,'2.Bookinglist'!A:CT,40,FALSE)</f>
        <v>Arunphat W. (Aiw)</v>
      </c>
      <c r="AL22" s="56" t="str">
        <f>VLOOKUP(D22,'2.Bookinglist'!A:CW,101,FALSE)</f>
        <v>2026-10-22</v>
      </c>
      <c r="AM22" s="56" t="str">
        <f>VLOOKUP(D22,'2.Bookinglist'!A:BK,63,FALSE)</f>
        <v>LCH54</v>
      </c>
      <c r="AN22" s="55" t="str">
        <f>VLOOKUP(D22,'2.Bookinglist'!A:AZ,52,FALSE)</f>
        <v>STUFFING CARGO AT TIFFA ICD DD.16-17/10/26 [PAPERLESS CODE 2829]
CLS TIME 19/10/26 @17.00</v>
      </c>
      <c r="AO22" s="55">
        <f>VLOOKUP(D22,'2.Bookinglist'!A:CY,103,FALSE)</f>
        <v>0</v>
      </c>
    </row>
    <row r="23" ht="12.95" customHeight="1" spans="1:41" x14ac:dyDescent="0.25">
      <c r="A23" s="3" t="s">
        <v>470</v>
      </c>
      <c r="B23" s="53" t="str">
        <f>IF(C23=Charge!$M$1,Charge!$J$1,IF(C23=Charge!$M$23,Charge!$J$23,IF(C23=Charge!$M$17,Charge!$J$17,IF(C23=Charge!$N$17,Charge!$J$17,Charge!$J$7))))</f>
        <v>G2</v>
      </c>
      <c r="C23" s="54" t="str">
        <f>VLOOKUP(A23,'1.Loading'!A:R,14,FALSE)</f>
        <v>LCH06</v>
      </c>
      <c r="D23" s="54" t="str">
        <f>VLOOKUP(A23,'1.Loading'!A:R,17,FALSE)</f>
        <v>HASLS22260900170</v>
      </c>
      <c r="E23" s="55" t="str">
        <f>VLOOKUP(D23,'2.Bookinglist'!A:CT,27,FALSE)</f>
        <v>PANDA GOGO LOGISTICS CO., LTD.</v>
      </c>
      <c r="F23" s="55" t="str">
        <f>VLOOKUP(D23,'2.Bookinglist'!A:CT,28,FALSE)</f>
        <v>GC-M PTA COMPANY LIMITED</v>
      </c>
      <c r="G23" s="56">
        <f>VLOOKUP(D23,'2.Bookinglist'!A:E,5,FALSE)</f>
        <v>0</v>
      </c>
      <c r="H23" s="54" t="str">
        <f>VLOOKUP(D23,'2.Bookinglist'!A:CT,15,FALSE)</f>
        <v>THLCH</v>
      </c>
      <c r="I23" s="54" t="str">
        <f>VLOOKUP(D23,'2.Bookinglist'!A:CT,19,FALSE)</f>
        <v>JPTRG</v>
      </c>
      <c r="J23" s="54" t="str">
        <f>VLOOKUP(D23,'2.Bookinglist'!A:CT,26,FALSE)</f>
        <v>KRPUS</v>
      </c>
      <c r="K23" s="54" t="str">
        <f>VLOOKUP(A23,'1.Loading'!A:R,5,FALSE)</f>
        <v>22GP</v>
      </c>
      <c r="L23" s="56" t="str">
        <f>VLOOKUP(D23,'2.Bookinglist'!A:CT,85,FALSE)</f>
        <v>CY/CY</v>
      </c>
      <c r="M23" s="56" t="str">
        <f>IF(VLOOKUP(D23,'2.Bookinglist'!A:CT,43,FALSE)=0,"","DG")</f>
        <v/>
      </c>
      <c r="N23" s="56" t="str">
        <f>IF(RIGHT(K23,2)="RE","RF","")</f>
        <v/>
      </c>
      <c r="O23" s="54" t="str">
        <f>VLOOKUP(A23,'1.Loading'!A:R,3,FALSE)</f>
        <v>HMVY</v>
      </c>
      <c r="P23" s="54" t="str">
        <f>VLOOKUP(A23,'1.Loading'!A:R,4,FALSE)</f>
        <v>2609N</v>
      </c>
      <c r="Q23" s="54" t="str">
        <f>VLOOKUP(D23,'2.Bookinglist'!A:CT,12,FALSE)</f>
        <v>PCI2</v>
      </c>
      <c r="R23" s="56" t="str">
        <f>IF(LEFT(K23,2)="22","20'","40'")</f>
        <v>20'</v>
      </c>
      <c r="S23" s="38"/>
      <c r="T23" s="54" t="str">
        <f>VLOOKUP(A23,'1.Loading'!A:R,2,FALSE)</f>
        <v>2026-10-28</v>
      </c>
      <c r="U23" s="57">
        <f>T23-S23</f>
        <v>46323</v>
      </c>
      <c r="V23" s="58"/>
      <c r="W23" s="54" t="str">
        <f>VLOOKUP(A23,'3.GateMove'!A:D,4,FALSE)</f>
        <v>2026-10-19</v>
      </c>
      <c r="X23" s="57">
        <f>((T23-W23)+1)</f>
        <v>10</v>
      </c>
      <c r="Y23" s="59">
        <f>IF(AND(OR(C23="BKK01",C23="BKK04"),L23="CFS/CY"),0,IF(M23="DG",1,IF(LEFT(C23,3)="LCH",7,IF(C23="BKK02",5,3))))</f>
        <v>7</v>
      </c>
      <c r="Z23" s="57">
        <f>IF(IF(AND(AC23="TML",AB23&gt;0),((T23-W23)+1)-AB23,((T23-W23)+1)-Y23)&gt;0,IF(AND(AC23="TML",AB23&gt;0),((T23-W23)+1)-AB23,((T23-W23)+1)-Y23),0)</f>
        <v>3</v>
      </c>
      <c r="AA23" s="48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375</v>
      </c>
      <c r="AB23" s="53"/>
      <c r="AC23" s="53"/>
      <c r="AD23" s="56">
        <f>IF(M23="DG",3,IF(N23="RF",3,5))+IF(AND(LEFT(C23,3)="BKK",N23="RF",Q23="KTS"),1,0)+IF(Q23="KHS",1,0)</f>
        <v>5</v>
      </c>
      <c r="AE23" s="57">
        <f>(T23-V23)+1</f>
        <v>46324</v>
      </c>
      <c r="AF23" s="57">
        <f>IF(AB23&gt;IF((V23-W23)&gt;0,V23-W23,0),0,IF(AB23&lt;IF((V23-W23)&gt;0,V23-W23,0),IF((V23-W23)&gt;0,V23-W23,0)-AB23,IF((V23-W23)&gt;0,V23-W23,0)))</f>
        <v>0</v>
      </c>
      <c r="AG23" s="48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0"/>
      <c r="AI23" s="60">
        <f>AA23-AH23</f>
        <v>375</v>
      </c>
      <c r="AJ23" s="61"/>
      <c r="AK23" s="55" t="str">
        <f>VLOOKUP(D23,'2.Bookinglist'!A:CT,40,FALSE)</f>
        <v>Tarn(Supaporn)</v>
      </c>
      <c r="AL23" s="56" t="str">
        <f>VLOOKUP(D23,'2.Bookinglist'!A:CW,101,FALSE)</f>
        <v>2026-10-22</v>
      </c>
      <c r="AM23" s="56" t="str">
        <f>VLOOKUP(D23,'2.Bookinglist'!A:BK,63,FALSE)</f>
        <v>LCHY5</v>
      </c>
      <c r="AN23" s="55" t="str">
        <f>VLOOKUP(D23,'2.Bookinglist'!A:AZ,52,FALSE)</f>
        <v>[FIX]Pickup : 2026-10-14, Return : 2026-10-15 [1ST RTN 16/10/2026 W/O RENT]
** PLEASE CHECK OPEN GATE BEFORE RETURN CONTAINER ** </v>
      </c>
      <c r="AO23" s="55">
        <f>VLOOKUP(D23,'2.Bookinglist'!A:CY,103,FALSE)</f>
        <v>0</v>
      </c>
    </row>
    <row r="24" ht="12.95" customHeight="1" spans="1:41" x14ac:dyDescent="0.25">
      <c r="A24" s="3" t="s">
        <v>500</v>
      </c>
      <c r="B24" s="53" t="str">
        <f>IF(C24=Charge!$M$1,Charge!$J$1,IF(C24=Charge!$M$23,Charge!$J$23,IF(C24=Charge!$M$17,Charge!$J$17,IF(C24=Charge!$N$17,Charge!$J$17,Charge!$J$7))))</f>
        <v>G2</v>
      </c>
      <c r="C24" s="54" t="str">
        <f>VLOOKUP(A24,'1.Loading'!A:R,14,FALSE)</f>
        <v>LCH06</v>
      </c>
      <c r="D24" s="54" t="str">
        <f>VLOOKUP(A24,'1.Loading'!A:R,17,FALSE)</f>
        <v>HASLS22261000090</v>
      </c>
      <c r="E24" s="55" t="str">
        <f>VLOOKUP(D24,'2.Bookinglist'!A:CT,27,FALSE)</f>
        <v>WHA GC LOGISTICS COMPANY LIMITED</v>
      </c>
      <c r="F24" s="55" t="str">
        <f>VLOOKUP(D24,'2.Bookinglist'!A:CT,28,FALSE)</f>
        <v>PTT GLOBAL CHEMICAL PUBLIC COMPANY LIMITED</v>
      </c>
      <c r="G24" s="56">
        <f>VLOOKUP(D24,'2.Bookinglist'!A:E,5,FALSE)</f>
        <v>0</v>
      </c>
      <c r="H24" s="54" t="str">
        <f>VLOOKUP(D24,'2.Bookinglist'!A:CT,15,FALSE)</f>
        <v>THLCH</v>
      </c>
      <c r="I24" s="54" t="str">
        <f>VLOOKUP(D24,'2.Bookinglist'!A:CT,19,FALSE)</f>
        <v>JPIYM</v>
      </c>
      <c r="J24" s="54" t="str">
        <f>VLOOKUP(D24,'2.Bookinglist'!A:CT,26,FALSE)</f>
        <v>KRPUS</v>
      </c>
      <c r="K24" s="54" t="str">
        <f>VLOOKUP(A24,'1.Loading'!A:R,5,FALSE)</f>
        <v>22GP</v>
      </c>
      <c r="L24" s="56" t="str">
        <f>VLOOKUP(D24,'2.Bookinglist'!A:CT,85,FALSE)</f>
        <v>CY/CY</v>
      </c>
      <c r="M24" s="56" t="str">
        <f>IF(VLOOKUP(D24,'2.Bookinglist'!A:CT,43,FALSE)=0,"","DG")</f>
        <v/>
      </c>
      <c r="N24" s="56" t="str">
        <f>IF(RIGHT(K24,2)="RE","RF","")</f>
        <v/>
      </c>
      <c r="O24" s="54" t="str">
        <f>VLOOKUP(A24,'1.Loading'!A:R,3,FALSE)</f>
        <v>HMVY</v>
      </c>
      <c r="P24" s="54" t="str">
        <f>VLOOKUP(A24,'1.Loading'!A:R,4,FALSE)</f>
        <v>2609N</v>
      </c>
      <c r="Q24" s="54" t="str">
        <f>VLOOKUP(D24,'2.Bookinglist'!A:CT,12,FALSE)</f>
        <v>PCI2</v>
      </c>
      <c r="R24" s="56" t="str">
        <f>IF(LEFT(K24,2)="22","20'","40'")</f>
        <v>20'</v>
      </c>
      <c r="S24" s="38"/>
      <c r="T24" s="54" t="str">
        <f>VLOOKUP(A24,'1.Loading'!A:R,2,FALSE)</f>
        <v>2026-10-28</v>
      </c>
      <c r="U24" s="57">
        <f>T24-S24</f>
        <v>46323</v>
      </c>
      <c r="V24" s="58"/>
      <c r="W24" s="54" t="str">
        <f>VLOOKUP(A24,'3.GateMove'!A:D,4,FALSE)</f>
        <v>2026-10-24</v>
      </c>
      <c r="X24" s="57">
        <f>((T24-W24)+1)</f>
        <v>5</v>
      </c>
      <c r="Y24" s="59">
        <f>IF(AND(OR(C24="BKK01",C24="BKK04"),L24="CFS/CY"),0,IF(M24="DG",1,IF(LEFT(C24,3)="LCH",7,IF(C24="BKK02",5,3))))</f>
        <v>7</v>
      </c>
      <c r="Z24" s="57">
        <f>IF(IF(AND(AC24="TML",AB24&gt;0),((T24-W24)+1)-AB24,((T24-W24)+1)-Y24)&gt;0,IF(AND(AC24="TML",AB24&gt;0),((T24-W24)+1)-AB24,((T24-W24)+1)-Y24),0)</f>
        <v>0</v>
      </c>
      <c r="AA24" s="48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53"/>
      <c r="AC24" s="53"/>
      <c r="AD24" s="56">
        <f>IF(M24="DG",3,IF(N24="RF",3,5))+IF(AND(LEFT(C24,3)="BKK",N24="RF",Q24="KTS"),1,0)+IF(Q24="KHS",1,0)</f>
        <v>5</v>
      </c>
      <c r="AE24" s="57">
        <f>(T24-V24)+1</f>
        <v>46324</v>
      </c>
      <c r="AF24" s="57">
        <f>IF(AB24&gt;IF((V24-W24)&gt;0,V24-W24,0),0,IF(AB24&lt;IF((V24-W24)&gt;0,V24-W24,0),IF((V24-W24)&gt;0,V24-W24,0)-AB24,IF((V24-W24)&gt;0,V24-W24,0)))</f>
        <v>0</v>
      </c>
      <c r="AG24" s="48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0"/>
      <c r="AI24" s="60">
        <f>AA24-AH24</f>
        <v>0</v>
      </c>
      <c r="AJ24" s="61"/>
      <c r="AK24" s="55" t="str">
        <f>VLOOKUP(D24,'2.Bookinglist'!A:CT,40,FALSE)</f>
        <v>Dharaporn</v>
      </c>
      <c r="AL24" s="56" t="str">
        <f>VLOOKUP(D24,'2.Bookinglist'!A:CW,101,FALSE)</f>
        <v>2026-10-27</v>
      </c>
      <c r="AM24" s="56" t="str">
        <f>VLOOKUP(D24,'2.Bookinglist'!A:BK,63,FALSE)</f>
        <v>LCHY5</v>
      </c>
      <c r="AN24" s="55" t="str">
        <f>VLOOKUP(D24,'2.Bookinglist'!A:AZ,52,FALSE)</f>
        <v>[FIX]CY-RTN 21-22/10/26 </v>
      </c>
      <c r="AO24" s="55" t="str">
        <f>VLOOKUP(D24,'2.Bookinglist'!A:CY,103,FALSE)</f>
        <v>ROLL OVER FROM PREVIOUS VSL HAB 2612N BY ALLOCATION TEAM MS.TAN APPROVED COST IS UNDER HA DD.26/10</v>
      </c>
    </row>
    <row r="25" ht="12.95" customHeight="1" spans="1:41" x14ac:dyDescent="0.25">
      <c r="A25" s="3" t="s">
        <v>532</v>
      </c>
      <c r="B25" s="53" t="str">
        <f>IF(C25=Charge!$M$1,Charge!$J$1,IF(C25=Charge!$M$23,Charge!$J$23,IF(C25=Charge!$M$17,Charge!$J$17,IF(C25=Charge!$N$17,Charge!$J$17,Charge!$J$7))))</f>
        <v>G2</v>
      </c>
      <c r="C25" s="54" t="str">
        <f>VLOOKUP(A25,'1.Loading'!A:R,14,FALSE)</f>
        <v>LCH06</v>
      </c>
      <c r="D25" s="54" t="str">
        <f>VLOOKUP(A25,'1.Loading'!A:R,17,FALSE)</f>
        <v>HASLS22261000090</v>
      </c>
      <c r="E25" s="55" t="str">
        <f>VLOOKUP(D25,'2.Bookinglist'!A:CT,27,FALSE)</f>
        <v>WHA GC LOGISTICS COMPANY LIMITED</v>
      </c>
      <c r="F25" s="55" t="str">
        <f>VLOOKUP(D25,'2.Bookinglist'!A:CT,28,FALSE)</f>
        <v>PTT GLOBAL CHEMICAL PUBLIC COMPANY LIMITED</v>
      </c>
      <c r="G25" s="56">
        <f>VLOOKUP(D25,'2.Bookinglist'!A:E,5,FALSE)</f>
        <v>0</v>
      </c>
      <c r="H25" s="54" t="str">
        <f>VLOOKUP(D25,'2.Bookinglist'!A:CT,15,FALSE)</f>
        <v>THLCH</v>
      </c>
      <c r="I25" s="54" t="str">
        <f>VLOOKUP(D25,'2.Bookinglist'!A:CT,19,FALSE)</f>
        <v>JPIYM</v>
      </c>
      <c r="J25" s="54" t="str">
        <f>VLOOKUP(D25,'2.Bookinglist'!A:CT,26,FALSE)</f>
        <v>KRPUS</v>
      </c>
      <c r="K25" s="54" t="str">
        <f>VLOOKUP(A25,'1.Loading'!A:R,5,FALSE)</f>
        <v>22GP</v>
      </c>
      <c r="L25" s="56" t="str">
        <f>VLOOKUP(D25,'2.Bookinglist'!A:CT,85,FALSE)</f>
        <v>CY/CY</v>
      </c>
      <c r="M25" s="56" t="str">
        <f>IF(VLOOKUP(D25,'2.Bookinglist'!A:CT,43,FALSE)=0,"","DG")</f>
        <v/>
      </c>
      <c r="N25" s="56" t="str">
        <f>IF(RIGHT(K25,2)="RE","RF","")</f>
        <v/>
      </c>
      <c r="O25" s="54" t="str">
        <f>VLOOKUP(A25,'1.Loading'!A:R,3,FALSE)</f>
        <v>HMVY</v>
      </c>
      <c r="P25" s="54" t="str">
        <f>VLOOKUP(A25,'1.Loading'!A:R,4,FALSE)</f>
        <v>2609N</v>
      </c>
      <c r="Q25" s="54" t="str">
        <f>VLOOKUP(D25,'2.Bookinglist'!A:CT,12,FALSE)</f>
        <v>PCI2</v>
      </c>
      <c r="R25" s="56" t="str">
        <f>IF(LEFT(K25,2)="22","20'","40'")</f>
        <v>20'</v>
      </c>
      <c r="S25" s="38"/>
      <c r="T25" s="54" t="str">
        <f>VLOOKUP(A25,'1.Loading'!A:R,2,FALSE)</f>
        <v>2026-10-28</v>
      </c>
      <c r="U25" s="57">
        <f>T25-S25</f>
        <v>46323</v>
      </c>
      <c r="V25" s="58"/>
      <c r="W25" s="54" t="str">
        <f>VLOOKUP(A25,'3.GateMove'!A:D,4,FALSE)</f>
        <v>2026-10-24</v>
      </c>
      <c r="X25" s="57">
        <f>((T25-W25)+1)</f>
        <v>5</v>
      </c>
      <c r="Y25" s="59">
        <f>IF(AND(OR(C25="BKK01",C25="BKK04"),L25="CFS/CY"),0,IF(M25="DG",1,IF(LEFT(C25,3)="LCH",7,IF(C25="BKK02",5,3))))</f>
        <v>7</v>
      </c>
      <c r="Z25" s="57">
        <f>IF(IF(AND(AC25="TML",AB25&gt;0),((T25-W25)+1)-AB25,((T25-W25)+1)-Y25)&gt;0,IF(AND(AC25="TML",AB25&gt;0),((T25-W25)+1)-AB25,((T25-W25)+1)-Y25),0)</f>
        <v>0</v>
      </c>
      <c r="AA25" s="48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53"/>
      <c r="AC25" s="53"/>
      <c r="AD25" s="56">
        <f>IF(M25="DG",3,IF(N25="RF",3,5))+IF(AND(LEFT(C25,3)="BKK",N25="RF",Q25="KTS"),1,0)+IF(Q25="KHS",1,0)</f>
        <v>5</v>
      </c>
      <c r="AE25" s="57">
        <f>(T25-V25)+1</f>
        <v>46324</v>
      </c>
      <c r="AF25" s="57">
        <f>IF(AB25&gt;IF((V25-W25)&gt;0,V25-W25,0),0,IF(AB25&lt;IF((V25-W25)&gt;0,V25-W25,0),IF((V25-W25)&gt;0,V25-W25,0)-AB25,IF((V25-W25)&gt;0,V25-W25,0)))</f>
        <v>0</v>
      </c>
      <c r="AG25" s="48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0"/>
      <c r="AI25" s="60">
        <f>AA25-AH25</f>
        <v>0</v>
      </c>
      <c r="AJ25" s="61"/>
      <c r="AK25" s="55" t="str">
        <f>VLOOKUP(D25,'2.Bookinglist'!A:CT,40,FALSE)</f>
        <v>Dharaporn</v>
      </c>
      <c r="AL25" s="56" t="str">
        <f>VLOOKUP(D25,'2.Bookinglist'!A:CW,101,FALSE)</f>
        <v>2026-10-27</v>
      </c>
      <c r="AM25" s="56" t="str">
        <f>VLOOKUP(D25,'2.Bookinglist'!A:BK,63,FALSE)</f>
        <v>LCHY5</v>
      </c>
      <c r="AN25" s="55" t="str">
        <f>VLOOKUP(D25,'2.Bookinglist'!A:AZ,52,FALSE)</f>
        <v>[FIX]CY-RTN 21-22/10/26 </v>
      </c>
      <c r="AO25" s="55" t="str">
        <f>VLOOKUP(D25,'2.Bookinglist'!A:CY,103,FALSE)</f>
        <v>ROLL OVER FROM PREVIOUS VSL HAB 2612N BY ALLOCATION TEAM MS.TAN APPROVED COST IS UNDER HA DD.26/10</v>
      </c>
    </row>
    <row r="26" ht="12.95" customHeight="1" spans="1:41" x14ac:dyDescent="0.25">
      <c r="A26" s="3" t="s">
        <v>482</v>
      </c>
      <c r="B26" s="53" t="str">
        <f>IF(C26=Charge!$M$1,Charge!$J$1,IF(C26=Charge!$M$23,Charge!$J$23,IF(C26=Charge!$M$17,Charge!$J$17,IF(C26=Charge!$N$17,Charge!$J$17,Charge!$J$7))))</f>
        <v>G2</v>
      </c>
      <c r="C26" s="54" t="str">
        <f>VLOOKUP(A26,'1.Loading'!A:R,14,FALSE)</f>
        <v>LCH06</v>
      </c>
      <c r="D26" s="54" t="str">
        <f>VLOOKUP(A26,'1.Loading'!A:R,17,FALSE)</f>
        <v>HASLS22260901418</v>
      </c>
      <c r="E26" s="55" t="str">
        <f>VLOOKUP(D26,'2.Bookinglist'!A:CT,27,FALSE)</f>
        <v>RCL LOGISTICS CO., LTD.</v>
      </c>
      <c r="F26" s="55" t="str">
        <f>VLOOKUP(D26,'2.Bookinglist'!A:CT,28,FALSE)</f>
        <v>SMS CORPORATION CO., LTD.</v>
      </c>
      <c r="G26" s="56" t="str">
        <f>VLOOKUP(D26,'2.Bookinglist'!A:E,5,FALSE)</f>
        <v>THSRP</v>
      </c>
      <c r="H26" s="54" t="str">
        <f>VLOOKUP(D26,'2.Bookinglist'!A:CT,15,FALSE)</f>
        <v>THLCH</v>
      </c>
      <c r="I26" s="54" t="str">
        <f>VLOOKUP(D26,'2.Bookinglist'!A:CT,19,FALSE)</f>
        <v>CNSHA</v>
      </c>
      <c r="J26" s="54">
        <f>VLOOKUP(D26,'2.Bookinglist'!A:CT,26,FALSE)</f>
        <v>0</v>
      </c>
      <c r="K26" s="54" t="str">
        <f>VLOOKUP(A26,'1.Loading'!A:R,5,FALSE)</f>
        <v>22GP</v>
      </c>
      <c r="L26" s="56" t="str">
        <f>VLOOKUP(D26,'2.Bookinglist'!A:CT,85,FALSE)</f>
        <v>CY/CY</v>
      </c>
      <c r="M26" s="56" t="str">
        <f>IF(VLOOKUP(D26,'2.Bookinglist'!A:CT,43,FALSE)=0,"","DG")</f>
        <v/>
      </c>
      <c r="N26" s="56" t="str">
        <f>IF(RIGHT(K26,2)="RE","RF","")</f>
        <v/>
      </c>
      <c r="O26" s="54" t="str">
        <f>VLOOKUP(A26,'1.Loading'!A:R,3,FALSE)</f>
        <v>HMVY</v>
      </c>
      <c r="P26" s="54" t="str">
        <f>VLOOKUP(A26,'1.Loading'!A:R,4,FALSE)</f>
        <v>2609N</v>
      </c>
      <c r="Q26" s="54" t="str">
        <f>VLOOKUP(D26,'2.Bookinglist'!A:CT,12,FALSE)</f>
        <v>PCI2</v>
      </c>
      <c r="R26" s="56" t="str">
        <f>IF(LEFT(K26,2)="22","20'","40'")</f>
        <v>20'</v>
      </c>
      <c r="S26" s="38"/>
      <c r="T26" s="54" t="str">
        <f>VLOOKUP(A26,'1.Loading'!A:R,2,FALSE)</f>
        <v>2026-10-28</v>
      </c>
      <c r="U26" s="57">
        <f>T26-S26</f>
        <v>46323</v>
      </c>
      <c r="V26" s="58"/>
      <c r="W26" s="54" t="str">
        <f>VLOOKUP(A26,'3.GateMove'!A:D,4,FALSE)</f>
        <v>2026-10-13</v>
      </c>
      <c r="X26" s="57">
        <f>((T26-W26)+1)</f>
        <v>16</v>
      </c>
      <c r="Y26" s="59">
        <f>IF(AND(OR(C26="BKK01",C26="BKK04"),L26="CFS/CY"),0,IF(M26="DG",1,IF(LEFT(C26,3)="LCH",7,IF(C26="BKK02",5,3))))</f>
        <v>7</v>
      </c>
      <c r="Z26" s="57">
        <f>IF(IF(AND(AC26="TML",AB26&gt;0),((T26-W26)+1)-AB26,((T26-W26)+1)-Y26)&gt;0,IF(AND(AC26="TML",AB26&gt;0),((T26-W26)+1)-AB26,((T26-W26)+1)-Y26),0)</f>
        <v>9</v>
      </c>
      <c r="AA26" s="48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1375</v>
      </c>
      <c r="AB26" s="53"/>
      <c r="AC26" s="53"/>
      <c r="AD26" s="56">
        <f>IF(M26="DG",3,IF(N26="RF",3,5))+IF(AND(LEFT(C26,3)="BKK",N26="RF",Q26="KTS"),1,0)+IF(Q26="KHS",1,0)</f>
        <v>5</v>
      </c>
      <c r="AE26" s="57">
        <f>(T26-V26)+1</f>
        <v>46324</v>
      </c>
      <c r="AF26" s="57">
        <f>IF(AB26&gt;IF((V26-W26)&gt;0,V26-W26,0),0,IF(AB26&lt;IF((V26-W26)&gt;0,V26-W26,0),IF((V26-W26)&gt;0,V26-W26,0)-AB26,IF((V26-W26)&gt;0,V26-W26,0)))</f>
        <v>0</v>
      </c>
      <c r="AG26" s="48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0"/>
      <c r="AI26" s="60">
        <f>AA26-AH26</f>
        <v>1375</v>
      </c>
      <c r="AJ26" s="61"/>
      <c r="AK26" s="55" t="str">
        <f>VLOOKUP(D26,'2.Bookinglist'!A:CT,40,FALSE)</f>
        <v>Pattarapong Saengthong</v>
      </c>
      <c r="AL26" s="56" t="str">
        <f>VLOOKUP(D26,'2.Bookinglist'!A:CW,101,FALSE)</f>
        <v>2026-10-24</v>
      </c>
      <c r="AM26" s="56" t="str">
        <f>VLOOKUP(D26,'2.Bookinglist'!A:BK,63,FALSE)</f>
        <v>BKK25</v>
      </c>
      <c r="AN26" s="55" t="str">
        <f>VLOOKUP(D26,'2.Bookinglist'!A:AZ,52,FALSE)</f>
        <v>Pickup : 2026-10-02, Return @SRP : 2026-10-06 (PAPERLESS CODE : 2829)
CLS TIME @SRP : 06/10/2026 @23.59 </v>
      </c>
      <c r="AO26" s="55" t="str">
        <f>VLOOKUP(D26,'2.Bookinglist'!A:CY,103,FALSE)</f>
        <v>ROLL OVER FROM PREVIOUS VSL SWRG 2609N BY ALLOCATION TEAM MS.TAN APPROVED COST IS UNDER HA DD.13/10</v>
      </c>
    </row>
    <row r="27" ht="12.95" customHeight="1" spans="1:41" x14ac:dyDescent="0.25">
      <c r="A27" s="3" t="s">
        <v>484</v>
      </c>
      <c r="B27" s="53" t="str">
        <f>IF(C27=Charge!$M$1,Charge!$J$1,IF(C27=Charge!$M$23,Charge!$J$23,IF(C27=Charge!$M$17,Charge!$J$17,IF(C27=Charge!$N$17,Charge!$J$17,Charge!$J$7))))</f>
        <v>G2</v>
      </c>
      <c r="C27" s="54" t="str">
        <f>VLOOKUP(A27,'1.Loading'!A:R,14,FALSE)</f>
        <v>LCH06</v>
      </c>
      <c r="D27" s="54" t="str">
        <f>VLOOKUP(A27,'1.Loading'!A:R,17,FALSE)</f>
        <v>HASLS22261000756</v>
      </c>
      <c r="E27" s="55" t="str">
        <f>VLOOKUP(D27,'2.Bookinglist'!A:CT,27,FALSE)</f>
        <v>TOP INTER FREIGHT CO., LTD.</v>
      </c>
      <c r="F27" s="55" t="str">
        <f>VLOOKUP(D27,'2.Bookinglist'!A:CT,28,FALSE)</f>
        <v>TOP PREMIUM STARCH CO., LTD.</v>
      </c>
      <c r="G27" s="56" t="str">
        <f>VLOOKUP(D27,'2.Bookinglist'!A:E,5,FALSE)</f>
        <v>THLKR</v>
      </c>
      <c r="H27" s="54" t="str">
        <f>VLOOKUP(D27,'2.Bookinglist'!A:CT,15,FALSE)</f>
        <v>THLCH</v>
      </c>
      <c r="I27" s="54" t="str">
        <f>VLOOKUP(D27,'2.Bookinglist'!A:CT,19,FALSE)</f>
        <v>CNSHA</v>
      </c>
      <c r="J27" s="54">
        <f>VLOOKUP(D27,'2.Bookinglist'!A:CT,26,FALSE)</f>
        <v>0</v>
      </c>
      <c r="K27" s="54" t="str">
        <f>VLOOKUP(A27,'1.Loading'!A:R,5,FALSE)</f>
        <v>22GP</v>
      </c>
      <c r="L27" s="56" t="str">
        <f>VLOOKUP(D27,'2.Bookinglist'!A:CT,85,FALSE)</f>
        <v>CFS/CY</v>
      </c>
      <c r="M27" s="56" t="str">
        <f>IF(VLOOKUP(D27,'2.Bookinglist'!A:CT,43,FALSE)=0,"","DG")</f>
        <v/>
      </c>
      <c r="N27" s="56" t="str">
        <f>IF(RIGHT(K27,2)="RE","RF","")</f>
        <v/>
      </c>
      <c r="O27" s="54" t="str">
        <f>VLOOKUP(A27,'1.Loading'!A:R,3,FALSE)</f>
        <v>HMVY</v>
      </c>
      <c r="P27" s="54" t="str">
        <f>VLOOKUP(A27,'1.Loading'!A:R,4,FALSE)</f>
        <v>2609N</v>
      </c>
      <c r="Q27" s="54" t="str">
        <f>VLOOKUP(D27,'2.Bookinglist'!A:CT,12,FALSE)</f>
        <v>PCI2</v>
      </c>
      <c r="R27" s="56" t="str">
        <f>IF(LEFT(K27,2)="22","20'","40'")</f>
        <v>20'</v>
      </c>
      <c r="S27" s="38"/>
      <c r="T27" s="54" t="str">
        <f>VLOOKUP(A27,'1.Loading'!A:R,2,FALSE)</f>
        <v>2026-10-28</v>
      </c>
      <c r="U27" s="57">
        <f>T27-S27</f>
        <v>46323</v>
      </c>
      <c r="V27" s="58"/>
      <c r="W27" s="54" t="str">
        <f>VLOOKUP(A27,'3.GateMove'!A:D,4,FALSE)</f>
        <v>2026-10-20</v>
      </c>
      <c r="X27" s="57">
        <f>((T27-W27)+1)</f>
        <v>9</v>
      </c>
      <c r="Y27" s="59">
        <f>IF(AND(OR(C27="BKK01",C27="BKK04"),L27="CFS/CY"),0,IF(M27="DG",1,IF(LEFT(C27,3)="LCH",7,IF(C27="BKK02",5,3))))</f>
        <v>7</v>
      </c>
      <c r="Z27" s="57">
        <f>IF(IF(AND(AC27="TML",AB27&gt;0),((T27-W27)+1)-AB27,((T27-W27)+1)-Y27)&gt;0,IF(AND(AC27="TML",AB27&gt;0),((T27-W27)+1)-AB27,((T27-W27)+1)-Y27),0)</f>
        <v>2</v>
      </c>
      <c r="AA27" s="48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250</v>
      </c>
      <c r="AB27" s="53"/>
      <c r="AC27" s="53"/>
      <c r="AD27" s="56">
        <f>IF(M27="DG",3,IF(N27="RF",3,5))+IF(AND(LEFT(C27,3)="BKK",N27="RF",Q27="KTS"),1,0)+IF(Q27="KHS",1,0)</f>
        <v>5</v>
      </c>
      <c r="AE27" s="57">
        <f>(T27-V27)+1</f>
        <v>46324</v>
      </c>
      <c r="AF27" s="57">
        <f>IF(AB27&gt;IF((V27-W27)&gt;0,V27-W27,0),0,IF(AB27&lt;IF((V27-W27)&gt;0,V27-W27,0),IF((V27-W27)&gt;0,V27-W27,0)-AB27,IF((V27-W27)&gt;0,V27-W27,0)))</f>
        <v>0</v>
      </c>
      <c r="AG27" s="48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0"/>
      <c r="AI27" s="60">
        <f>AA27-AH27</f>
        <v>250</v>
      </c>
      <c r="AJ27" s="61"/>
      <c r="AK27" s="55" t="str">
        <f>VLOOKUP(D27,'2.Bookinglist'!A:CT,40,FALSE)</f>
        <v>Arunphat W. (Aiw)</v>
      </c>
      <c r="AL27" s="56" t="str">
        <f>VLOOKUP(D27,'2.Bookinglist'!A:CW,101,FALSE)</f>
        <v>2026-10-22</v>
      </c>
      <c r="AM27" s="56" t="str">
        <f>VLOOKUP(D27,'2.Bookinglist'!A:BK,63,FALSE)</f>
        <v>LCH54</v>
      </c>
      <c r="AN27" s="55" t="str">
        <f>VLOOKUP(D27,'2.Bookinglist'!A:AZ,52,FALSE)</f>
        <v>STUFFING CARGO AT TIFFA ICD DD.16-17/10/26 [PAPERLESS CODE 2829]
CLS TIME 19/10/26 @17.00</v>
      </c>
      <c r="AO27" s="55">
        <f>VLOOKUP(D27,'2.Bookinglist'!A:CY,103,FALSE)</f>
        <v>0</v>
      </c>
    </row>
    <row r="28" ht="12.95" customHeight="1" spans="1:41" x14ac:dyDescent="0.25">
      <c r="A28" s="3" t="s">
        <v>494</v>
      </c>
      <c r="B28" s="53" t="str">
        <f>IF(C28=Charge!$M$1,Charge!$J$1,IF(C28=Charge!$M$23,Charge!$J$23,IF(C28=Charge!$M$17,Charge!$J$17,IF(C28=Charge!$N$17,Charge!$J$17,Charge!$J$7))))</f>
        <v>G2</v>
      </c>
      <c r="C28" s="54" t="str">
        <f>VLOOKUP(A28,'1.Loading'!A:R,14,FALSE)</f>
        <v>LCH06</v>
      </c>
      <c r="D28" s="54" t="str">
        <f>VLOOKUP(A28,'1.Loading'!A:R,17,FALSE)</f>
        <v>HASLS22261000756</v>
      </c>
      <c r="E28" s="55" t="str">
        <f>VLOOKUP(D28,'2.Bookinglist'!A:CT,27,FALSE)</f>
        <v>TOP INTER FREIGHT CO., LTD.</v>
      </c>
      <c r="F28" s="55" t="str">
        <f>VLOOKUP(D28,'2.Bookinglist'!A:CT,28,FALSE)</f>
        <v>TOP PREMIUM STARCH CO., LTD.</v>
      </c>
      <c r="G28" s="56" t="str">
        <f>VLOOKUP(D28,'2.Bookinglist'!A:E,5,FALSE)</f>
        <v>THLKR</v>
      </c>
      <c r="H28" s="54" t="str">
        <f>VLOOKUP(D28,'2.Bookinglist'!A:CT,15,FALSE)</f>
        <v>THLCH</v>
      </c>
      <c r="I28" s="54" t="str">
        <f>VLOOKUP(D28,'2.Bookinglist'!A:CT,19,FALSE)</f>
        <v>CNSHA</v>
      </c>
      <c r="J28" s="54">
        <f>VLOOKUP(D28,'2.Bookinglist'!A:CT,26,FALSE)</f>
        <v>0</v>
      </c>
      <c r="K28" s="54" t="str">
        <f>VLOOKUP(A28,'1.Loading'!A:R,5,FALSE)</f>
        <v>22GP</v>
      </c>
      <c r="L28" s="56" t="str">
        <f>VLOOKUP(D28,'2.Bookinglist'!A:CT,85,FALSE)</f>
        <v>CFS/CY</v>
      </c>
      <c r="M28" s="56" t="str">
        <f>IF(VLOOKUP(D28,'2.Bookinglist'!A:CT,43,FALSE)=0,"","DG")</f>
        <v/>
      </c>
      <c r="N28" s="56" t="str">
        <f>IF(RIGHT(K28,2)="RE","RF","")</f>
        <v/>
      </c>
      <c r="O28" s="54" t="str">
        <f>VLOOKUP(A28,'1.Loading'!A:R,3,FALSE)</f>
        <v>HMVY</v>
      </c>
      <c r="P28" s="54" t="str">
        <f>VLOOKUP(A28,'1.Loading'!A:R,4,FALSE)</f>
        <v>2609N</v>
      </c>
      <c r="Q28" s="54" t="str">
        <f>VLOOKUP(D28,'2.Bookinglist'!A:CT,12,FALSE)</f>
        <v>PCI2</v>
      </c>
      <c r="R28" s="56" t="str">
        <f>IF(LEFT(K28,2)="22","20'","40'")</f>
        <v>20'</v>
      </c>
      <c r="S28" s="38"/>
      <c r="T28" s="54" t="str">
        <f>VLOOKUP(A28,'1.Loading'!A:R,2,FALSE)</f>
        <v>2026-10-28</v>
      </c>
      <c r="U28" s="57">
        <f>T28-S28</f>
        <v>46323</v>
      </c>
      <c r="V28" s="58"/>
      <c r="W28" s="54" t="str">
        <f>VLOOKUP(A28,'3.GateMove'!A:D,4,FALSE)</f>
        <v>2026-10-20</v>
      </c>
      <c r="X28" s="57">
        <f>((T28-W28)+1)</f>
        <v>9</v>
      </c>
      <c r="Y28" s="59">
        <f>IF(AND(OR(C28="BKK01",C28="BKK04"),L28="CFS/CY"),0,IF(M28="DG",1,IF(LEFT(C28,3)="LCH",7,IF(C28="BKK02",5,3))))</f>
        <v>7</v>
      </c>
      <c r="Z28" s="57">
        <f>IF(IF(AND(AC28="TML",AB28&gt;0),((T28-W28)+1)-AB28,((T28-W28)+1)-Y28)&gt;0,IF(AND(AC28="TML",AB28&gt;0),((T28-W28)+1)-AB28,((T28-W28)+1)-Y28),0)</f>
        <v>2</v>
      </c>
      <c r="AA28" s="48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250</v>
      </c>
      <c r="AB28" s="53"/>
      <c r="AC28" s="53"/>
      <c r="AD28" s="56">
        <f>IF(M28="DG",3,IF(N28="RF",3,5))+IF(AND(LEFT(C28,3)="BKK",N28="RF",Q28="KTS"),1,0)+IF(Q28="KHS",1,0)</f>
        <v>5</v>
      </c>
      <c r="AE28" s="57">
        <f>(T28-V28)+1</f>
        <v>46324</v>
      </c>
      <c r="AF28" s="57">
        <f>IF(AB28&gt;IF((V28-W28)&gt;0,V28-W28,0),0,IF(AB28&lt;IF((V28-W28)&gt;0,V28-W28,0),IF((V28-W28)&gt;0,V28-W28,0)-AB28,IF((V28-W28)&gt;0,V28-W28,0)))</f>
        <v>0</v>
      </c>
      <c r="AG28" s="48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0"/>
      <c r="AI28" s="60">
        <f>AA28-AH28</f>
        <v>250</v>
      </c>
      <c r="AJ28" s="61"/>
      <c r="AK28" s="55" t="str">
        <f>VLOOKUP(D28,'2.Bookinglist'!A:CT,40,FALSE)</f>
        <v>Arunphat W. (Aiw)</v>
      </c>
      <c r="AL28" s="56" t="str">
        <f>VLOOKUP(D28,'2.Bookinglist'!A:CW,101,FALSE)</f>
        <v>2026-10-22</v>
      </c>
      <c r="AM28" s="56" t="str">
        <f>VLOOKUP(D28,'2.Bookinglist'!A:BK,63,FALSE)</f>
        <v>LCH54</v>
      </c>
      <c r="AN28" s="55" t="str">
        <f>VLOOKUP(D28,'2.Bookinglist'!A:AZ,52,FALSE)</f>
        <v>STUFFING CARGO AT TIFFA ICD DD.16-17/10/26 [PAPERLESS CODE 2829]
CLS TIME 19/10/26 @17.00</v>
      </c>
      <c r="AO28" s="55">
        <f>VLOOKUP(D28,'2.Bookinglist'!A:CY,103,FALSE)</f>
        <v>0</v>
      </c>
    </row>
    <row r="29" ht="12.95" customHeight="1" spans="1:41" x14ac:dyDescent="0.25">
      <c r="A29" s="3" t="s">
        <v>496</v>
      </c>
      <c r="B29" s="53" t="str">
        <f>IF(C29=Charge!$M$1,Charge!$J$1,IF(C29=Charge!$M$23,Charge!$J$23,IF(C29=Charge!$M$17,Charge!$J$17,IF(C29=Charge!$N$17,Charge!$J$17,Charge!$J$7))))</f>
        <v>G2</v>
      </c>
      <c r="C29" s="54" t="str">
        <f>VLOOKUP(A29,'1.Loading'!A:R,14,FALSE)</f>
        <v>LCH06</v>
      </c>
      <c r="D29" s="54" t="str">
        <f>VLOOKUP(A29,'1.Loading'!A:R,17,FALSE)</f>
        <v>HASLS22261000756</v>
      </c>
      <c r="E29" s="55" t="str">
        <f>VLOOKUP(D29,'2.Bookinglist'!A:CT,27,FALSE)</f>
        <v>TOP INTER FREIGHT CO., LTD.</v>
      </c>
      <c r="F29" s="55" t="str">
        <f>VLOOKUP(D29,'2.Bookinglist'!A:CT,28,FALSE)</f>
        <v>TOP PREMIUM STARCH CO., LTD.</v>
      </c>
      <c r="G29" s="56" t="str">
        <f>VLOOKUP(D29,'2.Bookinglist'!A:E,5,FALSE)</f>
        <v>THLKR</v>
      </c>
      <c r="H29" s="54" t="str">
        <f>VLOOKUP(D29,'2.Bookinglist'!A:CT,15,FALSE)</f>
        <v>THLCH</v>
      </c>
      <c r="I29" s="54" t="str">
        <f>VLOOKUP(D29,'2.Bookinglist'!A:CT,19,FALSE)</f>
        <v>CNSHA</v>
      </c>
      <c r="J29" s="54">
        <f>VLOOKUP(D29,'2.Bookinglist'!A:CT,26,FALSE)</f>
        <v>0</v>
      </c>
      <c r="K29" s="54" t="str">
        <f>VLOOKUP(A29,'1.Loading'!A:R,5,FALSE)</f>
        <v>22GP</v>
      </c>
      <c r="L29" s="56" t="str">
        <f>VLOOKUP(D29,'2.Bookinglist'!A:CT,85,FALSE)</f>
        <v>CFS/CY</v>
      </c>
      <c r="M29" s="56" t="str">
        <f>IF(VLOOKUP(D29,'2.Bookinglist'!A:CT,43,FALSE)=0,"","DG")</f>
        <v/>
      </c>
      <c r="N29" s="56" t="str">
        <f>IF(RIGHT(K29,2)="RE","RF","")</f>
        <v/>
      </c>
      <c r="O29" s="54" t="str">
        <f>VLOOKUP(A29,'1.Loading'!A:R,3,FALSE)</f>
        <v>HMVY</v>
      </c>
      <c r="P29" s="54" t="str">
        <f>VLOOKUP(A29,'1.Loading'!A:R,4,FALSE)</f>
        <v>2609N</v>
      </c>
      <c r="Q29" s="54" t="str">
        <f>VLOOKUP(D29,'2.Bookinglist'!A:CT,12,FALSE)</f>
        <v>PCI2</v>
      </c>
      <c r="R29" s="56" t="str">
        <f>IF(LEFT(K29,2)="22","20'","40'")</f>
        <v>20'</v>
      </c>
      <c r="S29" s="38"/>
      <c r="T29" s="54" t="str">
        <f>VLOOKUP(A29,'1.Loading'!A:R,2,FALSE)</f>
        <v>2026-10-28</v>
      </c>
      <c r="U29" s="57">
        <f>T29-S29</f>
        <v>46323</v>
      </c>
      <c r="V29" s="58"/>
      <c r="W29" s="54" t="str">
        <f>VLOOKUP(A29,'3.GateMove'!A:D,4,FALSE)</f>
        <v>2026-10-20</v>
      </c>
      <c r="X29" s="57">
        <f>((T29-W29)+1)</f>
        <v>9</v>
      </c>
      <c r="Y29" s="59">
        <f>IF(AND(OR(C29="BKK01",C29="BKK04"),L29="CFS/CY"),0,IF(M29="DG",1,IF(LEFT(C29,3)="LCH",7,IF(C29="BKK02",5,3))))</f>
        <v>7</v>
      </c>
      <c r="Z29" s="57">
        <f>IF(IF(AND(AC29="TML",AB29&gt;0),((T29-W29)+1)-AB29,((T29-W29)+1)-Y29)&gt;0,IF(AND(AC29="TML",AB29&gt;0),((T29-W29)+1)-AB29,((T29-W29)+1)-Y29),0)</f>
        <v>2</v>
      </c>
      <c r="AA29" s="48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250</v>
      </c>
      <c r="AB29" s="53"/>
      <c r="AC29" s="53"/>
      <c r="AD29" s="56">
        <f>IF(M29="DG",3,IF(N29="RF",3,5))+IF(AND(LEFT(C29,3)="BKK",N29="RF",Q29="KTS"),1,0)+IF(Q29="KHS",1,0)</f>
        <v>5</v>
      </c>
      <c r="AE29" s="57">
        <f>(T29-V29)+1</f>
        <v>46324</v>
      </c>
      <c r="AF29" s="57">
        <f>IF(AB29&gt;IF((V29-W29)&gt;0,V29-W29,0),0,IF(AB29&lt;IF((V29-W29)&gt;0,V29-W29,0),IF((V29-W29)&gt;0,V29-W29,0)-AB29,IF((V29-W29)&gt;0,V29-W29,0)))</f>
        <v>0</v>
      </c>
      <c r="AG29" s="48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0"/>
      <c r="AI29" s="60">
        <f>AA29-AH29</f>
        <v>250</v>
      </c>
      <c r="AJ29" s="61"/>
      <c r="AK29" s="55" t="str">
        <f>VLOOKUP(D29,'2.Bookinglist'!A:CT,40,FALSE)</f>
        <v>Arunphat W. (Aiw)</v>
      </c>
      <c r="AL29" s="56" t="str">
        <f>VLOOKUP(D29,'2.Bookinglist'!A:CW,101,FALSE)</f>
        <v>2026-10-22</v>
      </c>
      <c r="AM29" s="56" t="str">
        <f>VLOOKUP(D29,'2.Bookinglist'!A:BK,63,FALSE)</f>
        <v>LCH54</v>
      </c>
      <c r="AN29" s="55" t="str">
        <f>VLOOKUP(D29,'2.Bookinglist'!A:AZ,52,FALSE)</f>
        <v>STUFFING CARGO AT TIFFA ICD DD.16-17/10/26 [PAPERLESS CODE 2829]
CLS TIME 19/10/26 @17.00</v>
      </c>
      <c r="AO29" s="55">
        <f>VLOOKUP(D29,'2.Bookinglist'!A:CY,103,FALSE)</f>
        <v>0</v>
      </c>
    </row>
    <row r="30" ht="12.95" customHeight="1" spans="1:41" x14ac:dyDescent="0.25">
      <c r="A30" s="3" t="s">
        <v>497</v>
      </c>
      <c r="B30" s="53" t="str">
        <f>IF(C30=Charge!$M$1,Charge!$J$1,IF(C30=Charge!$M$23,Charge!$J$23,IF(C30=Charge!$M$17,Charge!$J$17,IF(C30=Charge!$N$17,Charge!$J$17,Charge!$J$7))))</f>
        <v>G2</v>
      </c>
      <c r="C30" s="54" t="str">
        <f>VLOOKUP(A30,'1.Loading'!A:R,14,FALSE)</f>
        <v>LCH06</v>
      </c>
      <c r="D30" s="54" t="str">
        <f>VLOOKUP(A30,'1.Loading'!A:R,17,FALSE)</f>
        <v>HASLS22261001306</v>
      </c>
      <c r="E30" s="55" t="str">
        <f>VLOOKUP(D30,'2.Bookinglist'!A:CT,27,FALSE)</f>
        <v>EXPEDITORS (THAILAND) LTD.</v>
      </c>
      <c r="F30" s="55" t="str">
        <f>VLOOKUP(D30,'2.Bookinglist'!A:CT,28,FALSE)</f>
        <v>AVERY DENNISON (THAILAND) LTD.</v>
      </c>
      <c r="G30" s="56" t="str">
        <f>VLOOKUP(D30,'2.Bookinglist'!A:E,5,FALSE)</f>
        <v>THSRP</v>
      </c>
      <c r="H30" s="54" t="str">
        <f>VLOOKUP(D30,'2.Bookinglist'!A:CT,15,FALSE)</f>
        <v>THLCH</v>
      </c>
      <c r="I30" s="54" t="str">
        <f>VLOOKUP(D30,'2.Bookinglist'!A:CT,19,FALSE)</f>
        <v>CNSHA</v>
      </c>
      <c r="J30" s="54">
        <f>VLOOKUP(D30,'2.Bookinglist'!A:CT,26,FALSE)</f>
        <v>0</v>
      </c>
      <c r="K30" s="54" t="str">
        <f>VLOOKUP(A30,'1.Loading'!A:R,5,FALSE)</f>
        <v>22GP</v>
      </c>
      <c r="L30" s="56" t="str">
        <f>VLOOKUP(D30,'2.Bookinglist'!A:CT,85,FALSE)</f>
        <v>CY/CY</v>
      </c>
      <c r="M30" s="56" t="str">
        <f>IF(VLOOKUP(D30,'2.Bookinglist'!A:CT,43,FALSE)=0,"","DG")</f>
        <v/>
      </c>
      <c r="N30" s="56" t="str">
        <f>IF(RIGHT(K30,2)="RE","RF","")</f>
        <v/>
      </c>
      <c r="O30" s="54" t="str">
        <f>VLOOKUP(A30,'1.Loading'!A:R,3,FALSE)</f>
        <v>HMVY</v>
      </c>
      <c r="P30" s="54" t="str">
        <f>VLOOKUP(A30,'1.Loading'!A:R,4,FALSE)</f>
        <v>2609N</v>
      </c>
      <c r="Q30" s="54" t="str">
        <f>VLOOKUP(D30,'2.Bookinglist'!A:CT,12,FALSE)</f>
        <v>PCI2</v>
      </c>
      <c r="R30" s="56" t="str">
        <f>IF(LEFT(K30,2)="22","20'","40'")</f>
        <v>20'</v>
      </c>
      <c r="S30" s="38"/>
      <c r="T30" s="54" t="str">
        <f>VLOOKUP(A30,'1.Loading'!A:R,2,FALSE)</f>
        <v>2026-10-28</v>
      </c>
      <c r="U30" s="57">
        <f>T30-S30</f>
        <v>46323</v>
      </c>
      <c r="V30" s="58"/>
      <c r="W30" s="54" t="str">
        <f>VLOOKUP(A30,'3.GateMove'!A:D,4,FALSE)</f>
        <v>2026-10-24</v>
      </c>
      <c r="X30" s="57">
        <f>((T30-W30)+1)</f>
        <v>5</v>
      </c>
      <c r="Y30" s="59">
        <f>IF(AND(OR(C30="BKK01",C30="BKK04"),L30="CFS/CY"),0,IF(M30="DG",1,IF(LEFT(C30,3)="LCH",7,IF(C30="BKK02",5,3))))</f>
        <v>7</v>
      </c>
      <c r="Z30" s="57">
        <f>IF(IF(AND(AC30="TML",AB30&gt;0),((T30-W30)+1)-AB30,((T30-W30)+1)-Y30)&gt;0,IF(AND(AC30="TML",AB30&gt;0),((T30-W30)+1)-AB30,((T30-W30)+1)-Y30),0)</f>
        <v>0</v>
      </c>
      <c r="AA30" s="48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53"/>
      <c r="AC30" s="53"/>
      <c r="AD30" s="56">
        <f>IF(M30="DG",3,IF(N30="RF",3,5))+IF(AND(LEFT(C30,3)="BKK",N30="RF",Q30="KTS"),1,0)+IF(Q30="KHS",1,0)</f>
        <v>5</v>
      </c>
      <c r="AE30" s="57">
        <f>(T30-V30)+1</f>
        <v>46324</v>
      </c>
      <c r="AF30" s="57">
        <f>IF(AB30&gt;IF((V30-W30)&gt;0,V30-W30,0),0,IF(AB30&lt;IF((V30-W30)&gt;0,V30-W30,0),IF((V30-W30)&gt;0,V30-W30,0)-AB30,IF((V30-W30)&gt;0,V30-W30,0)))</f>
        <v>0</v>
      </c>
      <c r="AG30" s="48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0"/>
      <c r="AI30" s="60">
        <f>AA30-AH30</f>
        <v>0</v>
      </c>
      <c r="AJ30" s="61"/>
      <c r="AK30" s="55" t="str">
        <f>VLOOKUP(D30,'2.Bookinglist'!A:CT,40,FALSE)</f>
        <v>Kanokporn</v>
      </c>
      <c r="AL30" s="56" t="str">
        <f>VLOOKUP(D30,'2.Bookinglist'!A:CW,101,FALSE)</f>
        <v>2026-10-27</v>
      </c>
      <c r="AM30" s="56" t="str">
        <f>VLOOKUP(D30,'2.Bookinglist'!A:BK,63,FALSE)</f>
        <v>BKK27</v>
      </c>
      <c r="AN30" s="55" t="str">
        <f>VLOOKUP(D30,'2.Bookinglist'!A:AZ,52,FALSE)</f>
        <v>Pickup : 2026-10-20, Return : 2026-10-21 PAPERLESS CODE 2829]
CLS TIME 24/10/26 @18.00 (1ST RTN DD: 21/10/26 WO/RENT)</v>
      </c>
      <c r="AO30" s="55">
        <f>VLOOKUP(D30,'2.Bookinglist'!A:CY,103,FALSE)</f>
        <v>0</v>
      </c>
    </row>
    <row r="31" ht="12.95" customHeight="1" spans="1:41" x14ac:dyDescent="0.25">
      <c r="A31" s="3" t="s">
        <v>493</v>
      </c>
      <c r="B31" s="53" t="str">
        <f>IF(C31=Charge!$M$1,Charge!$J$1,IF(C31=Charge!$M$23,Charge!$J$23,IF(C31=Charge!$M$17,Charge!$J$17,IF(C31=Charge!$N$17,Charge!$J$17,Charge!$J$7))))</f>
        <v>G2</v>
      </c>
      <c r="C31" s="54" t="str">
        <f>VLOOKUP(A31,'1.Loading'!A:R,14,FALSE)</f>
        <v>LCH06</v>
      </c>
      <c r="D31" s="54" t="str">
        <f>VLOOKUP(A31,'1.Loading'!A:R,17,FALSE)</f>
        <v>HASLS22260900170</v>
      </c>
      <c r="E31" s="55" t="str">
        <f>VLOOKUP(D31,'2.Bookinglist'!A:CT,27,FALSE)</f>
        <v>PANDA GOGO LOGISTICS CO., LTD.</v>
      </c>
      <c r="F31" s="55" t="str">
        <f>VLOOKUP(D31,'2.Bookinglist'!A:CT,28,FALSE)</f>
        <v>GC-M PTA COMPANY LIMITED</v>
      </c>
      <c r="G31" s="56">
        <f>VLOOKUP(D31,'2.Bookinglist'!A:E,5,FALSE)</f>
        <v>0</v>
      </c>
      <c r="H31" s="54" t="str">
        <f>VLOOKUP(D31,'2.Bookinglist'!A:CT,15,FALSE)</f>
        <v>THLCH</v>
      </c>
      <c r="I31" s="54" t="str">
        <f>VLOOKUP(D31,'2.Bookinglist'!A:CT,19,FALSE)</f>
        <v>JPTRG</v>
      </c>
      <c r="J31" s="54" t="str">
        <f>VLOOKUP(D31,'2.Bookinglist'!A:CT,26,FALSE)</f>
        <v>KRPUS</v>
      </c>
      <c r="K31" s="54" t="str">
        <f>VLOOKUP(A31,'1.Loading'!A:R,5,FALSE)</f>
        <v>22GP</v>
      </c>
      <c r="L31" s="56" t="str">
        <f>VLOOKUP(D31,'2.Bookinglist'!A:CT,85,FALSE)</f>
        <v>CY/CY</v>
      </c>
      <c r="M31" s="56" t="str">
        <f>IF(VLOOKUP(D31,'2.Bookinglist'!A:CT,43,FALSE)=0,"","DG")</f>
        <v/>
      </c>
      <c r="N31" s="56" t="str">
        <f>IF(RIGHT(K31,2)="RE","RF","")</f>
        <v/>
      </c>
      <c r="O31" s="54" t="str">
        <f>VLOOKUP(A31,'1.Loading'!A:R,3,FALSE)</f>
        <v>HMVY</v>
      </c>
      <c r="P31" s="54" t="str">
        <f>VLOOKUP(A31,'1.Loading'!A:R,4,FALSE)</f>
        <v>2609N</v>
      </c>
      <c r="Q31" s="54" t="str">
        <f>VLOOKUP(D31,'2.Bookinglist'!A:CT,12,FALSE)</f>
        <v>PCI2</v>
      </c>
      <c r="R31" s="56" t="str">
        <f>IF(LEFT(K31,2)="22","20'","40'")</f>
        <v>20'</v>
      </c>
      <c r="S31" s="38"/>
      <c r="T31" s="54" t="str">
        <f>VLOOKUP(A31,'1.Loading'!A:R,2,FALSE)</f>
        <v>2026-10-28</v>
      </c>
      <c r="U31" s="57">
        <f>T31-S31</f>
        <v>46323</v>
      </c>
      <c r="V31" s="58"/>
      <c r="W31" s="54" t="str">
        <f>VLOOKUP(A31,'3.GateMove'!A:D,4,FALSE)</f>
        <v>2026-10-18</v>
      </c>
      <c r="X31" s="57">
        <f>((T31-W31)+1)</f>
        <v>11</v>
      </c>
      <c r="Y31" s="59">
        <f>IF(AND(OR(C31="BKK01",C31="BKK04"),L31="CFS/CY"),0,IF(M31="DG",1,IF(LEFT(C31,3)="LCH",7,IF(C31="BKK02",5,3))))</f>
        <v>7</v>
      </c>
      <c r="Z31" s="57">
        <f>IF(IF(AND(AC31="TML",AB31&gt;0),((T31-W31)+1)-AB31,((T31-W31)+1)-Y31)&gt;0,IF(AND(AC31="TML",AB31&gt;0),((T31-W31)+1)-AB31,((T31-W31)+1)-Y31),0)</f>
        <v>4</v>
      </c>
      <c r="AA31" s="48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500</v>
      </c>
      <c r="AB31" s="53"/>
      <c r="AC31" s="53"/>
      <c r="AD31" s="56">
        <f>IF(M31="DG",3,IF(N31="RF",3,5))+IF(AND(LEFT(C31,3)="BKK",N31="RF",Q31="KTS"),1,0)+IF(Q31="KHS",1,0)</f>
        <v>5</v>
      </c>
      <c r="AE31" s="57">
        <f>(T31-V31)+1</f>
        <v>46324</v>
      </c>
      <c r="AF31" s="57">
        <f>IF(AB31&gt;IF((V31-W31)&gt;0,V31-W31,0),0,IF(AB31&lt;IF((V31-W31)&gt;0,V31-W31,0),IF((V31-W31)&gt;0,V31-W31,0)-AB31,IF((V31-W31)&gt;0,V31-W31,0)))</f>
        <v>0</v>
      </c>
      <c r="AG31" s="48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0"/>
      <c r="AI31" s="60">
        <f>AA31-AH31</f>
        <v>500</v>
      </c>
      <c r="AJ31" s="61"/>
      <c r="AK31" s="55" t="str">
        <f>VLOOKUP(D31,'2.Bookinglist'!A:CT,40,FALSE)</f>
        <v>Tarn(Supaporn)</v>
      </c>
      <c r="AL31" s="56" t="str">
        <f>VLOOKUP(D31,'2.Bookinglist'!A:CW,101,FALSE)</f>
        <v>2026-10-22</v>
      </c>
      <c r="AM31" s="56" t="str">
        <f>VLOOKUP(D31,'2.Bookinglist'!A:BK,63,FALSE)</f>
        <v>LCHY5</v>
      </c>
      <c r="AN31" s="55" t="str">
        <f>VLOOKUP(D31,'2.Bookinglist'!A:AZ,52,FALSE)</f>
        <v>[FIX]Pickup : 2026-10-14, Return : 2026-10-15 [1ST RTN 16/10/2026 W/O RENT]
** PLEASE CHECK OPEN GATE BEFORE RETURN CONTAINER ** </v>
      </c>
      <c r="AO31" s="55">
        <f>VLOOKUP(D31,'2.Bookinglist'!A:CY,103,FALSE)</f>
        <v>0</v>
      </c>
    </row>
    <row r="32" ht="12.95" customHeight="1" spans="1:41" x14ac:dyDescent="0.25">
      <c r="A32" s="3" t="s">
        <v>487</v>
      </c>
      <c r="B32" s="53" t="str">
        <f>IF(C32=Charge!$M$1,Charge!$J$1,IF(C32=Charge!$M$23,Charge!$J$23,IF(C32=Charge!$M$17,Charge!$J$17,IF(C32=Charge!$N$17,Charge!$J$17,Charge!$J$7))))</f>
        <v>G2</v>
      </c>
      <c r="C32" s="54" t="str">
        <f>VLOOKUP(A32,'1.Loading'!A:R,14,FALSE)</f>
        <v>LCH06</v>
      </c>
      <c r="D32" s="54" t="str">
        <f>VLOOKUP(A32,'1.Loading'!A:R,17,FALSE)</f>
        <v>HASLS22261000749</v>
      </c>
      <c r="E32" s="55" t="str">
        <f>VLOOKUP(D32,'2.Bookinglist'!A:CT,27,FALSE)</f>
        <v>CTI LOGISTICS CO., LTD.</v>
      </c>
      <c r="F32" s="55" t="str">
        <f>VLOOKUP(D32,'2.Bookinglist'!A:CT,28,FALSE)</f>
        <v>GEMINI TEXTILE CO., LTD.</v>
      </c>
      <c r="G32" s="56" t="str">
        <f>VLOOKUP(D32,'2.Bookinglist'!A:E,5,FALSE)</f>
        <v>THSRP</v>
      </c>
      <c r="H32" s="54" t="str">
        <f>VLOOKUP(D32,'2.Bookinglist'!A:CT,15,FALSE)</f>
        <v>THLCH</v>
      </c>
      <c r="I32" s="54" t="str">
        <f>VLOOKUP(D32,'2.Bookinglist'!A:CT,19,FALSE)</f>
        <v>CNSHA</v>
      </c>
      <c r="J32" s="54">
        <f>VLOOKUP(D32,'2.Bookinglist'!A:CT,26,FALSE)</f>
        <v>0</v>
      </c>
      <c r="K32" s="54" t="str">
        <f>VLOOKUP(A32,'1.Loading'!A:R,5,FALSE)</f>
        <v>22GP</v>
      </c>
      <c r="L32" s="56" t="str">
        <f>VLOOKUP(D32,'2.Bookinglist'!A:CT,85,FALSE)</f>
        <v>CY/CY</v>
      </c>
      <c r="M32" s="56" t="str">
        <f>IF(VLOOKUP(D32,'2.Bookinglist'!A:CT,43,FALSE)=0,"","DG")</f>
        <v/>
      </c>
      <c r="N32" s="56" t="str">
        <f>IF(RIGHT(K32,2)="RE","RF","")</f>
        <v/>
      </c>
      <c r="O32" s="54" t="str">
        <f>VLOOKUP(A32,'1.Loading'!A:R,3,FALSE)</f>
        <v>HMVY</v>
      </c>
      <c r="P32" s="54" t="str">
        <f>VLOOKUP(A32,'1.Loading'!A:R,4,FALSE)</f>
        <v>2609N</v>
      </c>
      <c r="Q32" s="54" t="str">
        <f>VLOOKUP(D32,'2.Bookinglist'!A:CT,12,FALSE)</f>
        <v>PCI2</v>
      </c>
      <c r="R32" s="56" t="str">
        <f>IF(LEFT(K32,2)="22","20'","40'")</f>
        <v>20'</v>
      </c>
      <c r="S32" s="38"/>
      <c r="T32" s="54" t="str">
        <f>VLOOKUP(A32,'1.Loading'!A:R,2,FALSE)</f>
        <v>2026-10-28</v>
      </c>
      <c r="U32" s="57">
        <f>T32-S32</f>
        <v>46323</v>
      </c>
      <c r="V32" s="58"/>
      <c r="W32" s="54" t="str">
        <f>VLOOKUP(A32,'3.GateMove'!A:D,4,FALSE)</f>
        <v>2026-10-23</v>
      </c>
      <c r="X32" s="57">
        <f>((T32-W32)+1)</f>
        <v>6</v>
      </c>
      <c r="Y32" s="59">
        <f>IF(AND(OR(C32="BKK01",C32="BKK04"),L32="CFS/CY"),0,IF(M32="DG",1,IF(LEFT(C32,3)="LCH",7,IF(C32="BKK02",5,3))))</f>
        <v>7</v>
      </c>
      <c r="Z32" s="57">
        <f>IF(IF(AND(AC32="TML",AB32&gt;0),((T32-W32)+1)-AB32,((T32-W32)+1)-Y32)&gt;0,IF(AND(AC32="TML",AB32&gt;0),((T32-W32)+1)-AB32,((T32-W32)+1)-Y32),0)</f>
        <v>0</v>
      </c>
      <c r="AA32" s="48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53"/>
      <c r="AC32" s="53"/>
      <c r="AD32" s="56">
        <f>IF(M32="DG",3,IF(N32="RF",3,5))+IF(AND(LEFT(C32,3)="BKK",N32="RF",Q32="KTS"),1,0)+IF(Q32="KHS",1,0)</f>
        <v>5</v>
      </c>
      <c r="AE32" s="57">
        <f>(T32-V32)+1</f>
        <v>46324</v>
      </c>
      <c r="AF32" s="57">
        <f>IF(AB32&gt;IF((V32-W32)&gt;0,V32-W32,0),0,IF(AB32&lt;IF((V32-W32)&gt;0,V32-W32,0),IF((V32-W32)&gt;0,V32-W32,0)-AB32,IF((V32-W32)&gt;0,V32-W32,0)))</f>
        <v>0</v>
      </c>
      <c r="AG32" s="48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0"/>
      <c r="AI32" s="60">
        <f>AA32-AH32</f>
        <v>0</v>
      </c>
      <c r="AJ32" s="61"/>
      <c r="AK32" s="55" t="str">
        <f>VLOOKUP(D32,'2.Bookinglist'!A:CT,40,FALSE)</f>
        <v>Vilaiporn</v>
      </c>
      <c r="AL32" s="56" t="str">
        <f>VLOOKUP(D32,'2.Bookinglist'!A:CW,101,FALSE)</f>
        <v>2026-10-27</v>
      </c>
      <c r="AM32" s="56" t="str">
        <f>VLOOKUP(D32,'2.Bookinglist'!A:BK,63,FALSE)</f>
        <v>BKK27</v>
      </c>
      <c r="AN32" s="55" t="str">
        <f>VLOOKUP(D32,'2.Bookinglist'!A:AZ,52,FALSE)</f>
        <v>Pickup : 2026-10-19, Return : 2026-10-20 Paperless Code 2829
Closing Time 2026-10-24 @ 20.00</v>
      </c>
      <c r="AO32" s="55">
        <f>VLOOKUP(D32,'2.Bookinglist'!A:CY,103,FALSE)</f>
        <v>0</v>
      </c>
    </row>
    <row r="33" ht="12.95" customHeight="1" spans="1:41" x14ac:dyDescent="0.25">
      <c r="A33" s="3" t="s">
        <v>508</v>
      </c>
      <c r="B33" s="53" t="str">
        <f>IF(C33=Charge!$M$1,Charge!$J$1,IF(C33=Charge!$M$23,Charge!$J$23,IF(C33=Charge!$M$17,Charge!$J$17,IF(C33=Charge!$N$17,Charge!$J$17,Charge!$J$7))))</f>
        <v>G2</v>
      </c>
      <c r="C33" s="54" t="str">
        <f>VLOOKUP(A33,'1.Loading'!A:R,14,FALSE)</f>
        <v>LCH06</v>
      </c>
      <c r="D33" s="54" t="str">
        <f>VLOOKUP(A33,'1.Loading'!A:R,17,FALSE)</f>
        <v>HASLS22261000131</v>
      </c>
      <c r="E33" s="55" t="str">
        <f>VLOOKUP(D33,'2.Bookinglist'!A:CT,27,FALSE)</f>
        <v>SEATRANS INTERNATIONAL TRANSPORT CO., LTD.</v>
      </c>
      <c r="F33" s="55" t="str">
        <f>VLOOKUP(D33,'2.Bookinglist'!A:CT,28,FALSE)</f>
        <v>AMPOL FOOD PROCESSING LTD.</v>
      </c>
      <c r="G33" s="56" t="str">
        <f>VLOOKUP(D33,'2.Bookinglist'!A:E,5,FALSE)</f>
        <v>THSRP</v>
      </c>
      <c r="H33" s="54" t="str">
        <f>VLOOKUP(D33,'2.Bookinglist'!A:CT,15,FALSE)</f>
        <v>THLCH</v>
      </c>
      <c r="I33" s="54" t="str">
        <f>VLOOKUP(D33,'2.Bookinglist'!A:CT,19,FALSE)</f>
        <v>CNSHA</v>
      </c>
      <c r="J33" s="54">
        <f>VLOOKUP(D33,'2.Bookinglist'!A:CT,26,FALSE)</f>
        <v>0</v>
      </c>
      <c r="K33" s="54" t="str">
        <f>VLOOKUP(A33,'1.Loading'!A:R,5,FALSE)</f>
        <v>22GP</v>
      </c>
      <c r="L33" s="56" t="str">
        <f>VLOOKUP(D33,'2.Bookinglist'!A:CT,85,FALSE)</f>
        <v>CY/CY</v>
      </c>
      <c r="M33" s="56" t="str">
        <f>IF(VLOOKUP(D33,'2.Bookinglist'!A:CT,43,FALSE)=0,"","DG")</f>
        <v/>
      </c>
      <c r="N33" s="56" t="str">
        <f>IF(RIGHT(K33,2)="RE","RF","")</f>
        <v/>
      </c>
      <c r="O33" s="54" t="str">
        <f>VLOOKUP(A33,'1.Loading'!A:R,3,FALSE)</f>
        <v>HMVY</v>
      </c>
      <c r="P33" s="54" t="str">
        <f>VLOOKUP(A33,'1.Loading'!A:R,4,FALSE)</f>
        <v>2609N</v>
      </c>
      <c r="Q33" s="54" t="str">
        <f>VLOOKUP(D33,'2.Bookinglist'!A:CT,12,FALSE)</f>
        <v>PCI2</v>
      </c>
      <c r="R33" s="56" t="str">
        <f>IF(LEFT(K33,2)="22","20'","40'")</f>
        <v>20'</v>
      </c>
      <c r="S33" s="38"/>
      <c r="T33" s="54" t="str">
        <f>VLOOKUP(A33,'1.Loading'!A:R,2,FALSE)</f>
        <v>2026-10-28</v>
      </c>
      <c r="U33" s="57">
        <f>T33-S33</f>
        <v>46323</v>
      </c>
      <c r="V33" s="58"/>
      <c r="W33" s="54" t="str">
        <f>VLOOKUP(A33,'3.GateMove'!A:D,4,FALSE)</f>
        <v>2026-10-13</v>
      </c>
      <c r="X33" s="57">
        <f>((T33-W33)+1)</f>
        <v>16</v>
      </c>
      <c r="Y33" s="59">
        <f>IF(AND(OR(C33="BKK01",C33="BKK04"),L33="CFS/CY"),0,IF(M33="DG",1,IF(LEFT(C33,3)="LCH",7,IF(C33="BKK02",5,3))))</f>
        <v>7</v>
      </c>
      <c r="Z33" s="57">
        <f>IF(IF(AND(AC33="TML",AB33&gt;0),((T33-W33)+1)-AB33,((T33-W33)+1)-Y33)&gt;0,IF(AND(AC33="TML",AB33&gt;0),((T33-W33)+1)-AB33,((T33-W33)+1)-Y33),0)</f>
        <v>9</v>
      </c>
      <c r="AA33" s="48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1375</v>
      </c>
      <c r="AB33" s="53"/>
      <c r="AC33" s="53"/>
      <c r="AD33" s="56">
        <f>IF(M33="DG",3,IF(N33="RF",3,5))+IF(AND(LEFT(C33,3)="BKK",N33="RF",Q33="KTS"),1,0)+IF(Q33="KHS",1,0)</f>
        <v>5</v>
      </c>
      <c r="AE33" s="57">
        <f>(T33-V33)+1</f>
        <v>46324</v>
      </c>
      <c r="AF33" s="57">
        <f>IF(AB33&gt;IF((V33-W33)&gt;0,V33-W33,0),0,IF(AB33&lt;IF((V33-W33)&gt;0,V33-W33,0),IF((V33-W33)&gt;0,V33-W33,0)-AB33,IF((V33-W33)&gt;0,V33-W33,0)))</f>
        <v>0</v>
      </c>
      <c r="AG33" s="48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0"/>
      <c r="AI33" s="60">
        <f>AA33-AH33</f>
        <v>1375</v>
      </c>
      <c r="AJ33" s="61"/>
      <c r="AK33" s="55" t="str">
        <f>VLOOKUP(D33,'2.Bookinglist'!A:CT,40,FALSE)</f>
        <v>Arunphat W. (Aiw)</v>
      </c>
      <c r="AL33" s="56" t="str">
        <f>VLOOKUP(D33,'2.Bookinglist'!A:CW,101,FALSE)</f>
        <v>2026-10-22</v>
      </c>
      <c r="AM33" s="56" t="str">
        <f>VLOOKUP(D33,'2.Bookinglist'!A:BK,63,FALSE)</f>
        <v>BKK27</v>
      </c>
      <c r="AN33" s="55" t="str">
        <f>VLOOKUP(D33,'2.Bookinglist'!A:AZ,52,FALSE)</f>
        <v>Pickup : 2026-10-08, Return SRP : 2026-10-09 [PAPERLESS CODE 2829]
CLS TIME 12/10/26 @23.59</v>
      </c>
      <c r="AO33" s="55" t="str">
        <f>VLOOKUP(D33,'2.Bookinglist'!A:CY,103,FALSE)</f>
        <v>ROLL OVER FROM PREVIOUS VSL SWRG 2609N BY ALLOCATION TEAM MS.TAN APPROVED COST IS UNDER HA DD.12/10</v>
      </c>
    </row>
    <row r="34" ht="12.95" customHeight="1" spans="1:41" x14ac:dyDescent="0.25">
      <c r="A34" s="3" t="s">
        <v>534</v>
      </c>
      <c r="B34" s="53" t="str">
        <f>IF(C34=Charge!$M$1,Charge!$J$1,IF(C34=Charge!$M$23,Charge!$J$23,IF(C34=Charge!$M$17,Charge!$J$17,IF(C34=Charge!$N$17,Charge!$J$17,Charge!$J$7))))</f>
        <v>G2</v>
      </c>
      <c r="C34" s="54" t="str">
        <f>VLOOKUP(A34,'1.Loading'!A:R,14,FALSE)</f>
        <v>LCH06</v>
      </c>
      <c r="D34" s="54" t="str">
        <f>VLOOKUP(A34,'1.Loading'!A:R,17,FALSE)</f>
        <v>HASLS22260902649</v>
      </c>
      <c r="E34" s="55" t="str">
        <f>VLOOKUP(D34,'2.Bookinglist'!A:CT,27,FALSE)</f>
        <v>HAST LOGISTICS CO., LTD.</v>
      </c>
      <c r="F34" s="55" t="str">
        <f>VLOOKUP(D34,'2.Bookinglist'!A:CT,28,FALSE)</f>
        <v>TPT PETROCHEMICALS PUBLIC COMPANY LIMITED</v>
      </c>
      <c r="G34" s="56">
        <f>VLOOKUP(D34,'2.Bookinglist'!A:E,5,FALSE)</f>
        <v>0</v>
      </c>
      <c r="H34" s="54" t="str">
        <f>VLOOKUP(D34,'2.Bookinglist'!A:CT,15,FALSE)</f>
        <v>THLCH</v>
      </c>
      <c r="I34" s="54" t="str">
        <f>VLOOKUP(D34,'2.Bookinglist'!A:CT,19,FALSE)</f>
        <v>JPKIJ</v>
      </c>
      <c r="J34" s="54" t="str">
        <f>VLOOKUP(D34,'2.Bookinglist'!A:CT,26,FALSE)</f>
        <v>KRPUS</v>
      </c>
      <c r="K34" s="54" t="str">
        <f>VLOOKUP(A34,'1.Loading'!A:R,5,FALSE)</f>
        <v>22GP</v>
      </c>
      <c r="L34" s="56" t="str">
        <f>VLOOKUP(D34,'2.Bookinglist'!A:CT,85,FALSE)</f>
        <v>CY/CY</v>
      </c>
      <c r="M34" s="56" t="str">
        <f>IF(VLOOKUP(D34,'2.Bookinglist'!A:CT,43,FALSE)=0,"","DG")</f>
        <v/>
      </c>
      <c r="N34" s="56" t="str">
        <f>IF(RIGHT(K34,2)="RE","RF","")</f>
        <v/>
      </c>
      <c r="O34" s="54" t="str">
        <f>VLOOKUP(A34,'1.Loading'!A:R,3,FALSE)</f>
        <v>HMVY</v>
      </c>
      <c r="P34" s="54" t="str">
        <f>VLOOKUP(A34,'1.Loading'!A:R,4,FALSE)</f>
        <v>2609N</v>
      </c>
      <c r="Q34" s="54" t="str">
        <f>VLOOKUP(D34,'2.Bookinglist'!A:CT,12,FALSE)</f>
        <v>PCI2</v>
      </c>
      <c r="R34" s="56" t="str">
        <f>IF(LEFT(K34,2)="22","20'","40'")</f>
        <v>20'</v>
      </c>
      <c r="S34" s="38"/>
      <c r="T34" s="54" t="str">
        <f>VLOOKUP(A34,'1.Loading'!A:R,2,FALSE)</f>
        <v>2026-10-28</v>
      </c>
      <c r="U34" s="57">
        <f>T34-S34</f>
        <v>46323</v>
      </c>
      <c r="V34" s="58"/>
      <c r="W34" s="54" t="str">
        <f>VLOOKUP(A34,'3.GateMove'!A:D,4,FALSE)</f>
        <v>2026-10-17</v>
      </c>
      <c r="X34" s="57">
        <f>((T34-W34)+1)</f>
        <v>12</v>
      </c>
      <c r="Y34" s="59">
        <f>IF(AND(OR(C34="BKK01",C34="BKK04"),L34="CFS/CY"),0,IF(M34="DG",1,IF(LEFT(C34,3)="LCH",7,IF(C34="BKK02",5,3))))</f>
        <v>7</v>
      </c>
      <c r="Z34" s="57">
        <f>IF(IF(AND(AC34="TML",AB34&gt;0),((T34-W34)+1)-AB34,((T34-W34)+1)-Y34)&gt;0,IF(AND(AC34="TML",AB34&gt;0),((T34-W34)+1)-AB34,((T34-W34)+1)-Y34),0)</f>
        <v>5</v>
      </c>
      <c r="AA34" s="48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625</v>
      </c>
      <c r="AB34" s="53"/>
      <c r="AC34" s="53"/>
      <c r="AD34" s="56">
        <f>IF(M34="DG",3,IF(N34="RF",3,5))+IF(AND(LEFT(C34,3)="BKK",N34="RF",Q34="KTS"),1,0)+IF(Q34="KHS",1,0)</f>
        <v>5</v>
      </c>
      <c r="AE34" s="57">
        <f>(T34-V34)+1</f>
        <v>46324</v>
      </c>
      <c r="AF34" s="57">
        <f>IF(AB34&gt;IF((V34-W34)&gt;0,V34-W34,0),0,IF(AB34&lt;IF((V34-W34)&gt;0,V34-W34,0),IF((V34-W34)&gt;0,V34-W34,0)-AB34,IF((V34-W34)&gt;0,V34-W34,0)))</f>
        <v>0</v>
      </c>
      <c r="AG34" s="48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0"/>
      <c r="AI34" s="60">
        <f>AA34-AH34</f>
        <v>625</v>
      </c>
      <c r="AJ34" s="61"/>
      <c r="AK34" s="55" t="str">
        <f>VLOOKUP(D34,'2.Bookinglist'!A:CT,40,FALSE)</f>
        <v>Kanokporn</v>
      </c>
      <c r="AL34" s="56" t="str">
        <f>VLOOKUP(D34,'2.Bookinglist'!A:CW,101,FALSE)</f>
        <v>2026-10-20</v>
      </c>
      <c r="AM34" s="56" t="str">
        <f>VLOOKUP(D34,'2.Bookinglist'!A:BK,63,FALSE)</f>
        <v>LCHY5</v>
      </c>
      <c r="AN34" s="55" t="str">
        <f>VLOOKUP(D34,'2.Bookinglist'!A:AZ,52,FALSE)</f>
        <v>Pickup : 2026-10-15, Return : 2026-10-16  /FIRST DATE CAN RETURN CNTR DD.19/10 W/O RENT
</v>
      </c>
      <c r="AO34" s="55">
        <f>VLOOKUP(D34,'2.Bookinglist'!A:CY,103,FALSE)</f>
        <v>0</v>
      </c>
    </row>
    <row r="35" ht="12.95" customHeight="1" spans="1:41" x14ac:dyDescent="0.25">
      <c r="A35" s="3" t="s">
        <v>580</v>
      </c>
      <c r="B35" s="53" t="str">
        <f>IF(C35=Charge!$M$1,Charge!$J$1,IF(C35=Charge!$M$23,Charge!$J$23,IF(C35=Charge!$M$17,Charge!$J$17,IF(C35=Charge!$N$17,Charge!$J$17,Charge!$J$7))))</f>
        <v>G2</v>
      </c>
      <c r="C35" s="54" t="str">
        <f>VLOOKUP(A35,'1.Loading'!A:R,14,FALSE)</f>
        <v>LCH06</v>
      </c>
      <c r="D35" s="54" t="str">
        <f>VLOOKUP(A35,'1.Loading'!A:R,17,FALSE)</f>
        <v>HASLS22261000756</v>
      </c>
      <c r="E35" s="55" t="str">
        <f>VLOOKUP(D35,'2.Bookinglist'!A:CT,27,FALSE)</f>
        <v>TOP INTER FREIGHT CO., LTD.</v>
      </c>
      <c r="F35" s="55" t="str">
        <f>VLOOKUP(D35,'2.Bookinglist'!A:CT,28,FALSE)</f>
        <v>TOP PREMIUM STARCH CO., LTD.</v>
      </c>
      <c r="G35" s="56" t="str">
        <f>VLOOKUP(D35,'2.Bookinglist'!A:E,5,FALSE)</f>
        <v>THLKR</v>
      </c>
      <c r="H35" s="54" t="str">
        <f>VLOOKUP(D35,'2.Bookinglist'!A:CT,15,FALSE)</f>
        <v>THLCH</v>
      </c>
      <c r="I35" s="54" t="str">
        <f>VLOOKUP(D35,'2.Bookinglist'!A:CT,19,FALSE)</f>
        <v>CNSHA</v>
      </c>
      <c r="J35" s="54">
        <f>VLOOKUP(D35,'2.Bookinglist'!A:CT,26,FALSE)</f>
        <v>0</v>
      </c>
      <c r="K35" s="54" t="str">
        <f>VLOOKUP(A35,'1.Loading'!A:R,5,FALSE)</f>
        <v>22GP</v>
      </c>
      <c r="L35" s="56" t="str">
        <f>VLOOKUP(D35,'2.Bookinglist'!A:CT,85,FALSE)</f>
        <v>CFS/CY</v>
      </c>
      <c r="M35" s="56" t="str">
        <f>IF(VLOOKUP(D35,'2.Bookinglist'!A:CT,43,FALSE)=0,"","DG")</f>
        <v/>
      </c>
      <c r="N35" s="56" t="str">
        <f>IF(RIGHT(K35,2)="RE","RF","")</f>
        <v/>
      </c>
      <c r="O35" s="54" t="str">
        <f>VLOOKUP(A35,'1.Loading'!A:R,3,FALSE)</f>
        <v>HMVY</v>
      </c>
      <c r="P35" s="54" t="str">
        <f>VLOOKUP(A35,'1.Loading'!A:R,4,FALSE)</f>
        <v>2609N</v>
      </c>
      <c r="Q35" s="54" t="str">
        <f>VLOOKUP(D35,'2.Bookinglist'!A:CT,12,FALSE)</f>
        <v>PCI2</v>
      </c>
      <c r="R35" s="56" t="str">
        <f>IF(LEFT(K35,2)="22","20'","40'")</f>
        <v>20'</v>
      </c>
      <c r="S35" s="38"/>
      <c r="T35" s="54" t="str">
        <f>VLOOKUP(A35,'1.Loading'!A:R,2,FALSE)</f>
        <v>2026-10-28</v>
      </c>
      <c r="U35" s="57">
        <f>T35-S35</f>
        <v>46323</v>
      </c>
      <c r="V35" s="58"/>
      <c r="W35" s="54" t="str">
        <f>VLOOKUP(A35,'3.GateMove'!A:D,4,FALSE)</f>
        <v>2026-10-20</v>
      </c>
      <c r="X35" s="57">
        <f>((T35-W35)+1)</f>
        <v>9</v>
      </c>
      <c r="Y35" s="59">
        <f>IF(AND(OR(C35="BKK01",C35="BKK04"),L35="CFS/CY"),0,IF(M35="DG",1,IF(LEFT(C35,3)="LCH",7,IF(C35="BKK02",5,3))))</f>
        <v>7</v>
      </c>
      <c r="Z35" s="57">
        <f>IF(IF(AND(AC35="TML",AB35&gt;0),((T35-W35)+1)-AB35,((T35-W35)+1)-Y35)&gt;0,IF(AND(AC35="TML",AB35&gt;0),((T35-W35)+1)-AB35,((T35-W35)+1)-Y35),0)</f>
        <v>2</v>
      </c>
      <c r="AA35" s="48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250</v>
      </c>
      <c r="AB35" s="53"/>
      <c r="AC35" s="53"/>
      <c r="AD35" s="56">
        <f>IF(M35="DG",3,IF(N35="RF",3,5))+IF(AND(LEFT(C35,3)="BKK",N35="RF",Q35="KTS"),1,0)+IF(Q35="KHS",1,0)</f>
        <v>5</v>
      </c>
      <c r="AE35" s="57">
        <f>(T35-V35)+1</f>
        <v>46324</v>
      </c>
      <c r="AF35" s="57">
        <f>IF(AB35&gt;IF((V35-W35)&gt;0,V35-W35,0),0,IF(AB35&lt;IF((V35-W35)&gt;0,V35-W35,0),IF((V35-W35)&gt;0,V35-W35,0)-AB35,IF((V35-W35)&gt;0,V35-W35,0)))</f>
        <v>0</v>
      </c>
      <c r="AG35" s="48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0"/>
      <c r="AI35" s="60">
        <f>AA35-AH35</f>
        <v>250</v>
      </c>
      <c r="AJ35" s="61"/>
      <c r="AK35" s="55" t="str">
        <f>VLOOKUP(D35,'2.Bookinglist'!A:CT,40,FALSE)</f>
        <v>Arunphat W. (Aiw)</v>
      </c>
      <c r="AL35" s="56" t="str">
        <f>VLOOKUP(D35,'2.Bookinglist'!A:CW,101,FALSE)</f>
        <v>2026-10-22</v>
      </c>
      <c r="AM35" s="56" t="str">
        <f>VLOOKUP(D35,'2.Bookinglist'!A:BK,63,FALSE)</f>
        <v>LCH54</v>
      </c>
      <c r="AN35" s="55" t="str">
        <f>VLOOKUP(D35,'2.Bookinglist'!A:AZ,52,FALSE)</f>
        <v>STUFFING CARGO AT TIFFA ICD DD.16-17/10/26 [PAPERLESS CODE 2829]
CLS TIME 19/10/26 @17.00</v>
      </c>
      <c r="AO35" s="55">
        <f>VLOOKUP(D35,'2.Bookinglist'!A:CY,103,FALSE)</f>
        <v>0</v>
      </c>
    </row>
    <row r="36" ht="12.95" customHeight="1" spans="1:41" x14ac:dyDescent="0.25">
      <c r="A36" s="3" t="s">
        <v>579</v>
      </c>
      <c r="B36" s="53" t="str">
        <f>IF(C36=Charge!$M$1,Charge!$J$1,IF(C36=Charge!$M$23,Charge!$J$23,IF(C36=Charge!$M$17,Charge!$J$17,IF(C36=Charge!$N$17,Charge!$J$17,Charge!$J$7))))</f>
        <v>G2</v>
      </c>
      <c r="C36" s="54" t="str">
        <f>VLOOKUP(A36,'1.Loading'!A:R,14,FALSE)</f>
        <v>LCH06</v>
      </c>
      <c r="D36" s="54" t="str">
        <f>VLOOKUP(A36,'1.Loading'!A:R,17,FALSE)</f>
        <v>HASLS22260902617</v>
      </c>
      <c r="E36" s="55" t="str">
        <f>VLOOKUP(D36,'2.Bookinglist'!A:CT,27,FALSE)</f>
        <v>RCL LOGISTICS CO., LTD.</v>
      </c>
      <c r="F36" s="55" t="str">
        <f>VLOOKUP(D36,'2.Bookinglist'!A:CT,28,FALSE)</f>
        <v>SMS CORPORATION CO., LTD.</v>
      </c>
      <c r="G36" s="56" t="str">
        <f>VLOOKUP(D36,'2.Bookinglist'!A:E,5,FALSE)</f>
        <v>THSRP</v>
      </c>
      <c r="H36" s="54" t="str">
        <f>VLOOKUP(D36,'2.Bookinglist'!A:CT,15,FALSE)</f>
        <v>THLCH</v>
      </c>
      <c r="I36" s="54" t="str">
        <f>VLOOKUP(D36,'2.Bookinglist'!A:CT,19,FALSE)</f>
        <v>CNSHA</v>
      </c>
      <c r="J36" s="54">
        <f>VLOOKUP(D36,'2.Bookinglist'!A:CT,26,FALSE)</f>
        <v>0</v>
      </c>
      <c r="K36" s="54" t="str">
        <f>VLOOKUP(A36,'1.Loading'!A:R,5,FALSE)</f>
        <v>22GP</v>
      </c>
      <c r="L36" s="56" t="str">
        <f>VLOOKUP(D36,'2.Bookinglist'!A:CT,85,FALSE)</f>
        <v>CY/CY</v>
      </c>
      <c r="M36" s="56" t="str">
        <f>IF(VLOOKUP(D36,'2.Bookinglist'!A:CT,43,FALSE)=0,"","DG")</f>
        <v/>
      </c>
      <c r="N36" s="56" t="str">
        <f>IF(RIGHT(K36,2)="RE","RF","")</f>
        <v/>
      </c>
      <c r="O36" s="54" t="str">
        <f>VLOOKUP(A36,'1.Loading'!A:R,3,FALSE)</f>
        <v>HMVY</v>
      </c>
      <c r="P36" s="54" t="str">
        <f>VLOOKUP(A36,'1.Loading'!A:R,4,FALSE)</f>
        <v>2609N</v>
      </c>
      <c r="Q36" s="54" t="str">
        <f>VLOOKUP(D36,'2.Bookinglist'!A:CT,12,FALSE)</f>
        <v>PCI2</v>
      </c>
      <c r="R36" s="56" t="str">
        <f>IF(LEFT(K36,2)="22","20'","40'")</f>
        <v>20'</v>
      </c>
      <c r="S36" s="38"/>
      <c r="T36" s="54" t="str">
        <f>VLOOKUP(A36,'1.Loading'!A:R,2,FALSE)</f>
        <v>2026-10-28</v>
      </c>
      <c r="U36" s="57">
        <f>T36-S36</f>
        <v>46323</v>
      </c>
      <c r="V36" s="58"/>
      <c r="W36" s="54" t="str">
        <f>VLOOKUP(A36,'3.GateMove'!A:D,4,FALSE)</f>
        <v>2026-10-23</v>
      </c>
      <c r="X36" s="57">
        <f>((T36-W36)+1)</f>
        <v>6</v>
      </c>
      <c r="Y36" s="59">
        <f>IF(AND(OR(C36="BKK01",C36="BKK04"),L36="CFS/CY"),0,IF(M36="DG",1,IF(LEFT(C36,3)="LCH",7,IF(C36="BKK02",5,3))))</f>
        <v>7</v>
      </c>
      <c r="Z36" s="57">
        <f>IF(IF(AND(AC36="TML",AB36&gt;0),((T36-W36)+1)-AB36,((T36-W36)+1)-Y36)&gt;0,IF(AND(AC36="TML",AB36&gt;0),((T36-W36)+1)-AB36,((T36-W36)+1)-Y36),0)</f>
        <v>0</v>
      </c>
      <c r="AA36" s="48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53"/>
      <c r="AC36" s="53"/>
      <c r="AD36" s="56">
        <f>IF(M36="DG",3,IF(N36="RF",3,5))+IF(AND(LEFT(C36,3)="BKK",N36="RF",Q36="KTS"),1,0)+IF(Q36="KHS",1,0)</f>
        <v>5</v>
      </c>
      <c r="AE36" s="57">
        <f>(T36-V36)+1</f>
        <v>46324</v>
      </c>
      <c r="AF36" s="57">
        <f>IF(AB36&gt;IF((V36-W36)&gt;0,V36-W36,0),0,IF(AB36&lt;IF((V36-W36)&gt;0,V36-W36,0),IF((V36-W36)&gt;0,V36-W36,0)-AB36,IF((V36-W36)&gt;0,V36-W36,0)))</f>
        <v>0</v>
      </c>
      <c r="AG36" s="48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0"/>
      <c r="AI36" s="60">
        <f>AA36-AH36</f>
        <v>0</v>
      </c>
      <c r="AJ36" s="61"/>
      <c r="AK36" s="55" t="str">
        <f>VLOOKUP(D36,'2.Bookinglist'!A:CT,40,FALSE)</f>
        <v>Pattarapong Saengthong</v>
      </c>
      <c r="AL36" s="56" t="str">
        <f>VLOOKUP(D36,'2.Bookinglist'!A:CW,101,FALSE)</f>
        <v>2026-10-20</v>
      </c>
      <c r="AM36" s="56" t="str">
        <f>VLOOKUP(D36,'2.Bookinglist'!A:BK,63,FALSE)</f>
        <v>BKK27</v>
      </c>
      <c r="AN36" s="55" t="str">
        <f>VLOOKUP(D36,'2.Bookinglist'!A:AZ,52,FALSE)</f>
        <v>Pickup : 2026-10-12, Return SRP : 2026-10-15 [PAPERLESS CODE 2829]
CLS TIME 17/10/26 @10.00</v>
      </c>
      <c r="AO36" s="55">
        <f>VLOOKUP(D36,'2.Bookinglist'!A:CY,103,FALSE)</f>
        <v>0</v>
      </c>
    </row>
    <row r="37" ht="12.95" customHeight="1" spans="1:41" x14ac:dyDescent="0.25">
      <c r="A37" s="3" t="s">
        <v>575</v>
      </c>
      <c r="B37" s="53" t="str">
        <f>IF(C37=Charge!$M$1,Charge!$J$1,IF(C37=Charge!$M$23,Charge!$J$23,IF(C37=Charge!$M$17,Charge!$J$17,IF(C37=Charge!$N$17,Charge!$J$17,Charge!$J$7))))</f>
        <v>G2</v>
      </c>
      <c r="C37" s="54" t="str">
        <f>VLOOKUP(A37,'1.Loading'!A:R,14,FALSE)</f>
        <v>LCH06</v>
      </c>
      <c r="D37" s="54" t="str">
        <f>VLOOKUP(A37,'1.Loading'!A:R,17,FALSE)</f>
        <v>HASLS22261000345</v>
      </c>
      <c r="E37" s="55" t="str">
        <f>VLOOKUP(D37,'2.Bookinglist'!A:CT,27,FALSE)</f>
        <v>DOW CHEMICAL THAILAND LTD.</v>
      </c>
      <c r="F37" s="55" t="str">
        <f>VLOOKUP(D37,'2.Bookinglist'!A:CT,28,FALSE)</f>
        <v>SIAM POLYETHYLENE CO., LTD.</v>
      </c>
      <c r="G37" s="56">
        <f>VLOOKUP(D37,'2.Bookinglist'!A:E,5,FALSE)</f>
        <v>0</v>
      </c>
      <c r="H37" s="54" t="str">
        <f>VLOOKUP(D37,'2.Bookinglist'!A:CT,15,FALSE)</f>
        <v>THLCH</v>
      </c>
      <c r="I37" s="54" t="str">
        <f>VLOOKUP(D37,'2.Bookinglist'!A:CT,19,FALSE)</f>
        <v>JPNGO</v>
      </c>
      <c r="J37" s="54" t="str">
        <f>VLOOKUP(D37,'2.Bookinglist'!A:CT,26,FALSE)</f>
        <v>KRPUS</v>
      </c>
      <c r="K37" s="54" t="str">
        <f>VLOOKUP(A37,'1.Loading'!A:R,5,FALSE)</f>
        <v>22GP</v>
      </c>
      <c r="L37" s="56" t="str">
        <f>VLOOKUP(D37,'2.Bookinglist'!A:CT,85,FALSE)</f>
        <v>CY/CY</v>
      </c>
      <c r="M37" s="56" t="str">
        <f>IF(VLOOKUP(D37,'2.Bookinglist'!A:CT,43,FALSE)=0,"","DG")</f>
        <v/>
      </c>
      <c r="N37" s="56" t="str">
        <f>IF(RIGHT(K37,2)="RE","RF","")</f>
        <v/>
      </c>
      <c r="O37" s="54" t="str">
        <f>VLOOKUP(A37,'1.Loading'!A:R,3,FALSE)</f>
        <v>HMVY</v>
      </c>
      <c r="P37" s="54" t="str">
        <f>VLOOKUP(A37,'1.Loading'!A:R,4,FALSE)</f>
        <v>2609N</v>
      </c>
      <c r="Q37" s="54" t="str">
        <f>VLOOKUP(D37,'2.Bookinglist'!A:CT,12,FALSE)</f>
        <v>PCI2</v>
      </c>
      <c r="R37" s="56" t="str">
        <f>IF(LEFT(K37,2)="22","20'","40'")</f>
        <v>20'</v>
      </c>
      <c r="S37" s="38"/>
      <c r="T37" s="54" t="str">
        <f>VLOOKUP(A37,'1.Loading'!A:R,2,FALSE)</f>
        <v>2026-10-28</v>
      </c>
      <c r="U37" s="57">
        <f>T37-S37</f>
        <v>46323</v>
      </c>
      <c r="V37" s="58"/>
      <c r="W37" s="54" t="str">
        <f>VLOOKUP(A37,'3.GateMove'!A:D,4,FALSE)</f>
        <v>2026-10-23</v>
      </c>
      <c r="X37" s="57">
        <f>((T37-W37)+1)</f>
        <v>6</v>
      </c>
      <c r="Y37" s="59">
        <f>IF(AND(OR(C37="BKK01",C37="BKK04"),L37="CFS/CY"),0,IF(M37="DG",1,IF(LEFT(C37,3)="LCH",7,IF(C37="BKK02",5,3))))</f>
        <v>7</v>
      </c>
      <c r="Z37" s="57">
        <f>IF(IF(AND(AC37="TML",AB37&gt;0),((T37-W37)+1)-AB37,((T37-W37)+1)-Y37)&gt;0,IF(AND(AC37="TML",AB37&gt;0),((T37-W37)+1)-AB37,((T37-W37)+1)-Y37),0)</f>
        <v>0</v>
      </c>
      <c r="AA37" s="48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53"/>
      <c r="AC37" s="53"/>
      <c r="AD37" s="56">
        <f>IF(M37="DG",3,IF(N37="RF",3,5))+IF(AND(LEFT(C37,3)="BKK",N37="RF",Q37="KTS"),1,0)+IF(Q37="KHS",1,0)</f>
        <v>5</v>
      </c>
      <c r="AE37" s="57">
        <f>(T37-V37)+1</f>
        <v>46324</v>
      </c>
      <c r="AF37" s="57">
        <f>IF(AB37&gt;IF((V37-W37)&gt;0,V37-W37,0),0,IF(AB37&lt;IF((V37-W37)&gt;0,V37-W37,0),IF((V37-W37)&gt;0,V37-W37,0)-AB37,IF((V37-W37)&gt;0,V37-W37,0)))</f>
        <v>0</v>
      </c>
      <c r="AG37" s="48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0"/>
      <c r="AI37" s="60">
        <f>AA37-AH37</f>
        <v>0</v>
      </c>
      <c r="AJ37" s="61"/>
      <c r="AK37" s="55" t="str">
        <f>VLOOKUP(D37,'2.Bookinglist'!A:CT,40,FALSE)</f>
        <v>SEO JI YEONG</v>
      </c>
      <c r="AL37" s="56" t="str">
        <f>VLOOKUP(D37,'2.Bookinglist'!A:CW,101,FALSE)</f>
        <v>2026-10-27</v>
      </c>
      <c r="AM37" s="56" t="str">
        <f>VLOOKUP(D37,'2.Bookinglist'!A:BK,63,FALSE)</f>
        <v>LCHY5</v>
      </c>
      <c r="AN37" s="55" t="str">
        <f>VLOOKUP(D37,'2.Bookinglist'!A:AZ,52,FALSE)</f>
        <v>[FIX]Pickup : 2026-10-19, Return : 2026-10-22 </v>
      </c>
      <c r="AO37" s="55">
        <f>VLOOKUP(D37,'2.Bookinglist'!A:CY,103,FALSE)</f>
        <v>0</v>
      </c>
    </row>
    <row r="38" ht="12.95" customHeight="1" spans="1:41" x14ac:dyDescent="0.25">
      <c r="A38" s="3" t="s">
        <v>578</v>
      </c>
      <c r="B38" s="53" t="str">
        <f>IF(C38=Charge!$M$1,Charge!$J$1,IF(C38=Charge!$M$23,Charge!$J$23,IF(C38=Charge!$M$17,Charge!$J$17,IF(C38=Charge!$N$17,Charge!$J$17,Charge!$J$7))))</f>
        <v>G2</v>
      </c>
      <c r="C38" s="54" t="str">
        <f>VLOOKUP(A38,'1.Loading'!A:R,14,FALSE)</f>
        <v>LCH06</v>
      </c>
      <c r="D38" s="54" t="str">
        <f>VLOOKUP(A38,'1.Loading'!A:R,17,FALSE)</f>
        <v>HASLS22260902669</v>
      </c>
      <c r="E38" s="55" t="str">
        <f>VLOOKUP(D38,'2.Bookinglist'!A:CT,27,FALSE)</f>
        <v>WHA GC LOGISTICS COMPANY LIMITED</v>
      </c>
      <c r="F38" s="55" t="str">
        <f>VLOOKUP(D38,'2.Bookinglist'!A:CT,28,FALSE)</f>
        <v>PTT GLOBAL CHEMICAL PUBLIC COMPANY LIMITED</v>
      </c>
      <c r="G38" s="56">
        <f>VLOOKUP(D38,'2.Bookinglist'!A:E,5,FALSE)</f>
        <v>0</v>
      </c>
      <c r="H38" s="54" t="str">
        <f>VLOOKUP(D38,'2.Bookinglist'!A:CT,15,FALSE)</f>
        <v>THLCH</v>
      </c>
      <c r="I38" s="54" t="str">
        <f>VLOOKUP(D38,'2.Bookinglist'!A:CT,19,FALSE)</f>
        <v>JPNGO</v>
      </c>
      <c r="J38" s="54" t="str">
        <f>VLOOKUP(D38,'2.Bookinglist'!A:CT,26,FALSE)</f>
        <v>KRPUS</v>
      </c>
      <c r="K38" s="54" t="str">
        <f>VLOOKUP(A38,'1.Loading'!A:R,5,FALSE)</f>
        <v>22GP</v>
      </c>
      <c r="L38" s="56" t="str">
        <f>VLOOKUP(D38,'2.Bookinglist'!A:CT,85,FALSE)</f>
        <v>CY/CY</v>
      </c>
      <c r="M38" s="56" t="str">
        <f>IF(VLOOKUP(D38,'2.Bookinglist'!A:CT,43,FALSE)=0,"","DG")</f>
        <v/>
      </c>
      <c r="N38" s="56" t="str">
        <f>IF(RIGHT(K38,2)="RE","RF","")</f>
        <v/>
      </c>
      <c r="O38" s="54" t="str">
        <f>VLOOKUP(A38,'1.Loading'!A:R,3,FALSE)</f>
        <v>HMVY</v>
      </c>
      <c r="P38" s="54" t="str">
        <f>VLOOKUP(A38,'1.Loading'!A:R,4,FALSE)</f>
        <v>2609N</v>
      </c>
      <c r="Q38" s="54" t="str">
        <f>VLOOKUP(D38,'2.Bookinglist'!A:CT,12,FALSE)</f>
        <v>PCI2</v>
      </c>
      <c r="R38" s="56" t="str">
        <f>IF(LEFT(K38,2)="22","20'","40'")</f>
        <v>20'</v>
      </c>
      <c r="S38" s="38"/>
      <c r="T38" s="54" t="str">
        <f>VLOOKUP(A38,'1.Loading'!A:R,2,FALSE)</f>
        <v>2026-10-28</v>
      </c>
      <c r="U38" s="57">
        <f>T38-S38</f>
        <v>46323</v>
      </c>
      <c r="V38" s="58"/>
      <c r="W38" s="54" t="str">
        <f>VLOOKUP(A38,'3.GateMove'!A:D,4,FALSE)</f>
        <v>2026-10-16</v>
      </c>
      <c r="X38" s="57">
        <f>((T38-W38)+1)</f>
        <v>13</v>
      </c>
      <c r="Y38" s="59">
        <f>IF(AND(OR(C38="BKK01",C38="BKK04"),L38="CFS/CY"),0,IF(M38="DG",1,IF(LEFT(C38,3)="LCH",7,IF(C38="BKK02",5,3))))</f>
        <v>7</v>
      </c>
      <c r="Z38" s="57">
        <f>IF(IF(AND(AC38="TML",AB38&gt;0),((T38-W38)+1)-AB38,((T38-W38)+1)-Y38)&gt;0,IF(AND(AC38="TML",AB38&gt;0),((T38-W38)+1)-AB38,((T38-W38)+1)-Y38),0)</f>
        <v>6</v>
      </c>
      <c r="AA38" s="48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750</v>
      </c>
      <c r="AB38" s="53"/>
      <c r="AC38" s="53"/>
      <c r="AD38" s="56">
        <f>IF(M38="DG",3,IF(N38="RF",3,5))+IF(AND(LEFT(C38,3)="BKK",N38="RF",Q38="KTS"),1,0)+IF(Q38="KHS",1,0)</f>
        <v>5</v>
      </c>
      <c r="AE38" s="57">
        <f>(T38-V38)+1</f>
        <v>46324</v>
      </c>
      <c r="AF38" s="57">
        <f>IF(AB38&gt;IF((V38-W38)&gt;0,V38-W38,0),0,IF(AB38&lt;IF((V38-W38)&gt;0,V38-W38,0),IF((V38-W38)&gt;0,V38-W38,0)-AB38,IF((V38-W38)&gt;0,V38-W38,0)))</f>
        <v>0</v>
      </c>
      <c r="AG38" s="48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0"/>
      <c r="AI38" s="60">
        <f>AA38-AH38</f>
        <v>750</v>
      </c>
      <c r="AJ38" s="61"/>
      <c r="AK38" s="55" t="str">
        <f>VLOOKUP(D38,'2.Bookinglist'!A:CT,40,FALSE)</f>
        <v>Dharaporn</v>
      </c>
      <c r="AL38" s="56" t="str">
        <f>VLOOKUP(D38,'2.Bookinglist'!A:CW,101,FALSE)</f>
        <v>2026-10-14</v>
      </c>
      <c r="AM38" s="56" t="str">
        <f>VLOOKUP(D38,'2.Bookinglist'!A:BK,63,FALSE)</f>
        <v>LCHY5</v>
      </c>
      <c r="AN38" s="55" t="str">
        <f>VLOOKUP(D38,'2.Bookinglist'!A:AZ,52,FALSE)</f>
        <v>[FIX][FIX][FIX]SURVEY+CY :09/10/2026 RTN :10/10/2026
REQUEST SEA BULK CONTAIER + SURVEY EMPTY BEFORE PICK UP
</v>
      </c>
      <c r="AO38" s="55">
        <f>VLOOKUP(D38,'2.Bookinglist'!A:CY,103,FALSE)</f>
        <v>0</v>
      </c>
    </row>
    <row r="39" ht="12.95" customHeight="1" spans="1:41" x14ac:dyDescent="0.25">
      <c r="A39" s="3" t="s">
        <v>581</v>
      </c>
      <c r="B39" s="53" t="str">
        <f>IF(C39=Charge!$M$1,Charge!$J$1,IF(C39=Charge!$M$23,Charge!$J$23,IF(C39=Charge!$M$17,Charge!$J$17,IF(C39=Charge!$N$17,Charge!$J$17,Charge!$J$7))))</f>
        <v>G2</v>
      </c>
      <c r="C39" s="54" t="str">
        <f>VLOOKUP(A39,'1.Loading'!A:R,14,FALSE)</f>
        <v>LCH06</v>
      </c>
      <c r="D39" s="54" t="str">
        <f>VLOOKUP(A39,'1.Loading'!A:R,17,FALSE)</f>
        <v>HASLS22260901496</v>
      </c>
      <c r="E39" s="55" t="str">
        <f>VLOOKUP(D39,'2.Bookinglist'!A:CT,27,FALSE)</f>
        <v>WHA GC LOGISTICS COMPANY LIMITED</v>
      </c>
      <c r="F39" s="55" t="str">
        <f>VLOOKUP(D39,'2.Bookinglist'!A:CT,28,FALSE)</f>
        <v>PTT GLOBAL CHEMICAL PUBLIC COMPANY LIMITED</v>
      </c>
      <c r="G39" s="56">
        <f>VLOOKUP(D39,'2.Bookinglist'!A:E,5,FALSE)</f>
        <v>0</v>
      </c>
      <c r="H39" s="54" t="str">
        <f>VLOOKUP(D39,'2.Bookinglist'!A:CT,15,FALSE)</f>
        <v>THLCH</v>
      </c>
      <c r="I39" s="54" t="str">
        <f>VLOOKUP(D39,'2.Bookinglist'!A:CT,19,FALSE)</f>
        <v>JPNGO</v>
      </c>
      <c r="J39" s="54" t="str">
        <f>VLOOKUP(D39,'2.Bookinglist'!A:CT,26,FALSE)</f>
        <v>KRPUS</v>
      </c>
      <c r="K39" s="54" t="str">
        <f>VLOOKUP(A39,'1.Loading'!A:R,5,FALSE)</f>
        <v>22GP</v>
      </c>
      <c r="L39" s="56" t="str">
        <f>VLOOKUP(D39,'2.Bookinglist'!A:CT,85,FALSE)</f>
        <v>CY/CY</v>
      </c>
      <c r="M39" s="56" t="str">
        <f>IF(VLOOKUP(D39,'2.Bookinglist'!A:CT,43,FALSE)=0,"","DG")</f>
        <v/>
      </c>
      <c r="N39" s="56" t="str">
        <f>IF(RIGHT(K39,2)="RE","RF","")</f>
        <v/>
      </c>
      <c r="O39" s="54" t="str">
        <f>VLOOKUP(A39,'1.Loading'!A:R,3,FALSE)</f>
        <v>HMVY</v>
      </c>
      <c r="P39" s="54" t="str">
        <f>VLOOKUP(A39,'1.Loading'!A:R,4,FALSE)</f>
        <v>2609N</v>
      </c>
      <c r="Q39" s="54" t="str">
        <f>VLOOKUP(D39,'2.Bookinglist'!A:CT,12,FALSE)</f>
        <v>PCI2</v>
      </c>
      <c r="R39" s="56" t="str">
        <f>IF(LEFT(K39,2)="22","20'","40'")</f>
        <v>20'</v>
      </c>
      <c r="S39" s="38"/>
      <c r="T39" s="54" t="str">
        <f>VLOOKUP(A39,'1.Loading'!A:R,2,FALSE)</f>
        <v>2026-10-28</v>
      </c>
      <c r="U39" s="57">
        <f>T39-S39</f>
        <v>46323</v>
      </c>
      <c r="V39" s="58"/>
      <c r="W39" s="54" t="str">
        <f>VLOOKUP(A39,'3.GateMove'!A:D,4,FALSE)</f>
        <v>2026-10-17</v>
      </c>
      <c r="X39" s="57">
        <f>((T39-W39)+1)</f>
        <v>12</v>
      </c>
      <c r="Y39" s="59">
        <f>IF(AND(OR(C39="BKK01",C39="BKK04"),L39="CFS/CY"),0,IF(M39="DG",1,IF(LEFT(C39,3)="LCH",7,IF(C39="BKK02",5,3))))</f>
        <v>7</v>
      </c>
      <c r="Z39" s="57">
        <f>IF(IF(AND(AC39="TML",AB39&gt;0),((T39-W39)+1)-AB39,((T39-W39)+1)-Y39)&gt;0,IF(AND(AC39="TML",AB39&gt;0),((T39-W39)+1)-AB39,((T39-W39)+1)-Y39),0)</f>
        <v>5</v>
      </c>
      <c r="AA39" s="48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625</v>
      </c>
      <c r="AB39" s="53"/>
      <c r="AC39" s="53"/>
      <c r="AD39" s="56">
        <f>IF(M39="DG",3,IF(N39="RF",3,5))+IF(AND(LEFT(C39,3)="BKK",N39="RF",Q39="KTS"),1,0)+IF(Q39="KHS",1,0)</f>
        <v>5</v>
      </c>
      <c r="AE39" s="57">
        <f>(T39-V39)+1</f>
        <v>46324</v>
      </c>
      <c r="AF39" s="57">
        <f>IF(AB39&gt;IF((V39-W39)&gt;0,V39-W39,0),0,IF(AB39&lt;IF((V39-W39)&gt;0,V39-W39,0),IF((V39-W39)&gt;0,V39-W39,0)-AB39,IF((V39-W39)&gt;0,V39-W39,0)))</f>
        <v>0</v>
      </c>
      <c r="AG39" s="48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0"/>
      <c r="AI39" s="60">
        <f>AA39-AH39</f>
        <v>625</v>
      </c>
      <c r="AJ39" s="61"/>
      <c r="AK39" s="55" t="str">
        <f>VLOOKUP(D39,'2.Bookinglist'!A:CT,40,FALSE)</f>
        <v>Dharaporn</v>
      </c>
      <c r="AL39" s="56" t="str">
        <f>VLOOKUP(D39,'2.Bookinglist'!A:CW,101,FALSE)</f>
        <v>2026-10-14</v>
      </c>
      <c r="AM39" s="56" t="str">
        <f>VLOOKUP(D39,'2.Bookinglist'!A:BK,63,FALSE)</f>
        <v>LCHY5</v>
      </c>
      <c r="AN39" s="55" t="str">
        <f>VLOOKUP(D39,'2.Bookinglist'!A:AZ,52,FALSE)</f>
        <v>[FIX][FIX][FIX]SURVEY+CY :07/10/2026 RTN :10/10/2026
REQUEST SEA BULK CONTAIER + SURVEY EMPTY BEFORE PICK UP
</v>
      </c>
      <c r="AO39" s="55">
        <f>VLOOKUP(D39,'2.Bookinglist'!A:CY,103,FALSE)</f>
        <v>0</v>
      </c>
    </row>
    <row r="40" ht="12.95" customHeight="1" spans="1:41" x14ac:dyDescent="0.25">
      <c r="A40" s="3" t="s">
        <v>587</v>
      </c>
      <c r="B40" s="53" t="str">
        <f>IF(C40=Charge!$M$1,Charge!$J$1,IF(C40=Charge!$M$23,Charge!$J$23,IF(C40=Charge!$M$17,Charge!$J$17,IF(C40=Charge!$N$17,Charge!$J$17,Charge!$J$7))))</f>
        <v>G2</v>
      </c>
      <c r="C40" s="54" t="str">
        <f>VLOOKUP(A40,'1.Loading'!A:R,14,FALSE)</f>
        <v>LCH06</v>
      </c>
      <c r="D40" s="54" t="str">
        <f>VLOOKUP(A40,'1.Loading'!A:R,17,FALSE)</f>
        <v>HASLS22261000407</v>
      </c>
      <c r="E40" s="55" t="str">
        <f>VLOOKUP(D40,'2.Bookinglist'!A:CT,27,FALSE)</f>
        <v>WHA GC LOGISTICS COMPANY LIMITED</v>
      </c>
      <c r="F40" s="55" t="str">
        <f>VLOOKUP(D40,'2.Bookinglist'!A:CT,28,FALSE)</f>
        <v>PTT GLOBAL CHEMICAL PUBLIC COMPANY LIMITED</v>
      </c>
      <c r="G40" s="56">
        <f>VLOOKUP(D40,'2.Bookinglist'!A:E,5,FALSE)</f>
        <v>0</v>
      </c>
      <c r="H40" s="54" t="str">
        <f>VLOOKUP(D40,'2.Bookinglist'!A:CT,15,FALSE)</f>
        <v>THLCH</v>
      </c>
      <c r="I40" s="54" t="str">
        <f>VLOOKUP(D40,'2.Bookinglist'!A:CT,19,FALSE)</f>
        <v>JPTYO</v>
      </c>
      <c r="J40" s="54" t="str">
        <f>VLOOKUP(D40,'2.Bookinglist'!A:CT,26,FALSE)</f>
        <v>KRPUS</v>
      </c>
      <c r="K40" s="54" t="str">
        <f>VLOOKUP(A40,'1.Loading'!A:R,5,FALSE)</f>
        <v>22GP</v>
      </c>
      <c r="L40" s="56" t="str">
        <f>VLOOKUP(D40,'2.Bookinglist'!A:CT,85,FALSE)</f>
        <v>CY/CY</v>
      </c>
      <c r="M40" s="56" t="str">
        <f>IF(VLOOKUP(D40,'2.Bookinglist'!A:CT,43,FALSE)=0,"","DG")</f>
        <v/>
      </c>
      <c r="N40" s="56" t="str">
        <f>IF(RIGHT(K40,2)="RE","RF","")</f>
        <v/>
      </c>
      <c r="O40" s="54" t="str">
        <f>VLOOKUP(A40,'1.Loading'!A:R,3,FALSE)</f>
        <v>HMVY</v>
      </c>
      <c r="P40" s="54" t="str">
        <f>VLOOKUP(A40,'1.Loading'!A:R,4,FALSE)</f>
        <v>2609N</v>
      </c>
      <c r="Q40" s="54" t="str">
        <f>VLOOKUP(D40,'2.Bookinglist'!A:CT,12,FALSE)</f>
        <v>PCI2</v>
      </c>
      <c r="R40" s="56" t="str">
        <f>IF(LEFT(K40,2)="22","20'","40'")</f>
        <v>20'</v>
      </c>
      <c r="S40" s="38"/>
      <c r="T40" s="54" t="str">
        <f>VLOOKUP(A40,'1.Loading'!A:R,2,FALSE)</f>
        <v>2026-10-28</v>
      </c>
      <c r="U40" s="57">
        <f>T40-S40</f>
        <v>46323</v>
      </c>
      <c r="V40" s="58"/>
      <c r="W40" s="54" t="str">
        <f>VLOOKUP(A40,'3.GateMove'!A:D,4,FALSE)</f>
        <v>2026-10-19</v>
      </c>
      <c r="X40" s="57">
        <f>((T40-W40)+1)</f>
        <v>10</v>
      </c>
      <c r="Y40" s="59">
        <f>IF(AND(OR(C40="BKK01",C40="BKK04"),L40="CFS/CY"),0,IF(M40="DG",1,IF(LEFT(C40,3)="LCH",7,IF(C40="BKK02",5,3))))</f>
        <v>7</v>
      </c>
      <c r="Z40" s="57">
        <f>IF(IF(AND(AC40="TML",AB40&gt;0),((T40-W40)+1)-AB40,((T40-W40)+1)-Y40)&gt;0,IF(AND(AC40="TML",AB40&gt;0),((T40-W40)+1)-AB40,((T40-W40)+1)-Y40),0)</f>
        <v>3</v>
      </c>
      <c r="AA40" s="48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375</v>
      </c>
      <c r="AB40" s="53"/>
      <c r="AC40" s="53"/>
      <c r="AD40" s="56">
        <f>IF(M40="DG",3,IF(N40="RF",3,5))+IF(AND(LEFT(C40,3)="BKK",N40="RF",Q40="KTS"),1,0)+IF(Q40="KHS",1,0)</f>
        <v>5</v>
      </c>
      <c r="AE40" s="57">
        <f>(T40-V40)+1</f>
        <v>46324</v>
      </c>
      <c r="AF40" s="57">
        <f>IF(AB40&gt;IF((V40-W40)&gt;0,V40-W40,0),0,IF(AB40&lt;IF((V40-W40)&gt;0,V40-W40,0),IF((V40-W40)&gt;0,V40-W40,0)-AB40,IF((V40-W40)&gt;0,V40-W40,0)))</f>
        <v>0</v>
      </c>
      <c r="AG40" s="48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0"/>
      <c r="AI40" s="60">
        <f>AA40-AH40</f>
        <v>375</v>
      </c>
      <c r="AJ40" s="61"/>
      <c r="AK40" s="55" t="str">
        <f>VLOOKUP(D40,'2.Bookinglist'!A:CT,40,FALSE)</f>
        <v>Dharaporn</v>
      </c>
      <c r="AL40" s="56" t="str">
        <f>VLOOKUP(D40,'2.Bookinglist'!A:CW,101,FALSE)</f>
        <v>2026-10-14</v>
      </c>
      <c r="AM40" s="56" t="str">
        <f>VLOOKUP(D40,'2.Bookinglist'!A:BK,63,FALSE)</f>
        <v>LCHY5</v>
      </c>
      <c r="AN40" s="55" t="str">
        <f>VLOOKUP(D40,'2.Bookinglist'!A:AZ,52,FALSE)</f>
        <v>[FIX][FIX][FIX]SURVEY 14/10/2026 CY-RTN 14-18/10/26 (PR2610003991 )
**CHECK OPENGATE BEFORE RETURN CNTR**
</v>
      </c>
      <c r="AO40" s="55">
        <f>VLOOKUP(D40,'2.Bookinglist'!A:CY,103,FALSE)</f>
        <v>0</v>
      </c>
    </row>
    <row r="41" ht="12.95" customHeight="1" spans="1:41" x14ac:dyDescent="0.25">
      <c r="A41" s="3" t="s">
        <v>591</v>
      </c>
      <c r="B41" s="53" t="str">
        <f>IF(C41=Charge!$M$1,Charge!$J$1,IF(C41=Charge!$M$23,Charge!$J$23,IF(C41=Charge!$M$17,Charge!$J$17,IF(C41=Charge!$N$17,Charge!$J$17,Charge!$J$7))))</f>
        <v>G2</v>
      </c>
      <c r="C41" s="54" t="str">
        <f>VLOOKUP(A41,'1.Loading'!A:R,14,FALSE)</f>
        <v>LCH06</v>
      </c>
      <c r="D41" s="54" t="str">
        <f>VLOOKUP(A41,'1.Loading'!A:R,17,FALSE)</f>
        <v>HASLS22260902103</v>
      </c>
      <c r="E41" s="55" t="str">
        <f>VLOOKUP(D41,'2.Bookinglist'!A:CT,27,FALSE)</f>
        <v>MAJOR FREIGHT INTERNATIONAL CO., LTD.</v>
      </c>
      <c r="F41" s="55" t="str">
        <f>VLOOKUP(D41,'2.Bookinglist'!A:CT,28,FALSE)</f>
        <v>PRANBURI FRUIT INDUSTRIAL.LTD.PART</v>
      </c>
      <c r="G41" s="56" t="str">
        <f>VLOOKUP(D41,'2.Bookinglist'!A:E,5,FALSE)</f>
        <v>THSRP</v>
      </c>
      <c r="H41" s="54" t="str">
        <f>VLOOKUP(D41,'2.Bookinglist'!A:CT,15,FALSE)</f>
        <v>THLCH</v>
      </c>
      <c r="I41" s="54" t="str">
        <f>VLOOKUP(D41,'2.Bookinglist'!A:CT,19,FALSE)</f>
        <v>CNSHA</v>
      </c>
      <c r="J41" s="54">
        <f>VLOOKUP(D41,'2.Bookinglist'!A:CT,26,FALSE)</f>
        <v>0</v>
      </c>
      <c r="K41" s="54" t="str">
        <f>VLOOKUP(A41,'1.Loading'!A:R,5,FALSE)</f>
        <v>22GP</v>
      </c>
      <c r="L41" s="56" t="str">
        <f>VLOOKUP(D41,'2.Bookinglist'!A:CT,85,FALSE)</f>
        <v>CY/CY</v>
      </c>
      <c r="M41" s="56" t="str">
        <f>IF(VLOOKUP(D41,'2.Bookinglist'!A:CT,43,FALSE)=0,"","DG")</f>
        <v/>
      </c>
      <c r="N41" s="56" t="str">
        <f>IF(RIGHT(K41,2)="RE","RF","")</f>
        <v/>
      </c>
      <c r="O41" s="54" t="str">
        <f>VLOOKUP(A41,'1.Loading'!A:R,3,FALSE)</f>
        <v>HMVY</v>
      </c>
      <c r="P41" s="54" t="str">
        <f>VLOOKUP(A41,'1.Loading'!A:R,4,FALSE)</f>
        <v>2609N</v>
      </c>
      <c r="Q41" s="54" t="str">
        <f>VLOOKUP(D41,'2.Bookinglist'!A:CT,12,FALSE)</f>
        <v>PCI2</v>
      </c>
      <c r="R41" s="56" t="str">
        <f>IF(LEFT(K41,2)="22","20'","40'")</f>
        <v>20'</v>
      </c>
      <c r="S41" s="38"/>
      <c r="T41" s="54" t="str">
        <f>VLOOKUP(A41,'1.Loading'!A:R,2,FALSE)</f>
        <v>2026-10-28</v>
      </c>
      <c r="U41" s="57">
        <f>T41-S41</f>
        <v>46323</v>
      </c>
      <c r="V41" s="58"/>
      <c r="W41" s="54" t="str">
        <f>VLOOKUP(A41,'3.GateMove'!A:D,4,FALSE)</f>
        <v>2026-10-23</v>
      </c>
      <c r="X41" s="57">
        <f>((T41-W41)+1)</f>
        <v>6</v>
      </c>
      <c r="Y41" s="59">
        <f>IF(AND(OR(C41="BKK01",C41="BKK04"),L41="CFS/CY"),0,IF(M41="DG",1,IF(LEFT(C41,3)="LCH",7,IF(C41="BKK02",5,3))))</f>
        <v>7</v>
      </c>
      <c r="Z41" s="57">
        <f>IF(IF(AND(AC41="TML",AB41&gt;0),((T41-W41)+1)-AB41,((T41-W41)+1)-Y41)&gt;0,IF(AND(AC41="TML",AB41&gt;0),((T41-W41)+1)-AB41,((T41-W41)+1)-Y41),0)</f>
        <v>0</v>
      </c>
      <c r="AA41" s="48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53"/>
      <c r="AC41" s="53"/>
      <c r="AD41" s="56">
        <f>IF(M41="DG",3,IF(N41="RF",3,5))+IF(AND(LEFT(C41,3)="BKK",N41="RF",Q41="KTS"),1,0)+IF(Q41="KHS",1,0)</f>
        <v>5</v>
      </c>
      <c r="AE41" s="57">
        <f>(T41-V41)+1</f>
        <v>46324</v>
      </c>
      <c r="AF41" s="57">
        <f>IF(AB41&gt;IF((V41-W41)&gt;0,V41-W41,0),0,IF(AB41&lt;IF((V41-W41)&gt;0,V41-W41,0),IF((V41-W41)&gt;0,V41-W41,0)-AB41,IF((V41-W41)&gt;0,V41-W41,0)))</f>
        <v>0</v>
      </c>
      <c r="AG41" s="48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0"/>
      <c r="AI41" s="60">
        <f>AA41-AH41</f>
        <v>0</v>
      </c>
      <c r="AJ41" s="61"/>
      <c r="AK41" s="55" t="str">
        <f>VLOOKUP(D41,'2.Bookinglist'!A:CT,40,FALSE)</f>
        <v>Nannaapust Sukporntaweewat</v>
      </c>
      <c r="AL41" s="56" t="str">
        <f>VLOOKUP(D41,'2.Bookinglist'!A:CW,101,FALSE)</f>
        <v>2026-10-17</v>
      </c>
      <c r="AM41" s="56" t="str">
        <f>VLOOKUP(D41,'2.Bookinglist'!A:BK,63,FALSE)</f>
        <v>BKK27</v>
      </c>
      <c r="AN41" s="55" t="str">
        <f>VLOOKUP(D41,'2.Bookinglist'!A:AZ,52,FALSE)</f>
        <v>Pickup : 2026-10-15, Return SRP  : 2026-10-16 [PAPERLESS CODE 2829]
CLS TIME 19/10/26 @13.00</v>
      </c>
      <c r="AO41" s="55">
        <f>VLOOKUP(D41,'2.Bookinglist'!A:CY,103,FALSE)</f>
        <v>0</v>
      </c>
    </row>
    <row r="42" ht="12.95" customHeight="1" spans="1:41" x14ac:dyDescent="0.25">
      <c r="A42" s="3" t="s">
        <v>582</v>
      </c>
      <c r="B42" s="53" t="str">
        <f>IF(C42=Charge!$M$1,Charge!$J$1,IF(C42=Charge!$M$23,Charge!$J$23,IF(C42=Charge!$M$17,Charge!$J$17,IF(C42=Charge!$N$17,Charge!$J$17,Charge!$J$7))))</f>
        <v>G2</v>
      </c>
      <c r="C42" s="54" t="str">
        <f>VLOOKUP(A42,'1.Loading'!A:R,14,FALSE)</f>
        <v>LCH06</v>
      </c>
      <c r="D42" s="54" t="str">
        <f>VLOOKUP(A42,'1.Loading'!A:R,17,FALSE)</f>
        <v>HASLS22261001400</v>
      </c>
      <c r="E42" s="55" t="str">
        <f>VLOOKUP(D42,'2.Bookinglist'!A:CT,27,FALSE)</f>
        <v>DOLPHIN LOGISTICS (THAILAND) CO., LTD.</v>
      </c>
      <c r="F42" s="55" t="str">
        <f>VLOOKUP(D42,'2.Bookinglist'!A:CT,28,FALSE)</f>
        <v>SODICK (THAILAND) CO., LTD.</v>
      </c>
      <c r="G42" s="56" t="str">
        <f>VLOOKUP(D42,'2.Bookinglist'!A:E,5,FALSE)</f>
        <v>THSRP</v>
      </c>
      <c r="H42" s="54" t="str">
        <f>VLOOKUP(D42,'2.Bookinglist'!A:CT,15,FALSE)</f>
        <v>THLCH</v>
      </c>
      <c r="I42" s="54" t="str">
        <f>VLOOKUP(D42,'2.Bookinglist'!A:CT,19,FALSE)</f>
        <v>CNSHA</v>
      </c>
      <c r="J42" s="54">
        <f>VLOOKUP(D42,'2.Bookinglist'!A:CT,26,FALSE)</f>
        <v>0</v>
      </c>
      <c r="K42" s="54" t="str">
        <f>VLOOKUP(A42,'1.Loading'!A:R,5,FALSE)</f>
        <v>22GP</v>
      </c>
      <c r="L42" s="56" t="str">
        <f>VLOOKUP(D42,'2.Bookinglist'!A:CT,85,FALSE)</f>
        <v>CY/CY</v>
      </c>
      <c r="M42" s="56" t="str">
        <f>IF(VLOOKUP(D42,'2.Bookinglist'!A:CT,43,FALSE)=0,"","DG")</f>
        <v/>
      </c>
      <c r="N42" s="56" t="str">
        <f>IF(RIGHT(K42,2)="RE","RF","")</f>
        <v/>
      </c>
      <c r="O42" s="54" t="str">
        <f>VLOOKUP(A42,'1.Loading'!A:R,3,FALSE)</f>
        <v>HMVY</v>
      </c>
      <c r="P42" s="54" t="str">
        <f>VLOOKUP(A42,'1.Loading'!A:R,4,FALSE)</f>
        <v>2609N</v>
      </c>
      <c r="Q42" s="54" t="str">
        <f>VLOOKUP(D42,'2.Bookinglist'!A:CT,12,FALSE)</f>
        <v>PCI2</v>
      </c>
      <c r="R42" s="56" t="str">
        <f>IF(LEFT(K42,2)="22","20'","40'")</f>
        <v>20'</v>
      </c>
      <c r="S42" s="38"/>
      <c r="T42" s="54" t="str">
        <f>VLOOKUP(A42,'1.Loading'!A:R,2,FALSE)</f>
        <v>2026-10-28</v>
      </c>
      <c r="U42" s="57">
        <f>T42-S42</f>
        <v>46323</v>
      </c>
      <c r="V42" s="58"/>
      <c r="W42" s="54" t="str">
        <f>VLOOKUP(A42,'3.GateMove'!A:D,4,FALSE)</f>
        <v>2026-10-23</v>
      </c>
      <c r="X42" s="57">
        <f>((T42-W42)+1)</f>
        <v>6</v>
      </c>
      <c r="Y42" s="59">
        <f>IF(AND(OR(C42="BKK01",C42="BKK04"),L42="CFS/CY"),0,IF(M42="DG",1,IF(LEFT(C42,3)="LCH",7,IF(C42="BKK02",5,3))))</f>
        <v>7</v>
      </c>
      <c r="Z42" s="57">
        <f>IF(IF(AND(AC42="TML",AB42&gt;0),((T42-W42)+1)-AB42,((T42-W42)+1)-Y42)&gt;0,IF(AND(AC42="TML",AB42&gt;0),((T42-W42)+1)-AB42,((T42-W42)+1)-Y42),0)</f>
        <v>0</v>
      </c>
      <c r="AA42" s="48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53"/>
      <c r="AC42" s="53"/>
      <c r="AD42" s="56">
        <f>IF(M42="DG",3,IF(N42="RF",3,5))+IF(AND(LEFT(C42,3)="BKK",N42="RF",Q42="KTS"),1,0)+IF(Q42="KHS",1,0)</f>
        <v>5</v>
      </c>
      <c r="AE42" s="57">
        <f>(T42-V42)+1</f>
        <v>46324</v>
      </c>
      <c r="AF42" s="57">
        <f>IF(AB42&gt;IF((V42-W42)&gt;0,V42-W42,0),0,IF(AB42&lt;IF((V42-W42)&gt;0,V42-W42,0),IF((V42-W42)&gt;0,V42-W42,0)-AB42,IF((V42-W42)&gt;0,V42-W42,0)))</f>
        <v>0</v>
      </c>
      <c r="AG42" s="48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0"/>
      <c r="AI42" s="60">
        <f>AA42-AH42</f>
        <v>0</v>
      </c>
      <c r="AJ42" s="61"/>
      <c r="AK42" s="55" t="str">
        <f>VLOOKUP(D42,'2.Bookinglist'!A:CT,40,FALSE)</f>
        <v>Sukunpoj Damrongying</v>
      </c>
      <c r="AL42" s="56" t="str">
        <f>VLOOKUP(D42,'2.Bookinglist'!A:CW,101,FALSE)</f>
        <v>2026-10-27</v>
      </c>
      <c r="AM42" s="56" t="str">
        <f>VLOOKUP(D42,'2.Bookinglist'!A:BK,63,FALSE)</f>
        <v>BKK27</v>
      </c>
      <c r="AN42" s="55" t="str">
        <f>VLOOKUP(D42,'2.Bookinglist'!A:AZ,52,FALSE)</f>
        <v>Pickup : 2026-10-21, Return : 2026-10-21 (PAPERLESS CODE : 2829)
CLS TIME @SRP : 24/10/2026 @12.00 [1ST RTN : 21/10/2026 SUBJECT TO DELAY]</v>
      </c>
      <c r="AO42" s="55">
        <f>VLOOKUP(D42,'2.Bookinglist'!A:CY,103,FALSE)</f>
        <v>0</v>
      </c>
    </row>
    <row r="43" ht="12.95" customHeight="1" spans="1:41" x14ac:dyDescent="0.25">
      <c r="A43" s="3" t="s">
        <v>589</v>
      </c>
      <c r="B43" s="53" t="str">
        <f>IF(C43=Charge!$M$1,Charge!$J$1,IF(C43=Charge!$M$23,Charge!$J$23,IF(C43=Charge!$M$17,Charge!$J$17,IF(C43=Charge!$N$17,Charge!$J$17,Charge!$J$7))))</f>
        <v>G2</v>
      </c>
      <c r="C43" s="54" t="str">
        <f>VLOOKUP(A43,'1.Loading'!A:R,14,FALSE)</f>
        <v>LCH06</v>
      </c>
      <c r="D43" s="54" t="str">
        <f>VLOOKUP(A43,'1.Loading'!A:R,17,FALSE)</f>
        <v>HASLS22260902236</v>
      </c>
      <c r="E43" s="55" t="str">
        <f>VLOOKUP(D43,'2.Bookinglist'!A:CT,27,FALSE)</f>
        <v>UBE CHEMICALS (ASIA) PUBLIC COMPANY LIMITED</v>
      </c>
      <c r="F43" s="55" t="str">
        <f>VLOOKUP(D43,'2.Bookinglist'!A:CT,28,FALSE)</f>
        <v>UBE CHEMICALS (ASIA) PUBLIC COMPANY LIMITED</v>
      </c>
      <c r="G43" s="56">
        <f>VLOOKUP(D43,'2.Bookinglist'!A:E,5,FALSE)</f>
        <v>0</v>
      </c>
      <c r="H43" s="54" t="str">
        <f>VLOOKUP(D43,'2.Bookinglist'!A:CT,15,FALSE)</f>
        <v>THLCH</v>
      </c>
      <c r="I43" s="54" t="str">
        <f>VLOOKUP(D43,'2.Bookinglist'!A:CT,19,FALSE)</f>
        <v>KRPUS</v>
      </c>
      <c r="J43" s="54">
        <f>VLOOKUP(D43,'2.Bookinglist'!A:CT,26,FALSE)</f>
        <v>0</v>
      </c>
      <c r="K43" s="54" t="str">
        <f>VLOOKUP(A43,'1.Loading'!A:R,5,FALSE)</f>
        <v>22GP</v>
      </c>
      <c r="L43" s="56" t="str">
        <f>VLOOKUP(D43,'2.Bookinglist'!A:CT,85,FALSE)</f>
        <v>CY/CY</v>
      </c>
      <c r="M43" s="56" t="str">
        <f>IF(VLOOKUP(D43,'2.Bookinglist'!A:CT,43,FALSE)=0,"","DG")</f>
        <v/>
      </c>
      <c r="N43" s="56" t="str">
        <f>IF(RIGHT(K43,2)="RE","RF","")</f>
        <v/>
      </c>
      <c r="O43" s="54" t="str">
        <f>VLOOKUP(A43,'1.Loading'!A:R,3,FALSE)</f>
        <v>HMVY</v>
      </c>
      <c r="P43" s="54" t="str">
        <f>VLOOKUP(A43,'1.Loading'!A:R,4,FALSE)</f>
        <v>2609N</v>
      </c>
      <c r="Q43" s="54" t="str">
        <f>VLOOKUP(D43,'2.Bookinglist'!A:CT,12,FALSE)</f>
        <v>PCI2</v>
      </c>
      <c r="R43" s="56" t="str">
        <f>IF(LEFT(K43,2)="22","20'","40'")</f>
        <v>20'</v>
      </c>
      <c r="S43" s="38"/>
      <c r="T43" s="54" t="str">
        <f>VLOOKUP(A43,'1.Loading'!A:R,2,FALSE)</f>
        <v>2026-10-28</v>
      </c>
      <c r="U43" s="57">
        <f>T43-S43</f>
        <v>46323</v>
      </c>
      <c r="V43" s="58"/>
      <c r="W43" s="54" t="str">
        <f>VLOOKUP(A43,'3.GateMove'!A:D,4,FALSE)</f>
        <v>2026-10-19</v>
      </c>
      <c r="X43" s="57">
        <f>((T43-W43)+1)</f>
        <v>10</v>
      </c>
      <c r="Y43" s="59">
        <f>IF(AND(OR(C43="BKK01",C43="BKK04"),L43="CFS/CY"),0,IF(M43="DG",1,IF(LEFT(C43,3)="LCH",7,IF(C43="BKK02",5,3))))</f>
        <v>7</v>
      </c>
      <c r="Z43" s="57">
        <f>IF(IF(AND(AC43="TML",AB43&gt;0),((T43-W43)+1)-AB43,((T43-W43)+1)-Y43)&gt;0,IF(AND(AC43="TML",AB43&gt;0),((T43-W43)+1)-AB43,((T43-W43)+1)-Y43),0)</f>
        <v>3</v>
      </c>
      <c r="AA43" s="48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375</v>
      </c>
      <c r="AB43" s="53"/>
      <c r="AC43" s="53"/>
      <c r="AD43" s="56">
        <f>IF(M43="DG",3,IF(N43="RF",3,5))+IF(AND(LEFT(C43,3)="BKK",N43="RF",Q43="KTS"),1,0)+IF(Q43="KHS",1,0)</f>
        <v>5</v>
      </c>
      <c r="AE43" s="57">
        <f>(T43-V43)+1</f>
        <v>46324</v>
      </c>
      <c r="AF43" s="57">
        <f>IF(AB43&gt;IF((V43-W43)&gt;0,V43-W43,0),0,IF(AB43&lt;IF((V43-W43)&gt;0,V43-W43,0),IF((V43-W43)&gt;0,V43-W43,0)-AB43,IF((V43-W43)&gt;0,V43-W43,0)))</f>
        <v>0</v>
      </c>
      <c r="AG43" s="48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0"/>
      <c r="AI43" s="60">
        <f>AA43-AH43</f>
        <v>375</v>
      </c>
      <c r="AJ43" s="61"/>
      <c r="AK43" s="55" t="str">
        <f>VLOOKUP(D43,'2.Bookinglist'!A:CT,40,FALSE)</f>
        <v>Tarn(Supaporn)</v>
      </c>
      <c r="AL43" s="56" t="str">
        <f>VLOOKUP(D43,'2.Bookinglist'!A:CW,101,FALSE)</f>
        <v>2026-10-18</v>
      </c>
      <c r="AM43" s="56" t="str">
        <f>VLOOKUP(D43,'2.Bookinglist'!A:BK,63,FALSE)</f>
        <v>LCHY5</v>
      </c>
      <c r="AN43" s="55" t="str">
        <f>VLOOKUP(D43,'2.Bookinglist'!A:AZ,52,FALSE)</f>
        <v>CY-RTN 10-12/10/26 (2002054624)
*PLD CHECK OPEN GATE BEFORE ERTURN CTNR*</v>
      </c>
      <c r="AO43" s="55">
        <f>VLOOKUP(D43,'2.Bookinglist'!A:CY,103,FALSE)</f>
        <v>0</v>
      </c>
    </row>
    <row r="44" ht="12.95" customHeight="1" spans="1:41" x14ac:dyDescent="0.25">
      <c r="A44" s="3" t="s">
        <v>600</v>
      </c>
      <c r="B44" s="53" t="str">
        <f>IF(C44=Charge!$M$1,Charge!$J$1,IF(C44=Charge!$M$23,Charge!$J$23,IF(C44=Charge!$M$17,Charge!$J$17,IF(C44=Charge!$N$17,Charge!$J$17,Charge!$J$7))))</f>
        <v>G2</v>
      </c>
      <c r="C44" s="54" t="str">
        <f>VLOOKUP(A44,'1.Loading'!A:R,14,FALSE)</f>
        <v>LCH06</v>
      </c>
      <c r="D44" s="54" t="str">
        <f>VLOOKUP(A44,'1.Loading'!A:R,17,FALSE)</f>
        <v>HASLS22261000756</v>
      </c>
      <c r="E44" s="55" t="str">
        <f>VLOOKUP(D44,'2.Bookinglist'!A:CT,27,FALSE)</f>
        <v>TOP INTER FREIGHT CO., LTD.</v>
      </c>
      <c r="F44" s="55" t="str">
        <f>VLOOKUP(D44,'2.Bookinglist'!A:CT,28,FALSE)</f>
        <v>TOP PREMIUM STARCH CO., LTD.</v>
      </c>
      <c r="G44" s="56" t="str">
        <f>VLOOKUP(D44,'2.Bookinglist'!A:E,5,FALSE)</f>
        <v>THLKR</v>
      </c>
      <c r="H44" s="54" t="str">
        <f>VLOOKUP(D44,'2.Bookinglist'!A:CT,15,FALSE)</f>
        <v>THLCH</v>
      </c>
      <c r="I44" s="54" t="str">
        <f>VLOOKUP(D44,'2.Bookinglist'!A:CT,19,FALSE)</f>
        <v>CNSHA</v>
      </c>
      <c r="J44" s="54">
        <f>VLOOKUP(D44,'2.Bookinglist'!A:CT,26,FALSE)</f>
        <v>0</v>
      </c>
      <c r="K44" s="54" t="str">
        <f>VLOOKUP(A44,'1.Loading'!A:R,5,FALSE)</f>
        <v>22GP</v>
      </c>
      <c r="L44" s="56" t="str">
        <f>VLOOKUP(D44,'2.Bookinglist'!A:CT,85,FALSE)</f>
        <v>CFS/CY</v>
      </c>
      <c r="M44" s="56" t="str">
        <f>IF(VLOOKUP(D44,'2.Bookinglist'!A:CT,43,FALSE)=0,"","DG")</f>
        <v/>
      </c>
      <c r="N44" s="56" t="str">
        <f>IF(RIGHT(K44,2)="RE","RF","")</f>
        <v/>
      </c>
      <c r="O44" s="54" t="str">
        <f>VLOOKUP(A44,'1.Loading'!A:R,3,FALSE)</f>
        <v>HMVY</v>
      </c>
      <c r="P44" s="54" t="str">
        <f>VLOOKUP(A44,'1.Loading'!A:R,4,FALSE)</f>
        <v>2609N</v>
      </c>
      <c r="Q44" s="54" t="str">
        <f>VLOOKUP(D44,'2.Bookinglist'!A:CT,12,FALSE)</f>
        <v>PCI2</v>
      </c>
      <c r="R44" s="56" t="str">
        <f>IF(LEFT(K44,2)="22","20'","40'")</f>
        <v>20'</v>
      </c>
      <c r="S44" s="38"/>
      <c r="T44" s="54" t="str">
        <f>VLOOKUP(A44,'1.Loading'!A:R,2,FALSE)</f>
        <v>2026-10-28</v>
      </c>
      <c r="U44" s="57">
        <f>T44-S44</f>
        <v>46323</v>
      </c>
      <c r="V44" s="58"/>
      <c r="W44" s="54" t="str">
        <f>VLOOKUP(A44,'3.GateMove'!A:D,4,FALSE)</f>
        <v>2026-10-21</v>
      </c>
      <c r="X44" s="57">
        <f>((T44-W44)+1)</f>
        <v>8</v>
      </c>
      <c r="Y44" s="59">
        <f>IF(AND(OR(C44="BKK01",C44="BKK04"),L44="CFS/CY"),0,IF(M44="DG",1,IF(LEFT(C44,3)="LCH",7,IF(C44="BKK02",5,3))))</f>
        <v>7</v>
      </c>
      <c r="Z44" s="57">
        <f>IF(IF(AND(AC44="TML",AB44&gt;0),((T44-W44)+1)-AB44,((T44-W44)+1)-Y44)&gt;0,IF(AND(AC44="TML",AB44&gt;0),((T44-W44)+1)-AB44,((T44-W44)+1)-Y44),0)</f>
        <v>1</v>
      </c>
      <c r="AA44" s="48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125</v>
      </c>
      <c r="AB44" s="53"/>
      <c r="AC44" s="53"/>
      <c r="AD44" s="56">
        <f>IF(M44="DG",3,IF(N44="RF",3,5))+IF(AND(LEFT(C44,3)="BKK",N44="RF",Q44="KTS"),1,0)+IF(Q44="KHS",1,0)</f>
        <v>5</v>
      </c>
      <c r="AE44" s="57">
        <f>(T44-V44)+1</f>
        <v>46324</v>
      </c>
      <c r="AF44" s="57">
        <f>IF(AB44&gt;IF((V44-W44)&gt;0,V44-W44,0),0,IF(AB44&lt;IF((V44-W44)&gt;0,V44-W44,0),IF((V44-W44)&gt;0,V44-W44,0)-AB44,IF((V44-W44)&gt;0,V44-W44,0)))</f>
        <v>0</v>
      </c>
      <c r="AG44" s="48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0"/>
      <c r="AI44" s="60">
        <f>AA44-AH44</f>
        <v>125</v>
      </c>
      <c r="AJ44" s="61"/>
      <c r="AK44" s="55" t="str">
        <f>VLOOKUP(D44,'2.Bookinglist'!A:CT,40,FALSE)</f>
        <v>Arunphat W. (Aiw)</v>
      </c>
      <c r="AL44" s="56" t="str">
        <f>VLOOKUP(D44,'2.Bookinglist'!A:CW,101,FALSE)</f>
        <v>2026-10-22</v>
      </c>
      <c r="AM44" s="56" t="str">
        <f>VLOOKUP(D44,'2.Bookinglist'!A:BK,63,FALSE)</f>
        <v>LCH54</v>
      </c>
      <c r="AN44" s="55" t="str">
        <f>VLOOKUP(D44,'2.Bookinglist'!A:AZ,52,FALSE)</f>
        <v>STUFFING CARGO AT TIFFA ICD DD.16-17/10/26 [PAPERLESS CODE 2829]
CLS TIME 19/10/26 @17.00</v>
      </c>
      <c r="AO44" s="55">
        <f>VLOOKUP(D44,'2.Bookinglist'!A:CY,103,FALSE)</f>
        <v>0</v>
      </c>
    </row>
    <row r="45" ht="12.95" customHeight="1" spans="1:41" x14ac:dyDescent="0.25">
      <c r="A45" s="3" t="s">
        <v>601</v>
      </c>
      <c r="B45" s="53" t="str">
        <f>IF(C45=Charge!$M$1,Charge!$J$1,IF(C45=Charge!$M$23,Charge!$J$23,IF(C45=Charge!$M$17,Charge!$J$17,IF(C45=Charge!$N$17,Charge!$J$17,Charge!$J$7))))</f>
        <v>G2</v>
      </c>
      <c r="C45" s="54" t="str">
        <f>VLOOKUP(A45,'1.Loading'!A:R,14,FALSE)</f>
        <v>LCH06</v>
      </c>
      <c r="D45" s="54" t="str">
        <f>VLOOKUP(A45,'1.Loading'!A:R,17,FALSE)</f>
        <v>HASLS22260901496</v>
      </c>
      <c r="E45" s="55" t="str">
        <f>VLOOKUP(D45,'2.Bookinglist'!A:CT,27,FALSE)</f>
        <v>WHA GC LOGISTICS COMPANY LIMITED</v>
      </c>
      <c r="F45" s="55" t="str">
        <f>VLOOKUP(D45,'2.Bookinglist'!A:CT,28,FALSE)</f>
        <v>PTT GLOBAL CHEMICAL PUBLIC COMPANY LIMITED</v>
      </c>
      <c r="G45" s="56">
        <f>VLOOKUP(D45,'2.Bookinglist'!A:E,5,FALSE)</f>
        <v>0</v>
      </c>
      <c r="H45" s="54" t="str">
        <f>VLOOKUP(D45,'2.Bookinglist'!A:CT,15,FALSE)</f>
        <v>THLCH</v>
      </c>
      <c r="I45" s="54" t="str">
        <f>VLOOKUP(D45,'2.Bookinglist'!A:CT,19,FALSE)</f>
        <v>JPNGO</v>
      </c>
      <c r="J45" s="54" t="str">
        <f>VLOOKUP(D45,'2.Bookinglist'!A:CT,26,FALSE)</f>
        <v>KRPUS</v>
      </c>
      <c r="K45" s="54" t="str">
        <f>VLOOKUP(A45,'1.Loading'!A:R,5,FALSE)</f>
        <v>22GP</v>
      </c>
      <c r="L45" s="56" t="str">
        <f>VLOOKUP(D45,'2.Bookinglist'!A:CT,85,FALSE)</f>
        <v>CY/CY</v>
      </c>
      <c r="M45" s="56" t="str">
        <f>IF(VLOOKUP(D45,'2.Bookinglist'!A:CT,43,FALSE)=0,"","DG")</f>
        <v/>
      </c>
      <c r="N45" s="56" t="str">
        <f>IF(RIGHT(K45,2)="RE","RF","")</f>
        <v/>
      </c>
      <c r="O45" s="54" t="str">
        <f>VLOOKUP(A45,'1.Loading'!A:R,3,FALSE)</f>
        <v>HMVY</v>
      </c>
      <c r="P45" s="54" t="str">
        <f>VLOOKUP(A45,'1.Loading'!A:R,4,FALSE)</f>
        <v>2609N</v>
      </c>
      <c r="Q45" s="54" t="str">
        <f>VLOOKUP(D45,'2.Bookinglist'!A:CT,12,FALSE)</f>
        <v>PCI2</v>
      </c>
      <c r="R45" s="56" t="str">
        <f>IF(LEFT(K45,2)="22","20'","40'")</f>
        <v>20'</v>
      </c>
      <c r="S45" s="38"/>
      <c r="T45" s="54" t="str">
        <f>VLOOKUP(A45,'1.Loading'!A:R,2,FALSE)</f>
        <v>2026-10-28</v>
      </c>
      <c r="U45" s="57">
        <f>T45-S45</f>
        <v>46323</v>
      </c>
      <c r="V45" s="58"/>
      <c r="W45" s="54" t="str">
        <f>VLOOKUP(A45,'3.GateMove'!A:D,4,FALSE)</f>
        <v>2026-10-19</v>
      </c>
      <c r="X45" s="57">
        <f>((T45-W45)+1)</f>
        <v>10</v>
      </c>
      <c r="Y45" s="59">
        <f>IF(AND(OR(C45="BKK01",C45="BKK04"),L45="CFS/CY"),0,IF(M45="DG",1,IF(LEFT(C45,3)="LCH",7,IF(C45="BKK02",5,3))))</f>
        <v>7</v>
      </c>
      <c r="Z45" s="57">
        <f>IF(IF(AND(AC45="TML",AB45&gt;0),((T45-W45)+1)-AB45,((T45-W45)+1)-Y45)&gt;0,IF(AND(AC45="TML",AB45&gt;0),((T45-W45)+1)-AB45,((T45-W45)+1)-Y45),0)</f>
        <v>3</v>
      </c>
      <c r="AA45" s="48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375</v>
      </c>
      <c r="AB45" s="53"/>
      <c r="AC45" s="53"/>
      <c r="AD45" s="56">
        <f>IF(M45="DG",3,IF(N45="RF",3,5))+IF(AND(LEFT(C45,3)="BKK",N45="RF",Q45="KTS"),1,0)+IF(Q45="KHS",1,0)</f>
        <v>5</v>
      </c>
      <c r="AE45" s="57">
        <f>(T45-V45)+1</f>
        <v>46324</v>
      </c>
      <c r="AF45" s="57">
        <f>IF(AB45&gt;IF((V45-W45)&gt;0,V45-W45,0),0,IF(AB45&lt;IF((V45-W45)&gt;0,V45-W45,0),IF((V45-W45)&gt;0,V45-W45,0)-AB45,IF((V45-W45)&gt;0,V45-W45,0)))</f>
        <v>0</v>
      </c>
      <c r="AG45" s="48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0"/>
      <c r="AI45" s="60">
        <f>AA45-AH45</f>
        <v>375</v>
      </c>
      <c r="AJ45" s="61"/>
      <c r="AK45" s="55" t="str">
        <f>VLOOKUP(D45,'2.Bookinglist'!A:CT,40,FALSE)</f>
        <v>Dharaporn</v>
      </c>
      <c r="AL45" s="56" t="str">
        <f>VLOOKUP(D45,'2.Bookinglist'!A:CW,101,FALSE)</f>
        <v>2026-10-14</v>
      </c>
      <c r="AM45" s="56" t="str">
        <f>VLOOKUP(D45,'2.Bookinglist'!A:BK,63,FALSE)</f>
        <v>LCHY5</v>
      </c>
      <c r="AN45" s="55" t="str">
        <f>VLOOKUP(D45,'2.Bookinglist'!A:AZ,52,FALSE)</f>
        <v>[FIX][FIX][FIX]SURVEY+CY :07/10/2026 RTN :10/10/2026
REQUEST SEA BULK CONTAIER + SURVEY EMPTY BEFORE PICK UP
</v>
      </c>
      <c r="AO45" s="55">
        <f>VLOOKUP(D45,'2.Bookinglist'!A:CY,103,FALSE)</f>
        <v>0</v>
      </c>
    </row>
    <row r="46" ht="12.95" customHeight="1" spans="1:41" x14ac:dyDescent="0.25">
      <c r="A46" s="3" t="s">
        <v>599</v>
      </c>
      <c r="B46" s="53" t="str">
        <f>IF(C46=Charge!$M$1,Charge!$J$1,IF(C46=Charge!$M$23,Charge!$J$23,IF(C46=Charge!$M$17,Charge!$J$17,IF(C46=Charge!$N$17,Charge!$J$17,Charge!$J$7))))</f>
        <v>G2</v>
      </c>
      <c r="C46" s="54" t="str">
        <f>VLOOKUP(A46,'1.Loading'!A:R,14,FALSE)</f>
        <v>LCH06</v>
      </c>
      <c r="D46" s="54" t="str">
        <f>VLOOKUP(A46,'1.Loading'!A:R,17,FALSE)</f>
        <v>HASLS22261000756</v>
      </c>
      <c r="E46" s="55" t="str">
        <f>VLOOKUP(D46,'2.Bookinglist'!A:CT,27,FALSE)</f>
        <v>TOP INTER FREIGHT CO., LTD.</v>
      </c>
      <c r="F46" s="55" t="str">
        <f>VLOOKUP(D46,'2.Bookinglist'!A:CT,28,FALSE)</f>
        <v>TOP PREMIUM STARCH CO., LTD.</v>
      </c>
      <c r="G46" s="56" t="str">
        <f>VLOOKUP(D46,'2.Bookinglist'!A:E,5,FALSE)</f>
        <v>THLKR</v>
      </c>
      <c r="H46" s="54" t="str">
        <f>VLOOKUP(D46,'2.Bookinglist'!A:CT,15,FALSE)</f>
        <v>THLCH</v>
      </c>
      <c r="I46" s="54" t="str">
        <f>VLOOKUP(D46,'2.Bookinglist'!A:CT,19,FALSE)</f>
        <v>CNSHA</v>
      </c>
      <c r="J46" s="54">
        <f>VLOOKUP(D46,'2.Bookinglist'!A:CT,26,FALSE)</f>
        <v>0</v>
      </c>
      <c r="K46" s="54" t="str">
        <f>VLOOKUP(A46,'1.Loading'!A:R,5,FALSE)</f>
        <v>22GP</v>
      </c>
      <c r="L46" s="56" t="str">
        <f>VLOOKUP(D46,'2.Bookinglist'!A:CT,85,FALSE)</f>
        <v>CFS/CY</v>
      </c>
      <c r="M46" s="56" t="str">
        <f>IF(VLOOKUP(D46,'2.Bookinglist'!A:CT,43,FALSE)=0,"","DG")</f>
        <v/>
      </c>
      <c r="N46" s="56" t="str">
        <f>IF(RIGHT(K46,2)="RE","RF","")</f>
        <v/>
      </c>
      <c r="O46" s="54" t="str">
        <f>VLOOKUP(A46,'1.Loading'!A:R,3,FALSE)</f>
        <v>HMVY</v>
      </c>
      <c r="P46" s="54" t="str">
        <f>VLOOKUP(A46,'1.Loading'!A:R,4,FALSE)</f>
        <v>2609N</v>
      </c>
      <c r="Q46" s="54" t="str">
        <f>VLOOKUP(D46,'2.Bookinglist'!A:CT,12,FALSE)</f>
        <v>PCI2</v>
      </c>
      <c r="R46" s="56" t="str">
        <f>IF(LEFT(K46,2)="22","20'","40'")</f>
        <v>20'</v>
      </c>
      <c r="S46" s="38"/>
      <c r="T46" s="54" t="str">
        <f>VLOOKUP(A46,'1.Loading'!A:R,2,FALSE)</f>
        <v>2026-10-28</v>
      </c>
      <c r="U46" s="57">
        <f>T46-S46</f>
        <v>46323</v>
      </c>
      <c r="V46" s="58"/>
      <c r="W46" s="54" t="str">
        <f>VLOOKUP(A46,'3.GateMove'!A:D,4,FALSE)</f>
        <v>2026-10-21</v>
      </c>
      <c r="X46" s="57">
        <f>((T46-W46)+1)</f>
        <v>8</v>
      </c>
      <c r="Y46" s="59">
        <f>IF(AND(OR(C46="BKK01",C46="BKK04"),L46="CFS/CY"),0,IF(M46="DG",1,IF(LEFT(C46,3)="LCH",7,IF(C46="BKK02",5,3))))</f>
        <v>7</v>
      </c>
      <c r="Z46" s="57">
        <f>IF(IF(AND(AC46="TML",AB46&gt;0),((T46-W46)+1)-AB46,((T46-W46)+1)-Y46)&gt;0,IF(AND(AC46="TML",AB46&gt;0),((T46-W46)+1)-AB46,((T46-W46)+1)-Y46),0)</f>
        <v>1</v>
      </c>
      <c r="AA46" s="48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125</v>
      </c>
      <c r="AB46" s="53"/>
      <c r="AC46" s="53"/>
      <c r="AD46" s="56">
        <f>IF(M46="DG",3,IF(N46="RF",3,5))+IF(AND(LEFT(C46,3)="BKK",N46="RF",Q46="KTS"),1,0)+IF(Q46="KHS",1,0)</f>
        <v>5</v>
      </c>
      <c r="AE46" s="57">
        <f>(T46-V46)+1</f>
        <v>46324</v>
      </c>
      <c r="AF46" s="57">
        <f>IF(AB46&gt;IF((V46-W46)&gt;0,V46-W46,0),0,IF(AB46&lt;IF((V46-W46)&gt;0,V46-W46,0),IF((V46-W46)&gt;0,V46-W46,0)-AB46,IF((V46-W46)&gt;0,V46-W46,0)))</f>
        <v>0</v>
      </c>
      <c r="AG46" s="48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0"/>
      <c r="AI46" s="60">
        <f>AA46-AH46</f>
        <v>125</v>
      </c>
      <c r="AJ46" s="61"/>
      <c r="AK46" s="55" t="str">
        <f>VLOOKUP(D46,'2.Bookinglist'!A:CT,40,FALSE)</f>
        <v>Arunphat W. (Aiw)</v>
      </c>
      <c r="AL46" s="56" t="str">
        <f>VLOOKUP(D46,'2.Bookinglist'!A:CW,101,FALSE)</f>
        <v>2026-10-22</v>
      </c>
      <c r="AM46" s="56" t="str">
        <f>VLOOKUP(D46,'2.Bookinglist'!A:BK,63,FALSE)</f>
        <v>LCH54</v>
      </c>
      <c r="AN46" s="55" t="str">
        <f>VLOOKUP(D46,'2.Bookinglist'!A:AZ,52,FALSE)</f>
        <v>STUFFING CARGO AT TIFFA ICD DD.16-17/10/26 [PAPERLESS CODE 2829]
CLS TIME 19/10/26 @17.00</v>
      </c>
      <c r="AO46" s="55">
        <f>VLOOKUP(D46,'2.Bookinglist'!A:CY,103,FALSE)</f>
        <v>0</v>
      </c>
    </row>
    <row r="47" ht="12.95" customHeight="1" spans="1:41" x14ac:dyDescent="0.25">
      <c r="A47" s="3" t="s">
        <v>597</v>
      </c>
      <c r="B47" s="53" t="str">
        <f>IF(C47=Charge!$M$1,Charge!$J$1,IF(C47=Charge!$M$23,Charge!$J$23,IF(C47=Charge!$M$17,Charge!$J$17,IF(C47=Charge!$N$17,Charge!$J$17,Charge!$J$7))))</f>
        <v>G2</v>
      </c>
      <c r="C47" s="54" t="str">
        <f>VLOOKUP(A47,'1.Loading'!A:R,14,FALSE)</f>
        <v>LCH06</v>
      </c>
      <c r="D47" s="54" t="str">
        <f>VLOOKUP(A47,'1.Loading'!A:R,17,FALSE)</f>
        <v>HASLS22260901900</v>
      </c>
      <c r="E47" s="55" t="str">
        <f>VLOOKUP(D47,'2.Bookinglist'!A:CT,27,FALSE)</f>
        <v>WHA GC LOGISTICS COMPANY LIMITED</v>
      </c>
      <c r="F47" s="55" t="str">
        <f>VLOOKUP(D47,'2.Bookinglist'!A:CT,28,FALSE)</f>
        <v>PTT GLOBAL CHEMICAL PUBLIC COMPANY LIMITED</v>
      </c>
      <c r="G47" s="56">
        <f>VLOOKUP(D47,'2.Bookinglist'!A:E,5,FALSE)</f>
        <v>0</v>
      </c>
      <c r="H47" s="54" t="str">
        <f>VLOOKUP(D47,'2.Bookinglist'!A:CT,15,FALSE)</f>
        <v>THLCH</v>
      </c>
      <c r="I47" s="54" t="str">
        <f>VLOOKUP(D47,'2.Bookinglist'!A:CT,19,FALSE)</f>
        <v>CNSHA</v>
      </c>
      <c r="J47" s="54">
        <f>VLOOKUP(D47,'2.Bookinglist'!A:CT,26,FALSE)</f>
        <v>0</v>
      </c>
      <c r="K47" s="54" t="str">
        <f>VLOOKUP(A47,'1.Loading'!A:R,5,FALSE)</f>
        <v>22GP</v>
      </c>
      <c r="L47" s="56" t="str">
        <f>VLOOKUP(D47,'2.Bookinglist'!A:CT,85,FALSE)</f>
        <v>CY/CY</v>
      </c>
      <c r="M47" s="56" t="str">
        <f>IF(VLOOKUP(D47,'2.Bookinglist'!A:CT,43,FALSE)=0,"","DG")</f>
        <v/>
      </c>
      <c r="N47" s="56" t="str">
        <f>IF(RIGHT(K47,2)="RE","RF","")</f>
        <v/>
      </c>
      <c r="O47" s="54" t="str">
        <f>VLOOKUP(A47,'1.Loading'!A:R,3,FALSE)</f>
        <v>HMVY</v>
      </c>
      <c r="P47" s="54" t="str">
        <f>VLOOKUP(A47,'1.Loading'!A:R,4,FALSE)</f>
        <v>2609N</v>
      </c>
      <c r="Q47" s="54" t="str">
        <f>VLOOKUP(D47,'2.Bookinglist'!A:CT,12,FALSE)</f>
        <v>PCI2</v>
      </c>
      <c r="R47" s="56" t="str">
        <f>IF(LEFT(K47,2)="22","20'","40'")</f>
        <v>20'</v>
      </c>
      <c r="S47" s="38"/>
      <c r="T47" s="54" t="str">
        <f>VLOOKUP(A47,'1.Loading'!A:R,2,FALSE)</f>
        <v>2026-10-28</v>
      </c>
      <c r="U47" s="57">
        <f>T47-S47</f>
        <v>46323</v>
      </c>
      <c r="V47" s="58"/>
      <c r="W47" s="54" t="str">
        <f>VLOOKUP(A47,'3.GateMove'!A:D,4,FALSE)</f>
        <v>2026-10-19</v>
      </c>
      <c r="X47" s="57">
        <f>((T47-W47)+1)</f>
        <v>10</v>
      </c>
      <c r="Y47" s="59">
        <f>IF(AND(OR(C47="BKK01",C47="BKK04"),L47="CFS/CY"),0,IF(M47="DG",1,IF(LEFT(C47,3)="LCH",7,IF(C47="BKK02",5,3))))</f>
        <v>7</v>
      </c>
      <c r="Z47" s="57">
        <f>IF(IF(AND(AC47="TML",AB47&gt;0),((T47-W47)+1)-AB47,((T47-W47)+1)-Y47)&gt;0,IF(AND(AC47="TML",AB47&gt;0),((T47-W47)+1)-AB47,((T47-W47)+1)-Y47),0)</f>
        <v>3</v>
      </c>
      <c r="AA47" s="48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375</v>
      </c>
      <c r="AB47" s="53"/>
      <c r="AC47" s="53"/>
      <c r="AD47" s="56">
        <f>IF(M47="DG",3,IF(N47="RF",3,5))+IF(AND(LEFT(C47,3)="BKK",N47="RF",Q47="KTS"),1,0)+IF(Q47="KHS",1,0)</f>
        <v>5</v>
      </c>
      <c r="AE47" s="57">
        <f>(T47-V47)+1</f>
        <v>46324</v>
      </c>
      <c r="AF47" s="57">
        <f>IF(AB47&gt;IF((V47-W47)&gt;0,V47-W47,0),0,IF(AB47&lt;IF((V47-W47)&gt;0,V47-W47,0),IF((V47-W47)&gt;0,V47-W47,0)-AB47,IF((V47-W47)&gt;0,V47-W47,0)))</f>
        <v>0</v>
      </c>
      <c r="AG47" s="48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0"/>
      <c r="AI47" s="60">
        <f>AA47-AH47</f>
        <v>375</v>
      </c>
      <c r="AJ47" s="61"/>
      <c r="AK47" s="55" t="str">
        <f>VLOOKUP(D47,'2.Bookinglist'!A:CT,40,FALSE)</f>
        <v>Dharaporn</v>
      </c>
      <c r="AL47" s="56" t="str">
        <f>VLOOKUP(D47,'2.Bookinglist'!A:CW,101,FALSE)</f>
        <v>2026-10-16</v>
      </c>
      <c r="AM47" s="56" t="str">
        <f>VLOOKUP(D47,'2.Bookinglist'!A:BK,63,FALSE)</f>
        <v>LCHY5</v>
      </c>
      <c r="AN47" s="55" t="str">
        <f>VLOOKUP(D47,'2.Bookinglist'!A:AZ,52,FALSE)</f>
        <v>SURVEY+CY DD.10/10/2026 RTN 16/10/2026 
*PLS CHECK OPEN GATE BEFORE RETURN CTNR*</v>
      </c>
      <c r="AO47" s="55">
        <f>VLOOKUP(D47,'2.Bookinglist'!A:CY,103,FALSE)</f>
        <v>0</v>
      </c>
    </row>
    <row r="48" ht="12.95" customHeight="1" spans="1:41" x14ac:dyDescent="0.25">
      <c r="A48" s="3" t="s">
        <v>595</v>
      </c>
      <c r="B48" s="53" t="str">
        <f>IF(C48=Charge!$M$1,Charge!$J$1,IF(C48=Charge!$M$23,Charge!$J$23,IF(C48=Charge!$M$17,Charge!$J$17,IF(C48=Charge!$N$17,Charge!$J$17,Charge!$J$7))))</f>
        <v>G2</v>
      </c>
      <c r="C48" s="54" t="str">
        <f>VLOOKUP(A48,'1.Loading'!A:R,14,FALSE)</f>
        <v>LCH06</v>
      </c>
      <c r="D48" s="54" t="str">
        <f>VLOOKUP(A48,'1.Loading'!A:R,17,FALSE)</f>
        <v>HASLS22261000220</v>
      </c>
      <c r="E48" s="55" t="str">
        <f>VLOOKUP(D48,'2.Bookinglist'!A:CT,27,FALSE)</f>
        <v>EXPEDITORS (THAILAND) LTD.</v>
      </c>
      <c r="F48" s="55" t="str">
        <f>VLOOKUP(D48,'2.Bookinglist'!A:CT,28,FALSE)</f>
        <v>INNOVALUES PRECISION (THAILAND) LTD.</v>
      </c>
      <c r="G48" s="56" t="str">
        <f>VLOOKUP(D48,'2.Bookinglist'!A:E,5,FALSE)</f>
        <v>THSRP</v>
      </c>
      <c r="H48" s="54" t="str">
        <f>VLOOKUP(D48,'2.Bookinglist'!A:CT,15,FALSE)</f>
        <v>THLCH</v>
      </c>
      <c r="I48" s="54" t="str">
        <f>VLOOKUP(D48,'2.Bookinglist'!A:CT,19,FALSE)</f>
        <v>CNSHA</v>
      </c>
      <c r="J48" s="54">
        <f>VLOOKUP(D48,'2.Bookinglist'!A:CT,26,FALSE)</f>
        <v>0</v>
      </c>
      <c r="K48" s="54" t="str">
        <f>VLOOKUP(A48,'1.Loading'!A:R,5,FALSE)</f>
        <v>22GP</v>
      </c>
      <c r="L48" s="56" t="str">
        <f>VLOOKUP(D48,'2.Bookinglist'!A:CT,85,FALSE)</f>
        <v>CY/CY</v>
      </c>
      <c r="M48" s="56" t="str">
        <f>IF(VLOOKUP(D48,'2.Bookinglist'!A:CT,43,FALSE)=0,"","DG")</f>
        <v/>
      </c>
      <c r="N48" s="56" t="str">
        <f>IF(RIGHT(K48,2)="RE","RF","")</f>
        <v/>
      </c>
      <c r="O48" s="54" t="str">
        <f>VLOOKUP(A48,'1.Loading'!A:R,3,FALSE)</f>
        <v>HMVY</v>
      </c>
      <c r="P48" s="54" t="str">
        <f>VLOOKUP(A48,'1.Loading'!A:R,4,FALSE)</f>
        <v>2609N</v>
      </c>
      <c r="Q48" s="54" t="str">
        <f>VLOOKUP(D48,'2.Bookinglist'!A:CT,12,FALSE)</f>
        <v>PCI2</v>
      </c>
      <c r="R48" s="56" t="str">
        <f>IF(LEFT(K48,2)="22","20'","40'")</f>
        <v>20'</v>
      </c>
      <c r="S48" s="38"/>
      <c r="T48" s="54" t="str">
        <f>VLOOKUP(A48,'1.Loading'!A:R,2,FALSE)</f>
        <v>2026-10-28</v>
      </c>
      <c r="U48" s="57">
        <f>T48-S48</f>
        <v>46323</v>
      </c>
      <c r="V48" s="58"/>
      <c r="W48" s="54" t="str">
        <f>VLOOKUP(A48,'3.GateMove'!A:D,4,FALSE)</f>
        <v>2026-10-23</v>
      </c>
      <c r="X48" s="57">
        <f>((T48-W48)+1)</f>
        <v>6</v>
      </c>
      <c r="Y48" s="59">
        <f>IF(AND(OR(C48="BKK01",C48="BKK04"),L48="CFS/CY"),0,IF(M48="DG",1,IF(LEFT(C48,3)="LCH",7,IF(C48="BKK02",5,3))))</f>
        <v>7</v>
      </c>
      <c r="Z48" s="57">
        <f>IF(IF(AND(AC48="TML",AB48&gt;0),((T48-W48)+1)-AB48,((T48-W48)+1)-Y48)&gt;0,IF(AND(AC48="TML",AB48&gt;0),((T48-W48)+1)-AB48,((T48-W48)+1)-Y48),0)</f>
        <v>0</v>
      </c>
      <c r="AA48" s="48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53"/>
      <c r="AC48" s="53"/>
      <c r="AD48" s="56">
        <f>IF(M48="DG",3,IF(N48="RF",3,5))+IF(AND(LEFT(C48,3)="BKK",N48="RF",Q48="KTS"),1,0)+IF(Q48="KHS",1,0)</f>
        <v>5</v>
      </c>
      <c r="AE48" s="57">
        <f>(T48-V48)+1</f>
        <v>46324</v>
      </c>
      <c r="AF48" s="57">
        <f>IF(AB48&gt;IF((V48-W48)&gt;0,V48-W48,0),0,IF(AB48&lt;IF((V48-W48)&gt;0,V48-W48,0),IF((V48-W48)&gt;0,V48-W48,0)-AB48,IF((V48-W48)&gt;0,V48-W48,0)))</f>
        <v>0</v>
      </c>
      <c r="AG48" s="48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0"/>
      <c r="AI48" s="60">
        <f>AA48-AH48</f>
        <v>0</v>
      </c>
      <c r="AJ48" s="61"/>
      <c r="AK48" s="55" t="str">
        <f>VLOOKUP(D48,'2.Bookinglist'!A:CT,40,FALSE)</f>
        <v>Kanokporn</v>
      </c>
      <c r="AL48" s="56" t="str">
        <f>VLOOKUP(D48,'2.Bookinglist'!A:CW,101,FALSE)</f>
        <v>2026-10-20</v>
      </c>
      <c r="AM48" s="56" t="str">
        <f>VLOOKUP(D48,'2.Bookinglist'!A:BK,63,FALSE)</f>
        <v>BKK27</v>
      </c>
      <c r="AN48" s="55" t="str">
        <f>VLOOKUP(D48,'2.Bookinglist'!A:AZ,52,FALSE)</f>
        <v>Pickup : 2026-10-14, Return : 2026-10-15 CLS TIME DD.17/1200AM AT SIAM RIVER PORT (CODE A3:2829)</v>
      </c>
      <c r="AO48" s="55">
        <f>VLOOKUP(D48,'2.Bookinglist'!A:CY,103,FALSE)</f>
        <v>0</v>
      </c>
    </row>
    <row r="49" ht="12.95" customHeight="1" spans="1:41" x14ac:dyDescent="0.25">
      <c r="A49" s="3" t="s">
        <v>549</v>
      </c>
      <c r="B49" s="53" t="str">
        <f>IF(C49=Charge!$M$1,Charge!$J$1,IF(C49=Charge!$M$23,Charge!$J$23,IF(C49=Charge!$M$17,Charge!$J$17,IF(C49=Charge!$N$17,Charge!$J$17,Charge!$J$7))))</f>
        <v>G2</v>
      </c>
      <c r="C49" s="54" t="str">
        <f>VLOOKUP(A49,'1.Loading'!A:R,14,FALSE)</f>
        <v>LCH06</v>
      </c>
      <c r="D49" s="54" t="str">
        <f>VLOOKUP(A49,'1.Loading'!A:R,17,FALSE)</f>
        <v>HASLS22260901418</v>
      </c>
      <c r="E49" s="55" t="str">
        <f>VLOOKUP(D49,'2.Bookinglist'!A:CT,27,FALSE)</f>
        <v>RCL LOGISTICS CO., LTD.</v>
      </c>
      <c r="F49" s="55" t="str">
        <f>VLOOKUP(D49,'2.Bookinglist'!A:CT,28,FALSE)</f>
        <v>SMS CORPORATION CO., LTD.</v>
      </c>
      <c r="G49" s="56" t="str">
        <f>VLOOKUP(D49,'2.Bookinglist'!A:E,5,FALSE)</f>
        <v>THSRP</v>
      </c>
      <c r="H49" s="54" t="str">
        <f>VLOOKUP(D49,'2.Bookinglist'!A:CT,15,FALSE)</f>
        <v>THLCH</v>
      </c>
      <c r="I49" s="54" t="str">
        <f>VLOOKUP(D49,'2.Bookinglist'!A:CT,19,FALSE)</f>
        <v>CNSHA</v>
      </c>
      <c r="J49" s="54">
        <f>VLOOKUP(D49,'2.Bookinglist'!A:CT,26,FALSE)</f>
        <v>0</v>
      </c>
      <c r="K49" s="54" t="str">
        <f>VLOOKUP(A49,'1.Loading'!A:R,5,FALSE)</f>
        <v>22GP</v>
      </c>
      <c r="L49" s="56" t="str">
        <f>VLOOKUP(D49,'2.Bookinglist'!A:CT,85,FALSE)</f>
        <v>CY/CY</v>
      </c>
      <c r="M49" s="56" t="str">
        <f>IF(VLOOKUP(D49,'2.Bookinglist'!A:CT,43,FALSE)=0,"","DG")</f>
        <v/>
      </c>
      <c r="N49" s="56" t="str">
        <f>IF(RIGHT(K49,2)="RE","RF","")</f>
        <v/>
      </c>
      <c r="O49" s="54" t="str">
        <f>VLOOKUP(A49,'1.Loading'!A:R,3,FALSE)</f>
        <v>HMVY</v>
      </c>
      <c r="P49" s="54" t="str">
        <f>VLOOKUP(A49,'1.Loading'!A:R,4,FALSE)</f>
        <v>2609N</v>
      </c>
      <c r="Q49" s="54" t="str">
        <f>VLOOKUP(D49,'2.Bookinglist'!A:CT,12,FALSE)</f>
        <v>PCI2</v>
      </c>
      <c r="R49" s="56" t="str">
        <f>IF(LEFT(K49,2)="22","20'","40'")</f>
        <v>20'</v>
      </c>
      <c r="S49" s="38"/>
      <c r="T49" s="54" t="str">
        <f>VLOOKUP(A49,'1.Loading'!A:R,2,FALSE)</f>
        <v>2026-10-28</v>
      </c>
      <c r="U49" s="57">
        <f>T49-S49</f>
        <v>46323</v>
      </c>
      <c r="V49" s="58"/>
      <c r="W49" s="54" t="str">
        <f>VLOOKUP(A49,'3.GateMove'!A:D,4,FALSE)</f>
        <v>2026-10-13</v>
      </c>
      <c r="X49" s="57">
        <f>((T49-W49)+1)</f>
        <v>16</v>
      </c>
      <c r="Y49" s="59">
        <f>IF(AND(OR(C49="BKK01",C49="BKK04"),L49="CFS/CY"),0,IF(M49="DG",1,IF(LEFT(C49,3)="LCH",7,IF(C49="BKK02",5,3))))</f>
        <v>7</v>
      </c>
      <c r="Z49" s="57">
        <f>IF(IF(AND(AC49="TML",AB49&gt;0),((T49-W49)+1)-AB49,((T49-W49)+1)-Y49)&gt;0,IF(AND(AC49="TML",AB49&gt;0),((T49-W49)+1)-AB49,((T49-W49)+1)-Y49),0)</f>
        <v>9</v>
      </c>
      <c r="AA49" s="48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1375</v>
      </c>
      <c r="AB49" s="53"/>
      <c r="AC49" s="53"/>
      <c r="AD49" s="56">
        <f>IF(M49="DG",3,IF(N49="RF",3,5))+IF(AND(LEFT(C49,3)="BKK",N49="RF",Q49="KTS"),1,0)+IF(Q49="KHS",1,0)</f>
        <v>5</v>
      </c>
      <c r="AE49" s="57">
        <f>(T49-V49)+1</f>
        <v>46324</v>
      </c>
      <c r="AF49" s="57">
        <f>IF(AB49&gt;IF((V49-W49)&gt;0,V49-W49,0),0,IF(AB49&lt;IF((V49-W49)&gt;0,V49-W49,0),IF((V49-W49)&gt;0,V49-W49,0)-AB49,IF((V49-W49)&gt;0,V49-W49,0)))</f>
        <v>0</v>
      </c>
      <c r="AG49" s="48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0"/>
      <c r="AI49" s="60">
        <f>AA49-AH49</f>
        <v>1375</v>
      </c>
      <c r="AJ49" s="61"/>
      <c r="AK49" s="55" t="str">
        <f>VLOOKUP(D49,'2.Bookinglist'!A:CT,40,FALSE)</f>
        <v>Pattarapong Saengthong</v>
      </c>
      <c r="AL49" s="56" t="str">
        <f>VLOOKUP(D49,'2.Bookinglist'!A:CW,101,FALSE)</f>
        <v>2026-10-24</v>
      </c>
      <c r="AM49" s="56" t="str">
        <f>VLOOKUP(D49,'2.Bookinglist'!A:BK,63,FALSE)</f>
        <v>BKK25</v>
      </c>
      <c r="AN49" s="55" t="str">
        <f>VLOOKUP(D49,'2.Bookinglist'!A:AZ,52,FALSE)</f>
        <v>Pickup : 2026-10-02, Return @SRP : 2026-10-06 (PAPERLESS CODE : 2829)
CLS TIME @SRP : 06/10/2026 @23.59 </v>
      </c>
      <c r="AO49" s="55" t="str">
        <f>VLOOKUP(D49,'2.Bookinglist'!A:CY,103,FALSE)</f>
        <v>ROLL OVER FROM PREVIOUS VSL SWRG 2609N BY ALLOCATION TEAM MS.TAN APPROVED COST IS UNDER HA DD.13/10</v>
      </c>
    </row>
    <row r="50" ht="12.95" customHeight="1" spans="1:41" x14ac:dyDescent="0.25">
      <c r="A50" s="3" t="s">
        <v>554</v>
      </c>
      <c r="B50" s="53" t="str">
        <f>IF(C50=Charge!$M$1,Charge!$J$1,IF(C50=Charge!$M$23,Charge!$J$23,IF(C50=Charge!$M$17,Charge!$J$17,IF(C50=Charge!$N$17,Charge!$J$17,Charge!$J$7))))</f>
        <v>G2</v>
      </c>
      <c r="C50" s="54" t="str">
        <f>VLOOKUP(A50,'1.Loading'!A:R,14,FALSE)</f>
        <v>LCH06</v>
      </c>
      <c r="D50" s="54" t="str">
        <f>VLOOKUP(A50,'1.Loading'!A:R,17,FALSE)</f>
        <v>HASLS22261000756</v>
      </c>
      <c r="E50" s="55" t="str">
        <f>VLOOKUP(D50,'2.Bookinglist'!A:CT,27,FALSE)</f>
        <v>TOP INTER FREIGHT CO., LTD.</v>
      </c>
      <c r="F50" s="55" t="str">
        <f>VLOOKUP(D50,'2.Bookinglist'!A:CT,28,FALSE)</f>
        <v>TOP PREMIUM STARCH CO., LTD.</v>
      </c>
      <c r="G50" s="56" t="str">
        <f>VLOOKUP(D50,'2.Bookinglist'!A:E,5,FALSE)</f>
        <v>THLKR</v>
      </c>
      <c r="H50" s="54" t="str">
        <f>VLOOKUP(D50,'2.Bookinglist'!A:CT,15,FALSE)</f>
        <v>THLCH</v>
      </c>
      <c r="I50" s="54" t="str">
        <f>VLOOKUP(D50,'2.Bookinglist'!A:CT,19,FALSE)</f>
        <v>CNSHA</v>
      </c>
      <c r="J50" s="54">
        <f>VLOOKUP(D50,'2.Bookinglist'!A:CT,26,FALSE)</f>
        <v>0</v>
      </c>
      <c r="K50" s="54" t="str">
        <f>VLOOKUP(A50,'1.Loading'!A:R,5,FALSE)</f>
        <v>22GP</v>
      </c>
      <c r="L50" s="56" t="str">
        <f>VLOOKUP(D50,'2.Bookinglist'!A:CT,85,FALSE)</f>
        <v>CFS/CY</v>
      </c>
      <c r="M50" s="56" t="str">
        <f>IF(VLOOKUP(D50,'2.Bookinglist'!A:CT,43,FALSE)=0,"","DG")</f>
        <v/>
      </c>
      <c r="N50" s="56" t="str">
        <f>IF(RIGHT(K50,2)="RE","RF","")</f>
        <v/>
      </c>
      <c r="O50" s="54" t="str">
        <f>VLOOKUP(A50,'1.Loading'!A:R,3,FALSE)</f>
        <v>HMVY</v>
      </c>
      <c r="P50" s="54" t="str">
        <f>VLOOKUP(A50,'1.Loading'!A:R,4,FALSE)</f>
        <v>2609N</v>
      </c>
      <c r="Q50" s="54" t="str">
        <f>VLOOKUP(D50,'2.Bookinglist'!A:CT,12,FALSE)</f>
        <v>PCI2</v>
      </c>
      <c r="R50" s="56" t="str">
        <f>IF(LEFT(K50,2)="22","20'","40'")</f>
        <v>20'</v>
      </c>
      <c r="S50" s="38"/>
      <c r="T50" s="54" t="str">
        <f>VLOOKUP(A50,'1.Loading'!A:R,2,FALSE)</f>
        <v>2026-10-28</v>
      </c>
      <c r="U50" s="57">
        <f>T50-S50</f>
        <v>46323</v>
      </c>
      <c r="V50" s="58"/>
      <c r="W50" s="54" t="str">
        <f>VLOOKUP(A50,'3.GateMove'!A:D,4,FALSE)</f>
        <v>2026-10-21</v>
      </c>
      <c r="X50" s="57">
        <f>((T50-W50)+1)</f>
        <v>8</v>
      </c>
      <c r="Y50" s="59">
        <f>IF(AND(OR(C50="BKK01",C50="BKK04"),L50="CFS/CY"),0,IF(M50="DG",1,IF(LEFT(C50,3)="LCH",7,IF(C50="BKK02",5,3))))</f>
        <v>7</v>
      </c>
      <c r="Z50" s="57">
        <f>IF(IF(AND(AC50="TML",AB50&gt;0),((T50-W50)+1)-AB50,((T50-W50)+1)-Y50)&gt;0,IF(AND(AC50="TML",AB50&gt;0),((T50-W50)+1)-AB50,((T50-W50)+1)-Y50),0)</f>
        <v>1</v>
      </c>
      <c r="AA50" s="48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125</v>
      </c>
      <c r="AB50" s="53"/>
      <c r="AC50" s="53"/>
      <c r="AD50" s="56">
        <f>IF(M50="DG",3,IF(N50="RF",3,5))+IF(AND(LEFT(C50,3)="BKK",N50="RF",Q50="KTS"),1,0)+IF(Q50="KHS",1,0)</f>
        <v>5</v>
      </c>
      <c r="AE50" s="57">
        <f>(T50-V50)+1</f>
        <v>46324</v>
      </c>
      <c r="AF50" s="57">
        <f>IF(AB50&gt;IF((V50-W50)&gt;0,V50-W50,0),0,IF(AB50&lt;IF((V50-W50)&gt;0,V50-W50,0),IF((V50-W50)&gt;0,V50-W50,0)-AB50,IF((V50-W50)&gt;0,V50-W50,0)))</f>
        <v>0</v>
      </c>
      <c r="AG50" s="48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0"/>
      <c r="AI50" s="60">
        <f>AA50-AH50</f>
        <v>125</v>
      </c>
      <c r="AJ50" s="61"/>
      <c r="AK50" s="55" t="str">
        <f>VLOOKUP(D50,'2.Bookinglist'!A:CT,40,FALSE)</f>
        <v>Arunphat W. (Aiw)</v>
      </c>
      <c r="AL50" s="56" t="str">
        <f>VLOOKUP(D50,'2.Bookinglist'!A:CW,101,FALSE)</f>
        <v>2026-10-22</v>
      </c>
      <c r="AM50" s="56" t="str">
        <f>VLOOKUP(D50,'2.Bookinglist'!A:BK,63,FALSE)</f>
        <v>LCH54</v>
      </c>
      <c r="AN50" s="55" t="str">
        <f>VLOOKUP(D50,'2.Bookinglist'!A:AZ,52,FALSE)</f>
        <v>STUFFING CARGO AT TIFFA ICD DD.16-17/10/26 [PAPERLESS CODE 2829]
CLS TIME 19/10/26 @17.00</v>
      </c>
      <c r="AO50" s="55">
        <f>VLOOKUP(D50,'2.Bookinglist'!A:CY,103,FALSE)</f>
        <v>0</v>
      </c>
    </row>
    <row r="51" ht="12.95" customHeight="1" spans="1:41" x14ac:dyDescent="0.25">
      <c r="A51" s="3" t="s">
        <v>551</v>
      </c>
      <c r="B51" s="53" t="str">
        <f>IF(C51=Charge!$M$1,Charge!$J$1,IF(C51=Charge!$M$23,Charge!$J$23,IF(C51=Charge!$M$17,Charge!$J$17,IF(C51=Charge!$N$17,Charge!$J$17,Charge!$J$7))))</f>
        <v>G2</v>
      </c>
      <c r="C51" s="54" t="str">
        <f>VLOOKUP(A51,'1.Loading'!A:R,14,FALSE)</f>
        <v>LCH06</v>
      </c>
      <c r="D51" s="54" t="str">
        <f>VLOOKUP(A51,'1.Loading'!A:R,17,FALSE)</f>
        <v>HASLS22260901900</v>
      </c>
      <c r="E51" s="55" t="str">
        <f>VLOOKUP(D51,'2.Bookinglist'!A:CT,27,FALSE)</f>
        <v>WHA GC LOGISTICS COMPANY LIMITED</v>
      </c>
      <c r="F51" s="55" t="str">
        <f>VLOOKUP(D51,'2.Bookinglist'!A:CT,28,FALSE)</f>
        <v>PTT GLOBAL CHEMICAL PUBLIC COMPANY LIMITED</v>
      </c>
      <c r="G51" s="56">
        <f>VLOOKUP(D51,'2.Bookinglist'!A:E,5,FALSE)</f>
        <v>0</v>
      </c>
      <c r="H51" s="54" t="str">
        <f>VLOOKUP(D51,'2.Bookinglist'!A:CT,15,FALSE)</f>
        <v>THLCH</v>
      </c>
      <c r="I51" s="54" t="str">
        <f>VLOOKUP(D51,'2.Bookinglist'!A:CT,19,FALSE)</f>
        <v>CNSHA</v>
      </c>
      <c r="J51" s="54">
        <f>VLOOKUP(D51,'2.Bookinglist'!A:CT,26,FALSE)</f>
        <v>0</v>
      </c>
      <c r="K51" s="54" t="str">
        <f>VLOOKUP(A51,'1.Loading'!A:R,5,FALSE)</f>
        <v>22GP</v>
      </c>
      <c r="L51" s="56" t="str">
        <f>VLOOKUP(D51,'2.Bookinglist'!A:CT,85,FALSE)</f>
        <v>CY/CY</v>
      </c>
      <c r="M51" s="56" t="str">
        <f>IF(VLOOKUP(D51,'2.Bookinglist'!A:CT,43,FALSE)=0,"","DG")</f>
        <v/>
      </c>
      <c r="N51" s="56" t="str">
        <f>IF(RIGHT(K51,2)="RE","RF","")</f>
        <v/>
      </c>
      <c r="O51" s="54" t="str">
        <f>VLOOKUP(A51,'1.Loading'!A:R,3,FALSE)</f>
        <v>HMVY</v>
      </c>
      <c r="P51" s="54" t="str">
        <f>VLOOKUP(A51,'1.Loading'!A:R,4,FALSE)</f>
        <v>2609N</v>
      </c>
      <c r="Q51" s="54" t="str">
        <f>VLOOKUP(D51,'2.Bookinglist'!A:CT,12,FALSE)</f>
        <v>PCI2</v>
      </c>
      <c r="R51" s="56" t="str">
        <f>IF(LEFT(K51,2)="22","20'","40'")</f>
        <v>20'</v>
      </c>
      <c r="S51" s="38"/>
      <c r="T51" s="54" t="str">
        <f>VLOOKUP(A51,'1.Loading'!A:R,2,FALSE)</f>
        <v>2026-10-28</v>
      </c>
      <c r="U51" s="57">
        <f>T51-S51</f>
        <v>46323</v>
      </c>
      <c r="V51" s="58"/>
      <c r="W51" s="54" t="str">
        <f>VLOOKUP(A51,'3.GateMove'!A:D,4,FALSE)</f>
        <v>2026-10-19</v>
      </c>
      <c r="X51" s="57">
        <f>((T51-W51)+1)</f>
        <v>10</v>
      </c>
      <c r="Y51" s="59">
        <f>IF(AND(OR(C51="BKK01",C51="BKK04"),L51="CFS/CY"),0,IF(M51="DG",1,IF(LEFT(C51,3)="LCH",7,IF(C51="BKK02",5,3))))</f>
        <v>7</v>
      </c>
      <c r="Z51" s="57">
        <f>IF(IF(AND(AC51="TML",AB51&gt;0),((T51-W51)+1)-AB51,((T51-W51)+1)-Y51)&gt;0,IF(AND(AC51="TML",AB51&gt;0),((T51-W51)+1)-AB51,((T51-W51)+1)-Y51),0)</f>
        <v>3</v>
      </c>
      <c r="AA51" s="48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375</v>
      </c>
      <c r="AB51" s="53"/>
      <c r="AC51" s="53"/>
      <c r="AD51" s="56">
        <f>IF(M51="DG",3,IF(N51="RF",3,5))+IF(AND(LEFT(C51,3)="BKK",N51="RF",Q51="KTS"),1,0)+IF(Q51="KHS",1,0)</f>
        <v>5</v>
      </c>
      <c r="AE51" s="57">
        <f>(T51-V51)+1</f>
        <v>46324</v>
      </c>
      <c r="AF51" s="57">
        <f>IF(AB51&gt;IF((V51-W51)&gt;0,V51-W51,0),0,IF(AB51&lt;IF((V51-W51)&gt;0,V51-W51,0),IF((V51-W51)&gt;0,V51-W51,0)-AB51,IF((V51-W51)&gt;0,V51-W51,0)))</f>
        <v>0</v>
      </c>
      <c r="AG51" s="48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0"/>
      <c r="AI51" s="60">
        <f>AA51-AH51</f>
        <v>375</v>
      </c>
      <c r="AJ51" s="61"/>
      <c r="AK51" s="55" t="str">
        <f>VLOOKUP(D51,'2.Bookinglist'!A:CT,40,FALSE)</f>
        <v>Dharaporn</v>
      </c>
      <c r="AL51" s="56" t="str">
        <f>VLOOKUP(D51,'2.Bookinglist'!A:CW,101,FALSE)</f>
        <v>2026-10-16</v>
      </c>
      <c r="AM51" s="56" t="str">
        <f>VLOOKUP(D51,'2.Bookinglist'!A:BK,63,FALSE)</f>
        <v>LCHY5</v>
      </c>
      <c r="AN51" s="55" t="str">
        <f>VLOOKUP(D51,'2.Bookinglist'!A:AZ,52,FALSE)</f>
        <v>SURVEY+CY DD.10/10/2026 RTN 16/10/2026 
*PLS CHECK OPEN GATE BEFORE RETURN CTNR*</v>
      </c>
      <c r="AO51" s="55">
        <f>VLOOKUP(D51,'2.Bookinglist'!A:CY,103,FALSE)</f>
        <v>0</v>
      </c>
    </row>
    <row r="52" ht="12.95" customHeight="1" spans="1:41" x14ac:dyDescent="0.25">
      <c r="A52" s="3" t="s">
        <v>550</v>
      </c>
      <c r="B52" s="53" t="str">
        <f>IF(C52=Charge!$M$1,Charge!$J$1,IF(C52=Charge!$M$23,Charge!$J$23,IF(C52=Charge!$M$17,Charge!$J$17,IF(C52=Charge!$N$17,Charge!$J$17,Charge!$J$7))))</f>
        <v>G2</v>
      </c>
      <c r="C52" s="54" t="str">
        <f>VLOOKUP(A52,'1.Loading'!A:R,14,FALSE)</f>
        <v>LCH06</v>
      </c>
      <c r="D52" s="54" t="str">
        <f>VLOOKUP(A52,'1.Loading'!A:R,17,FALSE)</f>
        <v>HASLS22260900170</v>
      </c>
      <c r="E52" s="55" t="str">
        <f>VLOOKUP(D52,'2.Bookinglist'!A:CT,27,FALSE)</f>
        <v>PANDA GOGO LOGISTICS CO., LTD.</v>
      </c>
      <c r="F52" s="55" t="str">
        <f>VLOOKUP(D52,'2.Bookinglist'!A:CT,28,FALSE)</f>
        <v>GC-M PTA COMPANY LIMITED</v>
      </c>
      <c r="G52" s="56">
        <f>VLOOKUP(D52,'2.Bookinglist'!A:E,5,FALSE)</f>
        <v>0</v>
      </c>
      <c r="H52" s="54" t="str">
        <f>VLOOKUP(D52,'2.Bookinglist'!A:CT,15,FALSE)</f>
        <v>THLCH</v>
      </c>
      <c r="I52" s="54" t="str">
        <f>VLOOKUP(D52,'2.Bookinglist'!A:CT,19,FALSE)</f>
        <v>JPTRG</v>
      </c>
      <c r="J52" s="54" t="str">
        <f>VLOOKUP(D52,'2.Bookinglist'!A:CT,26,FALSE)</f>
        <v>KRPUS</v>
      </c>
      <c r="K52" s="54" t="str">
        <f>VLOOKUP(A52,'1.Loading'!A:R,5,FALSE)</f>
        <v>22GP</v>
      </c>
      <c r="L52" s="56" t="str">
        <f>VLOOKUP(D52,'2.Bookinglist'!A:CT,85,FALSE)</f>
        <v>CY/CY</v>
      </c>
      <c r="M52" s="56" t="str">
        <f>IF(VLOOKUP(D52,'2.Bookinglist'!A:CT,43,FALSE)=0,"","DG")</f>
        <v/>
      </c>
      <c r="N52" s="56" t="str">
        <f>IF(RIGHT(K52,2)="RE","RF","")</f>
        <v/>
      </c>
      <c r="O52" s="54" t="str">
        <f>VLOOKUP(A52,'1.Loading'!A:R,3,FALSE)</f>
        <v>HMVY</v>
      </c>
      <c r="P52" s="54" t="str">
        <f>VLOOKUP(A52,'1.Loading'!A:R,4,FALSE)</f>
        <v>2609N</v>
      </c>
      <c r="Q52" s="54" t="str">
        <f>VLOOKUP(D52,'2.Bookinglist'!A:CT,12,FALSE)</f>
        <v>PCI2</v>
      </c>
      <c r="R52" s="56" t="str">
        <f>IF(LEFT(K52,2)="22","20'","40'")</f>
        <v>20'</v>
      </c>
      <c r="S52" s="38"/>
      <c r="T52" s="54" t="str">
        <f>VLOOKUP(A52,'1.Loading'!A:R,2,FALSE)</f>
        <v>2026-10-28</v>
      </c>
      <c r="U52" s="57">
        <f>T52-S52</f>
        <v>46323</v>
      </c>
      <c r="V52" s="58"/>
      <c r="W52" s="54" t="str">
        <f>VLOOKUP(A52,'3.GateMove'!A:D,4,FALSE)</f>
        <v>2026-10-19</v>
      </c>
      <c r="X52" s="57">
        <f>((T52-W52)+1)</f>
        <v>10</v>
      </c>
      <c r="Y52" s="59">
        <f>IF(AND(OR(C52="BKK01",C52="BKK04"),L52="CFS/CY"),0,IF(M52="DG",1,IF(LEFT(C52,3)="LCH",7,IF(C52="BKK02",5,3))))</f>
        <v>7</v>
      </c>
      <c r="Z52" s="57">
        <f>IF(IF(AND(AC52="TML",AB52&gt;0),((T52-W52)+1)-AB52,((T52-W52)+1)-Y52)&gt;0,IF(AND(AC52="TML",AB52&gt;0),((T52-W52)+1)-AB52,((T52-W52)+1)-Y52),0)</f>
        <v>3</v>
      </c>
      <c r="AA52" s="48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375</v>
      </c>
      <c r="AB52" s="53"/>
      <c r="AC52" s="53"/>
      <c r="AD52" s="56">
        <f>IF(M52="DG",3,IF(N52="RF",3,5))+IF(AND(LEFT(C52,3)="BKK",N52="RF",Q52="KTS"),1,0)+IF(Q52="KHS",1,0)</f>
        <v>5</v>
      </c>
      <c r="AE52" s="57">
        <f>(T52-V52)+1</f>
        <v>46324</v>
      </c>
      <c r="AF52" s="57">
        <f>IF(AB52&gt;IF((V52-W52)&gt;0,V52-W52,0),0,IF(AB52&lt;IF((V52-W52)&gt;0,V52-W52,0),IF((V52-W52)&gt;0,V52-W52,0)-AB52,IF((V52-W52)&gt;0,V52-W52,0)))</f>
        <v>0</v>
      </c>
      <c r="AG52" s="48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0"/>
      <c r="AI52" s="60">
        <f>AA52-AH52</f>
        <v>375</v>
      </c>
      <c r="AJ52" s="61"/>
      <c r="AK52" s="55" t="str">
        <f>VLOOKUP(D52,'2.Bookinglist'!A:CT,40,FALSE)</f>
        <v>Tarn(Supaporn)</v>
      </c>
      <c r="AL52" s="56" t="str">
        <f>VLOOKUP(D52,'2.Bookinglist'!A:CW,101,FALSE)</f>
        <v>2026-10-22</v>
      </c>
      <c r="AM52" s="56" t="str">
        <f>VLOOKUP(D52,'2.Bookinglist'!A:BK,63,FALSE)</f>
        <v>LCHY5</v>
      </c>
      <c r="AN52" s="55" t="str">
        <f>VLOOKUP(D52,'2.Bookinglist'!A:AZ,52,FALSE)</f>
        <v>[FIX]Pickup : 2026-10-14, Return : 2026-10-15 [1ST RTN 16/10/2026 W/O RENT]
** PLEASE CHECK OPEN GATE BEFORE RETURN CONTAINER ** </v>
      </c>
      <c r="AO52" s="55">
        <f>VLOOKUP(D52,'2.Bookinglist'!A:CY,103,FALSE)</f>
        <v>0</v>
      </c>
    </row>
    <row r="53" ht="12.95" customHeight="1" spans="1:41" x14ac:dyDescent="0.25">
      <c r="A53" s="3" t="s">
        <v>558</v>
      </c>
      <c r="B53" s="53" t="str">
        <f>IF(C53=Charge!$M$1,Charge!$J$1,IF(C53=Charge!$M$23,Charge!$J$23,IF(C53=Charge!$M$17,Charge!$J$17,IF(C53=Charge!$N$17,Charge!$J$17,Charge!$J$7))))</f>
        <v>G2</v>
      </c>
      <c r="C53" s="54" t="str">
        <f>VLOOKUP(A53,'1.Loading'!A:R,14,FALSE)</f>
        <v>LCH06</v>
      </c>
      <c r="D53" s="54" t="str">
        <f>VLOOKUP(A53,'1.Loading'!A:R,17,FALSE)</f>
        <v>HASLS22260901901</v>
      </c>
      <c r="E53" s="55" t="str">
        <f>VLOOKUP(D53,'2.Bookinglist'!A:CT,27,FALSE)</f>
        <v>WHA GC LOGISTICS COMPANY LIMITED</v>
      </c>
      <c r="F53" s="55" t="str">
        <f>VLOOKUP(D53,'2.Bookinglist'!A:CT,28,FALSE)</f>
        <v>PTT GLOBAL CHEMICAL PUBLIC COMPANY LIMITED</v>
      </c>
      <c r="G53" s="56">
        <f>VLOOKUP(D53,'2.Bookinglist'!A:E,5,FALSE)</f>
        <v>0</v>
      </c>
      <c r="H53" s="54" t="str">
        <f>VLOOKUP(D53,'2.Bookinglist'!A:CT,15,FALSE)</f>
        <v>THLCH</v>
      </c>
      <c r="I53" s="54" t="str">
        <f>VLOOKUP(D53,'2.Bookinglist'!A:CT,19,FALSE)</f>
        <v>CNSHA</v>
      </c>
      <c r="J53" s="54">
        <f>VLOOKUP(D53,'2.Bookinglist'!A:CT,26,FALSE)</f>
        <v>0</v>
      </c>
      <c r="K53" s="54" t="str">
        <f>VLOOKUP(A53,'1.Loading'!A:R,5,FALSE)</f>
        <v>22GP</v>
      </c>
      <c r="L53" s="56" t="str">
        <f>VLOOKUP(D53,'2.Bookinglist'!A:CT,85,FALSE)</f>
        <v>CY/CY</v>
      </c>
      <c r="M53" s="56" t="str">
        <f>IF(VLOOKUP(D53,'2.Bookinglist'!A:CT,43,FALSE)=0,"","DG")</f>
        <v/>
      </c>
      <c r="N53" s="56" t="str">
        <f>IF(RIGHT(K53,2)="RE","RF","")</f>
        <v/>
      </c>
      <c r="O53" s="54" t="str">
        <f>VLOOKUP(A53,'1.Loading'!A:R,3,FALSE)</f>
        <v>HMVY</v>
      </c>
      <c r="P53" s="54" t="str">
        <f>VLOOKUP(A53,'1.Loading'!A:R,4,FALSE)</f>
        <v>2609N</v>
      </c>
      <c r="Q53" s="54" t="str">
        <f>VLOOKUP(D53,'2.Bookinglist'!A:CT,12,FALSE)</f>
        <v>PCI2</v>
      </c>
      <c r="R53" s="56" t="str">
        <f>IF(LEFT(K53,2)="22","20'","40'")</f>
        <v>20'</v>
      </c>
      <c r="S53" s="38"/>
      <c r="T53" s="54" t="str">
        <f>VLOOKUP(A53,'1.Loading'!A:R,2,FALSE)</f>
        <v>2026-10-28</v>
      </c>
      <c r="U53" s="57">
        <f>T53-S53</f>
        <v>46323</v>
      </c>
      <c r="V53" s="58"/>
      <c r="W53" s="54" t="str">
        <f>VLOOKUP(A53,'3.GateMove'!A:D,4,FALSE)</f>
        <v>2026-10-18</v>
      </c>
      <c r="X53" s="57">
        <f>((T53-W53)+1)</f>
        <v>11</v>
      </c>
      <c r="Y53" s="59">
        <f>IF(AND(OR(C53="BKK01",C53="BKK04"),L53="CFS/CY"),0,IF(M53="DG",1,IF(LEFT(C53,3)="LCH",7,IF(C53="BKK02",5,3))))</f>
        <v>7</v>
      </c>
      <c r="Z53" s="57">
        <f>IF(IF(AND(AC53="TML",AB53&gt;0),((T53-W53)+1)-AB53,((T53-W53)+1)-Y53)&gt;0,IF(AND(AC53="TML",AB53&gt;0),((T53-W53)+1)-AB53,((T53-W53)+1)-Y53),0)</f>
        <v>4</v>
      </c>
      <c r="AA53" s="48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500</v>
      </c>
      <c r="AB53" s="53"/>
      <c r="AC53" s="53"/>
      <c r="AD53" s="56">
        <f>IF(M53="DG",3,IF(N53="RF",3,5))+IF(AND(LEFT(C53,3)="BKK",N53="RF",Q53="KTS"),1,0)+IF(Q53="KHS",1,0)</f>
        <v>5</v>
      </c>
      <c r="AE53" s="57">
        <f>(T53-V53)+1</f>
        <v>46324</v>
      </c>
      <c r="AF53" s="57">
        <f>IF(AB53&gt;IF((V53-W53)&gt;0,V53-W53,0),0,IF(AB53&lt;IF((V53-W53)&gt;0,V53-W53,0),IF((V53-W53)&gt;0,V53-W53,0)-AB53,IF((V53-W53)&gt;0,V53-W53,0)))</f>
        <v>0</v>
      </c>
      <c r="AG53" s="48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0"/>
      <c r="AI53" s="60">
        <f>AA53-AH53</f>
        <v>500</v>
      </c>
      <c r="AJ53" s="61"/>
      <c r="AK53" s="55" t="str">
        <f>VLOOKUP(D53,'2.Bookinglist'!A:CT,40,FALSE)</f>
        <v>Dharaporn</v>
      </c>
      <c r="AL53" s="56" t="str">
        <f>VLOOKUP(D53,'2.Bookinglist'!A:CW,101,FALSE)</f>
        <v>2026-10-16</v>
      </c>
      <c r="AM53" s="56" t="str">
        <f>VLOOKUP(D53,'2.Bookinglist'!A:BK,63,FALSE)</f>
        <v>LCHY5</v>
      </c>
      <c r="AN53" s="55" t="str">
        <f>VLOOKUP(D53,'2.Bookinglist'!A:AZ,52,FALSE)</f>
        <v>SURVEY+CY DD.10/10/2026 RTN 16/10/2026 
*PLS CHECK OPEN GATE BEFORE RETURN CTNR*</v>
      </c>
      <c r="AO53" s="55">
        <f>VLOOKUP(D53,'2.Bookinglist'!A:CY,103,FALSE)</f>
        <v>0</v>
      </c>
    </row>
    <row r="54" ht="12.95" customHeight="1" spans="1:41" x14ac:dyDescent="0.25">
      <c r="A54" s="3" t="s">
        <v>552</v>
      </c>
      <c r="B54" s="53" t="str">
        <f>IF(C54=Charge!$M$1,Charge!$J$1,IF(C54=Charge!$M$23,Charge!$J$23,IF(C54=Charge!$M$17,Charge!$J$17,IF(C54=Charge!$N$17,Charge!$J$17,Charge!$J$7))))</f>
        <v>G2</v>
      </c>
      <c r="C54" s="54" t="str">
        <f>VLOOKUP(A54,'1.Loading'!A:R,14,FALSE)</f>
        <v>LCH06</v>
      </c>
      <c r="D54" s="54" t="str">
        <f>VLOOKUP(A54,'1.Loading'!A:R,17,FALSE)</f>
        <v>HASLS22260901900</v>
      </c>
      <c r="E54" s="55" t="str">
        <f>VLOOKUP(D54,'2.Bookinglist'!A:CT,27,FALSE)</f>
        <v>WHA GC LOGISTICS COMPANY LIMITED</v>
      </c>
      <c r="F54" s="55" t="str">
        <f>VLOOKUP(D54,'2.Bookinglist'!A:CT,28,FALSE)</f>
        <v>PTT GLOBAL CHEMICAL PUBLIC COMPANY LIMITED</v>
      </c>
      <c r="G54" s="56">
        <f>VLOOKUP(D54,'2.Bookinglist'!A:E,5,FALSE)</f>
        <v>0</v>
      </c>
      <c r="H54" s="54" t="str">
        <f>VLOOKUP(D54,'2.Bookinglist'!A:CT,15,FALSE)</f>
        <v>THLCH</v>
      </c>
      <c r="I54" s="54" t="str">
        <f>VLOOKUP(D54,'2.Bookinglist'!A:CT,19,FALSE)</f>
        <v>CNSHA</v>
      </c>
      <c r="J54" s="54">
        <f>VLOOKUP(D54,'2.Bookinglist'!A:CT,26,FALSE)</f>
        <v>0</v>
      </c>
      <c r="K54" s="54" t="str">
        <f>VLOOKUP(A54,'1.Loading'!A:R,5,FALSE)</f>
        <v>22GP</v>
      </c>
      <c r="L54" s="56" t="str">
        <f>VLOOKUP(D54,'2.Bookinglist'!A:CT,85,FALSE)</f>
        <v>CY/CY</v>
      </c>
      <c r="M54" s="56" t="str">
        <f>IF(VLOOKUP(D54,'2.Bookinglist'!A:CT,43,FALSE)=0,"","DG")</f>
        <v/>
      </c>
      <c r="N54" s="56" t="str">
        <f>IF(RIGHT(K54,2)="RE","RF","")</f>
        <v/>
      </c>
      <c r="O54" s="54" t="str">
        <f>VLOOKUP(A54,'1.Loading'!A:R,3,FALSE)</f>
        <v>HMVY</v>
      </c>
      <c r="P54" s="54" t="str">
        <f>VLOOKUP(A54,'1.Loading'!A:R,4,FALSE)</f>
        <v>2609N</v>
      </c>
      <c r="Q54" s="54" t="str">
        <f>VLOOKUP(D54,'2.Bookinglist'!A:CT,12,FALSE)</f>
        <v>PCI2</v>
      </c>
      <c r="R54" s="56" t="str">
        <f>IF(LEFT(K54,2)="22","20'","40'")</f>
        <v>20'</v>
      </c>
      <c r="S54" s="38"/>
      <c r="T54" s="54" t="str">
        <f>VLOOKUP(A54,'1.Loading'!A:R,2,FALSE)</f>
        <v>2026-10-28</v>
      </c>
      <c r="U54" s="57">
        <f>T54-S54</f>
        <v>46323</v>
      </c>
      <c r="V54" s="58"/>
      <c r="W54" s="54" t="str">
        <f>VLOOKUP(A54,'3.GateMove'!A:D,4,FALSE)</f>
        <v>2026-10-19</v>
      </c>
      <c r="X54" s="57">
        <f>((T54-W54)+1)</f>
        <v>10</v>
      </c>
      <c r="Y54" s="59">
        <f>IF(AND(OR(C54="BKK01",C54="BKK04"),L54="CFS/CY"),0,IF(M54="DG",1,IF(LEFT(C54,3)="LCH",7,IF(C54="BKK02",5,3))))</f>
        <v>7</v>
      </c>
      <c r="Z54" s="57">
        <f>IF(IF(AND(AC54="TML",AB54&gt;0),((T54-W54)+1)-AB54,((T54-W54)+1)-Y54)&gt;0,IF(AND(AC54="TML",AB54&gt;0),((T54-W54)+1)-AB54,((T54-W54)+1)-Y54),0)</f>
        <v>3</v>
      </c>
      <c r="AA54" s="48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375</v>
      </c>
      <c r="AB54" s="53"/>
      <c r="AC54" s="53"/>
      <c r="AD54" s="56">
        <f>IF(M54="DG",3,IF(N54="RF",3,5))+IF(AND(LEFT(C54,3)="BKK",N54="RF",Q54="KTS"),1,0)+IF(Q54="KHS",1,0)</f>
        <v>5</v>
      </c>
      <c r="AE54" s="57">
        <f>(T54-V54)+1</f>
        <v>46324</v>
      </c>
      <c r="AF54" s="57">
        <f>IF(AB54&gt;IF((V54-W54)&gt;0,V54-W54,0),0,IF(AB54&lt;IF((V54-W54)&gt;0,V54-W54,0),IF((V54-W54)&gt;0,V54-W54,0)-AB54,IF((V54-W54)&gt;0,V54-W54,0)))</f>
        <v>0</v>
      </c>
      <c r="AG54" s="48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0"/>
      <c r="AI54" s="60">
        <f>AA54-AH54</f>
        <v>375</v>
      </c>
      <c r="AJ54" s="61"/>
      <c r="AK54" s="55" t="str">
        <f>VLOOKUP(D54,'2.Bookinglist'!A:CT,40,FALSE)</f>
        <v>Dharaporn</v>
      </c>
      <c r="AL54" s="56" t="str">
        <f>VLOOKUP(D54,'2.Bookinglist'!A:CW,101,FALSE)</f>
        <v>2026-10-16</v>
      </c>
      <c r="AM54" s="56" t="str">
        <f>VLOOKUP(D54,'2.Bookinglist'!A:BK,63,FALSE)</f>
        <v>LCHY5</v>
      </c>
      <c r="AN54" s="55" t="str">
        <f>VLOOKUP(D54,'2.Bookinglist'!A:AZ,52,FALSE)</f>
        <v>SURVEY+CY DD.10/10/2026 RTN 16/10/2026 
*PLS CHECK OPEN GATE BEFORE RETURN CTNR*</v>
      </c>
      <c r="AO54" s="55">
        <f>VLOOKUP(D54,'2.Bookinglist'!A:CY,103,FALSE)</f>
        <v>0</v>
      </c>
    </row>
    <row r="55" ht="12.95" customHeight="1" spans="1:41" x14ac:dyDescent="0.25">
      <c r="A55" s="3" t="s">
        <v>557</v>
      </c>
      <c r="B55" s="53" t="str">
        <f>IF(C55=Charge!$M$1,Charge!$J$1,IF(C55=Charge!$M$23,Charge!$J$23,IF(C55=Charge!$M$17,Charge!$J$17,IF(C55=Charge!$N$17,Charge!$J$17,Charge!$J$7))))</f>
        <v>G2</v>
      </c>
      <c r="C55" s="54" t="str">
        <f>VLOOKUP(A55,'1.Loading'!A:R,14,FALSE)</f>
        <v>LCH06</v>
      </c>
      <c r="D55" s="54" t="str">
        <f>VLOOKUP(A55,'1.Loading'!A:R,17,FALSE)</f>
        <v>HASLS22260901496</v>
      </c>
      <c r="E55" s="55" t="str">
        <f>VLOOKUP(D55,'2.Bookinglist'!A:CT,27,FALSE)</f>
        <v>WHA GC LOGISTICS COMPANY LIMITED</v>
      </c>
      <c r="F55" s="55" t="str">
        <f>VLOOKUP(D55,'2.Bookinglist'!A:CT,28,FALSE)</f>
        <v>PTT GLOBAL CHEMICAL PUBLIC COMPANY LIMITED</v>
      </c>
      <c r="G55" s="56">
        <f>VLOOKUP(D55,'2.Bookinglist'!A:E,5,FALSE)</f>
        <v>0</v>
      </c>
      <c r="H55" s="54" t="str">
        <f>VLOOKUP(D55,'2.Bookinglist'!A:CT,15,FALSE)</f>
        <v>THLCH</v>
      </c>
      <c r="I55" s="54" t="str">
        <f>VLOOKUP(D55,'2.Bookinglist'!A:CT,19,FALSE)</f>
        <v>JPNGO</v>
      </c>
      <c r="J55" s="54" t="str">
        <f>VLOOKUP(D55,'2.Bookinglist'!A:CT,26,FALSE)</f>
        <v>KRPUS</v>
      </c>
      <c r="K55" s="54" t="str">
        <f>VLOOKUP(A55,'1.Loading'!A:R,5,FALSE)</f>
        <v>22GP</v>
      </c>
      <c r="L55" s="56" t="str">
        <f>VLOOKUP(D55,'2.Bookinglist'!A:CT,85,FALSE)</f>
        <v>CY/CY</v>
      </c>
      <c r="M55" s="56" t="str">
        <f>IF(VLOOKUP(D55,'2.Bookinglist'!A:CT,43,FALSE)=0,"","DG")</f>
        <v/>
      </c>
      <c r="N55" s="56" t="str">
        <f>IF(RIGHT(K55,2)="RE","RF","")</f>
        <v/>
      </c>
      <c r="O55" s="54" t="str">
        <f>VLOOKUP(A55,'1.Loading'!A:R,3,FALSE)</f>
        <v>HMVY</v>
      </c>
      <c r="P55" s="54" t="str">
        <f>VLOOKUP(A55,'1.Loading'!A:R,4,FALSE)</f>
        <v>2609N</v>
      </c>
      <c r="Q55" s="54" t="str">
        <f>VLOOKUP(D55,'2.Bookinglist'!A:CT,12,FALSE)</f>
        <v>PCI2</v>
      </c>
      <c r="R55" s="56" t="str">
        <f>IF(LEFT(K55,2)="22","20'","40'")</f>
        <v>20'</v>
      </c>
      <c r="S55" s="38"/>
      <c r="T55" s="54" t="str">
        <f>VLOOKUP(A55,'1.Loading'!A:R,2,FALSE)</f>
        <v>2026-10-28</v>
      </c>
      <c r="U55" s="57">
        <f>T55-S55</f>
        <v>46323</v>
      </c>
      <c r="V55" s="58"/>
      <c r="W55" s="54" t="str">
        <f>VLOOKUP(A55,'3.GateMove'!A:D,4,FALSE)</f>
        <v>2026-10-17</v>
      </c>
      <c r="X55" s="57">
        <f>((T55-W55)+1)</f>
        <v>12</v>
      </c>
      <c r="Y55" s="59">
        <f>IF(AND(OR(C55="BKK01",C55="BKK04"),L55="CFS/CY"),0,IF(M55="DG",1,IF(LEFT(C55,3)="LCH",7,IF(C55="BKK02",5,3))))</f>
        <v>7</v>
      </c>
      <c r="Z55" s="57">
        <f>IF(IF(AND(AC55="TML",AB55&gt;0),((T55-W55)+1)-AB55,((T55-W55)+1)-Y55)&gt;0,IF(AND(AC55="TML",AB55&gt;0),((T55-W55)+1)-AB55,((T55-W55)+1)-Y55),0)</f>
        <v>5</v>
      </c>
      <c r="AA55" s="48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625</v>
      </c>
      <c r="AB55" s="53"/>
      <c r="AC55" s="53"/>
      <c r="AD55" s="56">
        <f>IF(M55="DG",3,IF(N55="RF",3,5))+IF(AND(LEFT(C55,3)="BKK",N55="RF",Q55="KTS"),1,0)+IF(Q55="KHS",1,0)</f>
        <v>5</v>
      </c>
      <c r="AE55" s="57">
        <f>(T55-V55)+1</f>
        <v>46324</v>
      </c>
      <c r="AF55" s="57">
        <f>IF(AB55&gt;IF((V55-W55)&gt;0,V55-W55,0),0,IF(AB55&lt;IF((V55-W55)&gt;0,V55-W55,0),IF((V55-W55)&gt;0,V55-W55,0)-AB55,IF((V55-W55)&gt;0,V55-W55,0)))</f>
        <v>0</v>
      </c>
      <c r="AG55" s="48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0"/>
      <c r="AI55" s="60">
        <f>AA55-AH55</f>
        <v>625</v>
      </c>
      <c r="AJ55" s="61"/>
      <c r="AK55" s="55" t="str">
        <f>VLOOKUP(D55,'2.Bookinglist'!A:CT,40,FALSE)</f>
        <v>Dharaporn</v>
      </c>
      <c r="AL55" s="56" t="str">
        <f>VLOOKUP(D55,'2.Bookinglist'!A:CW,101,FALSE)</f>
        <v>2026-10-14</v>
      </c>
      <c r="AM55" s="56" t="str">
        <f>VLOOKUP(D55,'2.Bookinglist'!A:BK,63,FALSE)</f>
        <v>LCHY5</v>
      </c>
      <c r="AN55" s="55" t="str">
        <f>VLOOKUP(D55,'2.Bookinglist'!A:AZ,52,FALSE)</f>
        <v>[FIX][FIX][FIX]SURVEY+CY :07/10/2026 RTN :10/10/2026
REQUEST SEA BULK CONTAIER + SURVEY EMPTY BEFORE PICK UP
</v>
      </c>
      <c r="AO55" s="55">
        <f>VLOOKUP(D55,'2.Bookinglist'!A:CY,103,FALSE)</f>
        <v>0</v>
      </c>
    </row>
    <row r="56" ht="12.95" customHeight="1" spans="1:41" x14ac:dyDescent="0.25">
      <c r="A56" s="3" t="s">
        <v>555</v>
      </c>
      <c r="B56" s="53" t="str">
        <f>IF(C56=Charge!$M$1,Charge!$J$1,IF(C56=Charge!$M$23,Charge!$J$23,IF(C56=Charge!$M$17,Charge!$J$17,IF(C56=Charge!$N$17,Charge!$J$17,Charge!$J$7))))</f>
        <v>G2</v>
      </c>
      <c r="C56" s="54" t="str">
        <f>VLOOKUP(A56,'1.Loading'!A:R,14,FALSE)</f>
        <v>LCH06</v>
      </c>
      <c r="D56" s="54" t="str">
        <f>VLOOKUP(A56,'1.Loading'!A:R,17,FALSE)</f>
        <v>HASLS22261000756</v>
      </c>
      <c r="E56" s="55" t="str">
        <f>VLOOKUP(D56,'2.Bookinglist'!A:CT,27,FALSE)</f>
        <v>TOP INTER FREIGHT CO., LTD.</v>
      </c>
      <c r="F56" s="55" t="str">
        <f>VLOOKUP(D56,'2.Bookinglist'!A:CT,28,FALSE)</f>
        <v>TOP PREMIUM STARCH CO., LTD.</v>
      </c>
      <c r="G56" s="56" t="str">
        <f>VLOOKUP(D56,'2.Bookinglist'!A:E,5,FALSE)</f>
        <v>THLKR</v>
      </c>
      <c r="H56" s="54" t="str">
        <f>VLOOKUP(D56,'2.Bookinglist'!A:CT,15,FALSE)</f>
        <v>THLCH</v>
      </c>
      <c r="I56" s="54" t="str">
        <f>VLOOKUP(D56,'2.Bookinglist'!A:CT,19,FALSE)</f>
        <v>CNSHA</v>
      </c>
      <c r="J56" s="54">
        <f>VLOOKUP(D56,'2.Bookinglist'!A:CT,26,FALSE)</f>
        <v>0</v>
      </c>
      <c r="K56" s="54" t="str">
        <f>VLOOKUP(A56,'1.Loading'!A:R,5,FALSE)</f>
        <v>22GP</v>
      </c>
      <c r="L56" s="56" t="str">
        <f>VLOOKUP(D56,'2.Bookinglist'!A:CT,85,FALSE)</f>
        <v>CFS/CY</v>
      </c>
      <c r="M56" s="56" t="str">
        <f>IF(VLOOKUP(D56,'2.Bookinglist'!A:CT,43,FALSE)=0,"","DG")</f>
        <v/>
      </c>
      <c r="N56" s="56" t="str">
        <f>IF(RIGHT(K56,2)="RE","RF","")</f>
        <v/>
      </c>
      <c r="O56" s="54" t="str">
        <f>VLOOKUP(A56,'1.Loading'!A:R,3,FALSE)</f>
        <v>HMVY</v>
      </c>
      <c r="P56" s="54" t="str">
        <f>VLOOKUP(A56,'1.Loading'!A:R,4,FALSE)</f>
        <v>2609N</v>
      </c>
      <c r="Q56" s="54" t="str">
        <f>VLOOKUP(D56,'2.Bookinglist'!A:CT,12,FALSE)</f>
        <v>PCI2</v>
      </c>
      <c r="R56" s="56" t="str">
        <f>IF(LEFT(K56,2)="22","20'","40'")</f>
        <v>20'</v>
      </c>
      <c r="S56" s="38"/>
      <c r="T56" s="54" t="str">
        <f>VLOOKUP(A56,'1.Loading'!A:R,2,FALSE)</f>
        <v>2026-10-28</v>
      </c>
      <c r="U56" s="57">
        <f>T56-S56</f>
        <v>46323</v>
      </c>
      <c r="V56" s="58"/>
      <c r="W56" s="54" t="str">
        <f>VLOOKUP(A56,'3.GateMove'!A:D,4,FALSE)</f>
        <v>2026-10-20</v>
      </c>
      <c r="X56" s="57">
        <f>((T56-W56)+1)</f>
        <v>9</v>
      </c>
      <c r="Y56" s="59">
        <f>IF(AND(OR(C56="BKK01",C56="BKK04"),L56="CFS/CY"),0,IF(M56="DG",1,IF(LEFT(C56,3)="LCH",7,IF(C56="BKK02",5,3))))</f>
        <v>7</v>
      </c>
      <c r="Z56" s="57">
        <f>IF(IF(AND(AC56="TML",AB56&gt;0),((T56-W56)+1)-AB56,((T56-W56)+1)-Y56)&gt;0,IF(AND(AC56="TML",AB56&gt;0),((T56-W56)+1)-AB56,((T56-W56)+1)-Y56),0)</f>
        <v>2</v>
      </c>
      <c r="AA56" s="48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250</v>
      </c>
      <c r="AB56" s="53"/>
      <c r="AC56" s="53"/>
      <c r="AD56" s="56">
        <f>IF(M56="DG",3,IF(N56="RF",3,5))+IF(AND(LEFT(C56,3)="BKK",N56="RF",Q56="KTS"),1,0)+IF(Q56="KHS",1,0)</f>
        <v>5</v>
      </c>
      <c r="AE56" s="57">
        <f>(T56-V56)+1</f>
        <v>46324</v>
      </c>
      <c r="AF56" s="57">
        <f>IF(AB56&gt;IF((V56-W56)&gt;0,V56-W56,0),0,IF(AB56&lt;IF((V56-W56)&gt;0,V56-W56,0),IF((V56-W56)&gt;0,V56-W56,0)-AB56,IF((V56-W56)&gt;0,V56-W56,0)))</f>
        <v>0</v>
      </c>
      <c r="AG56" s="48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0"/>
      <c r="AI56" s="60">
        <f>AA56-AH56</f>
        <v>250</v>
      </c>
      <c r="AJ56" s="61"/>
      <c r="AK56" s="55" t="str">
        <f>VLOOKUP(D56,'2.Bookinglist'!A:CT,40,FALSE)</f>
        <v>Arunphat W. (Aiw)</v>
      </c>
      <c r="AL56" s="56" t="str">
        <f>VLOOKUP(D56,'2.Bookinglist'!A:CW,101,FALSE)</f>
        <v>2026-10-22</v>
      </c>
      <c r="AM56" s="56" t="str">
        <f>VLOOKUP(D56,'2.Bookinglist'!A:BK,63,FALSE)</f>
        <v>LCH54</v>
      </c>
      <c r="AN56" s="55" t="str">
        <f>VLOOKUP(D56,'2.Bookinglist'!A:AZ,52,FALSE)</f>
        <v>STUFFING CARGO AT TIFFA ICD DD.16-17/10/26 [PAPERLESS CODE 2829]
CLS TIME 19/10/26 @17.00</v>
      </c>
      <c r="AO56" s="55">
        <f>VLOOKUP(D56,'2.Bookinglist'!A:CY,103,FALSE)</f>
        <v>0</v>
      </c>
    </row>
    <row r="57" ht="12.95" customHeight="1" spans="1:41" x14ac:dyDescent="0.25">
      <c r="A57" s="3" t="s">
        <v>559</v>
      </c>
      <c r="B57" s="53" t="str">
        <f>IF(C57=Charge!$M$1,Charge!$J$1,IF(C57=Charge!$M$23,Charge!$J$23,IF(C57=Charge!$M$17,Charge!$J$17,IF(C57=Charge!$N$17,Charge!$J$17,Charge!$J$7))))</f>
        <v>G2</v>
      </c>
      <c r="C57" s="54" t="str">
        <f>VLOOKUP(A57,'1.Loading'!A:R,14,FALSE)</f>
        <v>LCH06</v>
      </c>
      <c r="D57" s="54" t="str">
        <f>VLOOKUP(A57,'1.Loading'!A:R,17,FALSE)</f>
        <v>HASLS22260901901</v>
      </c>
      <c r="E57" s="55" t="str">
        <f>VLOOKUP(D57,'2.Bookinglist'!A:CT,27,FALSE)</f>
        <v>WHA GC LOGISTICS COMPANY LIMITED</v>
      </c>
      <c r="F57" s="55" t="str">
        <f>VLOOKUP(D57,'2.Bookinglist'!A:CT,28,FALSE)</f>
        <v>PTT GLOBAL CHEMICAL PUBLIC COMPANY LIMITED</v>
      </c>
      <c r="G57" s="56">
        <f>VLOOKUP(D57,'2.Bookinglist'!A:E,5,FALSE)</f>
        <v>0</v>
      </c>
      <c r="H57" s="54" t="str">
        <f>VLOOKUP(D57,'2.Bookinglist'!A:CT,15,FALSE)</f>
        <v>THLCH</v>
      </c>
      <c r="I57" s="54" t="str">
        <f>VLOOKUP(D57,'2.Bookinglist'!A:CT,19,FALSE)</f>
        <v>CNSHA</v>
      </c>
      <c r="J57" s="54">
        <f>VLOOKUP(D57,'2.Bookinglist'!A:CT,26,FALSE)</f>
        <v>0</v>
      </c>
      <c r="K57" s="54" t="str">
        <f>VLOOKUP(A57,'1.Loading'!A:R,5,FALSE)</f>
        <v>22GP</v>
      </c>
      <c r="L57" s="56" t="str">
        <f>VLOOKUP(D57,'2.Bookinglist'!A:CT,85,FALSE)</f>
        <v>CY/CY</v>
      </c>
      <c r="M57" s="56" t="str">
        <f>IF(VLOOKUP(D57,'2.Bookinglist'!A:CT,43,FALSE)=0,"","DG")</f>
        <v/>
      </c>
      <c r="N57" s="56" t="str">
        <f>IF(RIGHT(K57,2)="RE","RF","")</f>
        <v/>
      </c>
      <c r="O57" s="54" t="str">
        <f>VLOOKUP(A57,'1.Loading'!A:R,3,FALSE)</f>
        <v>HMVY</v>
      </c>
      <c r="P57" s="54" t="str">
        <f>VLOOKUP(A57,'1.Loading'!A:R,4,FALSE)</f>
        <v>2609N</v>
      </c>
      <c r="Q57" s="54" t="str">
        <f>VLOOKUP(D57,'2.Bookinglist'!A:CT,12,FALSE)</f>
        <v>PCI2</v>
      </c>
      <c r="R57" s="56" t="str">
        <f>IF(LEFT(K57,2)="22","20'","40'")</f>
        <v>20'</v>
      </c>
      <c r="S57" s="38"/>
      <c r="T57" s="54" t="str">
        <f>VLOOKUP(A57,'1.Loading'!A:R,2,FALSE)</f>
        <v>2026-10-28</v>
      </c>
      <c r="U57" s="57">
        <f>T57-S57</f>
        <v>46323</v>
      </c>
      <c r="V57" s="58"/>
      <c r="W57" s="54" t="str">
        <f>VLOOKUP(A57,'3.GateMove'!A:D,4,FALSE)</f>
        <v>2026-10-18</v>
      </c>
      <c r="X57" s="57">
        <f>((T57-W57)+1)</f>
        <v>11</v>
      </c>
      <c r="Y57" s="59">
        <f>IF(AND(OR(C57="BKK01",C57="BKK04"),L57="CFS/CY"),0,IF(M57="DG",1,IF(LEFT(C57,3)="LCH",7,IF(C57="BKK02",5,3))))</f>
        <v>7</v>
      </c>
      <c r="Z57" s="57">
        <f>IF(IF(AND(AC57="TML",AB57&gt;0),((T57-W57)+1)-AB57,((T57-W57)+1)-Y57)&gt;0,IF(AND(AC57="TML",AB57&gt;0),((T57-W57)+1)-AB57,((T57-W57)+1)-Y57),0)</f>
        <v>4</v>
      </c>
      <c r="AA57" s="48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500</v>
      </c>
      <c r="AB57" s="53"/>
      <c r="AC57" s="53"/>
      <c r="AD57" s="56">
        <f>IF(M57="DG",3,IF(N57="RF",3,5))+IF(AND(LEFT(C57,3)="BKK",N57="RF",Q57="KTS"),1,0)+IF(Q57="KHS",1,0)</f>
        <v>5</v>
      </c>
      <c r="AE57" s="57">
        <f>(T57-V57)+1</f>
        <v>46324</v>
      </c>
      <c r="AF57" s="57">
        <f>IF(AB57&gt;IF((V57-W57)&gt;0,V57-W57,0),0,IF(AB57&lt;IF((V57-W57)&gt;0,V57-W57,0),IF((V57-W57)&gt;0,V57-W57,0)-AB57,IF((V57-W57)&gt;0,V57-W57,0)))</f>
        <v>0</v>
      </c>
      <c r="AG57" s="48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0"/>
      <c r="AI57" s="60">
        <f>AA57-AH57</f>
        <v>500</v>
      </c>
      <c r="AJ57" s="61"/>
      <c r="AK57" s="55" t="str">
        <f>VLOOKUP(D57,'2.Bookinglist'!A:CT,40,FALSE)</f>
        <v>Dharaporn</v>
      </c>
      <c r="AL57" s="56" t="str">
        <f>VLOOKUP(D57,'2.Bookinglist'!A:CW,101,FALSE)</f>
        <v>2026-10-16</v>
      </c>
      <c r="AM57" s="56" t="str">
        <f>VLOOKUP(D57,'2.Bookinglist'!A:BK,63,FALSE)</f>
        <v>LCHY5</v>
      </c>
      <c r="AN57" s="55" t="str">
        <f>VLOOKUP(D57,'2.Bookinglist'!A:AZ,52,FALSE)</f>
        <v>SURVEY+CY DD.10/10/2026 RTN 16/10/2026 
*PLS CHECK OPEN GATE BEFORE RETURN CTNR*</v>
      </c>
      <c r="AO57" s="55">
        <f>VLOOKUP(D57,'2.Bookinglist'!A:CY,103,FALSE)</f>
        <v>0</v>
      </c>
    </row>
    <row r="58" ht="12.95" customHeight="1" spans="1:41" x14ac:dyDescent="0.25">
      <c r="A58" s="3" t="s">
        <v>560</v>
      </c>
      <c r="B58" s="53" t="str">
        <f>IF(C58=Charge!$M$1,Charge!$J$1,IF(C58=Charge!$M$23,Charge!$J$23,IF(C58=Charge!$M$17,Charge!$J$17,IF(C58=Charge!$N$17,Charge!$J$17,Charge!$J$7))))</f>
        <v>G2</v>
      </c>
      <c r="C58" s="54" t="str">
        <f>VLOOKUP(A58,'1.Loading'!A:R,14,FALSE)</f>
        <v>LCH06</v>
      </c>
      <c r="D58" s="54" t="str">
        <f>VLOOKUP(A58,'1.Loading'!A:R,17,FALSE)</f>
        <v>HASLS22260901901</v>
      </c>
      <c r="E58" s="55" t="str">
        <f>VLOOKUP(D58,'2.Bookinglist'!A:CT,27,FALSE)</f>
        <v>WHA GC LOGISTICS COMPANY LIMITED</v>
      </c>
      <c r="F58" s="55" t="str">
        <f>VLOOKUP(D58,'2.Bookinglist'!A:CT,28,FALSE)</f>
        <v>PTT GLOBAL CHEMICAL PUBLIC COMPANY LIMITED</v>
      </c>
      <c r="G58" s="56">
        <f>VLOOKUP(D58,'2.Bookinglist'!A:E,5,FALSE)</f>
        <v>0</v>
      </c>
      <c r="H58" s="54" t="str">
        <f>VLOOKUP(D58,'2.Bookinglist'!A:CT,15,FALSE)</f>
        <v>THLCH</v>
      </c>
      <c r="I58" s="54" t="str">
        <f>VLOOKUP(D58,'2.Bookinglist'!A:CT,19,FALSE)</f>
        <v>CNSHA</v>
      </c>
      <c r="J58" s="54">
        <f>VLOOKUP(D58,'2.Bookinglist'!A:CT,26,FALSE)</f>
        <v>0</v>
      </c>
      <c r="K58" s="54" t="str">
        <f>VLOOKUP(A58,'1.Loading'!A:R,5,FALSE)</f>
        <v>22GP</v>
      </c>
      <c r="L58" s="56" t="str">
        <f>VLOOKUP(D58,'2.Bookinglist'!A:CT,85,FALSE)</f>
        <v>CY/CY</v>
      </c>
      <c r="M58" s="56" t="str">
        <f>IF(VLOOKUP(D58,'2.Bookinglist'!A:CT,43,FALSE)=0,"","DG")</f>
        <v/>
      </c>
      <c r="N58" s="56" t="str">
        <f>IF(RIGHT(K58,2)="RE","RF","")</f>
        <v/>
      </c>
      <c r="O58" s="54" t="str">
        <f>VLOOKUP(A58,'1.Loading'!A:R,3,FALSE)</f>
        <v>HMVY</v>
      </c>
      <c r="P58" s="54" t="str">
        <f>VLOOKUP(A58,'1.Loading'!A:R,4,FALSE)</f>
        <v>2609N</v>
      </c>
      <c r="Q58" s="54" t="str">
        <f>VLOOKUP(D58,'2.Bookinglist'!A:CT,12,FALSE)</f>
        <v>PCI2</v>
      </c>
      <c r="R58" s="56" t="str">
        <f>IF(LEFT(K58,2)="22","20'","40'")</f>
        <v>20'</v>
      </c>
      <c r="S58" s="38"/>
      <c r="T58" s="54" t="str">
        <f>VLOOKUP(A58,'1.Loading'!A:R,2,FALSE)</f>
        <v>2026-10-28</v>
      </c>
      <c r="U58" s="57">
        <f>T58-S58</f>
        <v>46323</v>
      </c>
      <c r="V58" s="58"/>
      <c r="W58" s="54" t="str">
        <f>VLOOKUP(A58,'3.GateMove'!A:D,4,FALSE)</f>
        <v>2026-10-18</v>
      </c>
      <c r="X58" s="57">
        <f>((T58-W58)+1)</f>
        <v>11</v>
      </c>
      <c r="Y58" s="59">
        <f>IF(AND(OR(C58="BKK01",C58="BKK04"),L58="CFS/CY"),0,IF(M58="DG",1,IF(LEFT(C58,3)="LCH",7,IF(C58="BKK02",5,3))))</f>
        <v>7</v>
      </c>
      <c r="Z58" s="57">
        <f>IF(IF(AND(AC58="TML",AB58&gt;0),((T58-W58)+1)-AB58,((T58-W58)+1)-Y58)&gt;0,IF(AND(AC58="TML",AB58&gt;0),((T58-W58)+1)-AB58,((T58-W58)+1)-Y58),0)</f>
        <v>4</v>
      </c>
      <c r="AA58" s="48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500</v>
      </c>
      <c r="AB58" s="53"/>
      <c r="AC58" s="53"/>
      <c r="AD58" s="56">
        <f>IF(M58="DG",3,IF(N58="RF",3,5))+IF(AND(LEFT(C58,3)="BKK",N58="RF",Q58="KTS"),1,0)+IF(Q58="KHS",1,0)</f>
        <v>5</v>
      </c>
      <c r="AE58" s="57">
        <f>(T58-V58)+1</f>
        <v>46324</v>
      </c>
      <c r="AF58" s="57">
        <f>IF(AB58&gt;IF((V58-W58)&gt;0,V58-W58,0),0,IF(AB58&lt;IF((V58-W58)&gt;0,V58-W58,0),IF((V58-W58)&gt;0,V58-W58,0)-AB58,IF((V58-W58)&gt;0,V58-W58,0)))</f>
        <v>0</v>
      </c>
      <c r="AG58" s="48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0"/>
      <c r="AI58" s="60">
        <f>AA58-AH58</f>
        <v>500</v>
      </c>
      <c r="AJ58" s="61"/>
      <c r="AK58" s="55" t="str">
        <f>VLOOKUP(D58,'2.Bookinglist'!A:CT,40,FALSE)</f>
        <v>Dharaporn</v>
      </c>
      <c r="AL58" s="56" t="str">
        <f>VLOOKUP(D58,'2.Bookinglist'!A:CW,101,FALSE)</f>
        <v>2026-10-16</v>
      </c>
      <c r="AM58" s="56" t="str">
        <f>VLOOKUP(D58,'2.Bookinglist'!A:BK,63,FALSE)</f>
        <v>LCHY5</v>
      </c>
      <c r="AN58" s="55" t="str">
        <f>VLOOKUP(D58,'2.Bookinglist'!A:AZ,52,FALSE)</f>
        <v>SURVEY+CY DD.10/10/2026 RTN 16/10/2026 
*PLS CHECK OPEN GATE BEFORE RETURN CTNR*</v>
      </c>
      <c r="AO58" s="55">
        <f>VLOOKUP(D58,'2.Bookinglist'!A:CY,103,FALSE)</f>
        <v>0</v>
      </c>
    </row>
    <row r="59" ht="12.95" customHeight="1" spans="1:41" x14ac:dyDescent="0.25">
      <c r="A59" s="3" t="s">
        <v>546</v>
      </c>
      <c r="B59" s="53" t="str">
        <f>IF(C59=Charge!$M$1,Charge!$J$1,IF(C59=Charge!$M$23,Charge!$J$23,IF(C59=Charge!$M$17,Charge!$J$17,IF(C59=Charge!$N$17,Charge!$J$17,Charge!$J$7))))</f>
        <v>G2</v>
      </c>
      <c r="C59" s="54" t="str">
        <f>VLOOKUP(A59,'1.Loading'!A:R,14,FALSE)</f>
        <v>LCH06</v>
      </c>
      <c r="D59" s="54" t="str">
        <f>VLOOKUP(A59,'1.Loading'!A:R,17,FALSE)</f>
        <v>HASLS22260902669</v>
      </c>
      <c r="E59" s="55" t="str">
        <f>VLOOKUP(D59,'2.Bookinglist'!A:CT,27,FALSE)</f>
        <v>WHA GC LOGISTICS COMPANY LIMITED</v>
      </c>
      <c r="F59" s="55" t="str">
        <f>VLOOKUP(D59,'2.Bookinglist'!A:CT,28,FALSE)</f>
        <v>PTT GLOBAL CHEMICAL PUBLIC COMPANY LIMITED</v>
      </c>
      <c r="G59" s="56">
        <f>VLOOKUP(D59,'2.Bookinglist'!A:E,5,FALSE)</f>
        <v>0</v>
      </c>
      <c r="H59" s="54" t="str">
        <f>VLOOKUP(D59,'2.Bookinglist'!A:CT,15,FALSE)</f>
        <v>THLCH</v>
      </c>
      <c r="I59" s="54" t="str">
        <f>VLOOKUP(D59,'2.Bookinglist'!A:CT,19,FALSE)</f>
        <v>JPNGO</v>
      </c>
      <c r="J59" s="54" t="str">
        <f>VLOOKUP(D59,'2.Bookinglist'!A:CT,26,FALSE)</f>
        <v>KRPUS</v>
      </c>
      <c r="K59" s="54" t="str">
        <f>VLOOKUP(A59,'1.Loading'!A:R,5,FALSE)</f>
        <v>22GP</v>
      </c>
      <c r="L59" s="56" t="str">
        <f>VLOOKUP(D59,'2.Bookinglist'!A:CT,85,FALSE)</f>
        <v>CY/CY</v>
      </c>
      <c r="M59" s="56" t="str">
        <f>IF(VLOOKUP(D59,'2.Bookinglist'!A:CT,43,FALSE)=0,"","DG")</f>
        <v/>
      </c>
      <c r="N59" s="56" t="str">
        <f>IF(RIGHT(K59,2)="RE","RF","")</f>
        <v/>
      </c>
      <c r="O59" s="54" t="str">
        <f>VLOOKUP(A59,'1.Loading'!A:R,3,FALSE)</f>
        <v>HMVY</v>
      </c>
      <c r="P59" s="54" t="str">
        <f>VLOOKUP(A59,'1.Loading'!A:R,4,FALSE)</f>
        <v>2609N</v>
      </c>
      <c r="Q59" s="54" t="str">
        <f>VLOOKUP(D59,'2.Bookinglist'!A:CT,12,FALSE)</f>
        <v>PCI2</v>
      </c>
      <c r="R59" s="56" t="str">
        <f>IF(LEFT(K59,2)="22","20'","40'")</f>
        <v>20'</v>
      </c>
      <c r="S59" s="38"/>
      <c r="T59" s="54" t="str">
        <f>VLOOKUP(A59,'1.Loading'!A:R,2,FALSE)</f>
        <v>2026-10-28</v>
      </c>
      <c r="U59" s="57">
        <f>T59-S59</f>
        <v>46323</v>
      </c>
      <c r="V59" s="58"/>
      <c r="W59" s="54" t="str">
        <f>VLOOKUP(A59,'3.GateMove'!A:D,4,FALSE)</f>
        <v>2026-10-16</v>
      </c>
      <c r="X59" s="57">
        <f>((T59-W59)+1)</f>
        <v>13</v>
      </c>
      <c r="Y59" s="59">
        <f>IF(AND(OR(C59="BKK01",C59="BKK04"),L59="CFS/CY"),0,IF(M59="DG",1,IF(LEFT(C59,3)="LCH",7,IF(C59="BKK02",5,3))))</f>
        <v>7</v>
      </c>
      <c r="Z59" s="57">
        <f>IF(IF(AND(AC59="TML",AB59&gt;0),((T59-W59)+1)-AB59,((T59-W59)+1)-Y59)&gt;0,IF(AND(AC59="TML",AB59&gt;0),((T59-W59)+1)-AB59,((T59-W59)+1)-Y59),0)</f>
        <v>6</v>
      </c>
      <c r="AA59" s="48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750</v>
      </c>
      <c r="AB59" s="53"/>
      <c r="AC59" s="53"/>
      <c r="AD59" s="56">
        <f>IF(M59="DG",3,IF(N59="RF",3,5))+IF(AND(LEFT(C59,3)="BKK",N59="RF",Q59="KTS"),1,0)+IF(Q59="KHS",1,0)</f>
        <v>5</v>
      </c>
      <c r="AE59" s="57">
        <f>(T59-V59)+1</f>
        <v>46324</v>
      </c>
      <c r="AF59" s="57">
        <f>IF(AB59&gt;IF((V59-W59)&gt;0,V59-W59,0),0,IF(AB59&lt;IF((V59-W59)&gt;0,V59-W59,0),IF((V59-W59)&gt;0,V59-W59,0)-AB59,IF((V59-W59)&gt;0,V59-W59,0)))</f>
        <v>0</v>
      </c>
      <c r="AG59" s="48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0"/>
      <c r="AI59" s="60">
        <f>AA59-AH59</f>
        <v>750</v>
      </c>
      <c r="AJ59" s="61"/>
      <c r="AK59" s="55" t="str">
        <f>VLOOKUP(D59,'2.Bookinglist'!A:CT,40,FALSE)</f>
        <v>Dharaporn</v>
      </c>
      <c r="AL59" s="56" t="str">
        <f>VLOOKUP(D59,'2.Bookinglist'!A:CW,101,FALSE)</f>
        <v>2026-10-14</v>
      </c>
      <c r="AM59" s="56" t="str">
        <f>VLOOKUP(D59,'2.Bookinglist'!A:BK,63,FALSE)</f>
        <v>LCHY5</v>
      </c>
      <c r="AN59" s="55" t="str">
        <f>VLOOKUP(D59,'2.Bookinglist'!A:AZ,52,FALSE)</f>
        <v>[FIX][FIX][FIX]SURVEY+CY :09/10/2026 RTN :10/10/2026
REQUEST SEA BULK CONTAIER + SURVEY EMPTY BEFORE PICK UP
</v>
      </c>
      <c r="AO59" s="55">
        <f>VLOOKUP(D59,'2.Bookinglist'!A:CY,103,FALSE)</f>
        <v>0</v>
      </c>
    </row>
    <row r="60" ht="12.95" customHeight="1" spans="1:41" x14ac:dyDescent="0.25">
      <c r="A60" s="3" t="s">
        <v>553</v>
      </c>
      <c r="B60" s="53" t="str">
        <f>IF(C60=Charge!$M$1,Charge!$J$1,IF(C60=Charge!$M$23,Charge!$J$23,IF(C60=Charge!$M$17,Charge!$J$17,IF(C60=Charge!$N$17,Charge!$J$17,Charge!$J$7))))</f>
        <v>G2</v>
      </c>
      <c r="C60" s="54" t="str">
        <f>VLOOKUP(A60,'1.Loading'!A:R,14,FALSE)</f>
        <v>LCH06</v>
      </c>
      <c r="D60" s="54" t="str">
        <f>VLOOKUP(A60,'1.Loading'!A:R,17,FALSE)</f>
        <v>HASLS22260901900</v>
      </c>
      <c r="E60" s="55" t="str">
        <f>VLOOKUP(D60,'2.Bookinglist'!A:CT,27,FALSE)</f>
        <v>WHA GC LOGISTICS COMPANY LIMITED</v>
      </c>
      <c r="F60" s="55" t="str">
        <f>VLOOKUP(D60,'2.Bookinglist'!A:CT,28,FALSE)</f>
        <v>PTT GLOBAL CHEMICAL PUBLIC COMPANY LIMITED</v>
      </c>
      <c r="G60" s="56">
        <f>VLOOKUP(D60,'2.Bookinglist'!A:E,5,FALSE)</f>
        <v>0</v>
      </c>
      <c r="H60" s="54" t="str">
        <f>VLOOKUP(D60,'2.Bookinglist'!A:CT,15,FALSE)</f>
        <v>THLCH</v>
      </c>
      <c r="I60" s="54" t="str">
        <f>VLOOKUP(D60,'2.Bookinglist'!A:CT,19,FALSE)</f>
        <v>CNSHA</v>
      </c>
      <c r="J60" s="54">
        <f>VLOOKUP(D60,'2.Bookinglist'!A:CT,26,FALSE)</f>
        <v>0</v>
      </c>
      <c r="K60" s="54" t="str">
        <f>VLOOKUP(A60,'1.Loading'!A:R,5,FALSE)</f>
        <v>22GP</v>
      </c>
      <c r="L60" s="56" t="str">
        <f>VLOOKUP(D60,'2.Bookinglist'!A:CT,85,FALSE)</f>
        <v>CY/CY</v>
      </c>
      <c r="M60" s="56" t="str">
        <f>IF(VLOOKUP(D60,'2.Bookinglist'!A:CT,43,FALSE)=0,"","DG")</f>
        <v/>
      </c>
      <c r="N60" s="56" t="str">
        <f>IF(RIGHT(K60,2)="RE","RF","")</f>
        <v/>
      </c>
      <c r="O60" s="54" t="str">
        <f>VLOOKUP(A60,'1.Loading'!A:R,3,FALSE)</f>
        <v>HMVY</v>
      </c>
      <c r="P60" s="54" t="str">
        <f>VLOOKUP(A60,'1.Loading'!A:R,4,FALSE)</f>
        <v>2609N</v>
      </c>
      <c r="Q60" s="54" t="str">
        <f>VLOOKUP(D60,'2.Bookinglist'!A:CT,12,FALSE)</f>
        <v>PCI2</v>
      </c>
      <c r="R60" s="56" t="str">
        <f>IF(LEFT(K60,2)="22","20'","40'")</f>
        <v>20'</v>
      </c>
      <c r="S60" s="38"/>
      <c r="T60" s="54" t="str">
        <f>VLOOKUP(A60,'1.Loading'!A:R,2,FALSE)</f>
        <v>2026-10-28</v>
      </c>
      <c r="U60" s="57">
        <f>T60-S60</f>
        <v>46323</v>
      </c>
      <c r="V60" s="58"/>
      <c r="W60" s="54" t="str">
        <f>VLOOKUP(A60,'3.GateMove'!A:D,4,FALSE)</f>
        <v>2026-10-19</v>
      </c>
      <c r="X60" s="57">
        <f>((T60-W60)+1)</f>
        <v>10</v>
      </c>
      <c r="Y60" s="59">
        <f>IF(AND(OR(C60="BKK01",C60="BKK04"),L60="CFS/CY"),0,IF(M60="DG",1,IF(LEFT(C60,3)="LCH",7,IF(C60="BKK02",5,3))))</f>
        <v>7</v>
      </c>
      <c r="Z60" s="57">
        <f>IF(IF(AND(AC60="TML",AB60&gt;0),((T60-W60)+1)-AB60,((T60-W60)+1)-Y60)&gt;0,IF(AND(AC60="TML",AB60&gt;0),((T60-W60)+1)-AB60,((T60-W60)+1)-Y60),0)</f>
        <v>3</v>
      </c>
      <c r="AA60" s="48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375</v>
      </c>
      <c r="AB60" s="53"/>
      <c r="AC60" s="53"/>
      <c r="AD60" s="56">
        <f>IF(M60="DG",3,IF(N60="RF",3,5))+IF(AND(LEFT(C60,3)="BKK",N60="RF",Q60="KTS"),1,0)+IF(Q60="KHS",1,0)</f>
        <v>5</v>
      </c>
      <c r="AE60" s="57">
        <f>(T60-V60)+1</f>
        <v>46324</v>
      </c>
      <c r="AF60" s="57">
        <f>IF(AB60&gt;IF((V60-W60)&gt;0,V60-W60,0),0,IF(AB60&lt;IF((V60-W60)&gt;0,V60-W60,0),IF((V60-W60)&gt;0,V60-W60,0)-AB60,IF((V60-W60)&gt;0,V60-W60,0)))</f>
        <v>0</v>
      </c>
      <c r="AG60" s="48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0"/>
      <c r="AI60" s="60">
        <f>AA60-AH60</f>
        <v>375</v>
      </c>
      <c r="AJ60" s="61"/>
      <c r="AK60" s="55" t="str">
        <f>VLOOKUP(D60,'2.Bookinglist'!A:CT,40,FALSE)</f>
        <v>Dharaporn</v>
      </c>
      <c r="AL60" s="56" t="str">
        <f>VLOOKUP(D60,'2.Bookinglist'!A:CW,101,FALSE)</f>
        <v>2026-10-16</v>
      </c>
      <c r="AM60" s="56" t="str">
        <f>VLOOKUP(D60,'2.Bookinglist'!A:BK,63,FALSE)</f>
        <v>LCHY5</v>
      </c>
      <c r="AN60" s="55" t="str">
        <f>VLOOKUP(D60,'2.Bookinglist'!A:AZ,52,FALSE)</f>
        <v>SURVEY+CY DD.10/10/2026 RTN 16/10/2026 
*PLS CHECK OPEN GATE BEFORE RETURN CTNR*</v>
      </c>
      <c r="AO60" s="55">
        <f>VLOOKUP(D60,'2.Bookinglist'!A:CY,103,FALSE)</f>
        <v>0</v>
      </c>
    </row>
    <row r="61" ht="12.95" customHeight="1" spans="1:41" x14ac:dyDescent="0.25">
      <c r="A61" s="3" t="s">
        <v>556</v>
      </c>
      <c r="B61" s="53" t="str">
        <f>IF(C61=Charge!$M$1,Charge!$J$1,IF(C61=Charge!$M$23,Charge!$J$23,IF(C61=Charge!$M$17,Charge!$J$17,IF(C61=Charge!$N$17,Charge!$J$17,Charge!$J$7))))</f>
        <v>G2</v>
      </c>
      <c r="C61" s="54" t="str">
        <f>VLOOKUP(A61,'1.Loading'!A:R,14,FALSE)</f>
        <v>LCH06</v>
      </c>
      <c r="D61" s="54" t="str">
        <f>VLOOKUP(A61,'1.Loading'!A:R,17,FALSE)</f>
        <v>HASLS22261000756</v>
      </c>
      <c r="E61" s="55" t="str">
        <f>VLOOKUP(D61,'2.Bookinglist'!A:CT,27,FALSE)</f>
        <v>TOP INTER FREIGHT CO., LTD.</v>
      </c>
      <c r="F61" s="55" t="str">
        <f>VLOOKUP(D61,'2.Bookinglist'!A:CT,28,FALSE)</f>
        <v>TOP PREMIUM STARCH CO., LTD.</v>
      </c>
      <c r="G61" s="56" t="str">
        <f>VLOOKUP(D61,'2.Bookinglist'!A:E,5,FALSE)</f>
        <v>THLKR</v>
      </c>
      <c r="H61" s="54" t="str">
        <f>VLOOKUP(D61,'2.Bookinglist'!A:CT,15,FALSE)</f>
        <v>THLCH</v>
      </c>
      <c r="I61" s="54" t="str">
        <f>VLOOKUP(D61,'2.Bookinglist'!A:CT,19,FALSE)</f>
        <v>CNSHA</v>
      </c>
      <c r="J61" s="54">
        <f>VLOOKUP(D61,'2.Bookinglist'!A:CT,26,FALSE)</f>
        <v>0</v>
      </c>
      <c r="K61" s="54" t="str">
        <f>VLOOKUP(A61,'1.Loading'!A:R,5,FALSE)</f>
        <v>22GP</v>
      </c>
      <c r="L61" s="56" t="str">
        <f>VLOOKUP(D61,'2.Bookinglist'!A:CT,85,FALSE)</f>
        <v>CFS/CY</v>
      </c>
      <c r="M61" s="56" t="str">
        <f>IF(VLOOKUP(D61,'2.Bookinglist'!A:CT,43,FALSE)=0,"","DG")</f>
        <v/>
      </c>
      <c r="N61" s="56" t="str">
        <f>IF(RIGHT(K61,2)="RE","RF","")</f>
        <v/>
      </c>
      <c r="O61" s="54" t="str">
        <f>VLOOKUP(A61,'1.Loading'!A:R,3,FALSE)</f>
        <v>HMVY</v>
      </c>
      <c r="P61" s="54" t="str">
        <f>VLOOKUP(A61,'1.Loading'!A:R,4,FALSE)</f>
        <v>2609N</v>
      </c>
      <c r="Q61" s="54" t="str">
        <f>VLOOKUP(D61,'2.Bookinglist'!A:CT,12,FALSE)</f>
        <v>PCI2</v>
      </c>
      <c r="R61" s="56" t="str">
        <f>IF(LEFT(K61,2)="22","20'","40'")</f>
        <v>20'</v>
      </c>
      <c r="S61" s="38"/>
      <c r="T61" s="54" t="str">
        <f>VLOOKUP(A61,'1.Loading'!A:R,2,FALSE)</f>
        <v>2026-10-28</v>
      </c>
      <c r="U61" s="57">
        <f>T61-S61</f>
        <v>46323</v>
      </c>
      <c r="V61" s="58"/>
      <c r="W61" s="54" t="str">
        <f>VLOOKUP(A61,'3.GateMove'!A:D,4,FALSE)</f>
        <v>2026-10-20</v>
      </c>
      <c r="X61" s="57">
        <f>((T61-W61)+1)</f>
        <v>9</v>
      </c>
      <c r="Y61" s="59">
        <f>IF(AND(OR(C61="BKK01",C61="BKK04"),L61="CFS/CY"),0,IF(M61="DG",1,IF(LEFT(C61,3)="LCH",7,IF(C61="BKK02",5,3))))</f>
        <v>7</v>
      </c>
      <c r="Z61" s="57">
        <f>IF(IF(AND(AC61="TML",AB61&gt;0),((T61-W61)+1)-AB61,((T61-W61)+1)-Y61)&gt;0,IF(AND(AC61="TML",AB61&gt;0),((T61-W61)+1)-AB61,((T61-W61)+1)-Y61),0)</f>
        <v>2</v>
      </c>
      <c r="AA61" s="48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250</v>
      </c>
      <c r="AB61" s="53"/>
      <c r="AC61" s="53"/>
      <c r="AD61" s="56">
        <f>IF(M61="DG",3,IF(N61="RF",3,5))+IF(AND(LEFT(C61,3)="BKK",N61="RF",Q61="KTS"),1,0)+IF(Q61="KHS",1,0)</f>
        <v>5</v>
      </c>
      <c r="AE61" s="57">
        <f>(T61-V61)+1</f>
        <v>46324</v>
      </c>
      <c r="AF61" s="57">
        <f>IF(AB61&gt;IF((V61-W61)&gt;0,V61-W61,0),0,IF(AB61&lt;IF((V61-W61)&gt;0,V61-W61,0),IF((V61-W61)&gt;0,V61-W61,0)-AB61,IF((V61-W61)&gt;0,V61-W61,0)))</f>
        <v>0</v>
      </c>
      <c r="AG61" s="48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0"/>
      <c r="AI61" s="60">
        <f>AA61-AH61</f>
        <v>250</v>
      </c>
      <c r="AJ61" s="61"/>
      <c r="AK61" s="55" t="str">
        <f>VLOOKUP(D61,'2.Bookinglist'!A:CT,40,FALSE)</f>
        <v>Arunphat W. (Aiw)</v>
      </c>
      <c r="AL61" s="56" t="str">
        <f>VLOOKUP(D61,'2.Bookinglist'!A:CW,101,FALSE)</f>
        <v>2026-10-22</v>
      </c>
      <c r="AM61" s="56" t="str">
        <f>VLOOKUP(D61,'2.Bookinglist'!A:BK,63,FALSE)</f>
        <v>LCH54</v>
      </c>
      <c r="AN61" s="55" t="str">
        <f>VLOOKUP(D61,'2.Bookinglist'!A:AZ,52,FALSE)</f>
        <v>STUFFING CARGO AT TIFFA ICD DD.16-17/10/26 [PAPERLESS CODE 2829]
CLS TIME 19/10/26 @17.00</v>
      </c>
      <c r="AO61" s="55">
        <f>VLOOKUP(D61,'2.Bookinglist'!A:CY,103,FALSE)</f>
        <v>0</v>
      </c>
    </row>
    <row r="62" ht="12.95" customHeight="1" spans="1:41" x14ac:dyDescent="0.25">
      <c r="A62" s="3" t="s">
        <v>561</v>
      </c>
      <c r="B62" s="53" t="str">
        <f>IF(C62=Charge!$M$1,Charge!$J$1,IF(C62=Charge!$M$23,Charge!$J$23,IF(C62=Charge!$M$17,Charge!$J$17,IF(C62=Charge!$N$17,Charge!$J$17,Charge!$J$7))))</f>
        <v>G2</v>
      </c>
      <c r="C62" s="54" t="str">
        <f>VLOOKUP(A62,'1.Loading'!A:R,14,FALSE)</f>
        <v>LCH06</v>
      </c>
      <c r="D62" s="54" t="str">
        <f>VLOOKUP(A62,'1.Loading'!A:R,17,FALSE)</f>
        <v>HASLS22260901901</v>
      </c>
      <c r="E62" s="55" t="str">
        <f>VLOOKUP(D62,'2.Bookinglist'!A:CT,27,FALSE)</f>
        <v>WHA GC LOGISTICS COMPANY LIMITED</v>
      </c>
      <c r="F62" s="55" t="str">
        <f>VLOOKUP(D62,'2.Bookinglist'!A:CT,28,FALSE)</f>
        <v>PTT GLOBAL CHEMICAL PUBLIC COMPANY LIMITED</v>
      </c>
      <c r="G62" s="56">
        <f>VLOOKUP(D62,'2.Bookinglist'!A:E,5,FALSE)</f>
        <v>0</v>
      </c>
      <c r="H62" s="54" t="str">
        <f>VLOOKUP(D62,'2.Bookinglist'!A:CT,15,FALSE)</f>
        <v>THLCH</v>
      </c>
      <c r="I62" s="54" t="str">
        <f>VLOOKUP(D62,'2.Bookinglist'!A:CT,19,FALSE)</f>
        <v>CNSHA</v>
      </c>
      <c r="J62" s="54">
        <f>VLOOKUP(D62,'2.Bookinglist'!A:CT,26,FALSE)</f>
        <v>0</v>
      </c>
      <c r="K62" s="54" t="str">
        <f>VLOOKUP(A62,'1.Loading'!A:R,5,FALSE)</f>
        <v>22GP</v>
      </c>
      <c r="L62" s="56" t="str">
        <f>VLOOKUP(D62,'2.Bookinglist'!A:CT,85,FALSE)</f>
        <v>CY/CY</v>
      </c>
      <c r="M62" s="56" t="str">
        <f>IF(VLOOKUP(D62,'2.Bookinglist'!A:CT,43,FALSE)=0,"","DG")</f>
        <v/>
      </c>
      <c r="N62" s="56" t="str">
        <f>IF(RIGHT(K62,2)="RE","RF","")</f>
        <v/>
      </c>
      <c r="O62" s="54" t="str">
        <f>VLOOKUP(A62,'1.Loading'!A:R,3,FALSE)</f>
        <v>HMVY</v>
      </c>
      <c r="P62" s="54" t="str">
        <f>VLOOKUP(A62,'1.Loading'!A:R,4,FALSE)</f>
        <v>2609N</v>
      </c>
      <c r="Q62" s="54" t="str">
        <f>VLOOKUP(D62,'2.Bookinglist'!A:CT,12,FALSE)</f>
        <v>PCI2</v>
      </c>
      <c r="R62" s="56" t="str">
        <f>IF(LEFT(K62,2)="22","20'","40'")</f>
        <v>20'</v>
      </c>
      <c r="S62" s="38"/>
      <c r="T62" s="54" t="str">
        <f>VLOOKUP(A62,'1.Loading'!A:R,2,FALSE)</f>
        <v>2026-10-28</v>
      </c>
      <c r="U62" s="57">
        <f>T62-S62</f>
        <v>46323</v>
      </c>
      <c r="V62" s="58"/>
      <c r="W62" s="54" t="str">
        <f>VLOOKUP(A62,'3.GateMove'!A:D,4,FALSE)</f>
        <v>2026-10-18</v>
      </c>
      <c r="X62" s="57">
        <f>((T62-W62)+1)</f>
        <v>11</v>
      </c>
      <c r="Y62" s="59">
        <f>IF(AND(OR(C62="BKK01",C62="BKK04"),L62="CFS/CY"),0,IF(M62="DG",1,IF(LEFT(C62,3)="LCH",7,IF(C62="BKK02",5,3))))</f>
        <v>7</v>
      </c>
      <c r="Z62" s="57">
        <f>IF(IF(AND(AC62="TML",AB62&gt;0),((T62-W62)+1)-AB62,((T62-W62)+1)-Y62)&gt;0,IF(AND(AC62="TML",AB62&gt;0),((T62-W62)+1)-AB62,((T62-W62)+1)-Y62),0)</f>
        <v>4</v>
      </c>
      <c r="AA62" s="48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500</v>
      </c>
      <c r="AB62" s="53"/>
      <c r="AC62" s="53"/>
      <c r="AD62" s="56">
        <f>IF(M62="DG",3,IF(N62="RF",3,5))+IF(AND(LEFT(C62,3)="BKK",N62="RF",Q62="KTS"),1,0)+IF(Q62="KHS",1,0)</f>
        <v>5</v>
      </c>
      <c r="AE62" s="57">
        <f>(T62-V62)+1</f>
        <v>46324</v>
      </c>
      <c r="AF62" s="57">
        <f>IF(AB62&gt;IF((V62-W62)&gt;0,V62-W62,0),0,IF(AB62&lt;IF((V62-W62)&gt;0,V62-W62,0),IF((V62-W62)&gt;0,V62-W62,0)-AB62,IF((V62-W62)&gt;0,V62-W62,0)))</f>
        <v>0</v>
      </c>
      <c r="AG62" s="48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0"/>
      <c r="AI62" s="60">
        <f>AA62-AH62</f>
        <v>500</v>
      </c>
      <c r="AJ62" s="61"/>
      <c r="AK62" s="55" t="str">
        <f>VLOOKUP(D62,'2.Bookinglist'!A:CT,40,FALSE)</f>
        <v>Dharaporn</v>
      </c>
      <c r="AL62" s="56" t="str">
        <f>VLOOKUP(D62,'2.Bookinglist'!A:CW,101,FALSE)</f>
        <v>2026-10-16</v>
      </c>
      <c r="AM62" s="56" t="str">
        <f>VLOOKUP(D62,'2.Bookinglist'!A:BK,63,FALSE)</f>
        <v>LCHY5</v>
      </c>
      <c r="AN62" s="55" t="str">
        <f>VLOOKUP(D62,'2.Bookinglist'!A:AZ,52,FALSE)</f>
        <v>SURVEY+CY DD.10/10/2026 RTN 16/10/2026 
*PLS CHECK OPEN GATE BEFORE RETURN CTNR*</v>
      </c>
      <c r="AO62" s="55">
        <f>VLOOKUP(D62,'2.Bookinglist'!A:CY,103,FALSE)</f>
        <v>0</v>
      </c>
    </row>
    <row r="63" ht="12.95" customHeight="1" spans="1:41" x14ac:dyDescent="0.25">
      <c r="A63" s="3" t="s">
        <v>548</v>
      </c>
      <c r="B63" s="53" t="str">
        <f>IF(C63=Charge!$M$1,Charge!$J$1,IF(C63=Charge!$M$23,Charge!$J$23,IF(C63=Charge!$M$17,Charge!$J$17,IF(C63=Charge!$N$17,Charge!$J$17,Charge!$J$7))))</f>
        <v>G2</v>
      </c>
      <c r="C63" s="54" t="str">
        <f>VLOOKUP(A63,'1.Loading'!A:R,14,FALSE)</f>
        <v>LCH06</v>
      </c>
      <c r="D63" s="54" t="str">
        <f>VLOOKUP(A63,'1.Loading'!A:R,17,FALSE)</f>
        <v>HASLS22260902669</v>
      </c>
      <c r="E63" s="55" t="str">
        <f>VLOOKUP(D63,'2.Bookinglist'!A:CT,27,FALSE)</f>
        <v>WHA GC LOGISTICS COMPANY LIMITED</v>
      </c>
      <c r="F63" s="55" t="str">
        <f>VLOOKUP(D63,'2.Bookinglist'!A:CT,28,FALSE)</f>
        <v>PTT GLOBAL CHEMICAL PUBLIC COMPANY LIMITED</v>
      </c>
      <c r="G63" s="56">
        <f>VLOOKUP(D63,'2.Bookinglist'!A:E,5,FALSE)</f>
        <v>0</v>
      </c>
      <c r="H63" s="54" t="str">
        <f>VLOOKUP(D63,'2.Bookinglist'!A:CT,15,FALSE)</f>
        <v>THLCH</v>
      </c>
      <c r="I63" s="54" t="str">
        <f>VLOOKUP(D63,'2.Bookinglist'!A:CT,19,FALSE)</f>
        <v>JPNGO</v>
      </c>
      <c r="J63" s="54" t="str">
        <f>VLOOKUP(D63,'2.Bookinglist'!A:CT,26,FALSE)</f>
        <v>KRPUS</v>
      </c>
      <c r="K63" s="54" t="str">
        <f>VLOOKUP(A63,'1.Loading'!A:R,5,FALSE)</f>
        <v>22GP</v>
      </c>
      <c r="L63" s="56" t="str">
        <f>VLOOKUP(D63,'2.Bookinglist'!A:CT,85,FALSE)</f>
        <v>CY/CY</v>
      </c>
      <c r="M63" s="56" t="str">
        <f>IF(VLOOKUP(D63,'2.Bookinglist'!A:CT,43,FALSE)=0,"","DG")</f>
        <v/>
      </c>
      <c r="N63" s="56" t="str">
        <f>IF(RIGHT(K63,2)="RE","RF","")</f>
        <v/>
      </c>
      <c r="O63" s="54" t="str">
        <f>VLOOKUP(A63,'1.Loading'!A:R,3,FALSE)</f>
        <v>HMVY</v>
      </c>
      <c r="P63" s="54" t="str">
        <f>VLOOKUP(A63,'1.Loading'!A:R,4,FALSE)</f>
        <v>2609N</v>
      </c>
      <c r="Q63" s="54" t="str">
        <f>VLOOKUP(D63,'2.Bookinglist'!A:CT,12,FALSE)</f>
        <v>PCI2</v>
      </c>
      <c r="R63" s="56" t="str">
        <f>IF(LEFT(K63,2)="22","20'","40'")</f>
        <v>20'</v>
      </c>
      <c r="S63" s="38"/>
      <c r="T63" s="54" t="str">
        <f>VLOOKUP(A63,'1.Loading'!A:R,2,FALSE)</f>
        <v>2026-10-28</v>
      </c>
      <c r="U63" s="57">
        <f>T63-S63</f>
        <v>46323</v>
      </c>
      <c r="V63" s="58"/>
      <c r="W63" s="54" t="str">
        <f>VLOOKUP(A63,'3.GateMove'!A:D,4,FALSE)</f>
        <v>2026-10-17</v>
      </c>
      <c r="X63" s="57">
        <f>((T63-W63)+1)</f>
        <v>12</v>
      </c>
      <c r="Y63" s="59">
        <f>IF(AND(OR(C63="BKK01",C63="BKK04"),L63="CFS/CY"),0,IF(M63="DG",1,IF(LEFT(C63,3)="LCH",7,IF(C63="BKK02",5,3))))</f>
        <v>7</v>
      </c>
      <c r="Z63" s="57">
        <f>IF(IF(AND(AC63="TML",AB63&gt;0),((T63-W63)+1)-AB63,((T63-W63)+1)-Y63)&gt;0,IF(AND(AC63="TML",AB63&gt;0),((T63-W63)+1)-AB63,((T63-W63)+1)-Y63),0)</f>
        <v>5</v>
      </c>
      <c r="AA63" s="48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625</v>
      </c>
      <c r="AB63" s="53"/>
      <c r="AC63" s="53"/>
      <c r="AD63" s="56">
        <f>IF(M63="DG",3,IF(N63="RF",3,5))+IF(AND(LEFT(C63,3)="BKK",N63="RF",Q63="KTS"),1,0)+IF(Q63="KHS",1,0)</f>
        <v>5</v>
      </c>
      <c r="AE63" s="57">
        <f>(T63-V63)+1</f>
        <v>46324</v>
      </c>
      <c r="AF63" s="57">
        <f>IF(AB63&gt;IF((V63-W63)&gt;0,V63-W63,0),0,IF(AB63&lt;IF((V63-W63)&gt;0,V63-W63,0),IF((V63-W63)&gt;0,V63-W63,0)-AB63,IF((V63-W63)&gt;0,V63-W63,0)))</f>
        <v>0</v>
      </c>
      <c r="AG63" s="48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0"/>
      <c r="AI63" s="60">
        <f>AA63-AH63</f>
        <v>625</v>
      </c>
      <c r="AJ63" s="61"/>
      <c r="AK63" s="55" t="str">
        <f>VLOOKUP(D63,'2.Bookinglist'!A:CT,40,FALSE)</f>
        <v>Dharaporn</v>
      </c>
      <c r="AL63" s="56" t="str">
        <f>VLOOKUP(D63,'2.Bookinglist'!A:CW,101,FALSE)</f>
        <v>2026-10-14</v>
      </c>
      <c r="AM63" s="56" t="str">
        <f>VLOOKUP(D63,'2.Bookinglist'!A:BK,63,FALSE)</f>
        <v>LCHY5</v>
      </c>
      <c r="AN63" s="55" t="str">
        <f>VLOOKUP(D63,'2.Bookinglist'!A:AZ,52,FALSE)</f>
        <v>[FIX][FIX][FIX]SURVEY+CY :09/10/2026 RTN :10/10/2026
REQUEST SEA BULK CONTAIER + SURVEY EMPTY BEFORE PICK UP
</v>
      </c>
      <c r="AO63" s="55">
        <f>VLOOKUP(D63,'2.Bookinglist'!A:CY,103,FALSE)</f>
        <v>0</v>
      </c>
    </row>
    <row r="64" ht="12.95" customHeight="1" spans="1:41" x14ac:dyDescent="0.25">
      <c r="A64" s="3" t="s">
        <v>564</v>
      </c>
      <c r="B64" s="53" t="str">
        <f>IF(C64=Charge!$M$1,Charge!$J$1,IF(C64=Charge!$M$23,Charge!$J$23,IF(C64=Charge!$M$17,Charge!$J$17,IF(C64=Charge!$N$17,Charge!$J$17,Charge!$J$7))))</f>
        <v>G2</v>
      </c>
      <c r="C64" s="54" t="str">
        <f>VLOOKUP(A64,'1.Loading'!A:R,14,FALSE)</f>
        <v>LCH06</v>
      </c>
      <c r="D64" s="54" t="str">
        <f>VLOOKUP(A64,'1.Loading'!A:R,17,FALSE)</f>
        <v>HASLS22260901900</v>
      </c>
      <c r="E64" s="55" t="str">
        <f>VLOOKUP(D64,'2.Bookinglist'!A:CT,27,FALSE)</f>
        <v>WHA GC LOGISTICS COMPANY LIMITED</v>
      </c>
      <c r="F64" s="55" t="str">
        <f>VLOOKUP(D64,'2.Bookinglist'!A:CT,28,FALSE)</f>
        <v>PTT GLOBAL CHEMICAL PUBLIC COMPANY LIMITED</v>
      </c>
      <c r="G64" s="56">
        <f>VLOOKUP(D64,'2.Bookinglist'!A:E,5,FALSE)</f>
        <v>0</v>
      </c>
      <c r="H64" s="54" t="str">
        <f>VLOOKUP(D64,'2.Bookinglist'!A:CT,15,FALSE)</f>
        <v>THLCH</v>
      </c>
      <c r="I64" s="54" t="str">
        <f>VLOOKUP(D64,'2.Bookinglist'!A:CT,19,FALSE)</f>
        <v>CNSHA</v>
      </c>
      <c r="J64" s="54">
        <f>VLOOKUP(D64,'2.Bookinglist'!A:CT,26,FALSE)</f>
        <v>0</v>
      </c>
      <c r="K64" s="54" t="str">
        <f>VLOOKUP(A64,'1.Loading'!A:R,5,FALSE)</f>
        <v>22GP</v>
      </c>
      <c r="L64" s="56" t="str">
        <f>VLOOKUP(D64,'2.Bookinglist'!A:CT,85,FALSE)</f>
        <v>CY/CY</v>
      </c>
      <c r="M64" s="56" t="str">
        <f>IF(VLOOKUP(D64,'2.Bookinglist'!A:CT,43,FALSE)=0,"","DG")</f>
        <v/>
      </c>
      <c r="N64" s="56" t="str">
        <f>IF(RIGHT(K64,2)="RE","RF","")</f>
        <v/>
      </c>
      <c r="O64" s="54" t="str">
        <f>VLOOKUP(A64,'1.Loading'!A:R,3,FALSE)</f>
        <v>HMVY</v>
      </c>
      <c r="P64" s="54" t="str">
        <f>VLOOKUP(A64,'1.Loading'!A:R,4,FALSE)</f>
        <v>2609N</v>
      </c>
      <c r="Q64" s="54" t="str">
        <f>VLOOKUP(D64,'2.Bookinglist'!A:CT,12,FALSE)</f>
        <v>PCI2</v>
      </c>
      <c r="R64" s="56" t="str">
        <f>IF(LEFT(K64,2)="22","20'","40'")</f>
        <v>20'</v>
      </c>
      <c r="S64" s="38"/>
      <c r="T64" s="54" t="str">
        <f>VLOOKUP(A64,'1.Loading'!A:R,2,FALSE)</f>
        <v>2026-10-28</v>
      </c>
      <c r="U64" s="57">
        <f>T64-S64</f>
        <v>46323</v>
      </c>
      <c r="V64" s="58"/>
      <c r="W64" s="54" t="str">
        <f>VLOOKUP(A64,'3.GateMove'!A:D,4,FALSE)</f>
        <v>2026-10-19</v>
      </c>
      <c r="X64" s="57">
        <f>((T64-W64)+1)</f>
        <v>10</v>
      </c>
      <c r="Y64" s="59">
        <f>IF(AND(OR(C64="BKK01",C64="BKK04"),L64="CFS/CY"),0,IF(M64="DG",1,IF(LEFT(C64,3)="LCH",7,IF(C64="BKK02",5,3))))</f>
        <v>7</v>
      </c>
      <c r="Z64" s="57">
        <f>IF(IF(AND(AC64="TML",AB64&gt;0),((T64-W64)+1)-AB64,((T64-W64)+1)-Y64)&gt;0,IF(AND(AC64="TML",AB64&gt;0),((T64-W64)+1)-AB64,((T64-W64)+1)-Y64),0)</f>
        <v>3</v>
      </c>
      <c r="AA64" s="48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375</v>
      </c>
      <c r="AB64" s="53"/>
      <c r="AC64" s="53"/>
      <c r="AD64" s="56">
        <f>IF(M64="DG",3,IF(N64="RF",3,5))+IF(AND(LEFT(C64,3)="BKK",N64="RF",Q64="KTS"),1,0)+IF(Q64="KHS",1,0)</f>
        <v>5</v>
      </c>
      <c r="AE64" s="57">
        <f>(T64-V64)+1</f>
        <v>46324</v>
      </c>
      <c r="AF64" s="57">
        <f>IF(AB64&gt;IF((V64-W64)&gt;0,V64-W64,0),0,IF(AB64&lt;IF((V64-W64)&gt;0,V64-W64,0),IF((V64-W64)&gt;0,V64-W64,0)-AB64,IF((V64-W64)&gt;0,V64-W64,0)))</f>
        <v>0</v>
      </c>
      <c r="AG64" s="48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0"/>
      <c r="AI64" s="60">
        <f>AA64-AH64</f>
        <v>375</v>
      </c>
      <c r="AJ64" s="61"/>
      <c r="AK64" s="55" t="str">
        <f>VLOOKUP(D64,'2.Bookinglist'!A:CT,40,FALSE)</f>
        <v>Dharaporn</v>
      </c>
      <c r="AL64" s="56" t="str">
        <f>VLOOKUP(D64,'2.Bookinglist'!A:CW,101,FALSE)</f>
        <v>2026-10-16</v>
      </c>
      <c r="AM64" s="56" t="str">
        <f>VLOOKUP(D64,'2.Bookinglist'!A:BK,63,FALSE)</f>
        <v>LCHY5</v>
      </c>
      <c r="AN64" s="55" t="str">
        <f>VLOOKUP(D64,'2.Bookinglist'!A:AZ,52,FALSE)</f>
        <v>SURVEY+CY DD.10/10/2026 RTN 16/10/2026 
*PLS CHECK OPEN GATE BEFORE RETURN CTNR*</v>
      </c>
      <c r="AO64" s="55">
        <f>VLOOKUP(D64,'2.Bookinglist'!A:CY,103,FALSE)</f>
        <v>0</v>
      </c>
    </row>
    <row r="65" ht="12.95" customHeight="1" spans="1:41" x14ac:dyDescent="0.25">
      <c r="A65" s="3" t="s">
        <v>565</v>
      </c>
      <c r="B65" s="53" t="str">
        <f>IF(C65=Charge!$M$1,Charge!$J$1,IF(C65=Charge!$M$23,Charge!$J$23,IF(C65=Charge!$M$17,Charge!$J$17,IF(C65=Charge!$N$17,Charge!$J$17,Charge!$J$7))))</f>
        <v>G2</v>
      </c>
      <c r="C65" s="54" t="str">
        <f>VLOOKUP(A65,'1.Loading'!A:R,14,FALSE)</f>
        <v>LCH06</v>
      </c>
      <c r="D65" s="54" t="str">
        <f>VLOOKUP(A65,'1.Loading'!A:R,17,FALSE)</f>
        <v>HASLS22260901900</v>
      </c>
      <c r="E65" s="55" t="str">
        <f>VLOOKUP(D65,'2.Bookinglist'!A:CT,27,FALSE)</f>
        <v>WHA GC LOGISTICS COMPANY LIMITED</v>
      </c>
      <c r="F65" s="55" t="str">
        <f>VLOOKUP(D65,'2.Bookinglist'!A:CT,28,FALSE)</f>
        <v>PTT GLOBAL CHEMICAL PUBLIC COMPANY LIMITED</v>
      </c>
      <c r="G65" s="56">
        <f>VLOOKUP(D65,'2.Bookinglist'!A:E,5,FALSE)</f>
        <v>0</v>
      </c>
      <c r="H65" s="54" t="str">
        <f>VLOOKUP(D65,'2.Bookinglist'!A:CT,15,FALSE)</f>
        <v>THLCH</v>
      </c>
      <c r="I65" s="54" t="str">
        <f>VLOOKUP(D65,'2.Bookinglist'!A:CT,19,FALSE)</f>
        <v>CNSHA</v>
      </c>
      <c r="J65" s="54">
        <f>VLOOKUP(D65,'2.Bookinglist'!A:CT,26,FALSE)</f>
        <v>0</v>
      </c>
      <c r="K65" s="54" t="str">
        <f>VLOOKUP(A65,'1.Loading'!A:R,5,FALSE)</f>
        <v>22GP</v>
      </c>
      <c r="L65" s="56" t="str">
        <f>VLOOKUP(D65,'2.Bookinglist'!A:CT,85,FALSE)</f>
        <v>CY/CY</v>
      </c>
      <c r="M65" s="56" t="str">
        <f>IF(VLOOKUP(D65,'2.Bookinglist'!A:CT,43,FALSE)=0,"","DG")</f>
        <v/>
      </c>
      <c r="N65" s="56" t="str">
        <f>IF(RIGHT(K65,2)="RE","RF","")</f>
        <v/>
      </c>
      <c r="O65" s="54" t="str">
        <f>VLOOKUP(A65,'1.Loading'!A:R,3,FALSE)</f>
        <v>HMVY</v>
      </c>
      <c r="P65" s="54" t="str">
        <f>VLOOKUP(A65,'1.Loading'!A:R,4,FALSE)</f>
        <v>2609N</v>
      </c>
      <c r="Q65" s="54" t="str">
        <f>VLOOKUP(D65,'2.Bookinglist'!A:CT,12,FALSE)</f>
        <v>PCI2</v>
      </c>
      <c r="R65" s="56" t="str">
        <f>IF(LEFT(K65,2)="22","20'","40'")</f>
        <v>20'</v>
      </c>
      <c r="S65" s="38"/>
      <c r="T65" s="54" t="str">
        <f>VLOOKUP(A65,'1.Loading'!A:R,2,FALSE)</f>
        <v>2026-10-28</v>
      </c>
      <c r="U65" s="57">
        <f>T65-S65</f>
        <v>46323</v>
      </c>
      <c r="V65" s="58"/>
      <c r="W65" s="54" t="str">
        <f>VLOOKUP(A65,'3.GateMove'!A:D,4,FALSE)</f>
        <v>2026-10-19</v>
      </c>
      <c r="X65" s="57">
        <f>((T65-W65)+1)</f>
        <v>10</v>
      </c>
      <c r="Y65" s="59">
        <f>IF(AND(OR(C65="BKK01",C65="BKK04"),L65="CFS/CY"),0,IF(M65="DG",1,IF(LEFT(C65,3)="LCH",7,IF(C65="BKK02",5,3))))</f>
        <v>7</v>
      </c>
      <c r="Z65" s="57">
        <f>IF(IF(AND(AC65="TML",AB65&gt;0),((T65-W65)+1)-AB65,((T65-W65)+1)-Y65)&gt;0,IF(AND(AC65="TML",AB65&gt;0),((T65-W65)+1)-AB65,((T65-W65)+1)-Y65),0)</f>
        <v>3</v>
      </c>
      <c r="AA65" s="48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375</v>
      </c>
      <c r="AB65" s="53"/>
      <c r="AC65" s="53"/>
      <c r="AD65" s="56">
        <f>IF(M65="DG",3,IF(N65="RF",3,5))+IF(AND(LEFT(C65,3)="BKK",N65="RF",Q65="KTS"),1,0)+IF(Q65="KHS",1,0)</f>
        <v>5</v>
      </c>
      <c r="AE65" s="57">
        <f>(T65-V65)+1</f>
        <v>46324</v>
      </c>
      <c r="AF65" s="57">
        <f>IF(AB65&gt;IF((V65-W65)&gt;0,V65-W65,0),0,IF(AB65&lt;IF((V65-W65)&gt;0,V65-W65,0),IF((V65-W65)&gt;0,V65-W65,0)-AB65,IF((V65-W65)&gt;0,V65-W65,0)))</f>
        <v>0</v>
      </c>
      <c r="AG65" s="48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0"/>
      <c r="AI65" s="60">
        <f>AA65-AH65</f>
        <v>375</v>
      </c>
      <c r="AJ65" s="61"/>
      <c r="AK65" s="55" t="str">
        <f>VLOOKUP(D65,'2.Bookinglist'!A:CT,40,FALSE)</f>
        <v>Dharaporn</v>
      </c>
      <c r="AL65" s="56" t="str">
        <f>VLOOKUP(D65,'2.Bookinglist'!A:CW,101,FALSE)</f>
        <v>2026-10-16</v>
      </c>
      <c r="AM65" s="56" t="str">
        <f>VLOOKUP(D65,'2.Bookinglist'!A:BK,63,FALSE)</f>
        <v>LCHY5</v>
      </c>
      <c r="AN65" s="55" t="str">
        <f>VLOOKUP(D65,'2.Bookinglist'!A:AZ,52,FALSE)</f>
        <v>SURVEY+CY DD.10/10/2026 RTN 16/10/2026 
*PLS CHECK OPEN GATE BEFORE RETURN CTNR*</v>
      </c>
      <c r="AO65" s="55">
        <f>VLOOKUP(D65,'2.Bookinglist'!A:CY,103,FALSE)</f>
        <v>0</v>
      </c>
    </row>
    <row r="66" ht="12.95" customHeight="1" spans="1:41" x14ac:dyDescent="0.25">
      <c r="A66" s="3" t="s">
        <v>562</v>
      </c>
      <c r="B66" s="53" t="str">
        <f>IF(C66=Charge!$M$1,Charge!$J$1,IF(C66=Charge!$M$23,Charge!$J$23,IF(C66=Charge!$M$17,Charge!$J$17,IF(C66=Charge!$N$17,Charge!$J$17,Charge!$J$7))))</f>
        <v>G2</v>
      </c>
      <c r="C66" s="54" t="str">
        <f>VLOOKUP(A66,'1.Loading'!A:R,14,FALSE)</f>
        <v>LCH06</v>
      </c>
      <c r="D66" s="54" t="str">
        <f>VLOOKUP(A66,'1.Loading'!A:R,17,FALSE)</f>
        <v>HASLS22260902617</v>
      </c>
      <c r="E66" s="55" t="str">
        <f>VLOOKUP(D66,'2.Bookinglist'!A:CT,27,FALSE)</f>
        <v>RCL LOGISTICS CO., LTD.</v>
      </c>
      <c r="F66" s="55" t="str">
        <f>VLOOKUP(D66,'2.Bookinglist'!A:CT,28,FALSE)</f>
        <v>SMS CORPORATION CO., LTD.</v>
      </c>
      <c r="G66" s="56" t="str">
        <f>VLOOKUP(D66,'2.Bookinglist'!A:E,5,FALSE)</f>
        <v>THSRP</v>
      </c>
      <c r="H66" s="54" t="str">
        <f>VLOOKUP(D66,'2.Bookinglist'!A:CT,15,FALSE)</f>
        <v>THLCH</v>
      </c>
      <c r="I66" s="54" t="str">
        <f>VLOOKUP(D66,'2.Bookinglist'!A:CT,19,FALSE)</f>
        <v>CNSHA</v>
      </c>
      <c r="J66" s="54">
        <f>VLOOKUP(D66,'2.Bookinglist'!A:CT,26,FALSE)</f>
        <v>0</v>
      </c>
      <c r="K66" s="54" t="str">
        <f>VLOOKUP(A66,'1.Loading'!A:R,5,FALSE)</f>
        <v>22GP</v>
      </c>
      <c r="L66" s="56" t="str">
        <f>VLOOKUP(D66,'2.Bookinglist'!A:CT,85,FALSE)</f>
        <v>CY/CY</v>
      </c>
      <c r="M66" s="56" t="str">
        <f>IF(VLOOKUP(D66,'2.Bookinglist'!A:CT,43,FALSE)=0,"","DG")</f>
        <v/>
      </c>
      <c r="N66" s="56" t="str">
        <f>IF(RIGHT(K66,2)="RE","RF","")</f>
        <v/>
      </c>
      <c r="O66" s="54" t="str">
        <f>VLOOKUP(A66,'1.Loading'!A:R,3,FALSE)</f>
        <v>HMVY</v>
      </c>
      <c r="P66" s="54" t="str">
        <f>VLOOKUP(A66,'1.Loading'!A:R,4,FALSE)</f>
        <v>2609N</v>
      </c>
      <c r="Q66" s="54" t="str">
        <f>VLOOKUP(D66,'2.Bookinglist'!A:CT,12,FALSE)</f>
        <v>PCI2</v>
      </c>
      <c r="R66" s="56" t="str">
        <f>IF(LEFT(K66,2)="22","20'","40'")</f>
        <v>20'</v>
      </c>
      <c r="S66" s="38"/>
      <c r="T66" s="54" t="str">
        <f>VLOOKUP(A66,'1.Loading'!A:R,2,FALSE)</f>
        <v>2026-10-28</v>
      </c>
      <c r="U66" s="57">
        <f>T66-S66</f>
        <v>46323</v>
      </c>
      <c r="V66" s="58"/>
      <c r="W66" s="54" t="str">
        <f>VLOOKUP(A66,'3.GateMove'!A:D,4,FALSE)</f>
        <v>2026-10-23</v>
      </c>
      <c r="X66" s="57">
        <f>((T66-W66)+1)</f>
        <v>6</v>
      </c>
      <c r="Y66" s="59">
        <f>IF(AND(OR(C66="BKK01",C66="BKK04"),L66="CFS/CY"),0,IF(M66="DG",1,IF(LEFT(C66,3)="LCH",7,IF(C66="BKK02",5,3))))</f>
        <v>7</v>
      </c>
      <c r="Z66" s="57">
        <f>IF(IF(AND(AC66="TML",AB66&gt;0),((T66-W66)+1)-AB66,((T66-W66)+1)-Y66)&gt;0,IF(AND(AC66="TML",AB66&gt;0),((T66-W66)+1)-AB66,((T66-W66)+1)-Y66),0)</f>
        <v>0</v>
      </c>
      <c r="AA66" s="48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0</v>
      </c>
      <c r="AB66" s="53"/>
      <c r="AC66" s="53"/>
      <c r="AD66" s="56">
        <f>IF(M66="DG",3,IF(N66="RF",3,5))+IF(AND(LEFT(C66,3)="BKK",N66="RF",Q66="KTS"),1,0)+IF(Q66="KHS",1,0)</f>
        <v>5</v>
      </c>
      <c r="AE66" s="57">
        <f>(T66-V66)+1</f>
        <v>46324</v>
      </c>
      <c r="AF66" s="57">
        <f>IF(AB66&gt;IF((V66-W66)&gt;0,V66-W66,0),0,IF(AB66&lt;IF((V66-W66)&gt;0,V66-W66,0),IF((V66-W66)&gt;0,V66-W66,0)-AB66,IF((V66-W66)&gt;0,V66-W66,0)))</f>
        <v>0</v>
      </c>
      <c r="AG66" s="48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0"/>
      <c r="AI66" s="60">
        <f>AA66-AH66</f>
        <v>0</v>
      </c>
      <c r="AJ66" s="61"/>
      <c r="AK66" s="55" t="str">
        <f>VLOOKUP(D66,'2.Bookinglist'!A:CT,40,FALSE)</f>
        <v>Pattarapong Saengthong</v>
      </c>
      <c r="AL66" s="56" t="str">
        <f>VLOOKUP(D66,'2.Bookinglist'!A:CW,101,FALSE)</f>
        <v>2026-10-20</v>
      </c>
      <c r="AM66" s="56" t="str">
        <f>VLOOKUP(D66,'2.Bookinglist'!A:BK,63,FALSE)</f>
        <v>BKK27</v>
      </c>
      <c r="AN66" s="55" t="str">
        <f>VLOOKUP(D66,'2.Bookinglist'!A:AZ,52,FALSE)</f>
        <v>Pickup : 2026-10-12, Return SRP : 2026-10-15 [PAPERLESS CODE 2829]
CLS TIME 17/10/26 @10.00</v>
      </c>
      <c r="AO66" s="55">
        <f>VLOOKUP(D66,'2.Bookinglist'!A:CY,103,FALSE)</f>
        <v>0</v>
      </c>
    </row>
    <row r="67" ht="12.95" customHeight="1" spans="1:41" x14ac:dyDescent="0.25">
      <c r="A67" s="3" t="s">
        <v>566</v>
      </c>
      <c r="B67" s="53" t="str">
        <f>IF(C67=Charge!$M$1,Charge!$J$1,IF(C67=Charge!$M$23,Charge!$J$23,IF(C67=Charge!$M$17,Charge!$J$17,IF(C67=Charge!$N$17,Charge!$J$17,Charge!$J$7))))</f>
        <v>G2</v>
      </c>
      <c r="C67" s="54" t="str">
        <f>VLOOKUP(A67,'1.Loading'!A:R,14,FALSE)</f>
        <v>LCH06</v>
      </c>
      <c r="D67" s="54" t="str">
        <f>VLOOKUP(A67,'1.Loading'!A:R,17,FALSE)</f>
        <v>HASLS22260901623</v>
      </c>
      <c r="E67" s="55" t="str">
        <f>VLOOKUP(D67,'2.Bookinglist'!A:CT,27,FALSE)</f>
        <v>WHA GC LOGISTICS COMPANY LIMITED</v>
      </c>
      <c r="F67" s="55" t="str">
        <f>VLOOKUP(D67,'2.Bookinglist'!A:CT,28,FALSE)</f>
        <v>PTT GLOBAL CHEMICAL PUBLIC COMPANY LIMITED</v>
      </c>
      <c r="G67" s="56">
        <f>VLOOKUP(D67,'2.Bookinglist'!A:E,5,FALSE)</f>
        <v>0</v>
      </c>
      <c r="H67" s="54" t="str">
        <f>VLOOKUP(D67,'2.Bookinglist'!A:CT,15,FALSE)</f>
        <v>THLCH</v>
      </c>
      <c r="I67" s="54" t="str">
        <f>VLOOKUP(D67,'2.Bookinglist'!A:CT,19,FALSE)</f>
        <v>JPHKT</v>
      </c>
      <c r="J67" s="54" t="str">
        <f>VLOOKUP(D67,'2.Bookinglist'!A:CT,26,FALSE)</f>
        <v>KRPUS</v>
      </c>
      <c r="K67" s="54" t="str">
        <f>VLOOKUP(A67,'1.Loading'!A:R,5,FALSE)</f>
        <v>22GP</v>
      </c>
      <c r="L67" s="56" t="str">
        <f>VLOOKUP(D67,'2.Bookinglist'!A:CT,85,FALSE)</f>
        <v>CY/CY</v>
      </c>
      <c r="M67" s="56" t="str">
        <f>IF(VLOOKUP(D67,'2.Bookinglist'!A:CT,43,FALSE)=0,"","DG")</f>
        <v/>
      </c>
      <c r="N67" s="56" t="str">
        <f>IF(RIGHT(K67,2)="RE","RF","")</f>
        <v/>
      </c>
      <c r="O67" s="54" t="str">
        <f>VLOOKUP(A67,'1.Loading'!A:R,3,FALSE)</f>
        <v>HMVY</v>
      </c>
      <c r="P67" s="54" t="str">
        <f>VLOOKUP(A67,'1.Loading'!A:R,4,FALSE)</f>
        <v>2609N</v>
      </c>
      <c r="Q67" s="54" t="str">
        <f>VLOOKUP(D67,'2.Bookinglist'!A:CT,12,FALSE)</f>
        <v>PCI2</v>
      </c>
      <c r="R67" s="56" t="str">
        <f>IF(LEFT(K67,2)="22","20'","40'")</f>
        <v>20'</v>
      </c>
      <c r="S67" s="38"/>
      <c r="T67" s="54" t="str">
        <f>VLOOKUP(A67,'1.Loading'!A:R,2,FALSE)</f>
        <v>2026-10-28</v>
      </c>
      <c r="U67" s="57">
        <f>T67-S67</f>
        <v>46323</v>
      </c>
      <c r="V67" s="58"/>
      <c r="W67" s="54" t="str">
        <f>VLOOKUP(A67,'3.GateMove'!A:D,4,FALSE)</f>
        <v>2026-10-10</v>
      </c>
      <c r="X67" s="57">
        <f>((T67-W67)+1)</f>
        <v>19</v>
      </c>
      <c r="Y67" s="59">
        <f>IF(AND(OR(C67="BKK01",C67="BKK04"),L67="CFS/CY"),0,IF(M67="DG",1,IF(LEFT(C67,3)="LCH",7,IF(C67="BKK02",5,3))))</f>
        <v>7</v>
      </c>
      <c r="Z67" s="57">
        <f>IF(IF(AND(AC67="TML",AB67&gt;0),((T67-W67)+1)-AB67,((T67-W67)+1)-Y67)&gt;0,IF(AND(AC67="TML",AB67&gt;0),((T67-W67)+1)-AB67,((T67-W67)+1)-Y67),0)</f>
        <v>12</v>
      </c>
      <c r="AA67" s="48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2125</v>
      </c>
      <c r="AB67" s="53"/>
      <c r="AC67" s="53"/>
      <c r="AD67" s="56">
        <f>IF(M67="DG",3,IF(N67="RF",3,5))+IF(AND(LEFT(C67,3)="BKK",N67="RF",Q67="KTS"),1,0)+IF(Q67="KHS",1,0)</f>
        <v>5</v>
      </c>
      <c r="AE67" s="57">
        <f>(T67-V67)+1</f>
        <v>46324</v>
      </c>
      <c r="AF67" s="57">
        <f>IF(AB67&gt;IF((V67-W67)&gt;0,V67-W67,0),0,IF(AB67&lt;IF((V67-W67)&gt;0,V67-W67,0),IF((V67-W67)&gt;0,V67-W67,0)-AB67,IF((V67-W67)&gt;0,V67-W67,0)))</f>
        <v>0</v>
      </c>
      <c r="AG67" s="48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0"/>
      <c r="AI67" s="60">
        <f>AA67-AH67</f>
        <v>2125</v>
      </c>
      <c r="AJ67" s="61"/>
      <c r="AK67" s="55" t="str">
        <f>VLOOKUP(D67,'2.Bookinglist'!A:CT,40,FALSE)</f>
        <v>Dharaporn</v>
      </c>
      <c r="AL67" s="56" t="str">
        <f>VLOOKUP(D67,'2.Bookinglist'!A:CW,101,FALSE)</f>
        <v>2026-10-14</v>
      </c>
      <c r="AM67" s="56" t="str">
        <f>VLOOKUP(D67,'2.Bookinglist'!A:BK,63,FALSE)</f>
        <v>LCHY5</v>
      </c>
      <c r="AN67" s="55" t="str">
        <f>VLOOKUP(D67,'2.Bookinglist'!A:AZ,52,FALSE)</f>
        <v>CY-RTN : 08-10/10/2026
</v>
      </c>
      <c r="AO67" s="55">
        <f>VLOOKUP(D67,'2.Bookinglist'!A:CY,103,FALSE)</f>
        <v>0</v>
      </c>
    </row>
    <row r="68" ht="12.95" customHeight="1" spans="1:41" x14ac:dyDescent="0.25">
      <c r="A68" s="3" t="s">
        <v>632</v>
      </c>
      <c r="B68" s="53" t="str">
        <f>IF(C68=Charge!$M$1,Charge!$J$1,IF(C68=Charge!$M$23,Charge!$J$23,IF(C68=Charge!$M$17,Charge!$J$17,IF(C68=Charge!$N$17,Charge!$J$17,Charge!$J$7))))</f>
        <v>G2</v>
      </c>
      <c r="C68" s="54" t="str">
        <f>VLOOKUP(A68,'1.Loading'!A:R,14,FALSE)</f>
        <v>LCH06</v>
      </c>
      <c r="D68" s="54" t="str">
        <f>VLOOKUP(A68,'1.Loading'!A:R,17,FALSE)</f>
        <v>HASLS22261000675</v>
      </c>
      <c r="E68" s="55" t="str">
        <f>VLOOKUP(D68,'2.Bookinglist'!A:CT,27,FALSE)</f>
        <v>UNITED MARINE LOGISTIC CO., LTD.</v>
      </c>
      <c r="F68" s="55" t="str">
        <f>VLOOKUP(D68,'2.Bookinglist'!A:CT,28,FALSE)</f>
        <v>INNOVATIVE FOOD AND BEVERAGE (THAILAND) CO., LTD.</v>
      </c>
      <c r="G68" s="56" t="str">
        <f>VLOOKUP(D68,'2.Bookinglist'!A:E,5,FALSE)</f>
        <v>THSRP</v>
      </c>
      <c r="H68" s="54" t="str">
        <f>VLOOKUP(D68,'2.Bookinglist'!A:CT,15,FALSE)</f>
        <v>THLCH</v>
      </c>
      <c r="I68" s="54" t="str">
        <f>VLOOKUP(D68,'2.Bookinglist'!A:CT,19,FALSE)</f>
        <v>CNSHA</v>
      </c>
      <c r="J68" s="54">
        <f>VLOOKUP(D68,'2.Bookinglist'!A:CT,26,FALSE)</f>
        <v>0</v>
      </c>
      <c r="K68" s="54" t="str">
        <f>VLOOKUP(A68,'1.Loading'!A:R,5,FALSE)</f>
        <v>22GP</v>
      </c>
      <c r="L68" s="56" t="str">
        <f>VLOOKUP(D68,'2.Bookinglist'!A:CT,85,FALSE)</f>
        <v>CY/CY</v>
      </c>
      <c r="M68" s="56" t="str">
        <f>IF(VLOOKUP(D68,'2.Bookinglist'!A:CT,43,FALSE)=0,"","DG")</f>
        <v/>
      </c>
      <c r="N68" s="56" t="str">
        <f>IF(RIGHT(K68,2)="RE","RF","")</f>
        <v/>
      </c>
      <c r="O68" s="54" t="str">
        <f>VLOOKUP(A68,'1.Loading'!A:R,3,FALSE)</f>
        <v>HMVY</v>
      </c>
      <c r="P68" s="54" t="str">
        <f>VLOOKUP(A68,'1.Loading'!A:R,4,FALSE)</f>
        <v>2609N</v>
      </c>
      <c r="Q68" s="54" t="str">
        <f>VLOOKUP(D68,'2.Bookinglist'!A:CT,12,FALSE)</f>
        <v>PCI2</v>
      </c>
      <c r="R68" s="56" t="str">
        <f>IF(LEFT(K68,2)="22","20'","40'")</f>
        <v>20'</v>
      </c>
      <c r="S68" s="38"/>
      <c r="T68" s="54" t="str">
        <f>VLOOKUP(A68,'1.Loading'!A:R,2,FALSE)</f>
        <v>2026-10-28</v>
      </c>
      <c r="U68" s="57">
        <f>T68-S68</f>
        <v>46323</v>
      </c>
      <c r="V68" s="58"/>
      <c r="W68" s="54" t="str">
        <f>VLOOKUP(A68,'3.GateMove'!A:D,4,FALSE)</f>
        <v>2026-10-23</v>
      </c>
      <c r="X68" s="57">
        <f>((T68-W68)+1)</f>
        <v>6</v>
      </c>
      <c r="Y68" s="59">
        <f>IF(AND(OR(C68="BKK01",C68="BKK04"),L68="CFS/CY"),0,IF(M68="DG",1,IF(LEFT(C68,3)="LCH",7,IF(C68="BKK02",5,3))))</f>
        <v>7</v>
      </c>
      <c r="Z68" s="57">
        <f>IF(IF(AND(AC68="TML",AB68&gt;0),((T68-W68)+1)-AB68,((T68-W68)+1)-Y68)&gt;0,IF(AND(AC68="TML",AB68&gt;0),((T68-W68)+1)-AB68,((T68-W68)+1)-Y68),0)</f>
        <v>0</v>
      </c>
      <c r="AA68" s="48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0</v>
      </c>
      <c r="AB68" s="53"/>
      <c r="AC68" s="53"/>
      <c r="AD68" s="56">
        <f>IF(M68="DG",3,IF(N68="RF",3,5))+IF(AND(LEFT(C68,3)="BKK",N68="RF",Q68="KTS"),1,0)+IF(Q68="KHS",1,0)</f>
        <v>5</v>
      </c>
      <c r="AE68" s="57">
        <f>(T68-V68)+1</f>
        <v>46324</v>
      </c>
      <c r="AF68" s="57">
        <f>IF(AB68&gt;IF((V68-W68)&gt;0,V68-W68,0),0,IF(AB68&lt;IF((V68-W68)&gt;0,V68-W68,0),IF((V68-W68)&gt;0,V68-W68,0)-AB68,IF((V68-W68)&gt;0,V68-W68,0)))</f>
        <v>0</v>
      </c>
      <c r="AG68" s="48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0"/>
      <c r="AI68" s="60">
        <f>AA68-AH68</f>
        <v>0</v>
      </c>
      <c r="AJ68" s="61"/>
      <c r="AK68" s="55" t="str">
        <f>VLOOKUP(D68,'2.Bookinglist'!A:CT,40,FALSE)</f>
        <v>Nannaapust Sukporntaweewat</v>
      </c>
      <c r="AL68" s="56" t="str">
        <f>VLOOKUP(D68,'2.Bookinglist'!A:CW,101,FALSE)</f>
        <v>2026-10-22</v>
      </c>
      <c r="AM68" s="56" t="str">
        <f>VLOOKUP(D68,'2.Bookinglist'!A:BK,63,FALSE)</f>
        <v>BKK27</v>
      </c>
      <c r="AN68" s="55" t="str">
        <f>VLOOKUP(D68,'2.Bookinglist'!A:AZ,52,FALSE)</f>
        <v>Pickup : 2026-10-16, Return SRP : 2026-10-17 [PAPERLESS CODE 2829]
CLS TIME 19/10/26 @13.00</v>
      </c>
      <c r="AO68" s="55">
        <f>VLOOKUP(D68,'2.Bookinglist'!A:CY,103,FALSE)</f>
        <v>0</v>
      </c>
    </row>
    <row r="69" ht="12.95" customHeight="1" spans="1:41" x14ac:dyDescent="0.25">
      <c r="A69" s="3" t="s">
        <v>627</v>
      </c>
      <c r="B69" s="53" t="str">
        <f>IF(C69=Charge!$M$1,Charge!$J$1,IF(C69=Charge!$M$23,Charge!$J$23,IF(C69=Charge!$M$17,Charge!$J$17,IF(C69=Charge!$N$17,Charge!$J$17,Charge!$J$7))))</f>
        <v>G2</v>
      </c>
      <c r="C69" s="54" t="str">
        <f>VLOOKUP(A69,'1.Loading'!A:R,14,FALSE)</f>
        <v>LCH06</v>
      </c>
      <c r="D69" s="54" t="str">
        <f>VLOOKUP(A69,'1.Loading'!A:R,17,FALSE)</f>
        <v>HASLS22260901860</v>
      </c>
      <c r="E69" s="55" t="str">
        <f>VLOOKUP(D69,'2.Bookinglist'!A:CT,27,FALSE)</f>
        <v>DYNAMIC INTERTRANSPORT CO., LTD.</v>
      </c>
      <c r="F69" s="55" t="str">
        <f>VLOOKUP(D69,'2.Bookinglist'!A:CT,28,FALSE)</f>
        <v>RIVER KWAI INTERNATIONAL FOOD INDUSTRY CO., LTD.</v>
      </c>
      <c r="G69" s="56" t="str">
        <f>VLOOKUP(D69,'2.Bookinglist'!A:E,5,FALSE)</f>
        <v>THSRP</v>
      </c>
      <c r="H69" s="54" t="str">
        <f>VLOOKUP(D69,'2.Bookinglist'!A:CT,15,FALSE)</f>
        <v>THLCH</v>
      </c>
      <c r="I69" s="54" t="str">
        <f>VLOOKUP(D69,'2.Bookinglist'!A:CT,19,FALSE)</f>
        <v>CNSHA</v>
      </c>
      <c r="J69" s="54">
        <f>VLOOKUP(D69,'2.Bookinglist'!A:CT,26,FALSE)</f>
        <v>0</v>
      </c>
      <c r="K69" s="54" t="str">
        <f>VLOOKUP(A69,'1.Loading'!A:R,5,FALSE)</f>
        <v>22GP</v>
      </c>
      <c r="L69" s="56" t="str">
        <f>VLOOKUP(D69,'2.Bookinglist'!A:CT,85,FALSE)</f>
        <v>CY/CY</v>
      </c>
      <c r="M69" s="56" t="str">
        <f>IF(VLOOKUP(D69,'2.Bookinglist'!A:CT,43,FALSE)=0,"","DG")</f>
        <v/>
      </c>
      <c r="N69" s="56" t="str">
        <f>IF(RIGHT(K69,2)="RE","RF","")</f>
        <v/>
      </c>
      <c r="O69" s="54" t="str">
        <f>VLOOKUP(A69,'1.Loading'!A:R,3,FALSE)</f>
        <v>HMVY</v>
      </c>
      <c r="P69" s="54" t="str">
        <f>VLOOKUP(A69,'1.Loading'!A:R,4,FALSE)</f>
        <v>2609N</v>
      </c>
      <c r="Q69" s="54" t="str">
        <f>VLOOKUP(D69,'2.Bookinglist'!A:CT,12,FALSE)</f>
        <v>PCI2</v>
      </c>
      <c r="R69" s="56" t="str">
        <f>IF(LEFT(K69,2)="22","20'","40'")</f>
        <v>20'</v>
      </c>
      <c r="S69" s="38"/>
      <c r="T69" s="54" t="str">
        <f>VLOOKUP(A69,'1.Loading'!A:R,2,FALSE)</f>
        <v>2026-10-28</v>
      </c>
      <c r="U69" s="57">
        <f>T69-S69</f>
        <v>46323</v>
      </c>
      <c r="V69" s="58"/>
      <c r="W69" s="54" t="str">
        <f>VLOOKUP(A69,'3.GateMove'!A:D,4,FALSE)</f>
        <v>2026-10-13</v>
      </c>
      <c r="X69" s="57">
        <f>((T69-W69)+1)</f>
        <v>16</v>
      </c>
      <c r="Y69" s="59">
        <f>IF(AND(OR(C69="BKK01",C69="BKK04"),L69="CFS/CY"),0,IF(M69="DG",1,IF(LEFT(C69,3)="LCH",7,IF(C69="BKK02",5,3))))</f>
        <v>7</v>
      </c>
      <c r="Z69" s="57">
        <f>IF(IF(AND(AC69="TML",AB69&gt;0),((T69-W69)+1)-AB69,((T69-W69)+1)-Y69)&gt;0,IF(AND(AC69="TML",AB69&gt;0),((T69-W69)+1)-AB69,((T69-W69)+1)-Y69),0)</f>
        <v>9</v>
      </c>
      <c r="AA69" s="48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1375</v>
      </c>
      <c r="AB69" s="53"/>
      <c r="AC69" s="53"/>
      <c r="AD69" s="56">
        <f>IF(M69="DG",3,IF(N69="RF",3,5))+IF(AND(LEFT(C69,3)="BKK",N69="RF",Q69="KTS"),1,0)+IF(Q69="KHS",1,0)</f>
        <v>5</v>
      </c>
      <c r="AE69" s="57">
        <f>(T69-V69)+1</f>
        <v>46324</v>
      </c>
      <c r="AF69" s="57">
        <f>IF(AB69&gt;IF((V69-W69)&gt;0,V69-W69,0),0,IF(AB69&lt;IF((V69-W69)&gt;0,V69-W69,0),IF((V69-W69)&gt;0,V69-W69,0)-AB69,IF((V69-W69)&gt;0,V69-W69,0)))</f>
        <v>0</v>
      </c>
      <c r="AG69" s="48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0"/>
      <c r="AI69" s="60">
        <f>AA69-AH69</f>
        <v>1375</v>
      </c>
      <c r="AJ69" s="61"/>
      <c r="AK69" s="55" t="str">
        <f>VLOOKUP(D69,'2.Bookinglist'!A:CT,40,FALSE)</f>
        <v>Vilaiporn</v>
      </c>
      <c r="AL69" s="56" t="str">
        <f>VLOOKUP(D69,'2.Bookinglist'!A:CW,101,FALSE)</f>
        <v>2026-10-22</v>
      </c>
      <c r="AM69" s="56" t="str">
        <f>VLOOKUP(D69,'2.Bookinglist'!A:BK,63,FALSE)</f>
        <v>BKK27</v>
      </c>
      <c r="AN69" s="55" t="str">
        <f>VLOOKUP(D69,'2.Bookinglist'!A:AZ,52,FALSE)</f>
        <v>Pickup : 2026-10-03, Return SRP : 2026-10-05 [PAPERLESS CODE 2829]
CLS TIME 10/10/26 @18.00 [1ST RTN 07/10/2026 W/O RENT]</v>
      </c>
      <c r="AO69" s="55" t="str">
        <f>VLOOKUP(D69,'2.Bookinglist'!A:CY,103,FALSE)</f>
        <v>ROLL OVER FROM PREVIOUS VSL SWRG 2609N BY ALLOCATION TEAM MS.TAN APPROVED COST IS UNDER HA DD.12/10</v>
      </c>
    </row>
    <row r="70" ht="12.95" customHeight="1" spans="1:41" x14ac:dyDescent="0.25">
      <c r="A70" s="3" t="s">
        <v>68</v>
      </c>
      <c r="B70" s="53" t="str">
        <f>IF(C70=Charge!$M$1,Charge!$J$1,IF(C70=Charge!$M$23,Charge!$J$23,IF(C70=Charge!$M$17,Charge!$J$17,IF(C70=Charge!$N$17,Charge!$J$17,Charge!$J$7))))</f>
        <v>G2</v>
      </c>
      <c r="C70" s="54" t="str">
        <f>VLOOKUP(A70,'1.Loading'!A:R,14,FALSE)</f>
        <v>LCH06</v>
      </c>
      <c r="D70" s="54" t="str">
        <f>VLOOKUP(A70,'1.Loading'!A:R,17,FALSE)</f>
        <v>HASLS22260901683</v>
      </c>
      <c r="E70" s="55" t="str">
        <f>VLOOKUP(D70,'2.Bookinglist'!A:CT,27,FALSE)</f>
        <v>WHA GC LOGISTICS COMPANY LIMITED</v>
      </c>
      <c r="F70" s="55" t="str">
        <f>VLOOKUP(D70,'2.Bookinglist'!A:CT,28,FALSE)</f>
        <v>PTT GLOBAL CHEMICAL PUBLIC COMPANY LIMITED</v>
      </c>
      <c r="G70" s="56">
        <f>VLOOKUP(D70,'2.Bookinglist'!A:E,5,FALSE)</f>
        <v>0</v>
      </c>
      <c r="H70" s="54" t="str">
        <f>VLOOKUP(D70,'2.Bookinglist'!A:CT,15,FALSE)</f>
        <v>THLCH</v>
      </c>
      <c r="I70" s="54" t="str">
        <f>VLOOKUP(D70,'2.Bookinglist'!A:CT,19,FALSE)</f>
        <v>JPMYJ</v>
      </c>
      <c r="J70" s="54" t="str">
        <f>VLOOKUP(D70,'2.Bookinglist'!A:CT,26,FALSE)</f>
        <v>KRPUS</v>
      </c>
      <c r="K70" s="54" t="str">
        <f>VLOOKUP(A70,'1.Loading'!A:R,5,FALSE)</f>
        <v>45GP</v>
      </c>
      <c r="L70" s="56" t="str">
        <f>VLOOKUP(D70,'2.Bookinglist'!A:CT,85,FALSE)</f>
        <v>CY/CY</v>
      </c>
      <c r="M70" s="56" t="str">
        <f>IF(VLOOKUP(D70,'2.Bookinglist'!A:CT,43,FALSE)=0,"","DG")</f>
        <v/>
      </c>
      <c r="N70" s="56" t="str">
        <f>IF(RIGHT(K70,2)="RE","RF","")</f>
        <v/>
      </c>
      <c r="O70" s="54" t="str">
        <f>VLOOKUP(A70,'1.Loading'!A:R,3,FALSE)</f>
        <v>HMVY</v>
      </c>
      <c r="P70" s="54" t="str">
        <f>VLOOKUP(A70,'1.Loading'!A:R,4,FALSE)</f>
        <v>2609N</v>
      </c>
      <c r="Q70" s="54" t="str">
        <f>VLOOKUP(D70,'2.Bookinglist'!A:CT,12,FALSE)</f>
        <v>PCI2</v>
      </c>
      <c r="R70" s="56" t="str">
        <f>IF(LEFT(K70,2)="22","20'","40'")</f>
        <v>40'</v>
      </c>
      <c r="S70" s="38"/>
      <c r="T70" s="54" t="str">
        <f>VLOOKUP(A70,'1.Loading'!A:R,2,FALSE)</f>
        <v>2026-10-28</v>
      </c>
      <c r="U70" s="57">
        <f>T70-S70</f>
        <v>46323</v>
      </c>
      <c r="V70" s="58"/>
      <c r="W70" s="54" t="str">
        <f>VLOOKUP(A70,'3.GateMove'!A:D,4,FALSE)</f>
        <v>2026-10-18</v>
      </c>
      <c r="X70" s="57">
        <f>((T70-W70)+1)</f>
        <v>11</v>
      </c>
      <c r="Y70" s="59">
        <f>IF(AND(OR(C70="BKK01",C70="BKK04"),L70="CFS/CY"),0,IF(M70="DG",1,IF(LEFT(C70,3)="LCH",7,IF(C70="BKK02",5,3))))</f>
        <v>7</v>
      </c>
      <c r="Z70" s="57">
        <f>IF(IF(AND(AC70="TML",AB70&gt;0),((T70-W70)+1)-AB70,((T70-W70)+1)-Y70)&gt;0,IF(AND(AC70="TML",AB70&gt;0),((T70-W70)+1)-AB70,((T70-W70)+1)-Y70),0)</f>
        <v>4</v>
      </c>
      <c r="AA70" s="48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1000</v>
      </c>
      <c r="AB70" s="53"/>
      <c r="AC70" s="53"/>
      <c r="AD70" s="56">
        <f>IF(M70="DG",3,IF(N70="RF",3,5))+IF(AND(LEFT(C70,3)="BKK",N70="RF",Q70="KTS"),1,0)+IF(Q70="KHS",1,0)</f>
        <v>5</v>
      </c>
      <c r="AE70" s="57">
        <f>(T70-V70)+1</f>
        <v>46324</v>
      </c>
      <c r="AF70" s="57">
        <f>IF(AB70&gt;IF((V70-W70)&gt;0,V70-W70,0),0,IF(AB70&lt;IF((V70-W70)&gt;0,V70-W70,0),IF((V70-W70)&gt;0,V70-W70,0)-AB70,IF((V70-W70)&gt;0,V70-W70,0)))</f>
        <v>0</v>
      </c>
      <c r="AG70" s="48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0"/>
      <c r="AI70" s="60">
        <f>AA70-AH70</f>
        <v>1000</v>
      </c>
      <c r="AJ70" s="61"/>
      <c r="AK70" s="55" t="str">
        <f>VLOOKUP(D70,'2.Bookinglist'!A:CT,40,FALSE)</f>
        <v>Dharaporn</v>
      </c>
      <c r="AL70" s="56" t="str">
        <f>VLOOKUP(D70,'2.Bookinglist'!A:CW,101,FALSE)</f>
        <v>2026-10-14</v>
      </c>
      <c r="AM70" s="56" t="str">
        <f>VLOOKUP(D70,'2.Bookinglist'!A:BK,63,FALSE)</f>
        <v>LCHY5</v>
      </c>
      <c r="AN70" s="55" t="str">
        <f>VLOOKUP(D70,'2.Bookinglist'!A:AZ,52,FALSE)</f>
        <v>[FIX][FIX]CY-RTN 08-10/10/26</v>
      </c>
      <c r="AO70" s="55">
        <f>VLOOKUP(D70,'2.Bookinglist'!A:CY,103,FALSE)</f>
        <v>0</v>
      </c>
    </row>
    <row r="71" ht="12.95" customHeight="1" spans="1:41" x14ac:dyDescent="0.25">
      <c r="A71" s="3" t="s">
        <v>92</v>
      </c>
      <c r="B71" s="53" t="str">
        <f>IF(C71=Charge!$M$1,Charge!$J$1,IF(C71=Charge!$M$23,Charge!$J$23,IF(C71=Charge!$M$17,Charge!$J$17,IF(C71=Charge!$N$17,Charge!$J$17,Charge!$J$7))))</f>
        <v>G2</v>
      </c>
      <c r="C71" s="54" t="str">
        <f>VLOOKUP(A71,'1.Loading'!A:R,14,FALSE)</f>
        <v>LCH06</v>
      </c>
      <c r="D71" s="54" t="str">
        <f>VLOOKUP(A71,'1.Loading'!A:R,17,FALSE)</f>
        <v>HASLS22261000285</v>
      </c>
      <c r="E71" s="55" t="str">
        <f>VLOOKUP(D71,'2.Bookinglist'!A:CT,27,FALSE)</f>
        <v>AGC VINYTHAI PUBLIC COMPANY LIMITED</v>
      </c>
      <c r="F71" s="55" t="str">
        <f>VLOOKUP(D71,'2.Bookinglist'!A:CT,28,FALSE)</f>
        <v>AGC VINYTHAI PUBLIC COMPANY LIMITED</v>
      </c>
      <c r="G71" s="56">
        <f>VLOOKUP(D71,'2.Bookinglist'!A:E,5,FALSE)</f>
        <v>0</v>
      </c>
      <c r="H71" s="54" t="str">
        <f>VLOOKUP(D71,'2.Bookinglist'!A:CT,15,FALSE)</f>
        <v>THLCH</v>
      </c>
      <c r="I71" s="54" t="str">
        <f>VLOOKUP(D71,'2.Bookinglist'!A:CT,19,FALSE)</f>
        <v>CNSHA</v>
      </c>
      <c r="J71" s="54">
        <f>VLOOKUP(D71,'2.Bookinglist'!A:CT,26,FALSE)</f>
        <v>0</v>
      </c>
      <c r="K71" s="54" t="str">
        <f>VLOOKUP(A71,'1.Loading'!A:R,5,FALSE)</f>
        <v>45GP</v>
      </c>
      <c r="L71" s="56" t="str">
        <f>VLOOKUP(D71,'2.Bookinglist'!A:CT,85,FALSE)</f>
        <v>CY/CY</v>
      </c>
      <c r="M71" s="56" t="str">
        <f>IF(VLOOKUP(D71,'2.Bookinglist'!A:CT,43,FALSE)=0,"","DG")</f>
        <v/>
      </c>
      <c r="N71" s="56" t="str">
        <f>IF(RIGHT(K71,2)="RE","RF","")</f>
        <v/>
      </c>
      <c r="O71" s="54" t="str">
        <f>VLOOKUP(A71,'1.Loading'!A:R,3,FALSE)</f>
        <v>HMVY</v>
      </c>
      <c r="P71" s="54" t="str">
        <f>VLOOKUP(A71,'1.Loading'!A:R,4,FALSE)</f>
        <v>2609N</v>
      </c>
      <c r="Q71" s="54" t="str">
        <f>VLOOKUP(D71,'2.Bookinglist'!A:CT,12,FALSE)</f>
        <v>PCI2</v>
      </c>
      <c r="R71" s="56" t="str">
        <f>IF(LEFT(K71,2)="22","20'","40'")</f>
        <v>40'</v>
      </c>
      <c r="S71" s="38"/>
      <c r="T71" s="54" t="str">
        <f>VLOOKUP(A71,'1.Loading'!A:R,2,FALSE)</f>
        <v>2026-10-28</v>
      </c>
      <c r="U71" s="57">
        <f>T71-S71</f>
        <v>46323</v>
      </c>
      <c r="V71" s="58"/>
      <c r="W71" s="54" t="str">
        <f>VLOOKUP(A71,'3.GateMove'!A:D,4,FALSE)</f>
        <v>2026-10-17</v>
      </c>
      <c r="X71" s="57">
        <f>((T71-W71)+1)</f>
        <v>12</v>
      </c>
      <c r="Y71" s="59">
        <f>IF(AND(OR(C71="BKK01",C71="BKK04"),L71="CFS/CY"),0,IF(M71="DG",1,IF(LEFT(C71,3)="LCH",7,IF(C71="BKK02",5,3))))</f>
        <v>7</v>
      </c>
      <c r="Z71" s="57">
        <f>IF(IF(AND(AC71="TML",AB71&gt;0),((T71-W71)+1)-AB71,((T71-W71)+1)-Y71)&gt;0,IF(AND(AC71="TML",AB71&gt;0),((T71-W71)+1)-AB71,((T71-W71)+1)-Y71),0)</f>
        <v>5</v>
      </c>
      <c r="AA71" s="48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1250</v>
      </c>
      <c r="AB71" s="53"/>
      <c r="AC71" s="53"/>
      <c r="AD71" s="56">
        <f>IF(M71="DG",3,IF(N71="RF",3,5))+IF(AND(LEFT(C71,3)="BKK",N71="RF",Q71="KTS"),1,0)+IF(Q71="KHS",1,0)</f>
        <v>5</v>
      </c>
      <c r="AE71" s="57">
        <f>(T71-V71)+1</f>
        <v>46324</v>
      </c>
      <c r="AF71" s="57">
        <f>IF(AB71&gt;IF((V71-W71)&gt;0,V71-W71,0),0,IF(AB71&lt;IF((V71-W71)&gt;0,V71-W71,0),IF((V71-W71)&gt;0,V71-W71,0)-AB71,IF((V71-W71)&gt;0,V71-W71,0)))</f>
        <v>0</v>
      </c>
      <c r="AG71" s="48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0"/>
      <c r="AI71" s="60">
        <f>AA71-AH71</f>
        <v>1250</v>
      </c>
      <c r="AJ71" s="61"/>
      <c r="AK71" s="55" t="str">
        <f>VLOOKUP(D71,'2.Bookinglist'!A:CT,40,FALSE)</f>
        <v>Nannaapust Sukporntaweewat</v>
      </c>
      <c r="AL71" s="56" t="str">
        <f>VLOOKUP(D71,'2.Bookinglist'!A:CW,101,FALSE)</f>
        <v>2026-10-24</v>
      </c>
      <c r="AM71" s="56" t="str">
        <f>VLOOKUP(D71,'2.Bookinglist'!A:BK,63,FALSE)</f>
        <v>LCHY5</v>
      </c>
      <c r="AN71" s="55" t="str">
        <f>VLOOKUP(D71,'2.Bookinglist'!A:AZ,52,FALSE)</f>
        <v>Pickup : 2026-10-15, Return : 2026-10-16</v>
      </c>
      <c r="AO71" s="55">
        <f>VLOOKUP(D71,'2.Bookinglist'!A:CY,103,FALSE)</f>
        <v>0</v>
      </c>
    </row>
    <row r="72" ht="12.95" customHeight="1" spans="1:41" x14ac:dyDescent="0.25">
      <c r="A72" s="3" t="s">
        <v>29</v>
      </c>
      <c r="B72" s="53" t="str">
        <f>IF(C72=Charge!$M$1,Charge!$J$1,IF(C72=Charge!$M$23,Charge!$J$23,IF(C72=Charge!$M$17,Charge!$J$17,IF(C72=Charge!$N$17,Charge!$J$17,Charge!$J$7))))</f>
        <v>G2</v>
      </c>
      <c r="C72" s="54" t="str">
        <f>VLOOKUP(A72,'1.Loading'!A:R,14,FALSE)</f>
        <v>LCH06</v>
      </c>
      <c r="D72" s="54" t="str">
        <f>VLOOKUP(A72,'1.Loading'!A:R,17,FALSE)</f>
        <v>HASLS22261000285</v>
      </c>
      <c r="E72" s="55" t="str">
        <f>VLOOKUP(D72,'2.Bookinglist'!A:CT,27,FALSE)</f>
        <v>AGC VINYTHAI PUBLIC COMPANY LIMITED</v>
      </c>
      <c r="F72" s="55" t="str">
        <f>VLOOKUP(D72,'2.Bookinglist'!A:CT,28,FALSE)</f>
        <v>AGC VINYTHAI PUBLIC COMPANY LIMITED</v>
      </c>
      <c r="G72" s="56">
        <f>VLOOKUP(D72,'2.Bookinglist'!A:E,5,FALSE)</f>
        <v>0</v>
      </c>
      <c r="H72" s="54" t="str">
        <f>VLOOKUP(D72,'2.Bookinglist'!A:CT,15,FALSE)</f>
        <v>THLCH</v>
      </c>
      <c r="I72" s="54" t="str">
        <f>VLOOKUP(D72,'2.Bookinglist'!A:CT,19,FALSE)</f>
        <v>CNSHA</v>
      </c>
      <c r="J72" s="54">
        <f>VLOOKUP(D72,'2.Bookinglist'!A:CT,26,FALSE)</f>
        <v>0</v>
      </c>
      <c r="K72" s="54" t="str">
        <f>VLOOKUP(A72,'1.Loading'!A:R,5,FALSE)</f>
        <v>45GP</v>
      </c>
      <c r="L72" s="56" t="str">
        <f>VLOOKUP(D72,'2.Bookinglist'!A:CT,85,FALSE)</f>
        <v>CY/CY</v>
      </c>
      <c r="M72" s="56" t="str">
        <f>IF(VLOOKUP(D72,'2.Bookinglist'!A:CT,43,FALSE)=0,"","DG")</f>
        <v/>
      </c>
      <c r="N72" s="56" t="str">
        <f>IF(RIGHT(K72,2)="RE","RF","")</f>
        <v/>
      </c>
      <c r="O72" s="54" t="str">
        <f>VLOOKUP(A72,'1.Loading'!A:R,3,FALSE)</f>
        <v>HMVY</v>
      </c>
      <c r="P72" s="54" t="str">
        <f>VLOOKUP(A72,'1.Loading'!A:R,4,FALSE)</f>
        <v>2609N</v>
      </c>
      <c r="Q72" s="54" t="str">
        <f>VLOOKUP(D72,'2.Bookinglist'!A:CT,12,FALSE)</f>
        <v>PCI2</v>
      </c>
      <c r="R72" s="56" t="str">
        <f>IF(LEFT(K72,2)="22","20'","40'")</f>
        <v>40'</v>
      </c>
      <c r="S72" s="38"/>
      <c r="T72" s="54" t="str">
        <f>VLOOKUP(A72,'1.Loading'!A:R,2,FALSE)</f>
        <v>2026-10-28</v>
      </c>
      <c r="U72" s="57">
        <f>T72-S72</f>
        <v>46323</v>
      </c>
      <c r="V72" s="58"/>
      <c r="W72" s="54" t="str">
        <f>VLOOKUP(A72,'3.GateMove'!A:D,4,FALSE)</f>
        <v>2026-10-17</v>
      </c>
      <c r="X72" s="57">
        <f>((T72-W72)+1)</f>
        <v>12</v>
      </c>
      <c r="Y72" s="59">
        <f>IF(AND(OR(C72="BKK01",C72="BKK04"),L72="CFS/CY"),0,IF(M72="DG",1,IF(LEFT(C72,3)="LCH",7,IF(C72="BKK02",5,3))))</f>
        <v>7</v>
      </c>
      <c r="Z72" s="57">
        <f>IF(IF(AND(AC72="TML",AB72&gt;0),((T72-W72)+1)-AB72,((T72-W72)+1)-Y72)&gt;0,IF(AND(AC72="TML",AB72&gt;0),((T72-W72)+1)-AB72,((T72-W72)+1)-Y72),0)</f>
        <v>5</v>
      </c>
      <c r="AA72" s="48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1250</v>
      </c>
      <c r="AB72" s="53"/>
      <c r="AC72" s="53"/>
      <c r="AD72" s="56">
        <f>IF(M72="DG",3,IF(N72="RF",3,5))+IF(AND(LEFT(C72,3)="BKK",N72="RF",Q72="KTS"),1,0)+IF(Q72="KHS",1,0)</f>
        <v>5</v>
      </c>
      <c r="AE72" s="57">
        <f>(T72-V72)+1</f>
        <v>46324</v>
      </c>
      <c r="AF72" s="57">
        <f>IF(AB72&gt;IF((V72-W72)&gt;0,V72-W72,0),0,IF(AB72&lt;IF((V72-W72)&gt;0,V72-W72,0),IF((V72-W72)&gt;0,V72-W72,0)-AB72,IF((V72-W72)&gt;0,V72-W72,0)))</f>
        <v>0</v>
      </c>
      <c r="AG72" s="48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0"/>
      <c r="AI72" s="60">
        <f>AA72-AH72</f>
        <v>1250</v>
      </c>
      <c r="AJ72" s="61"/>
      <c r="AK72" s="55" t="str">
        <f>VLOOKUP(D72,'2.Bookinglist'!A:CT,40,FALSE)</f>
        <v>Nannaapust Sukporntaweewat</v>
      </c>
      <c r="AL72" s="56" t="str">
        <f>VLOOKUP(D72,'2.Bookinglist'!A:CW,101,FALSE)</f>
        <v>2026-10-24</v>
      </c>
      <c r="AM72" s="56" t="str">
        <f>VLOOKUP(D72,'2.Bookinglist'!A:BK,63,FALSE)</f>
        <v>LCHY5</v>
      </c>
      <c r="AN72" s="55" t="str">
        <f>VLOOKUP(D72,'2.Bookinglist'!A:AZ,52,FALSE)</f>
        <v>Pickup : 2026-10-15, Return : 2026-10-16</v>
      </c>
      <c r="AO72" s="55">
        <f>VLOOKUP(D72,'2.Bookinglist'!A:CY,103,FALSE)</f>
        <v>0</v>
      </c>
    </row>
    <row r="73" ht="12.95" customHeight="1" spans="1:41" x14ac:dyDescent="0.25">
      <c r="A73" s="3" t="s">
        <v>185</v>
      </c>
      <c r="B73" s="53" t="str">
        <f>IF(C73=Charge!$M$1,Charge!$J$1,IF(C73=Charge!$M$23,Charge!$J$23,IF(C73=Charge!$M$17,Charge!$J$17,IF(C73=Charge!$N$17,Charge!$J$17,Charge!$J$7))))</f>
        <v>G2</v>
      </c>
      <c r="C73" s="54" t="str">
        <f>VLOOKUP(A73,'1.Loading'!A:R,14,FALSE)</f>
        <v>LCH06</v>
      </c>
      <c r="D73" s="54" t="str">
        <f>VLOOKUP(A73,'1.Loading'!A:R,17,FALSE)</f>
        <v>HASLS22260902173</v>
      </c>
      <c r="E73" s="55" t="str">
        <f>VLOOKUP(D73,'2.Bookinglist'!A:CT,27,FALSE)</f>
        <v>YUSEN LOGISTICS (THAILAND) CO., LTD.</v>
      </c>
      <c r="F73" s="55" t="str">
        <f>VLOOKUP(D73,'2.Bookinglist'!A:CT,28,FALSE)</f>
        <v>IDEC ASIA (THAILAND) CO., LTD.</v>
      </c>
      <c r="G73" s="56" t="str">
        <f>VLOOKUP(D73,'2.Bookinglist'!A:E,5,FALSE)</f>
        <v>THSRP</v>
      </c>
      <c r="H73" s="54" t="str">
        <f>VLOOKUP(D73,'2.Bookinglist'!A:CT,15,FALSE)</f>
        <v>THLCH</v>
      </c>
      <c r="I73" s="54" t="str">
        <f>VLOOKUP(D73,'2.Bookinglist'!A:CT,19,FALSE)</f>
        <v>CNSHA</v>
      </c>
      <c r="J73" s="54">
        <f>VLOOKUP(D73,'2.Bookinglist'!A:CT,26,FALSE)</f>
        <v>0</v>
      </c>
      <c r="K73" s="54" t="str">
        <f>VLOOKUP(A73,'1.Loading'!A:R,5,FALSE)</f>
        <v>45GP</v>
      </c>
      <c r="L73" s="56" t="str">
        <f>VLOOKUP(D73,'2.Bookinglist'!A:CT,85,FALSE)</f>
        <v>CY/CY</v>
      </c>
      <c r="M73" s="56" t="str">
        <f>IF(VLOOKUP(D73,'2.Bookinglist'!A:CT,43,FALSE)=0,"","DG")</f>
        <v/>
      </c>
      <c r="N73" s="56" t="str">
        <f>IF(RIGHT(K73,2)="RE","RF","")</f>
        <v/>
      </c>
      <c r="O73" s="54" t="str">
        <f>VLOOKUP(A73,'1.Loading'!A:R,3,FALSE)</f>
        <v>HMVY</v>
      </c>
      <c r="P73" s="54" t="str">
        <f>VLOOKUP(A73,'1.Loading'!A:R,4,FALSE)</f>
        <v>2609N</v>
      </c>
      <c r="Q73" s="54" t="str">
        <f>VLOOKUP(D73,'2.Bookinglist'!A:CT,12,FALSE)</f>
        <v>PCI2</v>
      </c>
      <c r="R73" s="56" t="str">
        <f>IF(LEFT(K73,2)="22","20'","40'")</f>
        <v>40'</v>
      </c>
      <c r="S73" s="38"/>
      <c r="T73" s="54" t="str">
        <f>VLOOKUP(A73,'1.Loading'!A:R,2,FALSE)</f>
        <v>2026-10-28</v>
      </c>
      <c r="U73" s="57">
        <f>T73-S73</f>
        <v>46323</v>
      </c>
      <c r="V73" s="58"/>
      <c r="W73" s="54" t="str">
        <f>VLOOKUP(A73,'3.GateMove'!A:D,4,FALSE)</f>
        <v>2026-10-23</v>
      </c>
      <c r="X73" s="57">
        <f>((T73-W73)+1)</f>
        <v>6</v>
      </c>
      <c r="Y73" s="59">
        <f>IF(AND(OR(C73="BKK01",C73="BKK04"),L73="CFS/CY"),0,IF(M73="DG",1,IF(LEFT(C73,3)="LCH",7,IF(C73="BKK02",5,3))))</f>
        <v>7</v>
      </c>
      <c r="Z73" s="57">
        <f>IF(IF(AND(AC73="TML",AB73&gt;0),((T73-W73)+1)-AB73,((T73-W73)+1)-Y73)&gt;0,IF(AND(AC73="TML",AB73&gt;0),((T73-W73)+1)-AB73,((T73-W73)+1)-Y73),0)</f>
        <v>0</v>
      </c>
      <c r="AA73" s="48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0</v>
      </c>
      <c r="AB73" s="53"/>
      <c r="AC73" s="53"/>
      <c r="AD73" s="56">
        <f>IF(M73="DG",3,IF(N73="RF",3,5))+IF(AND(LEFT(C73,3)="BKK",N73="RF",Q73="KTS"),1,0)+IF(Q73="KHS",1,0)</f>
        <v>5</v>
      </c>
      <c r="AE73" s="57">
        <f>(T73-V73)+1</f>
        <v>46324</v>
      </c>
      <c r="AF73" s="57">
        <f>IF(AB73&gt;IF((V73-W73)&gt;0,V73-W73,0),0,IF(AB73&lt;IF((V73-W73)&gt;0,V73-W73,0),IF((V73-W73)&gt;0,V73-W73,0)-AB73,IF((V73-W73)&gt;0,V73-W73,0)))</f>
        <v>0</v>
      </c>
      <c r="AG73" s="48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0"/>
      <c r="AI73" s="60">
        <f>AA73-AH73</f>
        <v>0</v>
      </c>
      <c r="AJ73" s="61"/>
      <c r="AK73" s="55" t="str">
        <f>VLOOKUP(D73,'2.Bookinglist'!A:CT,40,FALSE)</f>
        <v>Vilaiporn</v>
      </c>
      <c r="AL73" s="56" t="str">
        <f>VLOOKUP(D73,'2.Bookinglist'!A:CW,101,FALSE)</f>
        <v>2026-10-22</v>
      </c>
      <c r="AM73" s="56" t="str">
        <f>VLOOKUP(D73,'2.Bookinglist'!A:BK,63,FALSE)</f>
        <v>BKK27</v>
      </c>
      <c r="AN73" s="55" t="str">
        <f>VLOOKUP(D73,'2.Bookinglist'!A:AZ,52,FALSE)</f>
        <v>Pickup : 2026-10-15, Return SRP : 2026-10-16 [PAPERLESS CODE 2829]
CLS TIME 19/10/26 @ 23.59</v>
      </c>
      <c r="AO73" s="55">
        <f>VLOOKUP(D73,'2.Bookinglist'!A:CY,103,FALSE)</f>
        <v>0</v>
      </c>
    </row>
    <row r="74" ht="12.95" customHeight="1" spans="1:41" x14ac:dyDescent="0.25">
      <c r="A74" s="3" t="s">
        <v>176</v>
      </c>
      <c r="B74" s="53" t="str">
        <f>IF(C74=Charge!$M$1,Charge!$J$1,IF(C74=Charge!$M$23,Charge!$J$23,IF(C74=Charge!$M$17,Charge!$J$17,IF(C74=Charge!$N$17,Charge!$J$17,Charge!$J$7))))</f>
        <v>G2</v>
      </c>
      <c r="C74" s="54" t="str">
        <f>VLOOKUP(A74,'1.Loading'!A:R,14,FALSE)</f>
        <v>LCH06</v>
      </c>
      <c r="D74" s="54" t="str">
        <f>VLOOKUP(A74,'1.Loading'!A:R,17,FALSE)</f>
        <v>HASLS22260901682</v>
      </c>
      <c r="E74" s="55" t="str">
        <f>VLOOKUP(D74,'2.Bookinglist'!A:CT,27,FALSE)</f>
        <v>WHA GC LOGISTICS COMPANY LIMITED</v>
      </c>
      <c r="F74" s="55" t="str">
        <f>VLOOKUP(D74,'2.Bookinglist'!A:CT,28,FALSE)</f>
        <v>PTT GLOBAL CHEMICAL PUBLIC COMPANY LIMITED</v>
      </c>
      <c r="G74" s="56">
        <f>VLOOKUP(D74,'2.Bookinglist'!A:E,5,FALSE)</f>
        <v>0</v>
      </c>
      <c r="H74" s="54" t="str">
        <f>VLOOKUP(D74,'2.Bookinglist'!A:CT,15,FALSE)</f>
        <v>THLCH</v>
      </c>
      <c r="I74" s="54" t="str">
        <f>VLOOKUP(D74,'2.Bookinglist'!A:CT,19,FALSE)</f>
        <v>JPMYJ</v>
      </c>
      <c r="J74" s="54" t="str">
        <f>VLOOKUP(D74,'2.Bookinglist'!A:CT,26,FALSE)</f>
        <v>KRPUS</v>
      </c>
      <c r="K74" s="54" t="str">
        <f>VLOOKUP(A74,'1.Loading'!A:R,5,FALSE)</f>
        <v>45GP</v>
      </c>
      <c r="L74" s="56" t="str">
        <f>VLOOKUP(D74,'2.Bookinglist'!A:CT,85,FALSE)</f>
        <v>CY/CY</v>
      </c>
      <c r="M74" s="56" t="str">
        <f>IF(VLOOKUP(D74,'2.Bookinglist'!A:CT,43,FALSE)=0,"","DG")</f>
        <v/>
      </c>
      <c r="N74" s="56" t="str">
        <f>IF(RIGHT(K74,2)="RE","RF","")</f>
        <v/>
      </c>
      <c r="O74" s="54" t="str">
        <f>VLOOKUP(A74,'1.Loading'!A:R,3,FALSE)</f>
        <v>HMVY</v>
      </c>
      <c r="P74" s="54" t="str">
        <f>VLOOKUP(A74,'1.Loading'!A:R,4,FALSE)</f>
        <v>2609N</v>
      </c>
      <c r="Q74" s="54" t="str">
        <f>VLOOKUP(D74,'2.Bookinglist'!A:CT,12,FALSE)</f>
        <v>PCI2</v>
      </c>
      <c r="R74" s="56" t="str">
        <f>IF(LEFT(K74,2)="22","20'","40'")</f>
        <v>40'</v>
      </c>
      <c r="S74" s="38"/>
      <c r="T74" s="54" t="str">
        <f>VLOOKUP(A74,'1.Loading'!A:R,2,FALSE)</f>
        <v>2026-10-28</v>
      </c>
      <c r="U74" s="57">
        <f>T74-S74</f>
        <v>46323</v>
      </c>
      <c r="V74" s="58"/>
      <c r="W74" s="54" t="str">
        <f>VLOOKUP(A74,'3.GateMove'!A:D,4,FALSE)</f>
        <v>2026-10-18</v>
      </c>
      <c r="X74" s="57">
        <f>((T74-W74)+1)</f>
        <v>11</v>
      </c>
      <c r="Y74" s="59">
        <f>IF(AND(OR(C74="BKK01",C74="BKK04"),L74="CFS/CY"),0,IF(M74="DG",1,IF(LEFT(C74,3)="LCH",7,IF(C74="BKK02",5,3))))</f>
        <v>7</v>
      </c>
      <c r="Z74" s="57">
        <f>IF(IF(AND(AC74="TML",AB74&gt;0),((T74-W74)+1)-AB74,((T74-W74)+1)-Y74)&gt;0,IF(AND(AC74="TML",AB74&gt;0),((T74-W74)+1)-AB74,((T74-W74)+1)-Y74),0)</f>
        <v>4</v>
      </c>
      <c r="AA74" s="48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1000</v>
      </c>
      <c r="AB74" s="53"/>
      <c r="AC74" s="53"/>
      <c r="AD74" s="56">
        <f>IF(M74="DG",3,IF(N74="RF",3,5))+IF(AND(LEFT(C74,3)="BKK",N74="RF",Q74="KTS"),1,0)+IF(Q74="KHS",1,0)</f>
        <v>5</v>
      </c>
      <c r="AE74" s="57">
        <f>(T74-V74)+1</f>
        <v>46324</v>
      </c>
      <c r="AF74" s="57">
        <f>IF(AB74&gt;IF((V74-W74)&gt;0,V74-W74,0),0,IF(AB74&lt;IF((V74-W74)&gt;0,V74-W74,0),IF((V74-W74)&gt;0,V74-W74,0)-AB74,IF((V74-W74)&gt;0,V74-W74,0)))</f>
        <v>0</v>
      </c>
      <c r="AG74" s="48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0"/>
      <c r="AI74" s="60">
        <f>AA74-AH74</f>
        <v>1000</v>
      </c>
      <c r="AJ74" s="61"/>
      <c r="AK74" s="55" t="str">
        <f>VLOOKUP(D74,'2.Bookinglist'!A:CT,40,FALSE)</f>
        <v>Dharaporn</v>
      </c>
      <c r="AL74" s="56" t="str">
        <f>VLOOKUP(D74,'2.Bookinglist'!A:CW,101,FALSE)</f>
        <v>2026-10-14</v>
      </c>
      <c r="AM74" s="56" t="str">
        <f>VLOOKUP(D74,'2.Bookinglist'!A:BK,63,FALSE)</f>
        <v>LCHY5</v>
      </c>
      <c r="AN74" s="55" t="str">
        <f>VLOOKUP(D74,'2.Bookinglist'!A:AZ,52,FALSE)</f>
        <v>[FIX][FIX]CY-RTN 08-10/10/26</v>
      </c>
      <c r="AO74" s="55">
        <f>VLOOKUP(D74,'2.Bookinglist'!A:CY,103,FALSE)</f>
        <v>0</v>
      </c>
    </row>
    <row r="75" ht="12.95" customHeight="1" spans="1:41" x14ac:dyDescent="0.25">
      <c r="A75" s="3" t="s">
        <v>51</v>
      </c>
      <c r="B75" s="53" t="str">
        <f>IF(C75=Charge!$M$1,Charge!$J$1,IF(C75=Charge!$M$23,Charge!$J$23,IF(C75=Charge!$M$17,Charge!$J$17,IF(C75=Charge!$N$17,Charge!$J$17,Charge!$J$7))))</f>
        <v>G2</v>
      </c>
      <c r="C75" s="54" t="str">
        <f>VLOOKUP(A75,'1.Loading'!A:R,14,FALSE)</f>
        <v>LCH06</v>
      </c>
      <c r="D75" s="54" t="str">
        <f>VLOOKUP(A75,'1.Loading'!A:R,17,FALSE)</f>
        <v>HASLS22261001024</v>
      </c>
      <c r="E75" s="55" t="str">
        <f>VLOOKUP(D75,'2.Bookinglist'!A:CT,27,FALSE)</f>
        <v>SUN-OCEAN GLOBAL SUPPLY CHAIN CO., LTD.</v>
      </c>
      <c r="F75" s="55" t="str">
        <f>VLOOKUP(D75,'2.Bookinglist'!A:CT,28,FALSE)</f>
        <v>I.P. ONE COMPANY LIMITED</v>
      </c>
      <c r="G75" s="56" t="str">
        <f>VLOOKUP(D75,'2.Bookinglist'!A:E,5,FALSE)</f>
        <v>THSRP</v>
      </c>
      <c r="H75" s="54" t="str">
        <f>VLOOKUP(D75,'2.Bookinglist'!A:CT,15,FALSE)</f>
        <v>THLCH</v>
      </c>
      <c r="I75" s="54" t="str">
        <f>VLOOKUP(D75,'2.Bookinglist'!A:CT,19,FALSE)</f>
        <v>CNSHA</v>
      </c>
      <c r="J75" s="54">
        <f>VLOOKUP(D75,'2.Bookinglist'!A:CT,26,FALSE)</f>
        <v>0</v>
      </c>
      <c r="K75" s="54" t="str">
        <f>VLOOKUP(A75,'1.Loading'!A:R,5,FALSE)</f>
        <v>45GP</v>
      </c>
      <c r="L75" s="56" t="str">
        <f>VLOOKUP(D75,'2.Bookinglist'!A:CT,85,FALSE)</f>
        <v>CY/CY</v>
      </c>
      <c r="M75" s="56" t="str">
        <f>IF(VLOOKUP(D75,'2.Bookinglist'!A:CT,43,FALSE)=0,"","DG")</f>
        <v/>
      </c>
      <c r="N75" s="56" t="str">
        <f>IF(RIGHT(K75,2)="RE","RF","")</f>
        <v/>
      </c>
      <c r="O75" s="54" t="str">
        <f>VLOOKUP(A75,'1.Loading'!A:R,3,FALSE)</f>
        <v>HMVY</v>
      </c>
      <c r="P75" s="54" t="str">
        <f>VLOOKUP(A75,'1.Loading'!A:R,4,FALSE)</f>
        <v>2609N</v>
      </c>
      <c r="Q75" s="54" t="str">
        <f>VLOOKUP(D75,'2.Bookinglist'!A:CT,12,FALSE)</f>
        <v>PCI2</v>
      </c>
      <c r="R75" s="56" t="str">
        <f>IF(LEFT(K75,2)="22","20'","40'")</f>
        <v>40'</v>
      </c>
      <c r="S75" s="38"/>
      <c r="T75" s="54" t="str">
        <f>VLOOKUP(A75,'1.Loading'!A:R,2,FALSE)</f>
        <v>2026-10-28</v>
      </c>
      <c r="U75" s="57">
        <f>T75-S75</f>
        <v>46323</v>
      </c>
      <c r="V75" s="58"/>
      <c r="W75" s="54" t="str">
        <f>VLOOKUP(A75,'3.GateMove'!A:D,4,FALSE)</f>
        <v>2026-10-23</v>
      </c>
      <c r="X75" s="57">
        <f>((T75-W75)+1)</f>
        <v>6</v>
      </c>
      <c r="Y75" s="59">
        <f>IF(AND(OR(C75="BKK01",C75="BKK04"),L75="CFS/CY"),0,IF(M75="DG",1,IF(LEFT(C75,3)="LCH",7,IF(C75="BKK02",5,3))))</f>
        <v>7</v>
      </c>
      <c r="Z75" s="57">
        <f>IF(IF(AND(AC75="TML",AB75&gt;0),((T75-W75)+1)-AB75,((T75-W75)+1)-Y75)&gt;0,IF(AND(AC75="TML",AB75&gt;0),((T75-W75)+1)-AB75,((T75-W75)+1)-Y75),0)</f>
        <v>0</v>
      </c>
      <c r="AA75" s="48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0</v>
      </c>
      <c r="AB75" s="53"/>
      <c r="AC75" s="53"/>
      <c r="AD75" s="56">
        <f>IF(M75="DG",3,IF(N75="RF",3,5))+IF(AND(LEFT(C75,3)="BKK",N75="RF",Q75="KTS"),1,0)+IF(Q75="KHS",1,0)</f>
        <v>5</v>
      </c>
      <c r="AE75" s="57">
        <f>(T75-V75)+1</f>
        <v>46324</v>
      </c>
      <c r="AF75" s="57">
        <f>IF(AB75&gt;IF((V75-W75)&gt;0,V75-W75,0),0,IF(AB75&lt;IF((V75-W75)&gt;0,V75-W75,0),IF((V75-W75)&gt;0,V75-W75,0)-AB75,IF((V75-W75)&gt;0,V75-W75,0)))</f>
        <v>0</v>
      </c>
      <c r="AG75" s="48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0"/>
      <c r="AI75" s="60">
        <f>AA75-AH75</f>
        <v>0</v>
      </c>
      <c r="AJ75" s="61"/>
      <c r="AK75" s="55" t="str">
        <f>VLOOKUP(D75,'2.Bookinglist'!A:CT,40,FALSE)</f>
        <v>Arunphat W. (Aiw)</v>
      </c>
      <c r="AL75" s="56" t="str">
        <f>VLOOKUP(D75,'2.Bookinglist'!A:CW,101,FALSE)</f>
        <v>2026-10-24</v>
      </c>
      <c r="AM75" s="56" t="str">
        <f>VLOOKUP(D75,'2.Bookinglist'!A:BK,63,FALSE)</f>
        <v>BKK27</v>
      </c>
      <c r="AN75" s="55" t="str">
        <f>VLOOKUP(D75,'2.Bookinglist'!A:AZ,52,FALSE)</f>
        <v>Pickup : 2026-10-19, Return SRP : 2026-10-20 [PAPERLESS CODE 2829]
CLS TIME 24/10/26 @21.00 (1ST RETURN DD.21/10/26)</v>
      </c>
      <c r="AO75" s="55">
        <f>VLOOKUP(D75,'2.Bookinglist'!A:CY,103,FALSE)</f>
        <v>0</v>
      </c>
    </row>
    <row r="76" ht="12.95" customHeight="1" spans="1:41" x14ac:dyDescent="0.25">
      <c r="A76" s="3" t="s">
        <v>57</v>
      </c>
      <c r="B76" s="53" t="str">
        <f>IF(C76=Charge!$M$1,Charge!$J$1,IF(C76=Charge!$M$23,Charge!$J$23,IF(C76=Charge!$M$17,Charge!$J$17,IF(C76=Charge!$N$17,Charge!$J$17,Charge!$J$7))))</f>
        <v>G2</v>
      </c>
      <c r="C76" s="54" t="str">
        <f>VLOOKUP(A76,'1.Loading'!A:R,14,FALSE)</f>
        <v>LCH06</v>
      </c>
      <c r="D76" s="54" t="str">
        <f>VLOOKUP(A76,'1.Loading'!A:R,17,FALSE)</f>
        <v>HASLS22261000285</v>
      </c>
      <c r="E76" s="55" t="str">
        <f>VLOOKUP(D76,'2.Bookinglist'!A:CT,27,FALSE)</f>
        <v>AGC VINYTHAI PUBLIC COMPANY LIMITED</v>
      </c>
      <c r="F76" s="55" t="str">
        <f>VLOOKUP(D76,'2.Bookinglist'!A:CT,28,FALSE)</f>
        <v>AGC VINYTHAI PUBLIC COMPANY LIMITED</v>
      </c>
      <c r="G76" s="56">
        <f>VLOOKUP(D76,'2.Bookinglist'!A:E,5,FALSE)</f>
        <v>0</v>
      </c>
      <c r="H76" s="54" t="str">
        <f>VLOOKUP(D76,'2.Bookinglist'!A:CT,15,FALSE)</f>
        <v>THLCH</v>
      </c>
      <c r="I76" s="54" t="str">
        <f>VLOOKUP(D76,'2.Bookinglist'!A:CT,19,FALSE)</f>
        <v>CNSHA</v>
      </c>
      <c r="J76" s="54">
        <f>VLOOKUP(D76,'2.Bookinglist'!A:CT,26,FALSE)</f>
        <v>0</v>
      </c>
      <c r="K76" s="54" t="str">
        <f>VLOOKUP(A76,'1.Loading'!A:R,5,FALSE)</f>
        <v>45GP</v>
      </c>
      <c r="L76" s="56" t="str">
        <f>VLOOKUP(D76,'2.Bookinglist'!A:CT,85,FALSE)</f>
        <v>CY/CY</v>
      </c>
      <c r="M76" s="56" t="str">
        <f>IF(VLOOKUP(D76,'2.Bookinglist'!A:CT,43,FALSE)=0,"","DG")</f>
        <v/>
      </c>
      <c r="N76" s="56" t="str">
        <f>IF(RIGHT(K76,2)="RE","RF","")</f>
        <v/>
      </c>
      <c r="O76" s="54" t="str">
        <f>VLOOKUP(A76,'1.Loading'!A:R,3,FALSE)</f>
        <v>HMVY</v>
      </c>
      <c r="P76" s="54" t="str">
        <f>VLOOKUP(A76,'1.Loading'!A:R,4,FALSE)</f>
        <v>2609N</v>
      </c>
      <c r="Q76" s="54" t="str">
        <f>VLOOKUP(D76,'2.Bookinglist'!A:CT,12,FALSE)</f>
        <v>PCI2</v>
      </c>
      <c r="R76" s="56" t="str">
        <f>IF(LEFT(K76,2)="22","20'","40'")</f>
        <v>40'</v>
      </c>
      <c r="S76" s="38"/>
      <c r="T76" s="54" t="str">
        <f>VLOOKUP(A76,'1.Loading'!A:R,2,FALSE)</f>
        <v>2026-10-28</v>
      </c>
      <c r="U76" s="57">
        <f>T76-S76</f>
        <v>46323</v>
      </c>
      <c r="V76" s="58"/>
      <c r="W76" s="54" t="str">
        <f>VLOOKUP(A76,'3.GateMove'!A:D,4,FALSE)</f>
        <v>2026-10-18</v>
      </c>
      <c r="X76" s="57">
        <f>((T76-W76)+1)</f>
        <v>11</v>
      </c>
      <c r="Y76" s="59">
        <f>IF(AND(OR(C76="BKK01",C76="BKK04"),L76="CFS/CY"),0,IF(M76="DG",1,IF(LEFT(C76,3)="LCH",7,IF(C76="BKK02",5,3))))</f>
        <v>7</v>
      </c>
      <c r="Z76" s="57">
        <f>IF(IF(AND(AC76="TML",AB76&gt;0),((T76-W76)+1)-AB76,((T76-W76)+1)-Y76)&gt;0,IF(AND(AC76="TML",AB76&gt;0),((T76-W76)+1)-AB76,((T76-W76)+1)-Y76),0)</f>
        <v>4</v>
      </c>
      <c r="AA76" s="48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1000</v>
      </c>
      <c r="AB76" s="53"/>
      <c r="AC76" s="53"/>
      <c r="AD76" s="56">
        <f>IF(M76="DG",3,IF(N76="RF",3,5))+IF(AND(LEFT(C76,3)="BKK",N76="RF",Q76="KTS"),1,0)+IF(Q76="KHS",1,0)</f>
        <v>5</v>
      </c>
      <c r="AE76" s="57">
        <f>(T76-V76)+1</f>
        <v>46324</v>
      </c>
      <c r="AF76" s="57">
        <f>IF(AB76&gt;IF((V76-W76)&gt;0,V76-W76,0),0,IF(AB76&lt;IF((V76-W76)&gt;0,V76-W76,0),IF((V76-W76)&gt;0,V76-W76,0)-AB76,IF((V76-W76)&gt;0,V76-W76,0)))</f>
        <v>0</v>
      </c>
      <c r="AG76" s="48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0"/>
      <c r="AI76" s="60">
        <f>AA76-AH76</f>
        <v>1000</v>
      </c>
      <c r="AJ76" s="61"/>
      <c r="AK76" s="55" t="str">
        <f>VLOOKUP(D76,'2.Bookinglist'!A:CT,40,FALSE)</f>
        <v>Nannaapust Sukporntaweewat</v>
      </c>
      <c r="AL76" s="56" t="str">
        <f>VLOOKUP(D76,'2.Bookinglist'!A:CW,101,FALSE)</f>
        <v>2026-10-24</v>
      </c>
      <c r="AM76" s="56" t="str">
        <f>VLOOKUP(D76,'2.Bookinglist'!A:BK,63,FALSE)</f>
        <v>LCHY5</v>
      </c>
      <c r="AN76" s="55" t="str">
        <f>VLOOKUP(D76,'2.Bookinglist'!A:AZ,52,FALSE)</f>
        <v>Pickup : 2026-10-15, Return : 2026-10-16</v>
      </c>
      <c r="AO76" s="55">
        <f>VLOOKUP(D76,'2.Bookinglist'!A:CY,103,FALSE)</f>
        <v>0</v>
      </c>
    </row>
    <row r="77" ht="12.95" customHeight="1" spans="1:41" x14ac:dyDescent="0.25">
      <c r="A77" s="3" t="s">
        <v>59</v>
      </c>
      <c r="B77" s="53" t="str">
        <f>IF(C77=Charge!$M$1,Charge!$J$1,IF(C77=Charge!$M$23,Charge!$J$23,IF(C77=Charge!$M$17,Charge!$J$17,IF(C77=Charge!$N$17,Charge!$J$17,Charge!$J$7))))</f>
        <v>G2</v>
      </c>
      <c r="C77" s="54" t="str">
        <f>VLOOKUP(A77,'1.Loading'!A:R,14,FALSE)</f>
        <v>LCH06</v>
      </c>
      <c r="D77" s="54" t="str">
        <f>VLOOKUP(A77,'1.Loading'!A:R,17,FALSE)</f>
        <v>HASLS22261001024</v>
      </c>
      <c r="E77" s="55" t="str">
        <f>VLOOKUP(D77,'2.Bookinglist'!A:CT,27,FALSE)</f>
        <v>SUN-OCEAN GLOBAL SUPPLY CHAIN CO., LTD.</v>
      </c>
      <c r="F77" s="55" t="str">
        <f>VLOOKUP(D77,'2.Bookinglist'!A:CT,28,FALSE)</f>
        <v>I.P. ONE COMPANY LIMITED</v>
      </c>
      <c r="G77" s="56" t="str">
        <f>VLOOKUP(D77,'2.Bookinglist'!A:E,5,FALSE)</f>
        <v>THSRP</v>
      </c>
      <c r="H77" s="54" t="str">
        <f>VLOOKUP(D77,'2.Bookinglist'!A:CT,15,FALSE)</f>
        <v>THLCH</v>
      </c>
      <c r="I77" s="54" t="str">
        <f>VLOOKUP(D77,'2.Bookinglist'!A:CT,19,FALSE)</f>
        <v>CNSHA</v>
      </c>
      <c r="J77" s="54">
        <f>VLOOKUP(D77,'2.Bookinglist'!A:CT,26,FALSE)</f>
        <v>0</v>
      </c>
      <c r="K77" s="54" t="str">
        <f>VLOOKUP(A77,'1.Loading'!A:R,5,FALSE)</f>
        <v>45GP</v>
      </c>
      <c r="L77" s="56" t="str">
        <f>VLOOKUP(D77,'2.Bookinglist'!A:CT,85,FALSE)</f>
        <v>CY/CY</v>
      </c>
      <c r="M77" s="56" t="str">
        <f>IF(VLOOKUP(D77,'2.Bookinglist'!A:CT,43,FALSE)=0,"","DG")</f>
        <v/>
      </c>
      <c r="N77" s="56" t="str">
        <f>IF(RIGHT(K77,2)="RE","RF","")</f>
        <v/>
      </c>
      <c r="O77" s="54" t="str">
        <f>VLOOKUP(A77,'1.Loading'!A:R,3,FALSE)</f>
        <v>HMVY</v>
      </c>
      <c r="P77" s="54" t="str">
        <f>VLOOKUP(A77,'1.Loading'!A:R,4,FALSE)</f>
        <v>2609N</v>
      </c>
      <c r="Q77" s="54" t="str">
        <f>VLOOKUP(D77,'2.Bookinglist'!A:CT,12,FALSE)</f>
        <v>PCI2</v>
      </c>
      <c r="R77" s="56" t="str">
        <f>IF(LEFT(K77,2)="22","20'","40'")</f>
        <v>40'</v>
      </c>
      <c r="S77" s="38"/>
      <c r="T77" s="54" t="str">
        <f>VLOOKUP(A77,'1.Loading'!A:R,2,FALSE)</f>
        <v>2026-10-28</v>
      </c>
      <c r="U77" s="57">
        <f>T77-S77</f>
        <v>46323</v>
      </c>
      <c r="V77" s="58"/>
      <c r="W77" s="54" t="str">
        <f>VLOOKUP(A77,'3.GateMove'!A:D,4,FALSE)</f>
        <v>2026-10-23</v>
      </c>
      <c r="X77" s="57">
        <f>((T77-W77)+1)</f>
        <v>6</v>
      </c>
      <c r="Y77" s="59">
        <f>IF(AND(OR(C77="BKK01",C77="BKK04"),L77="CFS/CY"),0,IF(M77="DG",1,IF(LEFT(C77,3)="LCH",7,IF(C77="BKK02",5,3))))</f>
        <v>7</v>
      </c>
      <c r="Z77" s="57">
        <f>IF(IF(AND(AC77="TML",AB77&gt;0),((T77-W77)+1)-AB77,((T77-W77)+1)-Y77)&gt;0,IF(AND(AC77="TML",AB77&gt;0),((T77-W77)+1)-AB77,((T77-W77)+1)-Y77),0)</f>
        <v>0</v>
      </c>
      <c r="AA77" s="48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0</v>
      </c>
      <c r="AB77" s="53"/>
      <c r="AC77" s="53"/>
      <c r="AD77" s="56">
        <f>IF(M77="DG",3,IF(N77="RF",3,5))+IF(AND(LEFT(C77,3)="BKK",N77="RF",Q77="KTS"),1,0)+IF(Q77="KHS",1,0)</f>
        <v>5</v>
      </c>
      <c r="AE77" s="57">
        <f>(T77-V77)+1</f>
        <v>46324</v>
      </c>
      <c r="AF77" s="57">
        <f>IF(AB77&gt;IF((V77-W77)&gt;0,V77-W77,0),0,IF(AB77&lt;IF((V77-W77)&gt;0,V77-W77,0),IF((V77-W77)&gt;0,V77-W77,0)-AB77,IF((V77-W77)&gt;0,V77-W77,0)))</f>
        <v>0</v>
      </c>
      <c r="AG77" s="48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0"/>
      <c r="AI77" s="60">
        <f>AA77-AH77</f>
        <v>0</v>
      </c>
      <c r="AJ77" s="61"/>
      <c r="AK77" s="55" t="str">
        <f>VLOOKUP(D77,'2.Bookinglist'!A:CT,40,FALSE)</f>
        <v>Arunphat W. (Aiw)</v>
      </c>
      <c r="AL77" s="56" t="str">
        <f>VLOOKUP(D77,'2.Bookinglist'!A:CW,101,FALSE)</f>
        <v>2026-10-24</v>
      </c>
      <c r="AM77" s="56" t="str">
        <f>VLOOKUP(D77,'2.Bookinglist'!A:BK,63,FALSE)</f>
        <v>BKK27</v>
      </c>
      <c r="AN77" s="55" t="str">
        <f>VLOOKUP(D77,'2.Bookinglist'!A:AZ,52,FALSE)</f>
        <v>Pickup : 2026-10-19, Return SRP : 2026-10-20 [PAPERLESS CODE 2829]
CLS TIME 24/10/26 @21.00 (1ST RETURN DD.21/10/26)</v>
      </c>
      <c r="AO77" s="55">
        <f>VLOOKUP(D77,'2.Bookinglist'!A:CY,103,FALSE)</f>
        <v>0</v>
      </c>
    </row>
    <row r="78" ht="12.95" customHeight="1" spans="1:41" x14ac:dyDescent="0.25">
      <c r="A78" s="3" t="s">
        <v>88</v>
      </c>
      <c r="B78" s="53" t="str">
        <f>IF(C78=Charge!$M$1,Charge!$J$1,IF(C78=Charge!$M$23,Charge!$J$23,IF(C78=Charge!$M$17,Charge!$J$17,IF(C78=Charge!$N$17,Charge!$J$17,Charge!$J$7))))</f>
        <v>G2</v>
      </c>
      <c r="C78" s="54" t="str">
        <f>VLOOKUP(A78,'1.Loading'!A:R,14,FALSE)</f>
        <v>LCH06</v>
      </c>
      <c r="D78" s="54" t="str">
        <f>VLOOKUP(A78,'1.Loading'!A:R,17,FALSE)</f>
        <v>HASLS22261000285</v>
      </c>
      <c r="E78" s="55" t="str">
        <f>VLOOKUP(D78,'2.Bookinglist'!A:CT,27,FALSE)</f>
        <v>AGC VINYTHAI PUBLIC COMPANY LIMITED</v>
      </c>
      <c r="F78" s="55" t="str">
        <f>VLOOKUP(D78,'2.Bookinglist'!A:CT,28,FALSE)</f>
        <v>AGC VINYTHAI PUBLIC COMPANY LIMITED</v>
      </c>
      <c r="G78" s="56">
        <f>VLOOKUP(D78,'2.Bookinglist'!A:E,5,FALSE)</f>
        <v>0</v>
      </c>
      <c r="H78" s="54" t="str">
        <f>VLOOKUP(D78,'2.Bookinglist'!A:CT,15,FALSE)</f>
        <v>THLCH</v>
      </c>
      <c r="I78" s="54" t="str">
        <f>VLOOKUP(D78,'2.Bookinglist'!A:CT,19,FALSE)</f>
        <v>CNSHA</v>
      </c>
      <c r="J78" s="54">
        <f>VLOOKUP(D78,'2.Bookinglist'!A:CT,26,FALSE)</f>
        <v>0</v>
      </c>
      <c r="K78" s="54" t="str">
        <f>VLOOKUP(A78,'1.Loading'!A:R,5,FALSE)</f>
        <v>45GP</v>
      </c>
      <c r="L78" s="56" t="str">
        <f>VLOOKUP(D78,'2.Bookinglist'!A:CT,85,FALSE)</f>
        <v>CY/CY</v>
      </c>
      <c r="M78" s="56" t="str">
        <f>IF(VLOOKUP(D78,'2.Bookinglist'!A:CT,43,FALSE)=0,"","DG")</f>
        <v/>
      </c>
      <c r="N78" s="56" t="str">
        <f>IF(RIGHT(K78,2)="RE","RF","")</f>
        <v/>
      </c>
      <c r="O78" s="54" t="str">
        <f>VLOOKUP(A78,'1.Loading'!A:R,3,FALSE)</f>
        <v>HMVY</v>
      </c>
      <c r="P78" s="54" t="str">
        <f>VLOOKUP(A78,'1.Loading'!A:R,4,FALSE)</f>
        <v>2609N</v>
      </c>
      <c r="Q78" s="54" t="str">
        <f>VLOOKUP(D78,'2.Bookinglist'!A:CT,12,FALSE)</f>
        <v>PCI2</v>
      </c>
      <c r="R78" s="56" t="str">
        <f>IF(LEFT(K78,2)="22","20'","40'")</f>
        <v>40'</v>
      </c>
      <c r="S78" s="38"/>
      <c r="T78" s="54" t="str">
        <f>VLOOKUP(A78,'1.Loading'!A:R,2,FALSE)</f>
        <v>2026-10-28</v>
      </c>
      <c r="U78" s="57">
        <f>T78-S78</f>
        <v>46323</v>
      </c>
      <c r="V78" s="58"/>
      <c r="W78" s="54" t="str">
        <f>VLOOKUP(A78,'3.GateMove'!A:D,4,FALSE)</f>
        <v>2026-10-20</v>
      </c>
      <c r="X78" s="57">
        <f>((T78-W78)+1)</f>
        <v>9</v>
      </c>
      <c r="Y78" s="59">
        <f>IF(AND(OR(C78="BKK01",C78="BKK04"),L78="CFS/CY"),0,IF(M78="DG",1,IF(LEFT(C78,3)="LCH",7,IF(C78="BKK02",5,3))))</f>
        <v>7</v>
      </c>
      <c r="Z78" s="57">
        <f>IF(IF(AND(AC78="TML",AB78&gt;0),((T78-W78)+1)-AB78,((T78-W78)+1)-Y78)&gt;0,IF(AND(AC78="TML",AB78&gt;0),((T78-W78)+1)-AB78,((T78-W78)+1)-Y78),0)</f>
        <v>2</v>
      </c>
      <c r="AA78" s="48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500</v>
      </c>
      <c r="AB78" s="53"/>
      <c r="AC78" s="53"/>
      <c r="AD78" s="56">
        <f>IF(M78="DG",3,IF(N78="RF",3,5))+IF(AND(LEFT(C78,3)="BKK",N78="RF",Q78="KTS"),1,0)+IF(Q78="KHS",1,0)</f>
        <v>5</v>
      </c>
      <c r="AE78" s="57">
        <f>(T78-V78)+1</f>
        <v>46324</v>
      </c>
      <c r="AF78" s="57">
        <f>IF(AB78&gt;IF((V78-W78)&gt;0,V78-W78,0),0,IF(AB78&lt;IF((V78-W78)&gt;0,V78-W78,0),IF((V78-W78)&gt;0,V78-W78,0)-AB78,IF((V78-W78)&gt;0,V78-W78,0)))</f>
        <v>0</v>
      </c>
      <c r="AG78" s="48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0"/>
      <c r="AI78" s="60">
        <f>AA78-AH78</f>
        <v>500</v>
      </c>
      <c r="AJ78" s="61"/>
      <c r="AK78" s="55" t="str">
        <f>VLOOKUP(D78,'2.Bookinglist'!A:CT,40,FALSE)</f>
        <v>Nannaapust Sukporntaweewat</v>
      </c>
      <c r="AL78" s="56" t="str">
        <f>VLOOKUP(D78,'2.Bookinglist'!A:CW,101,FALSE)</f>
        <v>2026-10-24</v>
      </c>
      <c r="AM78" s="56" t="str">
        <f>VLOOKUP(D78,'2.Bookinglist'!A:BK,63,FALSE)</f>
        <v>LCHY5</v>
      </c>
      <c r="AN78" s="55" t="str">
        <f>VLOOKUP(D78,'2.Bookinglist'!A:AZ,52,FALSE)</f>
        <v>Pickup : 2026-10-15, Return : 2026-10-16</v>
      </c>
      <c r="AO78" s="55">
        <f>VLOOKUP(D78,'2.Bookinglist'!A:CY,103,FALSE)</f>
        <v>0</v>
      </c>
    </row>
    <row r="79" ht="12.95" customHeight="1" spans="1:41" x14ac:dyDescent="0.25">
      <c r="A79" s="3" t="s">
        <v>570</v>
      </c>
      <c r="B79" s="53" t="str">
        <f>IF(C79=Charge!$M$1,Charge!$J$1,IF(C79=Charge!$M$23,Charge!$J$23,IF(C79=Charge!$M$17,Charge!$J$17,IF(C79=Charge!$N$17,Charge!$J$17,Charge!$J$7))))</f>
        <v>G2</v>
      </c>
      <c r="C79" s="54" t="str">
        <f>VLOOKUP(A79,'1.Loading'!A:R,14,FALSE)</f>
        <v>LCH06</v>
      </c>
      <c r="D79" s="54" t="str">
        <f>VLOOKUP(A79,'1.Loading'!A:R,17,FALSE)</f>
        <v>HASLS22261000285</v>
      </c>
      <c r="E79" s="55" t="str">
        <f>VLOOKUP(D79,'2.Bookinglist'!A:CT,27,FALSE)</f>
        <v>AGC VINYTHAI PUBLIC COMPANY LIMITED</v>
      </c>
      <c r="F79" s="55" t="str">
        <f>VLOOKUP(D79,'2.Bookinglist'!A:CT,28,FALSE)</f>
        <v>AGC VINYTHAI PUBLIC COMPANY LIMITED</v>
      </c>
      <c r="G79" s="56">
        <f>VLOOKUP(D79,'2.Bookinglist'!A:E,5,FALSE)</f>
        <v>0</v>
      </c>
      <c r="H79" s="54" t="str">
        <f>VLOOKUP(D79,'2.Bookinglist'!A:CT,15,FALSE)</f>
        <v>THLCH</v>
      </c>
      <c r="I79" s="54" t="str">
        <f>VLOOKUP(D79,'2.Bookinglist'!A:CT,19,FALSE)</f>
        <v>CNSHA</v>
      </c>
      <c r="J79" s="54">
        <f>VLOOKUP(D79,'2.Bookinglist'!A:CT,26,FALSE)</f>
        <v>0</v>
      </c>
      <c r="K79" s="54" t="str">
        <f>VLOOKUP(A79,'1.Loading'!A:R,5,FALSE)</f>
        <v>45GP</v>
      </c>
      <c r="L79" s="56" t="str">
        <f>VLOOKUP(D79,'2.Bookinglist'!A:CT,85,FALSE)</f>
        <v>CY/CY</v>
      </c>
      <c r="M79" s="56" t="str">
        <f>IF(VLOOKUP(D79,'2.Bookinglist'!A:CT,43,FALSE)=0,"","DG")</f>
        <v/>
      </c>
      <c r="N79" s="56" t="str">
        <f>IF(RIGHT(K79,2)="RE","RF","")</f>
        <v/>
      </c>
      <c r="O79" s="54" t="str">
        <f>VLOOKUP(A79,'1.Loading'!A:R,3,FALSE)</f>
        <v>HMVY</v>
      </c>
      <c r="P79" s="54" t="str">
        <f>VLOOKUP(A79,'1.Loading'!A:R,4,FALSE)</f>
        <v>2609N</v>
      </c>
      <c r="Q79" s="54" t="str">
        <f>VLOOKUP(D79,'2.Bookinglist'!A:CT,12,FALSE)</f>
        <v>PCI2</v>
      </c>
      <c r="R79" s="56" t="str">
        <f>IF(LEFT(K79,2)="22","20'","40'")</f>
        <v>40'</v>
      </c>
      <c r="S79" s="38"/>
      <c r="T79" s="54" t="str">
        <f>VLOOKUP(A79,'1.Loading'!A:R,2,FALSE)</f>
        <v>2026-10-28</v>
      </c>
      <c r="U79" s="57">
        <f>T79-S79</f>
        <v>46323</v>
      </c>
      <c r="V79" s="58"/>
      <c r="W79" s="54" t="str">
        <f>VLOOKUP(A79,'3.GateMove'!A:D,4,FALSE)</f>
        <v>2026-10-17</v>
      </c>
      <c r="X79" s="57">
        <f>((T79-W79)+1)</f>
        <v>12</v>
      </c>
      <c r="Y79" s="59">
        <f>IF(AND(OR(C79="BKK01",C79="BKK04"),L79="CFS/CY"),0,IF(M79="DG",1,IF(LEFT(C79,3)="LCH",7,IF(C79="BKK02",5,3))))</f>
        <v>7</v>
      </c>
      <c r="Z79" s="57">
        <f>IF(IF(AND(AC79="TML",AB79&gt;0),((T79-W79)+1)-AB79,((T79-W79)+1)-Y79)&gt;0,IF(AND(AC79="TML",AB79&gt;0),((T79-W79)+1)-AB79,((T79-W79)+1)-Y79),0)</f>
        <v>5</v>
      </c>
      <c r="AA79" s="48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1250</v>
      </c>
      <c r="AB79" s="53"/>
      <c r="AC79" s="53"/>
      <c r="AD79" s="56">
        <f>IF(M79="DG",3,IF(N79="RF",3,5))+IF(AND(LEFT(C79,3)="BKK",N79="RF",Q79="KTS"),1,0)+IF(Q79="KHS",1,0)</f>
        <v>5</v>
      </c>
      <c r="AE79" s="57">
        <f>(T79-V79)+1</f>
        <v>46324</v>
      </c>
      <c r="AF79" s="57">
        <f>IF(AB79&gt;IF((V79-W79)&gt;0,V79-W79,0),0,IF(AB79&lt;IF((V79-W79)&gt;0,V79-W79,0),IF((V79-W79)&gt;0,V79-W79,0)-AB79,IF((V79-W79)&gt;0,V79-W79,0)))</f>
        <v>0</v>
      </c>
      <c r="AG79" s="48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0"/>
      <c r="AI79" s="60">
        <f>AA79-AH79</f>
        <v>1250</v>
      </c>
      <c r="AJ79" s="61"/>
      <c r="AK79" s="55" t="str">
        <f>VLOOKUP(D79,'2.Bookinglist'!A:CT,40,FALSE)</f>
        <v>Nannaapust Sukporntaweewat</v>
      </c>
      <c r="AL79" s="56" t="str">
        <f>VLOOKUP(D79,'2.Bookinglist'!A:CW,101,FALSE)</f>
        <v>2026-10-24</v>
      </c>
      <c r="AM79" s="56" t="str">
        <f>VLOOKUP(D79,'2.Bookinglist'!A:BK,63,FALSE)</f>
        <v>LCHY5</v>
      </c>
      <c r="AN79" s="55" t="str">
        <f>VLOOKUP(D79,'2.Bookinglist'!A:AZ,52,FALSE)</f>
        <v>Pickup : 2026-10-15, Return : 2026-10-16</v>
      </c>
      <c r="AO79" s="55">
        <f>VLOOKUP(D79,'2.Bookinglist'!A:CY,103,FALSE)</f>
        <v>0</v>
      </c>
    </row>
    <row r="80" ht="12.95" customHeight="1" spans="1:41" x14ac:dyDescent="0.25">
      <c r="A80" s="3" t="s">
        <v>573</v>
      </c>
      <c r="B80" s="53" t="str">
        <f>IF(C80=Charge!$M$1,Charge!$J$1,IF(C80=Charge!$M$23,Charge!$J$23,IF(C80=Charge!$M$17,Charge!$J$17,IF(C80=Charge!$N$17,Charge!$J$17,Charge!$J$7))))</f>
        <v>G2</v>
      </c>
      <c r="C80" s="54" t="str">
        <f>VLOOKUP(A80,'1.Loading'!A:R,14,FALSE)</f>
        <v>LCH06</v>
      </c>
      <c r="D80" s="54" t="str">
        <f>VLOOKUP(A80,'1.Loading'!A:R,17,FALSE)</f>
        <v>HASLS22260900442</v>
      </c>
      <c r="E80" s="55" t="str">
        <f>VLOOKUP(D80,'2.Bookinglist'!A:CT,27,FALSE)</f>
        <v>BARKLAYS LOGISTICS (THAILAND) CO., LTD.</v>
      </c>
      <c r="F80" s="55" t="str">
        <f>VLOOKUP(D80,'2.Bookinglist'!A:CT,28,FALSE)</f>
        <v>SHUN YI INTERNATIONAL TRADING CO., LTD.</v>
      </c>
      <c r="G80" s="56">
        <f>VLOOKUP(D80,'2.Bookinglist'!A:E,5,FALSE)</f>
        <v>0</v>
      </c>
      <c r="H80" s="54" t="str">
        <f>VLOOKUP(D80,'2.Bookinglist'!A:CT,15,FALSE)</f>
        <v>THLCH</v>
      </c>
      <c r="I80" s="54" t="str">
        <f>VLOOKUP(D80,'2.Bookinglist'!A:CT,19,FALSE)</f>
        <v>CNSHA</v>
      </c>
      <c r="J80" s="54">
        <f>VLOOKUP(D80,'2.Bookinglist'!A:CT,26,FALSE)</f>
        <v>0</v>
      </c>
      <c r="K80" s="54" t="str">
        <f>VLOOKUP(A80,'1.Loading'!A:R,5,FALSE)</f>
        <v>45GP</v>
      </c>
      <c r="L80" s="56" t="str">
        <f>VLOOKUP(D80,'2.Bookinglist'!A:CT,85,FALSE)</f>
        <v>CY/CY</v>
      </c>
      <c r="M80" s="56" t="str">
        <f>IF(VLOOKUP(D80,'2.Bookinglist'!A:CT,43,FALSE)=0,"","DG")</f>
        <v/>
      </c>
      <c r="N80" s="56" t="str">
        <f>IF(RIGHT(K80,2)="RE","RF","")</f>
        <v/>
      </c>
      <c r="O80" s="54" t="str">
        <f>VLOOKUP(A80,'1.Loading'!A:R,3,FALSE)</f>
        <v>HMVY</v>
      </c>
      <c r="P80" s="54" t="str">
        <f>VLOOKUP(A80,'1.Loading'!A:R,4,FALSE)</f>
        <v>2609N</v>
      </c>
      <c r="Q80" s="54" t="str">
        <f>VLOOKUP(D80,'2.Bookinglist'!A:CT,12,FALSE)</f>
        <v>PCI2</v>
      </c>
      <c r="R80" s="56" t="str">
        <f>IF(LEFT(K80,2)="22","20'","40'")</f>
        <v>40'</v>
      </c>
      <c r="S80" s="38"/>
      <c r="T80" s="54" t="str">
        <f>VLOOKUP(A80,'1.Loading'!A:R,2,FALSE)</f>
        <v>2026-10-28</v>
      </c>
      <c r="U80" s="57">
        <f>T80-S80</f>
        <v>46323</v>
      </c>
      <c r="V80" s="58"/>
      <c r="W80" s="54" t="str">
        <f>VLOOKUP(A80,'3.GateMove'!A:D,4,FALSE)</f>
        <v>2026-10-05</v>
      </c>
      <c r="X80" s="57">
        <f>((T80-W80)+1)</f>
        <v>24</v>
      </c>
      <c r="Y80" s="59">
        <f>IF(AND(OR(C80="BKK01",C80="BKK04"),L80="CFS/CY"),0,IF(M80="DG",1,IF(LEFT(C80,3)="LCH",7,IF(C80="BKK02",5,3))))</f>
        <v>7</v>
      </c>
      <c r="Z80" s="57">
        <f>IF(IF(AND(AC80="TML",AB80&gt;0),((T80-W80)+1)-AB80,((T80-W80)+1)-Y80)&gt;0,IF(AND(AC80="TML",AB80&gt;0),((T80-W80)+1)-AB80,((T80-W80)+1)-Y80),0)</f>
        <v>17</v>
      </c>
      <c r="AA80" s="48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7650</v>
      </c>
      <c r="AB80" s="53"/>
      <c r="AC80" s="53"/>
      <c r="AD80" s="56">
        <f>IF(M80="DG",3,IF(N80="RF",3,5))+IF(AND(LEFT(C80,3)="BKK",N80="RF",Q80="KTS"),1,0)+IF(Q80="KHS",1,0)</f>
        <v>5</v>
      </c>
      <c r="AE80" s="57">
        <f>(T80-V80)+1</f>
        <v>46324</v>
      </c>
      <c r="AF80" s="57">
        <f>IF(AB80&gt;IF((V80-W80)&gt;0,V80-W80,0),0,IF(AB80&lt;IF((V80-W80)&gt;0,V80-W80,0),IF((V80-W80)&gt;0,V80-W80,0)-AB80,IF((V80-W80)&gt;0,V80-W80,0)))</f>
        <v>0</v>
      </c>
      <c r="AG80" s="48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0"/>
      <c r="AI80" s="60">
        <f>AA80-AH80</f>
        <v>7650</v>
      </c>
      <c r="AJ80" s="61"/>
      <c r="AK80" s="55" t="str">
        <f>VLOOKUP(D80,'2.Bookinglist'!A:CT,40,FALSE)</f>
        <v>Nannaapust Sukporntaweewat</v>
      </c>
      <c r="AL80" s="56" t="str">
        <f>VLOOKUP(D80,'2.Bookinglist'!A:CW,101,FALSE)</f>
        <v>2026-10-22</v>
      </c>
      <c r="AM80" s="56" t="str">
        <f>VLOOKUP(D80,'2.Bookinglist'!A:BK,63,FALSE)</f>
        <v>LCHY5</v>
      </c>
      <c r="AN80" s="55" t="str">
        <f>VLOOKUP(D80,'2.Bookinglist'!A:AZ,52,FALSE)</f>
        <v>Pickup : 2026-10-02, Return : 2026-10-04 *1ST RETURN CNTR DD.08/10/2026*</v>
      </c>
      <c r="AO80" s="55" t="str">
        <f>VLOOKUP(D80,'2.Bookinglist'!A:CY,103,FALSE)</f>
        <v>ROLL OVER FROM PREVIOUS VSL SWRG 2609N BY ALLOCATION TEAM MS.TAN APPROVED COST IS UNDER HA DD.09/10</v>
      </c>
    </row>
    <row r="81" ht="12.95" customHeight="1" spans="1:41" x14ac:dyDescent="0.25">
      <c r="A81" s="3" t="s">
        <v>572</v>
      </c>
      <c r="B81" s="53" t="str">
        <f>IF(C81=Charge!$M$1,Charge!$J$1,IF(C81=Charge!$M$23,Charge!$J$23,IF(C81=Charge!$M$17,Charge!$J$17,IF(C81=Charge!$N$17,Charge!$J$17,Charge!$J$7))))</f>
        <v>G2</v>
      </c>
      <c r="C81" s="54" t="str">
        <f>VLOOKUP(A81,'1.Loading'!A:R,14,FALSE)</f>
        <v>LCH06</v>
      </c>
      <c r="D81" s="54" t="str">
        <f>VLOOKUP(A81,'1.Loading'!A:R,17,FALSE)</f>
        <v>HASLS22261000285</v>
      </c>
      <c r="E81" s="55" t="str">
        <f>VLOOKUP(D81,'2.Bookinglist'!A:CT,27,FALSE)</f>
        <v>AGC VINYTHAI PUBLIC COMPANY LIMITED</v>
      </c>
      <c r="F81" s="55" t="str">
        <f>VLOOKUP(D81,'2.Bookinglist'!A:CT,28,FALSE)</f>
        <v>AGC VINYTHAI PUBLIC COMPANY LIMITED</v>
      </c>
      <c r="G81" s="56">
        <f>VLOOKUP(D81,'2.Bookinglist'!A:E,5,FALSE)</f>
        <v>0</v>
      </c>
      <c r="H81" s="54" t="str">
        <f>VLOOKUP(D81,'2.Bookinglist'!A:CT,15,FALSE)</f>
        <v>THLCH</v>
      </c>
      <c r="I81" s="54" t="str">
        <f>VLOOKUP(D81,'2.Bookinglist'!A:CT,19,FALSE)</f>
        <v>CNSHA</v>
      </c>
      <c r="J81" s="54">
        <f>VLOOKUP(D81,'2.Bookinglist'!A:CT,26,FALSE)</f>
        <v>0</v>
      </c>
      <c r="K81" s="54" t="str">
        <f>VLOOKUP(A81,'1.Loading'!A:R,5,FALSE)</f>
        <v>45GP</v>
      </c>
      <c r="L81" s="56" t="str">
        <f>VLOOKUP(D81,'2.Bookinglist'!A:CT,85,FALSE)</f>
        <v>CY/CY</v>
      </c>
      <c r="M81" s="56" t="str">
        <f>IF(VLOOKUP(D81,'2.Bookinglist'!A:CT,43,FALSE)=0,"","DG")</f>
        <v/>
      </c>
      <c r="N81" s="56" t="str">
        <f>IF(RIGHT(K81,2)="RE","RF","")</f>
        <v/>
      </c>
      <c r="O81" s="54" t="str">
        <f>VLOOKUP(A81,'1.Loading'!A:R,3,FALSE)</f>
        <v>HMVY</v>
      </c>
      <c r="P81" s="54" t="str">
        <f>VLOOKUP(A81,'1.Loading'!A:R,4,FALSE)</f>
        <v>2609N</v>
      </c>
      <c r="Q81" s="54" t="str">
        <f>VLOOKUP(D81,'2.Bookinglist'!A:CT,12,FALSE)</f>
        <v>PCI2</v>
      </c>
      <c r="R81" s="56" t="str">
        <f>IF(LEFT(K81,2)="22","20'","40'")</f>
        <v>40'</v>
      </c>
      <c r="S81" s="38"/>
      <c r="T81" s="54" t="str">
        <f>VLOOKUP(A81,'1.Loading'!A:R,2,FALSE)</f>
        <v>2026-10-28</v>
      </c>
      <c r="U81" s="57">
        <f>T81-S81</f>
        <v>46323</v>
      </c>
      <c r="V81" s="58"/>
      <c r="W81" s="54" t="str">
        <f>VLOOKUP(A81,'3.GateMove'!A:D,4,FALSE)</f>
        <v>2026-10-17</v>
      </c>
      <c r="X81" s="57">
        <f>((T81-W81)+1)</f>
        <v>12</v>
      </c>
      <c r="Y81" s="59">
        <f>IF(AND(OR(C81="BKK01",C81="BKK04"),L81="CFS/CY"),0,IF(M81="DG",1,IF(LEFT(C81,3)="LCH",7,IF(C81="BKK02",5,3))))</f>
        <v>7</v>
      </c>
      <c r="Z81" s="57">
        <f>IF(IF(AND(AC81="TML",AB81&gt;0),((T81-W81)+1)-AB81,((T81-W81)+1)-Y81)&gt;0,IF(AND(AC81="TML",AB81&gt;0),((T81-W81)+1)-AB81,((T81-W81)+1)-Y81),0)</f>
        <v>5</v>
      </c>
      <c r="AA81" s="48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1250</v>
      </c>
      <c r="AB81" s="53"/>
      <c r="AC81" s="53"/>
      <c r="AD81" s="56">
        <f>IF(M81="DG",3,IF(N81="RF",3,5))+IF(AND(LEFT(C81,3)="BKK",N81="RF",Q81="KTS"),1,0)+IF(Q81="KHS",1,0)</f>
        <v>5</v>
      </c>
      <c r="AE81" s="57">
        <f>(T81-V81)+1</f>
        <v>46324</v>
      </c>
      <c r="AF81" s="57">
        <f>IF(AB81&gt;IF((V81-W81)&gt;0,V81-W81,0),0,IF(AB81&lt;IF((V81-W81)&gt;0,V81-W81,0),IF((V81-W81)&gt;0,V81-W81,0)-AB81,IF((V81-W81)&gt;0,V81-W81,0)))</f>
        <v>0</v>
      </c>
      <c r="AG81" s="48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0"/>
      <c r="AI81" s="60">
        <f>AA81-AH81</f>
        <v>1250</v>
      </c>
      <c r="AJ81" s="61"/>
      <c r="AK81" s="55" t="str">
        <f>VLOOKUP(D81,'2.Bookinglist'!A:CT,40,FALSE)</f>
        <v>Nannaapust Sukporntaweewat</v>
      </c>
      <c r="AL81" s="56" t="str">
        <f>VLOOKUP(D81,'2.Bookinglist'!A:CW,101,FALSE)</f>
        <v>2026-10-24</v>
      </c>
      <c r="AM81" s="56" t="str">
        <f>VLOOKUP(D81,'2.Bookinglist'!A:BK,63,FALSE)</f>
        <v>LCHY5</v>
      </c>
      <c r="AN81" s="55" t="str">
        <f>VLOOKUP(D81,'2.Bookinglist'!A:AZ,52,FALSE)</f>
        <v>Pickup : 2026-10-15, Return : 2026-10-16</v>
      </c>
      <c r="AO81" s="55">
        <f>VLOOKUP(D81,'2.Bookinglist'!A:CY,103,FALSE)</f>
        <v>0</v>
      </c>
    </row>
    <row r="82" ht="12.95" customHeight="1" spans="1:41" x14ac:dyDescent="0.25">
      <c r="A82" s="3" t="s">
        <v>574</v>
      </c>
      <c r="B82" s="53" t="str">
        <f>IF(C82=Charge!$M$1,Charge!$J$1,IF(C82=Charge!$M$23,Charge!$J$23,IF(C82=Charge!$M$17,Charge!$J$17,IF(C82=Charge!$N$17,Charge!$J$17,Charge!$J$7))))</f>
        <v>G2</v>
      </c>
      <c r="C82" s="54" t="str">
        <f>VLOOKUP(A82,'1.Loading'!A:R,14,FALSE)</f>
        <v>LCH06</v>
      </c>
      <c r="D82" s="54" t="str">
        <f>VLOOKUP(A82,'1.Loading'!A:R,17,FALSE)</f>
        <v>HASLS22260900442</v>
      </c>
      <c r="E82" s="55" t="str">
        <f>VLOOKUP(D82,'2.Bookinglist'!A:CT,27,FALSE)</f>
        <v>BARKLAYS LOGISTICS (THAILAND) CO., LTD.</v>
      </c>
      <c r="F82" s="55" t="str">
        <f>VLOOKUP(D82,'2.Bookinglist'!A:CT,28,FALSE)</f>
        <v>SHUN YI INTERNATIONAL TRADING CO., LTD.</v>
      </c>
      <c r="G82" s="56">
        <f>VLOOKUP(D82,'2.Bookinglist'!A:E,5,FALSE)</f>
        <v>0</v>
      </c>
      <c r="H82" s="54" t="str">
        <f>VLOOKUP(D82,'2.Bookinglist'!A:CT,15,FALSE)</f>
        <v>THLCH</v>
      </c>
      <c r="I82" s="54" t="str">
        <f>VLOOKUP(D82,'2.Bookinglist'!A:CT,19,FALSE)</f>
        <v>CNSHA</v>
      </c>
      <c r="J82" s="54">
        <f>VLOOKUP(D82,'2.Bookinglist'!A:CT,26,FALSE)</f>
        <v>0</v>
      </c>
      <c r="K82" s="54" t="str">
        <f>VLOOKUP(A82,'1.Loading'!A:R,5,FALSE)</f>
        <v>45GP</v>
      </c>
      <c r="L82" s="56" t="str">
        <f>VLOOKUP(D82,'2.Bookinglist'!A:CT,85,FALSE)</f>
        <v>CY/CY</v>
      </c>
      <c r="M82" s="56" t="str">
        <f>IF(VLOOKUP(D82,'2.Bookinglist'!A:CT,43,FALSE)=0,"","DG")</f>
        <v/>
      </c>
      <c r="N82" s="56" t="str">
        <f>IF(RIGHT(K82,2)="RE","RF","")</f>
        <v/>
      </c>
      <c r="O82" s="54" t="str">
        <f>VLOOKUP(A82,'1.Loading'!A:R,3,FALSE)</f>
        <v>HMVY</v>
      </c>
      <c r="P82" s="54" t="str">
        <f>VLOOKUP(A82,'1.Loading'!A:R,4,FALSE)</f>
        <v>2609N</v>
      </c>
      <c r="Q82" s="54" t="str">
        <f>VLOOKUP(D82,'2.Bookinglist'!A:CT,12,FALSE)</f>
        <v>PCI2</v>
      </c>
      <c r="R82" s="56" t="str">
        <f>IF(LEFT(K82,2)="22","20'","40'")</f>
        <v>40'</v>
      </c>
      <c r="S82" s="38"/>
      <c r="T82" s="54" t="str">
        <f>VLOOKUP(A82,'1.Loading'!A:R,2,FALSE)</f>
        <v>2026-10-28</v>
      </c>
      <c r="U82" s="57">
        <f>T82-S82</f>
        <v>46323</v>
      </c>
      <c r="V82" s="58"/>
      <c r="W82" s="54" t="str">
        <f>VLOOKUP(A82,'3.GateMove'!A:D,4,FALSE)</f>
        <v>2026-10-04</v>
      </c>
      <c r="X82" s="57">
        <f>((T82-W82)+1)</f>
        <v>25</v>
      </c>
      <c r="Y82" s="59">
        <f>IF(AND(OR(C82="BKK01",C82="BKK04"),L82="CFS/CY"),0,IF(M82="DG",1,IF(LEFT(C82,3)="LCH",7,IF(C82="BKK02",5,3))))</f>
        <v>7</v>
      </c>
      <c r="Z82" s="57">
        <f>IF(IF(AND(AC82="TML",AB82&gt;0),((T82-W82)+1)-AB82,((T82-W82)+1)-Y82)&gt;0,IF(AND(AC82="TML",AB82&gt;0),((T82-W82)+1)-AB82,((T82-W82)+1)-Y82),0)</f>
        <v>18</v>
      </c>
      <c r="AA82" s="48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8450</v>
      </c>
      <c r="AB82" s="53"/>
      <c r="AC82" s="53"/>
      <c r="AD82" s="56">
        <f>IF(M82="DG",3,IF(N82="RF",3,5))+IF(AND(LEFT(C82,3)="BKK",N82="RF",Q82="KTS"),1,0)+IF(Q82="KHS",1,0)</f>
        <v>5</v>
      </c>
      <c r="AE82" s="57">
        <f>(T82-V82)+1</f>
        <v>46324</v>
      </c>
      <c r="AF82" s="57">
        <f>IF(AB82&gt;IF((V82-W82)&gt;0,V82-W82,0),0,IF(AB82&lt;IF((V82-W82)&gt;0,V82-W82,0),IF((V82-W82)&gt;0,V82-W82,0)-AB82,IF((V82-W82)&gt;0,V82-W82,0)))</f>
        <v>0</v>
      </c>
      <c r="AG82" s="48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0"/>
      <c r="AI82" s="60">
        <f>AA82-AH82</f>
        <v>8450</v>
      </c>
      <c r="AJ82" s="61"/>
      <c r="AK82" s="55" t="str">
        <f>VLOOKUP(D82,'2.Bookinglist'!A:CT,40,FALSE)</f>
        <v>Nannaapust Sukporntaweewat</v>
      </c>
      <c r="AL82" s="56" t="str">
        <f>VLOOKUP(D82,'2.Bookinglist'!A:CW,101,FALSE)</f>
        <v>2026-10-22</v>
      </c>
      <c r="AM82" s="56" t="str">
        <f>VLOOKUP(D82,'2.Bookinglist'!A:BK,63,FALSE)</f>
        <v>LCHY5</v>
      </c>
      <c r="AN82" s="55" t="str">
        <f>VLOOKUP(D82,'2.Bookinglist'!A:AZ,52,FALSE)</f>
        <v>Pickup : 2026-10-02, Return : 2026-10-04 *1ST RETURN CNTR DD.08/10/2026*</v>
      </c>
      <c r="AO82" s="55" t="str">
        <f>VLOOKUP(D82,'2.Bookinglist'!A:CY,103,FALSE)</f>
        <v>ROLL OVER FROM PREVIOUS VSL SWRG 2609N BY ALLOCATION TEAM MS.TAN APPROVED COST IS UNDER HA DD.09/10</v>
      </c>
    </row>
    <row r="83" ht="12.95" customHeight="1" spans="1:41" x14ac:dyDescent="0.25">
      <c r="A83" s="3" t="s">
        <v>467</v>
      </c>
      <c r="B83" s="53" t="str">
        <f>IF(C83=Charge!$M$1,Charge!$J$1,IF(C83=Charge!$M$23,Charge!$J$23,IF(C83=Charge!$M$17,Charge!$J$17,IF(C83=Charge!$N$17,Charge!$J$17,Charge!$J$7))))</f>
        <v>G2</v>
      </c>
      <c r="C83" s="54" t="str">
        <f>VLOOKUP(A83,'1.Loading'!A:R,14,FALSE)</f>
        <v>LCH06</v>
      </c>
      <c r="D83" s="54" t="str">
        <f>VLOOKUP(A83,'1.Loading'!A:R,17,FALSE)</f>
        <v>HASLS22260900442</v>
      </c>
      <c r="E83" s="55" t="str">
        <f>VLOOKUP(D83,'2.Bookinglist'!A:CT,27,FALSE)</f>
        <v>BARKLAYS LOGISTICS (THAILAND) CO., LTD.</v>
      </c>
      <c r="F83" s="55" t="str">
        <f>VLOOKUP(D83,'2.Bookinglist'!A:CT,28,FALSE)</f>
        <v>SHUN YI INTERNATIONAL TRADING CO., LTD.</v>
      </c>
      <c r="G83" s="56">
        <f>VLOOKUP(D83,'2.Bookinglist'!A:E,5,FALSE)</f>
        <v>0</v>
      </c>
      <c r="H83" s="54" t="str">
        <f>VLOOKUP(D83,'2.Bookinglist'!A:CT,15,FALSE)</f>
        <v>THLCH</v>
      </c>
      <c r="I83" s="54" t="str">
        <f>VLOOKUP(D83,'2.Bookinglist'!A:CT,19,FALSE)</f>
        <v>CNSHA</v>
      </c>
      <c r="J83" s="54">
        <f>VLOOKUP(D83,'2.Bookinglist'!A:CT,26,FALSE)</f>
        <v>0</v>
      </c>
      <c r="K83" s="54" t="str">
        <f>VLOOKUP(A83,'1.Loading'!A:R,5,FALSE)</f>
        <v>45GP</v>
      </c>
      <c r="L83" s="56" t="str">
        <f>VLOOKUP(D83,'2.Bookinglist'!A:CT,85,FALSE)</f>
        <v>CY/CY</v>
      </c>
      <c r="M83" s="56" t="str">
        <f>IF(VLOOKUP(D83,'2.Bookinglist'!A:CT,43,FALSE)=0,"","DG")</f>
        <v/>
      </c>
      <c r="N83" s="56" t="str">
        <f>IF(RIGHT(K83,2)="RE","RF","")</f>
        <v/>
      </c>
      <c r="O83" s="54" t="str">
        <f>VLOOKUP(A83,'1.Loading'!A:R,3,FALSE)</f>
        <v>HMVY</v>
      </c>
      <c r="P83" s="54" t="str">
        <f>VLOOKUP(A83,'1.Loading'!A:R,4,FALSE)</f>
        <v>2609N</v>
      </c>
      <c r="Q83" s="54" t="str">
        <f>VLOOKUP(D83,'2.Bookinglist'!A:CT,12,FALSE)</f>
        <v>PCI2</v>
      </c>
      <c r="R83" s="56" t="str">
        <f>IF(LEFT(K83,2)="22","20'","40'")</f>
        <v>40'</v>
      </c>
      <c r="S83" s="38"/>
      <c r="T83" s="54" t="str">
        <f>VLOOKUP(A83,'1.Loading'!A:R,2,FALSE)</f>
        <v>2026-10-28</v>
      </c>
      <c r="U83" s="57">
        <f>T83-S83</f>
        <v>46323</v>
      </c>
      <c r="V83" s="58"/>
      <c r="W83" s="54" t="str">
        <f>VLOOKUP(A83,'3.GateMove'!A:D,4,FALSE)</f>
        <v>2026-10-05</v>
      </c>
      <c r="X83" s="57">
        <f>((T83-W83)+1)</f>
        <v>24</v>
      </c>
      <c r="Y83" s="59">
        <f>IF(AND(OR(C83="BKK01",C83="BKK04"),L83="CFS/CY"),0,IF(M83="DG",1,IF(LEFT(C83,3)="LCH",7,IF(C83="BKK02",5,3))))</f>
        <v>7</v>
      </c>
      <c r="Z83" s="57">
        <f>IF(IF(AND(AC83="TML",AB83&gt;0),((T83-W83)+1)-AB83,((T83-W83)+1)-Y83)&gt;0,IF(AND(AC83="TML",AB83&gt;0),((T83-W83)+1)-AB83,((T83-W83)+1)-Y83),0)</f>
        <v>17</v>
      </c>
      <c r="AA83" s="48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7650</v>
      </c>
      <c r="AB83" s="53"/>
      <c r="AC83" s="53"/>
      <c r="AD83" s="56">
        <f>IF(M83="DG",3,IF(N83="RF",3,5))+IF(AND(LEFT(C83,3)="BKK",N83="RF",Q83="KTS"),1,0)+IF(Q83="KHS",1,0)</f>
        <v>5</v>
      </c>
      <c r="AE83" s="57">
        <f>(T83-V83)+1</f>
        <v>46324</v>
      </c>
      <c r="AF83" s="57">
        <f>IF(AB83&gt;IF((V83-W83)&gt;0,V83-W83,0),0,IF(AB83&lt;IF((V83-W83)&gt;0,V83-W83,0),IF((V83-W83)&gt;0,V83-W83,0)-AB83,IF((V83-W83)&gt;0,V83-W83,0)))</f>
        <v>0</v>
      </c>
      <c r="AG83" s="48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0"/>
      <c r="AI83" s="60">
        <f>AA83-AH83</f>
        <v>7650</v>
      </c>
      <c r="AJ83" s="61"/>
      <c r="AK83" s="55" t="str">
        <f>VLOOKUP(D83,'2.Bookinglist'!A:CT,40,FALSE)</f>
        <v>Nannaapust Sukporntaweewat</v>
      </c>
      <c r="AL83" s="56" t="str">
        <f>VLOOKUP(D83,'2.Bookinglist'!A:CW,101,FALSE)</f>
        <v>2026-10-22</v>
      </c>
      <c r="AM83" s="56" t="str">
        <f>VLOOKUP(D83,'2.Bookinglist'!A:BK,63,FALSE)</f>
        <v>LCHY5</v>
      </c>
      <c r="AN83" s="55" t="str">
        <f>VLOOKUP(D83,'2.Bookinglist'!A:AZ,52,FALSE)</f>
        <v>Pickup : 2026-10-02, Return : 2026-10-04 *1ST RETURN CNTR DD.08/10/2026*</v>
      </c>
      <c r="AO83" s="55" t="str">
        <f>VLOOKUP(D83,'2.Bookinglist'!A:CY,103,FALSE)</f>
        <v>ROLL OVER FROM PREVIOUS VSL SWRG 2609N BY ALLOCATION TEAM MS.TAN APPROVED COST IS UNDER HA DD.09/10</v>
      </c>
    </row>
    <row r="84" ht="12.95" customHeight="1" spans="1:41" x14ac:dyDescent="0.25">
      <c r="A84" s="3" t="s">
        <v>462</v>
      </c>
      <c r="B84" s="53" t="str">
        <f>IF(C84=Charge!$M$1,Charge!$J$1,IF(C84=Charge!$M$23,Charge!$J$23,IF(C84=Charge!$M$17,Charge!$J$17,IF(C84=Charge!$N$17,Charge!$J$17,Charge!$J$7))))</f>
        <v>G2</v>
      </c>
      <c r="C84" s="54" t="str">
        <f>VLOOKUP(A84,'1.Loading'!A:R,14,FALSE)</f>
        <v>LCH06</v>
      </c>
      <c r="D84" s="54" t="str">
        <f>VLOOKUP(A84,'1.Loading'!A:R,17,FALSE)</f>
        <v>HASLS22261000252</v>
      </c>
      <c r="E84" s="55" t="str">
        <f>VLOOKUP(D84,'2.Bookinglist'!A:CT,27,FALSE)</f>
        <v>GRAND INTERNATIONAL LOGISTICS  CO.,LTD.</v>
      </c>
      <c r="F84" s="55" t="str">
        <f>VLOOKUP(D84,'2.Bookinglist'!A:CT,28,FALSE)</f>
        <v>TOYOX ASIA (THAILAND) CO., LTD.</v>
      </c>
      <c r="G84" s="56" t="str">
        <f>VLOOKUP(D84,'2.Bookinglist'!A:E,5,FALSE)</f>
        <v>THSRP</v>
      </c>
      <c r="H84" s="54" t="str">
        <f>VLOOKUP(D84,'2.Bookinglist'!A:CT,15,FALSE)</f>
        <v>THLCH</v>
      </c>
      <c r="I84" s="54" t="str">
        <f>VLOOKUP(D84,'2.Bookinglist'!A:CT,19,FALSE)</f>
        <v>CNSHA</v>
      </c>
      <c r="J84" s="54">
        <f>VLOOKUP(D84,'2.Bookinglist'!A:CT,26,FALSE)</f>
        <v>0</v>
      </c>
      <c r="K84" s="54" t="str">
        <f>VLOOKUP(A84,'1.Loading'!A:R,5,FALSE)</f>
        <v>45GP</v>
      </c>
      <c r="L84" s="56" t="str">
        <f>VLOOKUP(D84,'2.Bookinglist'!A:CT,85,FALSE)</f>
        <v>CY/CY</v>
      </c>
      <c r="M84" s="56" t="str">
        <f>IF(VLOOKUP(D84,'2.Bookinglist'!A:CT,43,FALSE)=0,"","DG")</f>
        <v/>
      </c>
      <c r="N84" s="56" t="str">
        <f>IF(RIGHT(K84,2)="RE","RF","")</f>
        <v/>
      </c>
      <c r="O84" s="54" t="str">
        <f>VLOOKUP(A84,'1.Loading'!A:R,3,FALSE)</f>
        <v>HMVY</v>
      </c>
      <c r="P84" s="54" t="str">
        <f>VLOOKUP(A84,'1.Loading'!A:R,4,FALSE)</f>
        <v>2609N</v>
      </c>
      <c r="Q84" s="54" t="str">
        <f>VLOOKUP(D84,'2.Bookinglist'!A:CT,12,FALSE)</f>
        <v>PCI2</v>
      </c>
      <c r="R84" s="56" t="str">
        <f>IF(LEFT(K84,2)="22","20'","40'")</f>
        <v>40'</v>
      </c>
      <c r="S84" s="38"/>
      <c r="T84" s="54" t="str">
        <f>VLOOKUP(A84,'1.Loading'!A:R,2,FALSE)</f>
        <v>2026-10-28</v>
      </c>
      <c r="U84" s="57">
        <f>T84-S84</f>
        <v>46323</v>
      </c>
      <c r="V84" s="58"/>
      <c r="W84" s="54" t="str">
        <f>VLOOKUP(A84,'3.GateMove'!A:D,4,FALSE)</f>
        <v>2026-10-23</v>
      </c>
      <c r="X84" s="57">
        <f>((T84-W84)+1)</f>
        <v>6</v>
      </c>
      <c r="Y84" s="59">
        <f>IF(AND(OR(C84="BKK01",C84="BKK04"),L84="CFS/CY"),0,IF(M84="DG",1,IF(LEFT(C84,3)="LCH",7,IF(C84="BKK02",5,3))))</f>
        <v>7</v>
      </c>
      <c r="Z84" s="57">
        <f>IF(IF(AND(AC84="TML",AB84&gt;0),((T84-W84)+1)-AB84,((T84-W84)+1)-Y84)&gt;0,IF(AND(AC84="TML",AB84&gt;0),((T84-W84)+1)-AB84,((T84-W84)+1)-Y84),0)</f>
        <v>0</v>
      </c>
      <c r="AA84" s="48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0</v>
      </c>
      <c r="AB84" s="53"/>
      <c r="AC84" s="53"/>
      <c r="AD84" s="56">
        <f>IF(M84="DG",3,IF(N84="RF",3,5))+IF(AND(LEFT(C84,3)="BKK",N84="RF",Q84="KTS"),1,0)+IF(Q84="KHS",1,0)</f>
        <v>5</v>
      </c>
      <c r="AE84" s="57">
        <f>(T84-V84)+1</f>
        <v>46324</v>
      </c>
      <c r="AF84" s="57">
        <f>IF(AB84&gt;IF((V84-W84)&gt;0,V84-W84,0),0,IF(AB84&lt;IF((V84-W84)&gt;0,V84-W84,0),IF((V84-W84)&gt;0,V84-W84,0)-AB84,IF((V84-W84)&gt;0,V84-W84,0)))</f>
        <v>0</v>
      </c>
      <c r="AG84" s="48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0"/>
      <c r="AI84" s="60">
        <f>AA84-AH84</f>
        <v>0</v>
      </c>
      <c r="AJ84" s="61"/>
      <c r="AK84" s="55" t="str">
        <f>VLOOKUP(D84,'2.Bookinglist'!A:CT,40,FALSE)</f>
        <v>Dharaporn</v>
      </c>
      <c r="AL84" s="56" t="str">
        <f>VLOOKUP(D84,'2.Bookinglist'!A:CW,101,FALSE)</f>
        <v>2026-10-20</v>
      </c>
      <c r="AM84" s="56" t="str">
        <f>VLOOKUP(D84,'2.Bookinglist'!A:BK,63,FALSE)</f>
        <v>BKK27</v>
      </c>
      <c r="AN84" s="55" t="str">
        <f>VLOOKUP(D84,'2.Bookinglist'!A:AZ,52,FALSE)</f>
        <v>Pickup : 2026-10-14, Return @SRP : 2026-10-15  (PAPERLESS CODE : 2829)
CLS TIME @SRP : 17/10/2026 @18.00 </v>
      </c>
      <c r="AO84" s="55">
        <f>VLOOKUP(D84,'2.Bookinglist'!A:CY,103,FALSE)</f>
        <v>0</v>
      </c>
    </row>
    <row r="85" ht="12.95" customHeight="1" spans="1:41" x14ac:dyDescent="0.25">
      <c r="A85" s="3" t="s">
        <v>498</v>
      </c>
      <c r="B85" s="53" t="str">
        <f>IF(C85=Charge!$M$1,Charge!$J$1,IF(C85=Charge!$M$23,Charge!$J$23,IF(C85=Charge!$M$17,Charge!$J$17,IF(C85=Charge!$N$17,Charge!$J$17,Charge!$J$7))))</f>
        <v>G2</v>
      </c>
      <c r="C85" s="54" t="str">
        <f>VLOOKUP(A85,'1.Loading'!A:R,14,FALSE)</f>
        <v>LCH06</v>
      </c>
      <c r="D85" s="54" t="str">
        <f>VLOOKUP(A85,'1.Loading'!A:R,17,FALSE)</f>
        <v>HASLS22260900442</v>
      </c>
      <c r="E85" s="55" t="str">
        <f>VLOOKUP(D85,'2.Bookinglist'!A:CT,27,FALSE)</f>
        <v>BARKLAYS LOGISTICS (THAILAND) CO., LTD.</v>
      </c>
      <c r="F85" s="55" t="str">
        <f>VLOOKUP(D85,'2.Bookinglist'!A:CT,28,FALSE)</f>
        <v>SHUN YI INTERNATIONAL TRADING CO., LTD.</v>
      </c>
      <c r="G85" s="56">
        <f>VLOOKUP(D85,'2.Bookinglist'!A:E,5,FALSE)</f>
        <v>0</v>
      </c>
      <c r="H85" s="54" t="str">
        <f>VLOOKUP(D85,'2.Bookinglist'!A:CT,15,FALSE)</f>
        <v>THLCH</v>
      </c>
      <c r="I85" s="54" t="str">
        <f>VLOOKUP(D85,'2.Bookinglist'!A:CT,19,FALSE)</f>
        <v>CNSHA</v>
      </c>
      <c r="J85" s="54">
        <f>VLOOKUP(D85,'2.Bookinglist'!A:CT,26,FALSE)</f>
        <v>0</v>
      </c>
      <c r="K85" s="54" t="str">
        <f>VLOOKUP(A85,'1.Loading'!A:R,5,FALSE)</f>
        <v>45GP</v>
      </c>
      <c r="L85" s="56" t="str">
        <f>VLOOKUP(D85,'2.Bookinglist'!A:CT,85,FALSE)</f>
        <v>CY/CY</v>
      </c>
      <c r="M85" s="56" t="str">
        <f>IF(VLOOKUP(D85,'2.Bookinglist'!A:CT,43,FALSE)=0,"","DG")</f>
        <v/>
      </c>
      <c r="N85" s="56" t="str">
        <f>IF(RIGHT(K85,2)="RE","RF","")</f>
        <v/>
      </c>
      <c r="O85" s="54" t="str">
        <f>VLOOKUP(A85,'1.Loading'!A:R,3,FALSE)</f>
        <v>HMVY</v>
      </c>
      <c r="P85" s="54" t="str">
        <f>VLOOKUP(A85,'1.Loading'!A:R,4,FALSE)</f>
        <v>2609N</v>
      </c>
      <c r="Q85" s="54" t="str">
        <f>VLOOKUP(D85,'2.Bookinglist'!A:CT,12,FALSE)</f>
        <v>PCI2</v>
      </c>
      <c r="R85" s="56" t="str">
        <f>IF(LEFT(K85,2)="22","20'","40'")</f>
        <v>40'</v>
      </c>
      <c r="S85" s="38"/>
      <c r="T85" s="54" t="str">
        <f>VLOOKUP(A85,'1.Loading'!A:R,2,FALSE)</f>
        <v>2026-10-28</v>
      </c>
      <c r="U85" s="57">
        <f>T85-S85</f>
        <v>46323</v>
      </c>
      <c r="V85" s="58"/>
      <c r="W85" s="54" t="str">
        <f>VLOOKUP(A85,'3.GateMove'!A:D,4,FALSE)</f>
        <v>2026-10-05</v>
      </c>
      <c r="X85" s="57">
        <f>((T85-W85)+1)</f>
        <v>24</v>
      </c>
      <c r="Y85" s="59">
        <f>IF(AND(OR(C85="BKK01",C85="BKK04"),L85="CFS/CY"),0,IF(M85="DG",1,IF(LEFT(C85,3)="LCH",7,IF(C85="BKK02",5,3))))</f>
        <v>7</v>
      </c>
      <c r="Z85" s="57">
        <f>IF(IF(AND(AC85="TML",AB85&gt;0),((T85-W85)+1)-AB85,((T85-W85)+1)-Y85)&gt;0,IF(AND(AC85="TML",AB85&gt;0),((T85-W85)+1)-AB85,((T85-W85)+1)-Y85),0)</f>
        <v>17</v>
      </c>
      <c r="AA85" s="48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7650</v>
      </c>
      <c r="AB85" s="53"/>
      <c r="AC85" s="53"/>
      <c r="AD85" s="56">
        <f>IF(M85="DG",3,IF(N85="RF",3,5))+IF(AND(LEFT(C85,3)="BKK",N85="RF",Q85="KTS"),1,0)+IF(Q85="KHS",1,0)</f>
        <v>5</v>
      </c>
      <c r="AE85" s="57">
        <f>(T85-V85)+1</f>
        <v>46324</v>
      </c>
      <c r="AF85" s="57">
        <f>IF(AB85&gt;IF((V85-W85)&gt;0,V85-W85,0),0,IF(AB85&lt;IF((V85-W85)&gt;0,V85-W85,0),IF((V85-W85)&gt;0,V85-W85,0)-AB85,IF((V85-W85)&gt;0,V85-W85,0)))</f>
        <v>0</v>
      </c>
      <c r="AG85" s="48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0"/>
      <c r="AI85" s="60">
        <f>AA85-AH85</f>
        <v>7650</v>
      </c>
      <c r="AJ85" s="61"/>
      <c r="AK85" s="55" t="str">
        <f>VLOOKUP(D85,'2.Bookinglist'!A:CT,40,FALSE)</f>
        <v>Nannaapust Sukporntaweewat</v>
      </c>
      <c r="AL85" s="56" t="str">
        <f>VLOOKUP(D85,'2.Bookinglist'!A:CW,101,FALSE)</f>
        <v>2026-10-22</v>
      </c>
      <c r="AM85" s="56" t="str">
        <f>VLOOKUP(D85,'2.Bookinglist'!A:BK,63,FALSE)</f>
        <v>LCHY5</v>
      </c>
      <c r="AN85" s="55" t="str">
        <f>VLOOKUP(D85,'2.Bookinglist'!A:AZ,52,FALSE)</f>
        <v>Pickup : 2026-10-02, Return : 2026-10-04 *1ST RETURN CNTR DD.08/10/2026*</v>
      </c>
      <c r="AO85" s="55" t="str">
        <f>VLOOKUP(D85,'2.Bookinglist'!A:CY,103,FALSE)</f>
        <v>ROLL OVER FROM PREVIOUS VSL SWRG 2609N BY ALLOCATION TEAM MS.TAN APPROVED COST IS UNDER HA DD.09/10</v>
      </c>
    </row>
    <row r="86" ht="12.95" customHeight="1" spans="1:41" x14ac:dyDescent="0.25">
      <c r="A86" s="3" t="s">
        <v>479</v>
      </c>
      <c r="B86" s="53" t="str">
        <f>IF(C86=Charge!$M$1,Charge!$J$1,IF(C86=Charge!$M$23,Charge!$J$23,IF(C86=Charge!$M$17,Charge!$J$17,IF(C86=Charge!$N$17,Charge!$J$17,Charge!$J$7))))</f>
        <v>G2</v>
      </c>
      <c r="C86" s="54" t="str">
        <f>VLOOKUP(A86,'1.Loading'!A:R,14,FALSE)</f>
        <v>LCH06</v>
      </c>
      <c r="D86" s="54" t="str">
        <f>VLOOKUP(A86,'1.Loading'!A:R,17,FALSE)</f>
        <v>HASLS22260901683</v>
      </c>
      <c r="E86" s="55" t="str">
        <f>VLOOKUP(D86,'2.Bookinglist'!A:CT,27,FALSE)</f>
        <v>WHA GC LOGISTICS COMPANY LIMITED</v>
      </c>
      <c r="F86" s="55" t="str">
        <f>VLOOKUP(D86,'2.Bookinglist'!A:CT,28,FALSE)</f>
        <v>PTT GLOBAL CHEMICAL PUBLIC COMPANY LIMITED</v>
      </c>
      <c r="G86" s="56">
        <f>VLOOKUP(D86,'2.Bookinglist'!A:E,5,FALSE)</f>
        <v>0</v>
      </c>
      <c r="H86" s="54" t="str">
        <f>VLOOKUP(D86,'2.Bookinglist'!A:CT,15,FALSE)</f>
        <v>THLCH</v>
      </c>
      <c r="I86" s="54" t="str">
        <f>VLOOKUP(D86,'2.Bookinglist'!A:CT,19,FALSE)</f>
        <v>JPMYJ</v>
      </c>
      <c r="J86" s="54" t="str">
        <f>VLOOKUP(D86,'2.Bookinglist'!A:CT,26,FALSE)</f>
        <v>KRPUS</v>
      </c>
      <c r="K86" s="54" t="str">
        <f>VLOOKUP(A86,'1.Loading'!A:R,5,FALSE)</f>
        <v>45GP</v>
      </c>
      <c r="L86" s="56" t="str">
        <f>VLOOKUP(D86,'2.Bookinglist'!A:CT,85,FALSE)</f>
        <v>CY/CY</v>
      </c>
      <c r="M86" s="56" t="str">
        <f>IF(VLOOKUP(D86,'2.Bookinglist'!A:CT,43,FALSE)=0,"","DG")</f>
        <v/>
      </c>
      <c r="N86" s="56" t="str">
        <f>IF(RIGHT(K86,2)="RE","RF","")</f>
        <v/>
      </c>
      <c r="O86" s="54" t="str">
        <f>VLOOKUP(A86,'1.Loading'!A:R,3,FALSE)</f>
        <v>HMVY</v>
      </c>
      <c r="P86" s="54" t="str">
        <f>VLOOKUP(A86,'1.Loading'!A:R,4,FALSE)</f>
        <v>2609N</v>
      </c>
      <c r="Q86" s="54" t="str">
        <f>VLOOKUP(D86,'2.Bookinglist'!A:CT,12,FALSE)</f>
        <v>PCI2</v>
      </c>
      <c r="R86" s="56" t="str">
        <f>IF(LEFT(K86,2)="22","20'","40'")</f>
        <v>40'</v>
      </c>
      <c r="S86" s="38"/>
      <c r="T86" s="54" t="str">
        <f>VLOOKUP(A86,'1.Loading'!A:R,2,FALSE)</f>
        <v>2026-10-28</v>
      </c>
      <c r="U86" s="57">
        <f>T86-S86</f>
        <v>46323</v>
      </c>
      <c r="V86" s="58"/>
      <c r="W86" s="54" t="str">
        <f>VLOOKUP(A86,'3.GateMove'!A:D,4,FALSE)</f>
        <v>2026-10-18</v>
      </c>
      <c r="X86" s="57">
        <f>((T86-W86)+1)</f>
        <v>11</v>
      </c>
      <c r="Y86" s="59">
        <f>IF(AND(OR(C86="BKK01",C86="BKK04"),L86="CFS/CY"),0,IF(M86="DG",1,IF(LEFT(C86,3)="LCH",7,IF(C86="BKK02",5,3))))</f>
        <v>7</v>
      </c>
      <c r="Z86" s="57">
        <f>IF(IF(AND(AC86="TML",AB86&gt;0),((T86-W86)+1)-AB86,((T86-W86)+1)-Y86)&gt;0,IF(AND(AC86="TML",AB86&gt;0),((T86-W86)+1)-AB86,((T86-W86)+1)-Y86),0)</f>
        <v>4</v>
      </c>
      <c r="AA86" s="48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1000</v>
      </c>
      <c r="AB86" s="53"/>
      <c r="AC86" s="53"/>
      <c r="AD86" s="56">
        <f>IF(M86="DG",3,IF(N86="RF",3,5))+IF(AND(LEFT(C86,3)="BKK",N86="RF",Q86="KTS"),1,0)+IF(Q86="KHS",1,0)</f>
        <v>5</v>
      </c>
      <c r="AE86" s="57">
        <f>(T86-V86)+1</f>
        <v>46324</v>
      </c>
      <c r="AF86" s="57">
        <f>IF(AB86&gt;IF((V86-W86)&gt;0,V86-W86,0),0,IF(AB86&lt;IF((V86-W86)&gt;0,V86-W86,0),IF((V86-W86)&gt;0,V86-W86,0)-AB86,IF((V86-W86)&gt;0,V86-W86,0)))</f>
        <v>0</v>
      </c>
      <c r="AG86" s="48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0"/>
      <c r="AI86" s="60">
        <f>AA86-AH86</f>
        <v>1000</v>
      </c>
      <c r="AJ86" s="61"/>
      <c r="AK86" s="55" t="str">
        <f>VLOOKUP(D86,'2.Bookinglist'!A:CT,40,FALSE)</f>
        <v>Dharaporn</v>
      </c>
      <c r="AL86" s="56" t="str">
        <f>VLOOKUP(D86,'2.Bookinglist'!A:CW,101,FALSE)</f>
        <v>2026-10-14</v>
      </c>
      <c r="AM86" s="56" t="str">
        <f>VLOOKUP(D86,'2.Bookinglist'!A:BK,63,FALSE)</f>
        <v>LCHY5</v>
      </c>
      <c r="AN86" s="55" t="str">
        <f>VLOOKUP(D86,'2.Bookinglist'!A:AZ,52,FALSE)</f>
        <v>[FIX][FIX]CY-RTN 08-10/10/26</v>
      </c>
      <c r="AO86" s="55">
        <f>VLOOKUP(D86,'2.Bookinglist'!A:CY,103,FALSE)</f>
        <v>0</v>
      </c>
    </row>
    <row r="87" ht="12.95" customHeight="1" spans="1:41" x14ac:dyDescent="0.25">
      <c r="A87" s="3" t="s">
        <v>481</v>
      </c>
      <c r="B87" s="53" t="str">
        <f>IF(C87=Charge!$M$1,Charge!$J$1,IF(C87=Charge!$M$23,Charge!$J$23,IF(C87=Charge!$M$17,Charge!$J$17,IF(C87=Charge!$N$17,Charge!$J$17,Charge!$J$7))))</f>
        <v>G2</v>
      </c>
      <c r="C87" s="54" t="str">
        <f>VLOOKUP(A87,'1.Loading'!A:R,14,FALSE)</f>
        <v>LCH06</v>
      </c>
      <c r="D87" s="54" t="str">
        <f>VLOOKUP(A87,'1.Loading'!A:R,17,FALSE)</f>
        <v>HASLS22260900442</v>
      </c>
      <c r="E87" s="55" t="str">
        <f>VLOOKUP(D87,'2.Bookinglist'!A:CT,27,FALSE)</f>
        <v>BARKLAYS LOGISTICS (THAILAND) CO., LTD.</v>
      </c>
      <c r="F87" s="55" t="str">
        <f>VLOOKUP(D87,'2.Bookinglist'!A:CT,28,FALSE)</f>
        <v>SHUN YI INTERNATIONAL TRADING CO., LTD.</v>
      </c>
      <c r="G87" s="56">
        <f>VLOOKUP(D87,'2.Bookinglist'!A:E,5,FALSE)</f>
        <v>0</v>
      </c>
      <c r="H87" s="54" t="str">
        <f>VLOOKUP(D87,'2.Bookinglist'!A:CT,15,FALSE)</f>
        <v>THLCH</v>
      </c>
      <c r="I87" s="54" t="str">
        <f>VLOOKUP(D87,'2.Bookinglist'!A:CT,19,FALSE)</f>
        <v>CNSHA</v>
      </c>
      <c r="J87" s="54">
        <f>VLOOKUP(D87,'2.Bookinglist'!A:CT,26,FALSE)</f>
        <v>0</v>
      </c>
      <c r="K87" s="54" t="str">
        <f>VLOOKUP(A87,'1.Loading'!A:R,5,FALSE)</f>
        <v>45GP</v>
      </c>
      <c r="L87" s="56" t="str">
        <f>VLOOKUP(D87,'2.Bookinglist'!A:CT,85,FALSE)</f>
        <v>CY/CY</v>
      </c>
      <c r="M87" s="56" t="str">
        <f>IF(VLOOKUP(D87,'2.Bookinglist'!A:CT,43,FALSE)=0,"","DG")</f>
        <v/>
      </c>
      <c r="N87" s="56" t="str">
        <f>IF(RIGHT(K87,2)="RE","RF","")</f>
        <v/>
      </c>
      <c r="O87" s="54" t="str">
        <f>VLOOKUP(A87,'1.Loading'!A:R,3,FALSE)</f>
        <v>HMVY</v>
      </c>
      <c r="P87" s="54" t="str">
        <f>VLOOKUP(A87,'1.Loading'!A:R,4,FALSE)</f>
        <v>2609N</v>
      </c>
      <c r="Q87" s="54" t="str">
        <f>VLOOKUP(D87,'2.Bookinglist'!A:CT,12,FALSE)</f>
        <v>PCI2</v>
      </c>
      <c r="R87" s="56" t="str">
        <f>IF(LEFT(K87,2)="22","20'","40'")</f>
        <v>40'</v>
      </c>
      <c r="S87" s="38"/>
      <c r="T87" s="54" t="str">
        <f>VLOOKUP(A87,'1.Loading'!A:R,2,FALSE)</f>
        <v>2026-10-28</v>
      </c>
      <c r="U87" s="57">
        <f>T87-S87</f>
        <v>46323</v>
      </c>
      <c r="V87" s="58"/>
      <c r="W87" s="54" t="str">
        <f>VLOOKUP(A87,'3.GateMove'!A:D,4,FALSE)</f>
        <v>2026-10-04</v>
      </c>
      <c r="X87" s="57">
        <f>((T87-W87)+1)</f>
        <v>25</v>
      </c>
      <c r="Y87" s="59">
        <f>IF(AND(OR(C87="BKK01",C87="BKK04"),L87="CFS/CY"),0,IF(M87="DG",1,IF(LEFT(C87,3)="LCH",7,IF(C87="BKK02",5,3))))</f>
        <v>7</v>
      </c>
      <c r="Z87" s="57">
        <f>IF(IF(AND(AC87="TML",AB87&gt;0),((T87-W87)+1)-AB87,((T87-W87)+1)-Y87)&gt;0,IF(AND(AC87="TML",AB87&gt;0),((T87-W87)+1)-AB87,((T87-W87)+1)-Y87),0)</f>
        <v>18</v>
      </c>
      <c r="AA87" s="48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8450</v>
      </c>
      <c r="AB87" s="53"/>
      <c r="AC87" s="53"/>
      <c r="AD87" s="56">
        <f>IF(M87="DG",3,IF(N87="RF",3,5))+IF(AND(LEFT(C87,3)="BKK",N87="RF",Q87="KTS"),1,0)+IF(Q87="KHS",1,0)</f>
        <v>5</v>
      </c>
      <c r="AE87" s="57">
        <f>(T87-V87)+1</f>
        <v>46324</v>
      </c>
      <c r="AF87" s="57">
        <f>IF(AB87&gt;IF((V87-W87)&gt;0,V87-W87,0),0,IF(AB87&lt;IF((V87-W87)&gt;0,V87-W87,0),IF((V87-W87)&gt;0,V87-W87,0)-AB87,IF((V87-W87)&gt;0,V87-W87,0)))</f>
        <v>0</v>
      </c>
      <c r="AG87" s="48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0"/>
      <c r="AI87" s="60">
        <f>AA87-AH87</f>
        <v>8450</v>
      </c>
      <c r="AJ87" s="61"/>
      <c r="AK87" s="55" t="str">
        <f>VLOOKUP(D87,'2.Bookinglist'!A:CT,40,FALSE)</f>
        <v>Nannaapust Sukporntaweewat</v>
      </c>
      <c r="AL87" s="56" t="str">
        <f>VLOOKUP(D87,'2.Bookinglist'!A:CW,101,FALSE)</f>
        <v>2026-10-22</v>
      </c>
      <c r="AM87" s="56" t="str">
        <f>VLOOKUP(D87,'2.Bookinglist'!A:BK,63,FALSE)</f>
        <v>LCHY5</v>
      </c>
      <c r="AN87" s="55" t="str">
        <f>VLOOKUP(D87,'2.Bookinglist'!A:AZ,52,FALSE)</f>
        <v>Pickup : 2026-10-02, Return : 2026-10-04 *1ST RETURN CNTR DD.08/10/2026*</v>
      </c>
      <c r="AO87" s="55" t="str">
        <f>VLOOKUP(D87,'2.Bookinglist'!A:CY,103,FALSE)</f>
        <v>ROLL OVER FROM PREVIOUS VSL SWRG 2609N BY ALLOCATION TEAM MS.TAN APPROVED COST IS UNDER HA DD.09/10</v>
      </c>
    </row>
    <row r="88" ht="12.95" customHeight="1" spans="1:41" x14ac:dyDescent="0.25">
      <c r="A88" s="3" t="s">
        <v>207</v>
      </c>
      <c r="B88" s="53" t="str">
        <f>IF(C88=Charge!$M$1,Charge!$J$1,IF(C88=Charge!$M$23,Charge!$J$23,IF(C88=Charge!$M$17,Charge!$J$17,IF(C88=Charge!$N$17,Charge!$J$17,Charge!$J$7))))</f>
        <v>G2</v>
      </c>
      <c r="C88" s="54" t="str">
        <f>VLOOKUP(A88,'1.Loading'!A:R,14,FALSE)</f>
        <v>LCH06</v>
      </c>
      <c r="D88" s="54" t="str">
        <f>VLOOKUP(A88,'1.Loading'!A:R,17,FALSE)</f>
        <v>HASLS22260900442</v>
      </c>
      <c r="E88" s="55" t="str">
        <f>VLOOKUP(D88,'2.Bookinglist'!A:CT,27,FALSE)</f>
        <v>BARKLAYS LOGISTICS (THAILAND) CO., LTD.</v>
      </c>
      <c r="F88" s="55" t="str">
        <f>VLOOKUP(D88,'2.Bookinglist'!A:CT,28,FALSE)</f>
        <v>SHUN YI INTERNATIONAL TRADING CO., LTD.</v>
      </c>
      <c r="G88" s="56">
        <f>VLOOKUP(D88,'2.Bookinglist'!A:E,5,FALSE)</f>
        <v>0</v>
      </c>
      <c r="H88" s="54" t="str">
        <f>VLOOKUP(D88,'2.Bookinglist'!A:CT,15,FALSE)</f>
        <v>THLCH</v>
      </c>
      <c r="I88" s="54" t="str">
        <f>VLOOKUP(D88,'2.Bookinglist'!A:CT,19,FALSE)</f>
        <v>CNSHA</v>
      </c>
      <c r="J88" s="54">
        <f>VLOOKUP(D88,'2.Bookinglist'!A:CT,26,FALSE)</f>
        <v>0</v>
      </c>
      <c r="K88" s="54" t="str">
        <f>VLOOKUP(A88,'1.Loading'!A:R,5,FALSE)</f>
        <v>45GP</v>
      </c>
      <c r="L88" s="56" t="str">
        <f>VLOOKUP(D88,'2.Bookinglist'!A:CT,85,FALSE)</f>
        <v>CY/CY</v>
      </c>
      <c r="M88" s="56" t="str">
        <f>IF(VLOOKUP(D88,'2.Bookinglist'!A:CT,43,FALSE)=0,"","DG")</f>
        <v/>
      </c>
      <c r="N88" s="56" t="str">
        <f>IF(RIGHT(K88,2)="RE","RF","")</f>
        <v/>
      </c>
      <c r="O88" s="54" t="str">
        <f>VLOOKUP(A88,'1.Loading'!A:R,3,FALSE)</f>
        <v>HMVY</v>
      </c>
      <c r="P88" s="54" t="str">
        <f>VLOOKUP(A88,'1.Loading'!A:R,4,FALSE)</f>
        <v>2609N</v>
      </c>
      <c r="Q88" s="54" t="str">
        <f>VLOOKUP(D88,'2.Bookinglist'!A:CT,12,FALSE)</f>
        <v>PCI2</v>
      </c>
      <c r="R88" s="56" t="str">
        <f>IF(LEFT(K88,2)="22","20'","40'")</f>
        <v>40'</v>
      </c>
      <c r="S88" s="38"/>
      <c r="T88" s="54" t="str">
        <f>VLOOKUP(A88,'1.Loading'!A:R,2,FALSE)</f>
        <v>2026-10-28</v>
      </c>
      <c r="U88" s="57">
        <f>T88-S88</f>
        <v>46323</v>
      </c>
      <c r="V88" s="58"/>
      <c r="W88" s="54" t="str">
        <f>VLOOKUP(A88,'3.GateMove'!A:D,4,FALSE)</f>
        <v>2026-10-04</v>
      </c>
      <c r="X88" s="57">
        <f>((T88-W88)+1)</f>
        <v>25</v>
      </c>
      <c r="Y88" s="59">
        <f>IF(AND(OR(C88="BKK01",C88="BKK04"),L88="CFS/CY"),0,IF(M88="DG",1,IF(LEFT(C88,3)="LCH",7,IF(C88="BKK02",5,3))))</f>
        <v>7</v>
      </c>
      <c r="Z88" s="57">
        <f>IF(IF(AND(AC88="TML",AB88&gt;0),((T88-W88)+1)-AB88,((T88-W88)+1)-Y88)&gt;0,IF(AND(AC88="TML",AB88&gt;0),((T88-W88)+1)-AB88,((T88-W88)+1)-Y88),0)</f>
        <v>18</v>
      </c>
      <c r="AA88" s="48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8450</v>
      </c>
      <c r="AB88" s="53"/>
      <c r="AC88" s="53"/>
      <c r="AD88" s="56">
        <f>IF(M88="DG",3,IF(N88="RF",3,5))+IF(AND(LEFT(C88,3)="BKK",N88="RF",Q88="KTS"),1,0)+IF(Q88="KHS",1,0)</f>
        <v>5</v>
      </c>
      <c r="AE88" s="57">
        <f>(T88-V88)+1</f>
        <v>46324</v>
      </c>
      <c r="AF88" s="57">
        <f>IF(AB88&gt;IF((V88-W88)&gt;0,V88-W88,0),0,IF(AB88&lt;IF((V88-W88)&gt;0,V88-W88,0),IF((V88-W88)&gt;0,V88-W88,0)-AB88,IF((V88-W88)&gt;0,V88-W88,0)))</f>
        <v>0</v>
      </c>
      <c r="AG88" s="48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0"/>
      <c r="AI88" s="60">
        <f>AA88-AH88</f>
        <v>8450</v>
      </c>
      <c r="AJ88" s="61"/>
      <c r="AK88" s="55" t="str">
        <f>VLOOKUP(D88,'2.Bookinglist'!A:CT,40,FALSE)</f>
        <v>Nannaapust Sukporntaweewat</v>
      </c>
      <c r="AL88" s="56" t="str">
        <f>VLOOKUP(D88,'2.Bookinglist'!A:CW,101,FALSE)</f>
        <v>2026-10-22</v>
      </c>
      <c r="AM88" s="56" t="str">
        <f>VLOOKUP(D88,'2.Bookinglist'!A:BK,63,FALSE)</f>
        <v>LCHY5</v>
      </c>
      <c r="AN88" s="55" t="str">
        <f>VLOOKUP(D88,'2.Bookinglist'!A:AZ,52,FALSE)</f>
        <v>Pickup : 2026-10-02, Return : 2026-10-04 *1ST RETURN CNTR DD.08/10/2026*</v>
      </c>
      <c r="AO88" s="55" t="str">
        <f>VLOOKUP(D88,'2.Bookinglist'!A:CY,103,FALSE)</f>
        <v>ROLL OVER FROM PREVIOUS VSL SWRG 2609N BY ALLOCATION TEAM MS.TAN APPROVED COST IS UNDER HA DD.09/10</v>
      </c>
    </row>
    <row r="89" ht="12.95" customHeight="1" spans="1:41" x14ac:dyDescent="0.25">
      <c r="A89" s="3" t="s">
        <v>473</v>
      </c>
      <c r="B89" s="53" t="str">
        <f>IF(C89=Charge!$M$1,Charge!$J$1,IF(C89=Charge!$M$23,Charge!$J$23,IF(C89=Charge!$M$17,Charge!$J$17,IF(C89=Charge!$N$17,Charge!$J$17,Charge!$J$7))))</f>
        <v>G2</v>
      </c>
      <c r="C89" s="54" t="str">
        <f>VLOOKUP(A89,'1.Loading'!A:R,14,FALSE)</f>
        <v>LCH06</v>
      </c>
      <c r="D89" s="54" t="str">
        <f>VLOOKUP(A89,'1.Loading'!A:R,17,FALSE)</f>
        <v>HASLS22260900762</v>
      </c>
      <c r="E89" s="55" t="str">
        <f>VLOOKUP(D89,'2.Bookinglist'!A:CT,27,FALSE)</f>
        <v>ELC CONTAINER LINES CO.,LTD.</v>
      </c>
      <c r="F89" s="55" t="str">
        <f>VLOOKUP(D89,'2.Bookinglist'!A:CT,28,FALSE)</f>
        <v>THAI ARROW PRODUCTS CO., LTD.</v>
      </c>
      <c r="G89" s="56" t="str">
        <f>VLOOKUP(D89,'2.Bookinglist'!A:E,5,FALSE)</f>
        <v>THSRP</v>
      </c>
      <c r="H89" s="54" t="str">
        <f>VLOOKUP(D89,'2.Bookinglist'!A:CT,15,FALSE)</f>
        <v>THLCH</v>
      </c>
      <c r="I89" s="54" t="str">
        <f>VLOOKUP(D89,'2.Bookinglist'!A:CT,19,FALSE)</f>
        <v>CNSHA</v>
      </c>
      <c r="J89" s="54">
        <f>VLOOKUP(D89,'2.Bookinglist'!A:CT,26,FALSE)</f>
        <v>0</v>
      </c>
      <c r="K89" s="54" t="str">
        <f>VLOOKUP(A89,'1.Loading'!A:R,5,FALSE)</f>
        <v>45GP</v>
      </c>
      <c r="L89" s="56" t="str">
        <f>VLOOKUP(D89,'2.Bookinglist'!A:CT,85,FALSE)</f>
        <v>CY/CY</v>
      </c>
      <c r="M89" s="56" t="str">
        <f>IF(VLOOKUP(D89,'2.Bookinglist'!A:CT,43,FALSE)=0,"","DG")</f>
        <v/>
      </c>
      <c r="N89" s="56" t="str">
        <f>IF(RIGHT(K89,2)="RE","RF","")</f>
        <v/>
      </c>
      <c r="O89" s="54" t="str">
        <f>VLOOKUP(A89,'1.Loading'!A:R,3,FALSE)</f>
        <v>HMVY</v>
      </c>
      <c r="P89" s="54" t="str">
        <f>VLOOKUP(A89,'1.Loading'!A:R,4,FALSE)</f>
        <v>2609N</v>
      </c>
      <c r="Q89" s="54" t="str">
        <f>VLOOKUP(D89,'2.Bookinglist'!A:CT,12,FALSE)</f>
        <v>PCI2</v>
      </c>
      <c r="R89" s="56" t="str">
        <f>IF(LEFT(K89,2)="22","20'","40'")</f>
        <v>40'</v>
      </c>
      <c r="S89" s="38"/>
      <c r="T89" s="54" t="str">
        <f>VLOOKUP(A89,'1.Loading'!A:R,2,FALSE)</f>
        <v>2026-10-28</v>
      </c>
      <c r="U89" s="57">
        <f>T89-S89</f>
        <v>46323</v>
      </c>
      <c r="V89" s="58"/>
      <c r="W89" s="54" t="str">
        <f>VLOOKUP(A89,'3.GateMove'!A:D,4,FALSE)</f>
        <v>2026-10-23</v>
      </c>
      <c r="X89" s="57">
        <f>((T89-W89)+1)</f>
        <v>6</v>
      </c>
      <c r="Y89" s="59">
        <f>IF(AND(OR(C89="BKK01",C89="BKK04"),L89="CFS/CY"),0,IF(M89="DG",1,IF(LEFT(C89,3)="LCH",7,IF(C89="BKK02",5,3))))</f>
        <v>7</v>
      </c>
      <c r="Z89" s="57">
        <f>IF(IF(AND(AC89="TML",AB89&gt;0),((T89-W89)+1)-AB89,((T89-W89)+1)-Y89)&gt;0,IF(AND(AC89="TML",AB89&gt;0),((T89-W89)+1)-AB89,((T89-W89)+1)-Y89),0)</f>
        <v>0</v>
      </c>
      <c r="AA89" s="48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0</v>
      </c>
      <c r="AB89" s="53"/>
      <c r="AC89" s="53"/>
      <c r="AD89" s="56">
        <f>IF(M89="DG",3,IF(N89="RF",3,5))+IF(AND(LEFT(C89,3)="BKK",N89="RF",Q89="KTS"),1,0)+IF(Q89="KHS",1,0)</f>
        <v>5</v>
      </c>
      <c r="AE89" s="57">
        <f>(T89-V89)+1</f>
        <v>46324</v>
      </c>
      <c r="AF89" s="57">
        <f>IF(AB89&gt;IF((V89-W89)&gt;0,V89-W89,0),0,IF(AB89&lt;IF((V89-W89)&gt;0,V89-W89,0),IF((V89-W89)&gt;0,V89-W89,0)-AB89,IF((V89-W89)&gt;0,V89-W89,0)))</f>
        <v>0</v>
      </c>
      <c r="AG89" s="48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0"/>
      <c r="AI89" s="60">
        <f>AA89-AH89</f>
        <v>0</v>
      </c>
      <c r="AJ89" s="61"/>
      <c r="AK89" s="55" t="str">
        <f>VLOOKUP(D89,'2.Bookinglist'!A:CT,40,FALSE)</f>
        <v>Dharaporn</v>
      </c>
      <c r="AL89" s="56" t="str">
        <f>VLOOKUP(D89,'2.Bookinglist'!A:CW,101,FALSE)</f>
        <v>2026-10-27</v>
      </c>
      <c r="AM89" s="56" t="str">
        <f>VLOOKUP(D89,'2.Bookinglist'!A:BK,63,FALSE)</f>
        <v>BKK27</v>
      </c>
      <c r="AN89" s="55" t="str">
        <f>VLOOKUP(D89,'2.Bookinglist'!A:AZ,52,FALSE)</f>
        <v>Pickup : 2026-10-17, Return SRP : 2026-10-20 [PAPERLESS CODE 2829]
CLS TIME 24/10/26 @20.00</v>
      </c>
      <c r="AO89" s="55">
        <f>VLOOKUP(D89,'2.Bookinglist'!A:CY,103,FALSE)</f>
        <v>0</v>
      </c>
    </row>
    <row r="90" ht="12.95" customHeight="1" spans="1:41" x14ac:dyDescent="0.25">
      <c r="A90" s="3" t="s">
        <v>475</v>
      </c>
      <c r="B90" s="53" t="str">
        <f>IF(C90=Charge!$M$1,Charge!$J$1,IF(C90=Charge!$M$23,Charge!$J$23,IF(C90=Charge!$M$17,Charge!$J$17,IF(C90=Charge!$N$17,Charge!$J$17,Charge!$J$7))))</f>
        <v>G2</v>
      </c>
      <c r="C90" s="54" t="str">
        <f>VLOOKUP(A90,'1.Loading'!A:R,14,FALSE)</f>
        <v>LCH06</v>
      </c>
      <c r="D90" s="54" t="str">
        <f>VLOOKUP(A90,'1.Loading'!A:R,17,FALSE)</f>
        <v>HASLS22261000876</v>
      </c>
      <c r="E90" s="55" t="str">
        <f>VLOOKUP(D90,'2.Bookinglist'!A:CT,27,FALSE)</f>
        <v>SUN-OCEAN GLOBAL SUPPLY CHAIN CO., LTD.</v>
      </c>
      <c r="F90" s="55" t="str">
        <f>VLOOKUP(D90,'2.Bookinglist'!A:CT,28,FALSE)</f>
        <v>I.P. ONE COMPANY LIMITED</v>
      </c>
      <c r="G90" s="56" t="str">
        <f>VLOOKUP(D90,'2.Bookinglist'!A:E,5,FALSE)</f>
        <v>THSRP</v>
      </c>
      <c r="H90" s="54" t="str">
        <f>VLOOKUP(D90,'2.Bookinglist'!A:CT,15,FALSE)</f>
        <v>THLCH</v>
      </c>
      <c r="I90" s="54" t="str">
        <f>VLOOKUP(D90,'2.Bookinglist'!A:CT,19,FALSE)</f>
        <v>CNSHA</v>
      </c>
      <c r="J90" s="54">
        <f>VLOOKUP(D90,'2.Bookinglist'!A:CT,26,FALSE)</f>
        <v>0</v>
      </c>
      <c r="K90" s="54" t="str">
        <f>VLOOKUP(A90,'1.Loading'!A:R,5,FALSE)</f>
        <v>45GP</v>
      </c>
      <c r="L90" s="56" t="str">
        <f>VLOOKUP(D90,'2.Bookinglist'!A:CT,85,FALSE)</f>
        <v>CY/CY</v>
      </c>
      <c r="M90" s="56" t="str">
        <f>IF(VLOOKUP(D90,'2.Bookinglist'!A:CT,43,FALSE)=0,"","DG")</f>
        <v/>
      </c>
      <c r="N90" s="56" t="str">
        <f>IF(RIGHT(K90,2)="RE","RF","")</f>
        <v/>
      </c>
      <c r="O90" s="54" t="str">
        <f>VLOOKUP(A90,'1.Loading'!A:R,3,FALSE)</f>
        <v>HMVY</v>
      </c>
      <c r="P90" s="54" t="str">
        <f>VLOOKUP(A90,'1.Loading'!A:R,4,FALSE)</f>
        <v>2609N</v>
      </c>
      <c r="Q90" s="54" t="str">
        <f>VLOOKUP(D90,'2.Bookinglist'!A:CT,12,FALSE)</f>
        <v>PCI2</v>
      </c>
      <c r="R90" s="56" t="str">
        <f>IF(LEFT(K90,2)="22","20'","40'")</f>
        <v>40'</v>
      </c>
      <c r="S90" s="38"/>
      <c r="T90" s="54" t="str">
        <f>VLOOKUP(A90,'1.Loading'!A:R,2,FALSE)</f>
        <v>2026-10-28</v>
      </c>
      <c r="U90" s="57">
        <f>T90-S90</f>
        <v>46323</v>
      </c>
      <c r="V90" s="58"/>
      <c r="W90" s="54" t="str">
        <f>VLOOKUP(A90,'3.GateMove'!A:D,4,FALSE)</f>
        <v>2026-10-24</v>
      </c>
      <c r="X90" s="57">
        <f>((T90-W90)+1)</f>
        <v>5</v>
      </c>
      <c r="Y90" s="59">
        <f>IF(AND(OR(C90="BKK01",C90="BKK04"),L90="CFS/CY"),0,IF(M90="DG",1,IF(LEFT(C90,3)="LCH",7,IF(C90="BKK02",5,3))))</f>
        <v>7</v>
      </c>
      <c r="Z90" s="57">
        <f>IF(IF(AND(AC90="TML",AB90&gt;0),((T90-W90)+1)-AB90,((T90-W90)+1)-Y90)&gt;0,IF(AND(AC90="TML",AB90&gt;0),((T90-W90)+1)-AB90,((T90-W90)+1)-Y90),0)</f>
        <v>0</v>
      </c>
      <c r="AA90" s="48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0</v>
      </c>
      <c r="AB90" s="53"/>
      <c r="AC90" s="53"/>
      <c r="AD90" s="56">
        <f>IF(M90="DG",3,IF(N90="RF",3,5))+IF(AND(LEFT(C90,3)="BKK",N90="RF",Q90="KTS"),1,0)+IF(Q90="KHS",1,0)</f>
        <v>5</v>
      </c>
      <c r="AE90" s="57">
        <f>(T90-V90)+1</f>
        <v>46324</v>
      </c>
      <c r="AF90" s="57">
        <f>IF(AB90&gt;IF((V90-W90)&gt;0,V90-W90,0),0,IF(AB90&lt;IF((V90-W90)&gt;0,V90-W90,0),IF((V90-W90)&gt;0,V90-W90,0)-AB90,IF((V90-W90)&gt;0,V90-W90,0)))</f>
        <v>0</v>
      </c>
      <c r="AG90" s="48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0"/>
      <c r="AI90" s="60">
        <f>AA90-AH90</f>
        <v>0</v>
      </c>
      <c r="AJ90" s="61"/>
      <c r="AK90" s="55" t="str">
        <f>VLOOKUP(D90,'2.Bookinglist'!A:CT,40,FALSE)</f>
        <v>Arunphat W. (Aiw)</v>
      </c>
      <c r="AL90" s="56" t="str">
        <f>VLOOKUP(D90,'2.Bookinglist'!A:CW,101,FALSE)</f>
        <v>2026-10-22</v>
      </c>
      <c r="AM90" s="56" t="str">
        <f>VLOOKUP(D90,'2.Bookinglist'!A:BK,63,FALSE)</f>
        <v>BKK27</v>
      </c>
      <c r="AN90" s="55" t="str">
        <f>VLOOKUP(D90,'2.Bookinglist'!A:AZ,52,FALSE)</f>
        <v>Pickup : 2026-10-16, Return SRP : 2026-10-17 [PAPERLESS CODE 2829]
CLS TIME 24/10/26 @21.00 (1ST RETURN 17/10/26)</v>
      </c>
      <c r="AO90" s="55">
        <f>VLOOKUP(D90,'2.Bookinglist'!A:CY,103,FALSE)</f>
        <v>0</v>
      </c>
    </row>
    <row r="91" ht="12.95" customHeight="1" spans="1:41" x14ac:dyDescent="0.25">
      <c r="A91" s="3" t="s">
        <v>506</v>
      </c>
      <c r="B91" s="53" t="str">
        <f>IF(C91=Charge!$M$1,Charge!$J$1,IF(C91=Charge!$M$23,Charge!$J$23,IF(C91=Charge!$M$17,Charge!$J$17,IF(C91=Charge!$N$17,Charge!$J$17,Charge!$J$7))))</f>
        <v>G2</v>
      </c>
      <c r="C91" s="54" t="str">
        <f>VLOOKUP(A91,'1.Loading'!A:R,14,FALSE)</f>
        <v>LCH06</v>
      </c>
      <c r="D91" s="54" t="str">
        <f>VLOOKUP(A91,'1.Loading'!A:R,17,FALSE)</f>
        <v>HASLS22260901902</v>
      </c>
      <c r="E91" s="55" t="str">
        <f>VLOOKUP(D91,'2.Bookinglist'!A:CT,27,FALSE)</f>
        <v>WHA GC LOGISTICS COMPANY LIMITED</v>
      </c>
      <c r="F91" s="55" t="str">
        <f>VLOOKUP(D91,'2.Bookinglist'!A:CT,28,FALSE)</f>
        <v>PTT GLOBAL CHEMICAL PUBLIC COMPANY LIMITED</v>
      </c>
      <c r="G91" s="56">
        <f>VLOOKUP(D91,'2.Bookinglist'!A:E,5,FALSE)</f>
        <v>0</v>
      </c>
      <c r="H91" s="54" t="str">
        <f>VLOOKUP(D91,'2.Bookinglist'!A:CT,15,FALSE)</f>
        <v>THLCH</v>
      </c>
      <c r="I91" s="54" t="str">
        <f>VLOOKUP(D91,'2.Bookinglist'!A:CT,19,FALSE)</f>
        <v>CNSHA</v>
      </c>
      <c r="J91" s="54">
        <f>VLOOKUP(D91,'2.Bookinglist'!A:CT,26,FALSE)</f>
        <v>0</v>
      </c>
      <c r="K91" s="54" t="str">
        <f>VLOOKUP(A91,'1.Loading'!A:R,5,FALSE)</f>
        <v>45GP</v>
      </c>
      <c r="L91" s="56" t="str">
        <f>VLOOKUP(D91,'2.Bookinglist'!A:CT,85,FALSE)</f>
        <v>CY/CY</v>
      </c>
      <c r="M91" s="56" t="str">
        <f>IF(VLOOKUP(D91,'2.Bookinglist'!A:CT,43,FALSE)=0,"","DG")</f>
        <v/>
      </c>
      <c r="N91" s="56" t="str">
        <f>IF(RIGHT(K91,2)="RE","RF","")</f>
        <v/>
      </c>
      <c r="O91" s="54" t="str">
        <f>VLOOKUP(A91,'1.Loading'!A:R,3,FALSE)</f>
        <v>HMVY</v>
      </c>
      <c r="P91" s="54" t="str">
        <f>VLOOKUP(A91,'1.Loading'!A:R,4,FALSE)</f>
        <v>2609N</v>
      </c>
      <c r="Q91" s="54" t="str">
        <f>VLOOKUP(D91,'2.Bookinglist'!A:CT,12,FALSE)</f>
        <v>PCI2</v>
      </c>
      <c r="R91" s="56" t="str">
        <f>IF(LEFT(K91,2)="22","20'","40'")</f>
        <v>40'</v>
      </c>
      <c r="S91" s="38"/>
      <c r="T91" s="54" t="str">
        <f>VLOOKUP(A91,'1.Loading'!A:R,2,FALSE)</f>
        <v>2026-10-28</v>
      </c>
      <c r="U91" s="57">
        <f>T91-S91</f>
        <v>46323</v>
      </c>
      <c r="V91" s="58"/>
      <c r="W91" s="54" t="str">
        <f>VLOOKUP(A91,'3.GateMove'!A:D,4,FALSE)</f>
        <v>2026-10-18</v>
      </c>
      <c r="X91" s="57">
        <f>((T91-W91)+1)</f>
        <v>11</v>
      </c>
      <c r="Y91" s="59">
        <f>IF(AND(OR(C91="BKK01",C91="BKK04"),L91="CFS/CY"),0,IF(M91="DG",1,IF(LEFT(C91,3)="LCH",7,IF(C91="BKK02",5,3))))</f>
        <v>7</v>
      </c>
      <c r="Z91" s="57">
        <f>IF(IF(AND(AC91="TML",AB91&gt;0),((T91-W91)+1)-AB91,((T91-W91)+1)-Y91)&gt;0,IF(AND(AC91="TML",AB91&gt;0),((T91-W91)+1)-AB91,((T91-W91)+1)-Y91),0)</f>
        <v>4</v>
      </c>
      <c r="AA91" s="48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1000</v>
      </c>
      <c r="AB91" s="53"/>
      <c r="AC91" s="53"/>
      <c r="AD91" s="56">
        <f>IF(M91="DG",3,IF(N91="RF",3,5))+IF(AND(LEFT(C91,3)="BKK",N91="RF",Q91="KTS"),1,0)+IF(Q91="KHS",1,0)</f>
        <v>5</v>
      </c>
      <c r="AE91" s="57">
        <f>(T91-V91)+1</f>
        <v>46324</v>
      </c>
      <c r="AF91" s="57">
        <f>IF(AB91&gt;IF((V91-W91)&gt;0,V91-W91,0),0,IF(AB91&lt;IF((V91-W91)&gt;0,V91-W91,0),IF((V91-W91)&gt;0,V91-W91,0)-AB91,IF((V91-W91)&gt;0,V91-W91,0)))</f>
        <v>0</v>
      </c>
      <c r="AG91" s="48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0"/>
      <c r="AI91" s="60">
        <f>AA91-AH91</f>
        <v>1000</v>
      </c>
      <c r="AJ91" s="61"/>
      <c r="AK91" s="55" t="str">
        <f>VLOOKUP(D91,'2.Bookinglist'!A:CT,40,FALSE)</f>
        <v>Dharaporn</v>
      </c>
      <c r="AL91" s="56" t="str">
        <f>VLOOKUP(D91,'2.Bookinglist'!A:CW,101,FALSE)</f>
        <v>2026-10-16</v>
      </c>
      <c r="AM91" s="56" t="str">
        <f>VLOOKUP(D91,'2.Bookinglist'!A:BK,63,FALSE)</f>
        <v>LCHY5</v>
      </c>
      <c r="AN91" s="55" t="str">
        <f>VLOOKUP(D91,'2.Bookinglist'!A:AZ,52,FALSE)</f>
        <v>CY-RTN 09-10/10/26 
*PLS CHECK OPEN GATE BEFORE RETURN CTNR*</v>
      </c>
      <c r="AO91" s="55">
        <f>VLOOKUP(D91,'2.Bookinglist'!A:CY,103,FALSE)</f>
        <v>0</v>
      </c>
    </row>
    <row r="92" ht="12.95" customHeight="1" spans="1:41" x14ac:dyDescent="0.25">
      <c r="A92" s="3" t="s">
        <v>485</v>
      </c>
      <c r="B92" s="53" t="str">
        <f>IF(C92=Charge!$M$1,Charge!$J$1,IF(C92=Charge!$M$23,Charge!$J$23,IF(C92=Charge!$M$17,Charge!$J$17,IF(C92=Charge!$N$17,Charge!$J$17,Charge!$J$7))))</f>
        <v>G2</v>
      </c>
      <c r="C92" s="54" t="str">
        <f>VLOOKUP(A92,'1.Loading'!A:R,14,FALSE)</f>
        <v>LCH06</v>
      </c>
      <c r="D92" s="54" t="str">
        <f>VLOOKUP(A92,'1.Loading'!A:R,17,FALSE)</f>
        <v>HASLS22261000285</v>
      </c>
      <c r="E92" s="55" t="str">
        <f>VLOOKUP(D92,'2.Bookinglist'!A:CT,27,FALSE)</f>
        <v>AGC VINYTHAI PUBLIC COMPANY LIMITED</v>
      </c>
      <c r="F92" s="55" t="str">
        <f>VLOOKUP(D92,'2.Bookinglist'!A:CT,28,FALSE)</f>
        <v>AGC VINYTHAI PUBLIC COMPANY LIMITED</v>
      </c>
      <c r="G92" s="56">
        <f>VLOOKUP(D92,'2.Bookinglist'!A:E,5,FALSE)</f>
        <v>0</v>
      </c>
      <c r="H92" s="54" t="str">
        <f>VLOOKUP(D92,'2.Bookinglist'!A:CT,15,FALSE)</f>
        <v>THLCH</v>
      </c>
      <c r="I92" s="54" t="str">
        <f>VLOOKUP(D92,'2.Bookinglist'!A:CT,19,FALSE)</f>
        <v>CNSHA</v>
      </c>
      <c r="J92" s="54">
        <f>VLOOKUP(D92,'2.Bookinglist'!A:CT,26,FALSE)</f>
        <v>0</v>
      </c>
      <c r="K92" s="54" t="str">
        <f>VLOOKUP(A92,'1.Loading'!A:R,5,FALSE)</f>
        <v>45GP</v>
      </c>
      <c r="L92" s="56" t="str">
        <f>VLOOKUP(D92,'2.Bookinglist'!A:CT,85,FALSE)</f>
        <v>CY/CY</v>
      </c>
      <c r="M92" s="56" t="str">
        <f>IF(VLOOKUP(D92,'2.Bookinglist'!A:CT,43,FALSE)=0,"","DG")</f>
        <v/>
      </c>
      <c r="N92" s="56" t="str">
        <f>IF(RIGHT(K92,2)="RE","RF","")</f>
        <v/>
      </c>
      <c r="O92" s="54" t="str">
        <f>VLOOKUP(A92,'1.Loading'!A:R,3,FALSE)</f>
        <v>HMVY</v>
      </c>
      <c r="P92" s="54" t="str">
        <f>VLOOKUP(A92,'1.Loading'!A:R,4,FALSE)</f>
        <v>2609N</v>
      </c>
      <c r="Q92" s="54" t="str">
        <f>VLOOKUP(D92,'2.Bookinglist'!A:CT,12,FALSE)</f>
        <v>PCI2</v>
      </c>
      <c r="R92" s="56" t="str">
        <f>IF(LEFT(K92,2)="22","20'","40'")</f>
        <v>40'</v>
      </c>
      <c r="S92" s="38"/>
      <c r="T92" s="54" t="str">
        <f>VLOOKUP(A92,'1.Loading'!A:R,2,FALSE)</f>
        <v>2026-10-28</v>
      </c>
      <c r="U92" s="57">
        <f>T92-S92</f>
        <v>46323</v>
      </c>
      <c r="V92" s="58"/>
      <c r="W92" s="54" t="str">
        <f>VLOOKUP(A92,'3.GateMove'!A:D,4,FALSE)</f>
        <v>2026-10-19</v>
      </c>
      <c r="X92" s="57">
        <f>((T92-W92)+1)</f>
        <v>10</v>
      </c>
      <c r="Y92" s="59">
        <f>IF(AND(OR(C92="BKK01",C92="BKK04"),L92="CFS/CY"),0,IF(M92="DG",1,IF(LEFT(C92,3)="LCH",7,IF(C92="BKK02",5,3))))</f>
        <v>7</v>
      </c>
      <c r="Z92" s="57">
        <f>IF(IF(AND(AC92="TML",AB92&gt;0),((T92-W92)+1)-AB92,((T92-W92)+1)-Y92)&gt;0,IF(AND(AC92="TML",AB92&gt;0),((T92-W92)+1)-AB92,((T92-W92)+1)-Y92),0)</f>
        <v>3</v>
      </c>
      <c r="AA92" s="48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750</v>
      </c>
      <c r="AB92" s="53"/>
      <c r="AC92" s="53"/>
      <c r="AD92" s="56">
        <f>IF(M92="DG",3,IF(N92="RF",3,5))+IF(AND(LEFT(C92,3)="BKK",N92="RF",Q92="KTS"),1,0)+IF(Q92="KHS",1,0)</f>
        <v>5</v>
      </c>
      <c r="AE92" s="57">
        <f>(T92-V92)+1</f>
        <v>46324</v>
      </c>
      <c r="AF92" s="57">
        <f>IF(AB92&gt;IF((V92-W92)&gt;0,V92-W92,0),0,IF(AB92&lt;IF((V92-W92)&gt;0,V92-W92,0),IF((V92-W92)&gt;0,V92-W92,0)-AB92,IF((V92-W92)&gt;0,V92-W92,0)))</f>
        <v>0</v>
      </c>
      <c r="AG92" s="48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0"/>
      <c r="AI92" s="60">
        <f>AA92-AH92</f>
        <v>750</v>
      </c>
      <c r="AJ92" s="61"/>
      <c r="AK92" s="55" t="str">
        <f>VLOOKUP(D92,'2.Bookinglist'!A:CT,40,FALSE)</f>
        <v>Nannaapust Sukporntaweewat</v>
      </c>
      <c r="AL92" s="56" t="str">
        <f>VLOOKUP(D92,'2.Bookinglist'!A:CW,101,FALSE)</f>
        <v>2026-10-24</v>
      </c>
      <c r="AM92" s="56" t="str">
        <f>VLOOKUP(D92,'2.Bookinglist'!A:BK,63,FALSE)</f>
        <v>LCHY5</v>
      </c>
      <c r="AN92" s="55" t="str">
        <f>VLOOKUP(D92,'2.Bookinglist'!A:AZ,52,FALSE)</f>
        <v>Pickup : 2026-10-15, Return : 2026-10-16</v>
      </c>
      <c r="AO92" s="55">
        <f>VLOOKUP(D92,'2.Bookinglist'!A:CY,103,FALSE)</f>
        <v>0</v>
      </c>
    </row>
    <row r="93" ht="12.95" customHeight="1" spans="1:41" x14ac:dyDescent="0.25">
      <c r="A93" s="3" t="s">
        <v>502</v>
      </c>
      <c r="B93" s="53" t="str">
        <f>IF(C93=Charge!$M$1,Charge!$J$1,IF(C93=Charge!$M$23,Charge!$J$23,IF(C93=Charge!$M$17,Charge!$J$17,IF(C93=Charge!$N$17,Charge!$J$17,Charge!$J$7))))</f>
        <v>G2</v>
      </c>
      <c r="C93" s="54" t="str">
        <f>VLOOKUP(A93,'1.Loading'!A:R,14,FALSE)</f>
        <v>LCH06</v>
      </c>
      <c r="D93" s="54" t="str">
        <f>VLOOKUP(A93,'1.Loading'!A:R,17,FALSE)</f>
        <v>HASLS22260902721</v>
      </c>
      <c r="E93" s="55" t="str">
        <f>VLOOKUP(D93,'2.Bookinglist'!A:CT,27,FALSE)</f>
        <v>MANA GLOBAL LINK CO., LTD.</v>
      </c>
      <c r="F93" s="55" t="str">
        <f>VLOOKUP(D93,'2.Bookinglist'!A:CT,28,FALSE)</f>
        <v>THAI FOENG INTERNATIONAL CO., LTD.</v>
      </c>
      <c r="G93" s="56" t="str">
        <f>VLOOKUP(D93,'2.Bookinglist'!A:E,5,FALSE)</f>
        <v>THSRP</v>
      </c>
      <c r="H93" s="54" t="str">
        <f>VLOOKUP(D93,'2.Bookinglist'!A:CT,15,FALSE)</f>
        <v>THLCH</v>
      </c>
      <c r="I93" s="54" t="str">
        <f>VLOOKUP(D93,'2.Bookinglist'!A:CT,19,FALSE)</f>
        <v>CNSHA</v>
      </c>
      <c r="J93" s="54">
        <f>VLOOKUP(D93,'2.Bookinglist'!A:CT,26,FALSE)</f>
        <v>0</v>
      </c>
      <c r="K93" s="54" t="str">
        <f>VLOOKUP(A93,'1.Loading'!A:R,5,FALSE)</f>
        <v>45GP</v>
      </c>
      <c r="L93" s="56" t="str">
        <f>VLOOKUP(D93,'2.Bookinglist'!A:CT,85,FALSE)</f>
        <v>CY/CY</v>
      </c>
      <c r="M93" s="56" t="str">
        <f>IF(VLOOKUP(D93,'2.Bookinglist'!A:CT,43,FALSE)=0,"","DG")</f>
        <v/>
      </c>
      <c r="N93" s="56" t="str">
        <f>IF(RIGHT(K93,2)="RE","RF","")</f>
        <v/>
      </c>
      <c r="O93" s="54" t="str">
        <f>VLOOKUP(A93,'1.Loading'!A:R,3,FALSE)</f>
        <v>HMVY</v>
      </c>
      <c r="P93" s="54" t="str">
        <f>VLOOKUP(A93,'1.Loading'!A:R,4,FALSE)</f>
        <v>2609N</v>
      </c>
      <c r="Q93" s="54" t="str">
        <f>VLOOKUP(D93,'2.Bookinglist'!A:CT,12,FALSE)</f>
        <v>PCI2</v>
      </c>
      <c r="R93" s="56" t="str">
        <f>IF(LEFT(K93,2)="22","20'","40'")</f>
        <v>40'</v>
      </c>
      <c r="S93" s="38"/>
      <c r="T93" s="54" t="str">
        <f>VLOOKUP(A93,'1.Loading'!A:R,2,FALSE)</f>
        <v>2026-10-28</v>
      </c>
      <c r="U93" s="57">
        <f>T93-S93</f>
        <v>46323</v>
      </c>
      <c r="V93" s="58"/>
      <c r="W93" s="54" t="str">
        <f>VLOOKUP(A93,'3.GateMove'!A:D,4,FALSE)</f>
        <v>2026-10-13</v>
      </c>
      <c r="X93" s="57">
        <f>((T93-W93)+1)</f>
        <v>16</v>
      </c>
      <c r="Y93" s="59">
        <f>IF(AND(OR(C93="BKK01",C93="BKK04"),L93="CFS/CY"),0,IF(M93="DG",1,IF(LEFT(C93,3)="LCH",7,IF(C93="BKK02",5,3))))</f>
        <v>7</v>
      </c>
      <c r="Z93" s="57">
        <f>IF(IF(AND(AC93="TML",AB93&gt;0),((T93-W93)+1)-AB93,((T93-W93)+1)-Y93)&gt;0,IF(AND(AC93="TML",AB93&gt;0),((T93-W93)+1)-AB93,((T93-W93)+1)-Y93),0)</f>
        <v>9</v>
      </c>
      <c r="AA93" s="48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2750</v>
      </c>
      <c r="AB93" s="53"/>
      <c r="AC93" s="53"/>
      <c r="AD93" s="56">
        <f>IF(M93="DG",3,IF(N93="RF",3,5))+IF(AND(LEFT(C93,3)="BKK",N93="RF",Q93="KTS"),1,0)+IF(Q93="KHS",1,0)</f>
        <v>5</v>
      </c>
      <c r="AE93" s="57">
        <f>(T93-V93)+1</f>
        <v>46324</v>
      </c>
      <c r="AF93" s="57">
        <f>IF(AB93&gt;IF((V93-W93)&gt;0,V93-W93,0),0,IF(AB93&lt;IF((V93-W93)&gt;0,V93-W93,0),IF((V93-W93)&gt;0,V93-W93,0)-AB93,IF((V93-W93)&gt;0,V93-W93,0)))</f>
        <v>0</v>
      </c>
      <c r="AG93" s="48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0"/>
      <c r="AI93" s="60">
        <f>AA93-AH93</f>
        <v>2750</v>
      </c>
      <c r="AJ93" s="61"/>
      <c r="AK93" s="55" t="str">
        <f>VLOOKUP(D93,'2.Bookinglist'!A:CT,40,FALSE)</f>
        <v>Nannaapust Sukporntaweewat</v>
      </c>
      <c r="AL93" s="56" t="str">
        <f>VLOOKUP(D93,'2.Bookinglist'!A:CW,101,FALSE)</f>
        <v>2026-10-24</v>
      </c>
      <c r="AM93" s="56" t="str">
        <f>VLOOKUP(D93,'2.Bookinglist'!A:BK,63,FALSE)</f>
        <v>BKK27</v>
      </c>
      <c r="AN93" s="55" t="str">
        <f>VLOOKUP(D93,'2.Bookinglist'!A:AZ,52,FALSE)</f>
        <v>Pickup : 2026-10-05, Return SRP : 2026-10-06 [PAPERLESS CODE 2829]
CLS TIME 10/10/26 @18.00 (1ST RTN DD: 07/10/26 WO/RENT)</v>
      </c>
      <c r="AO93" s="55" t="str">
        <f>VLOOKUP(D93,'2.Bookinglist'!A:CY,103,FALSE)</f>
        <v>ROLL OVER FROM PREVIOUS VSL SWRG 2609N BY ALLOCATION TEAM MS.TAN APPROVED COST IS UNDER HA DD.13/10</v>
      </c>
    </row>
    <row r="94" ht="12.95" customHeight="1" spans="1:41" x14ac:dyDescent="0.25">
      <c r="A94" s="3" t="s">
        <v>504</v>
      </c>
      <c r="B94" s="53" t="str">
        <f>IF(C94=Charge!$M$1,Charge!$J$1,IF(C94=Charge!$M$23,Charge!$J$23,IF(C94=Charge!$M$17,Charge!$J$17,IF(C94=Charge!$N$17,Charge!$J$17,Charge!$J$7))))</f>
        <v>G2</v>
      </c>
      <c r="C94" s="54" t="str">
        <f>VLOOKUP(A94,'1.Loading'!A:R,14,FALSE)</f>
        <v>LCH06</v>
      </c>
      <c r="D94" s="54" t="str">
        <f>VLOOKUP(A94,'1.Loading'!A:R,17,FALSE)</f>
        <v>HASLS22260900442</v>
      </c>
      <c r="E94" s="55" t="str">
        <f>VLOOKUP(D94,'2.Bookinglist'!A:CT,27,FALSE)</f>
        <v>BARKLAYS LOGISTICS (THAILAND) CO., LTD.</v>
      </c>
      <c r="F94" s="55" t="str">
        <f>VLOOKUP(D94,'2.Bookinglist'!A:CT,28,FALSE)</f>
        <v>SHUN YI INTERNATIONAL TRADING CO., LTD.</v>
      </c>
      <c r="G94" s="56">
        <f>VLOOKUP(D94,'2.Bookinglist'!A:E,5,FALSE)</f>
        <v>0</v>
      </c>
      <c r="H94" s="54" t="str">
        <f>VLOOKUP(D94,'2.Bookinglist'!A:CT,15,FALSE)</f>
        <v>THLCH</v>
      </c>
      <c r="I94" s="54" t="str">
        <f>VLOOKUP(D94,'2.Bookinglist'!A:CT,19,FALSE)</f>
        <v>CNSHA</v>
      </c>
      <c r="J94" s="54">
        <f>VLOOKUP(D94,'2.Bookinglist'!A:CT,26,FALSE)</f>
        <v>0</v>
      </c>
      <c r="K94" s="54" t="str">
        <f>VLOOKUP(A94,'1.Loading'!A:R,5,FALSE)</f>
        <v>45GP</v>
      </c>
      <c r="L94" s="56" t="str">
        <f>VLOOKUP(D94,'2.Bookinglist'!A:CT,85,FALSE)</f>
        <v>CY/CY</v>
      </c>
      <c r="M94" s="56" t="str">
        <f>IF(VLOOKUP(D94,'2.Bookinglist'!A:CT,43,FALSE)=0,"","DG")</f>
        <v/>
      </c>
      <c r="N94" s="56" t="str">
        <f>IF(RIGHT(K94,2)="RE","RF","")</f>
        <v/>
      </c>
      <c r="O94" s="54" t="str">
        <f>VLOOKUP(A94,'1.Loading'!A:R,3,FALSE)</f>
        <v>HMVY</v>
      </c>
      <c r="P94" s="54" t="str">
        <f>VLOOKUP(A94,'1.Loading'!A:R,4,FALSE)</f>
        <v>2609N</v>
      </c>
      <c r="Q94" s="54" t="str">
        <f>VLOOKUP(D94,'2.Bookinglist'!A:CT,12,FALSE)</f>
        <v>PCI2</v>
      </c>
      <c r="R94" s="56" t="str">
        <f>IF(LEFT(K94,2)="22","20'","40'")</f>
        <v>40'</v>
      </c>
      <c r="S94" s="38"/>
      <c r="T94" s="54" t="str">
        <f>VLOOKUP(A94,'1.Loading'!A:R,2,FALSE)</f>
        <v>2026-10-28</v>
      </c>
      <c r="U94" s="57">
        <f>T94-S94</f>
        <v>46323</v>
      </c>
      <c r="V94" s="58"/>
      <c r="W94" s="54" t="str">
        <f>VLOOKUP(A94,'3.GateMove'!A:D,4,FALSE)</f>
        <v>2026-10-04</v>
      </c>
      <c r="X94" s="57">
        <f>((T94-W94)+1)</f>
        <v>25</v>
      </c>
      <c r="Y94" s="59">
        <f>IF(AND(OR(C94="BKK01",C94="BKK04"),L94="CFS/CY"),0,IF(M94="DG",1,IF(LEFT(C94,3)="LCH",7,IF(C94="BKK02",5,3))))</f>
        <v>7</v>
      </c>
      <c r="Z94" s="57">
        <f>IF(IF(AND(AC94="TML",AB94&gt;0),((T94-W94)+1)-AB94,((T94-W94)+1)-Y94)&gt;0,IF(AND(AC94="TML",AB94&gt;0),((T94-W94)+1)-AB94,((T94-W94)+1)-Y94),0)</f>
        <v>18</v>
      </c>
      <c r="AA94" s="48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8450</v>
      </c>
      <c r="AB94" s="53"/>
      <c r="AC94" s="53"/>
      <c r="AD94" s="56">
        <f>IF(M94="DG",3,IF(N94="RF",3,5))+IF(AND(LEFT(C94,3)="BKK",N94="RF",Q94="KTS"),1,0)+IF(Q94="KHS",1,0)</f>
        <v>5</v>
      </c>
      <c r="AE94" s="57">
        <f>(T94-V94)+1</f>
        <v>46324</v>
      </c>
      <c r="AF94" s="57">
        <f>IF(AB94&gt;IF((V94-W94)&gt;0,V94-W94,0),0,IF(AB94&lt;IF((V94-W94)&gt;0,V94-W94,0),IF((V94-W94)&gt;0,V94-W94,0)-AB94,IF((V94-W94)&gt;0,V94-W94,0)))</f>
        <v>0</v>
      </c>
      <c r="AG94" s="48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0"/>
      <c r="AI94" s="60">
        <f>AA94-AH94</f>
        <v>8450</v>
      </c>
      <c r="AJ94" s="61"/>
      <c r="AK94" s="55" t="str">
        <f>VLOOKUP(D94,'2.Bookinglist'!A:CT,40,FALSE)</f>
        <v>Nannaapust Sukporntaweewat</v>
      </c>
      <c r="AL94" s="56" t="str">
        <f>VLOOKUP(D94,'2.Bookinglist'!A:CW,101,FALSE)</f>
        <v>2026-10-22</v>
      </c>
      <c r="AM94" s="56" t="str">
        <f>VLOOKUP(D94,'2.Bookinglist'!A:BK,63,FALSE)</f>
        <v>LCHY5</v>
      </c>
      <c r="AN94" s="55" t="str">
        <f>VLOOKUP(D94,'2.Bookinglist'!A:AZ,52,FALSE)</f>
        <v>Pickup : 2026-10-02, Return : 2026-10-04 *1ST RETURN CNTR DD.08/10/2026*</v>
      </c>
      <c r="AO94" s="55" t="str">
        <f>VLOOKUP(D94,'2.Bookinglist'!A:CY,103,FALSE)</f>
        <v>ROLL OVER FROM PREVIOUS VSL SWRG 2609N BY ALLOCATION TEAM MS.TAN APPROVED COST IS UNDER HA DD.09/10</v>
      </c>
    </row>
    <row r="95" ht="12.95" customHeight="1" spans="1:41" x14ac:dyDescent="0.25">
      <c r="A95" s="3" t="s">
        <v>515</v>
      </c>
      <c r="B95" s="53" t="str">
        <f>IF(C95=Charge!$M$1,Charge!$J$1,IF(C95=Charge!$M$23,Charge!$J$23,IF(C95=Charge!$M$17,Charge!$J$17,IF(C95=Charge!$N$17,Charge!$J$17,Charge!$J$7))))</f>
        <v>G2</v>
      </c>
      <c r="C95" s="54" t="str">
        <f>VLOOKUP(A95,'1.Loading'!A:R,14,FALSE)</f>
        <v>LCH06</v>
      </c>
      <c r="D95" s="54" t="str">
        <f>VLOOKUP(A95,'1.Loading'!A:R,17,FALSE)</f>
        <v>HASLS22260900442</v>
      </c>
      <c r="E95" s="55" t="str">
        <f>VLOOKUP(D95,'2.Bookinglist'!A:CT,27,FALSE)</f>
        <v>BARKLAYS LOGISTICS (THAILAND) CO., LTD.</v>
      </c>
      <c r="F95" s="55" t="str">
        <f>VLOOKUP(D95,'2.Bookinglist'!A:CT,28,FALSE)</f>
        <v>SHUN YI INTERNATIONAL TRADING CO., LTD.</v>
      </c>
      <c r="G95" s="56">
        <f>VLOOKUP(D95,'2.Bookinglist'!A:E,5,FALSE)</f>
        <v>0</v>
      </c>
      <c r="H95" s="54" t="str">
        <f>VLOOKUP(D95,'2.Bookinglist'!A:CT,15,FALSE)</f>
        <v>THLCH</v>
      </c>
      <c r="I95" s="54" t="str">
        <f>VLOOKUP(D95,'2.Bookinglist'!A:CT,19,FALSE)</f>
        <v>CNSHA</v>
      </c>
      <c r="J95" s="54">
        <f>VLOOKUP(D95,'2.Bookinglist'!A:CT,26,FALSE)</f>
        <v>0</v>
      </c>
      <c r="K95" s="54" t="str">
        <f>VLOOKUP(A95,'1.Loading'!A:R,5,FALSE)</f>
        <v>45GP</v>
      </c>
      <c r="L95" s="56" t="str">
        <f>VLOOKUP(D95,'2.Bookinglist'!A:CT,85,FALSE)</f>
        <v>CY/CY</v>
      </c>
      <c r="M95" s="56" t="str">
        <f>IF(VLOOKUP(D95,'2.Bookinglist'!A:CT,43,FALSE)=0,"","DG")</f>
        <v/>
      </c>
      <c r="N95" s="56" t="str">
        <f>IF(RIGHT(K95,2)="RE","RF","")</f>
        <v/>
      </c>
      <c r="O95" s="54" t="str">
        <f>VLOOKUP(A95,'1.Loading'!A:R,3,FALSE)</f>
        <v>HMVY</v>
      </c>
      <c r="P95" s="54" t="str">
        <f>VLOOKUP(A95,'1.Loading'!A:R,4,FALSE)</f>
        <v>2609N</v>
      </c>
      <c r="Q95" s="54" t="str">
        <f>VLOOKUP(D95,'2.Bookinglist'!A:CT,12,FALSE)</f>
        <v>PCI2</v>
      </c>
      <c r="R95" s="56" t="str">
        <f>IF(LEFT(K95,2)="22","20'","40'")</f>
        <v>40'</v>
      </c>
      <c r="S95" s="38"/>
      <c r="T95" s="54" t="str">
        <f>VLOOKUP(A95,'1.Loading'!A:R,2,FALSE)</f>
        <v>2026-10-28</v>
      </c>
      <c r="U95" s="57">
        <f>T95-S95</f>
        <v>46323</v>
      </c>
      <c r="V95" s="58"/>
      <c r="W95" s="54" t="str">
        <f>VLOOKUP(A95,'3.GateMove'!A:D,4,FALSE)</f>
        <v>2026-10-04</v>
      </c>
      <c r="X95" s="57">
        <f>((T95-W95)+1)</f>
        <v>25</v>
      </c>
      <c r="Y95" s="59">
        <f>IF(AND(OR(C95="BKK01",C95="BKK04"),L95="CFS/CY"),0,IF(M95="DG",1,IF(LEFT(C95,3)="LCH",7,IF(C95="BKK02",5,3))))</f>
        <v>7</v>
      </c>
      <c r="Z95" s="57">
        <f>IF(IF(AND(AC95="TML",AB95&gt;0),((T95-W95)+1)-AB95,((T95-W95)+1)-Y95)&gt;0,IF(AND(AC95="TML",AB95&gt;0),((T95-W95)+1)-AB95,((T95-W95)+1)-Y95),0)</f>
        <v>18</v>
      </c>
      <c r="AA95" s="48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8450</v>
      </c>
      <c r="AB95" s="53"/>
      <c r="AC95" s="53"/>
      <c r="AD95" s="56">
        <f>IF(M95="DG",3,IF(N95="RF",3,5))+IF(AND(LEFT(C95,3)="BKK",N95="RF",Q95="KTS"),1,0)+IF(Q95="KHS",1,0)</f>
        <v>5</v>
      </c>
      <c r="AE95" s="57">
        <f>(T95-V95)+1</f>
        <v>46324</v>
      </c>
      <c r="AF95" s="57">
        <f>IF(AB95&gt;IF((V95-W95)&gt;0,V95-W95,0),0,IF(AB95&lt;IF((V95-W95)&gt;0,V95-W95,0),IF((V95-W95)&gt;0,V95-W95,0)-AB95,IF((V95-W95)&gt;0,V95-W95,0)))</f>
        <v>0</v>
      </c>
      <c r="AG95" s="48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0"/>
      <c r="AI95" s="60">
        <f>AA95-AH95</f>
        <v>8450</v>
      </c>
      <c r="AJ95" s="61"/>
      <c r="AK95" s="55" t="str">
        <f>VLOOKUP(D95,'2.Bookinglist'!A:CT,40,FALSE)</f>
        <v>Nannaapust Sukporntaweewat</v>
      </c>
      <c r="AL95" s="56" t="str">
        <f>VLOOKUP(D95,'2.Bookinglist'!A:CW,101,FALSE)</f>
        <v>2026-10-22</v>
      </c>
      <c r="AM95" s="56" t="str">
        <f>VLOOKUP(D95,'2.Bookinglist'!A:BK,63,FALSE)</f>
        <v>LCHY5</v>
      </c>
      <c r="AN95" s="55" t="str">
        <f>VLOOKUP(D95,'2.Bookinglist'!A:AZ,52,FALSE)</f>
        <v>Pickup : 2026-10-02, Return : 2026-10-04 *1ST RETURN CNTR DD.08/10/2026*</v>
      </c>
      <c r="AO95" s="55" t="str">
        <f>VLOOKUP(D95,'2.Bookinglist'!A:CY,103,FALSE)</f>
        <v>ROLL OVER FROM PREVIOUS VSL SWRG 2609N BY ALLOCATION TEAM MS.TAN APPROVED COST IS UNDER HA DD.09/10</v>
      </c>
    </row>
    <row r="96" ht="12.95" customHeight="1" spans="1:41" x14ac:dyDescent="0.25">
      <c r="A96" s="3" t="s">
        <v>513</v>
      </c>
      <c r="B96" s="53" t="str">
        <f>IF(C96=Charge!$M$1,Charge!$J$1,IF(C96=Charge!$M$23,Charge!$J$23,IF(C96=Charge!$M$17,Charge!$J$17,IF(C96=Charge!$N$17,Charge!$J$17,Charge!$J$7))))</f>
        <v>G2</v>
      </c>
      <c r="C96" s="54" t="str">
        <f>VLOOKUP(A96,'1.Loading'!A:R,14,FALSE)</f>
        <v>LCH06</v>
      </c>
      <c r="D96" s="54" t="str">
        <f>VLOOKUP(A96,'1.Loading'!A:R,17,FALSE)</f>
        <v>HASLS22261000285</v>
      </c>
      <c r="E96" s="55" t="str">
        <f>VLOOKUP(D96,'2.Bookinglist'!A:CT,27,FALSE)</f>
        <v>AGC VINYTHAI PUBLIC COMPANY LIMITED</v>
      </c>
      <c r="F96" s="55" t="str">
        <f>VLOOKUP(D96,'2.Bookinglist'!A:CT,28,FALSE)</f>
        <v>AGC VINYTHAI PUBLIC COMPANY LIMITED</v>
      </c>
      <c r="G96" s="56">
        <f>VLOOKUP(D96,'2.Bookinglist'!A:E,5,FALSE)</f>
        <v>0</v>
      </c>
      <c r="H96" s="54" t="str">
        <f>VLOOKUP(D96,'2.Bookinglist'!A:CT,15,FALSE)</f>
        <v>THLCH</v>
      </c>
      <c r="I96" s="54" t="str">
        <f>VLOOKUP(D96,'2.Bookinglist'!A:CT,19,FALSE)</f>
        <v>CNSHA</v>
      </c>
      <c r="J96" s="54">
        <f>VLOOKUP(D96,'2.Bookinglist'!A:CT,26,FALSE)</f>
        <v>0</v>
      </c>
      <c r="K96" s="54" t="str">
        <f>VLOOKUP(A96,'1.Loading'!A:R,5,FALSE)</f>
        <v>45GP</v>
      </c>
      <c r="L96" s="56" t="str">
        <f>VLOOKUP(D96,'2.Bookinglist'!A:CT,85,FALSE)</f>
        <v>CY/CY</v>
      </c>
      <c r="M96" s="56" t="str">
        <f>IF(VLOOKUP(D96,'2.Bookinglist'!A:CT,43,FALSE)=0,"","DG")</f>
        <v/>
      </c>
      <c r="N96" s="56" t="str">
        <f>IF(RIGHT(K96,2)="RE","RF","")</f>
        <v/>
      </c>
      <c r="O96" s="54" t="str">
        <f>VLOOKUP(A96,'1.Loading'!A:R,3,FALSE)</f>
        <v>HMVY</v>
      </c>
      <c r="P96" s="54" t="str">
        <f>VLOOKUP(A96,'1.Loading'!A:R,4,FALSE)</f>
        <v>2609N</v>
      </c>
      <c r="Q96" s="54" t="str">
        <f>VLOOKUP(D96,'2.Bookinglist'!A:CT,12,FALSE)</f>
        <v>PCI2</v>
      </c>
      <c r="R96" s="56" t="str">
        <f>IF(LEFT(K96,2)="22","20'","40'")</f>
        <v>40'</v>
      </c>
      <c r="S96" s="38"/>
      <c r="T96" s="54" t="str">
        <f>VLOOKUP(A96,'1.Loading'!A:R,2,FALSE)</f>
        <v>2026-10-28</v>
      </c>
      <c r="U96" s="57">
        <f>T96-S96</f>
        <v>46323</v>
      </c>
      <c r="V96" s="58"/>
      <c r="W96" s="54" t="str">
        <f>VLOOKUP(A96,'3.GateMove'!A:D,4,FALSE)</f>
        <v>2026-10-17</v>
      </c>
      <c r="X96" s="57">
        <f>((T96-W96)+1)</f>
        <v>12</v>
      </c>
      <c r="Y96" s="59">
        <f>IF(AND(OR(C96="BKK01",C96="BKK04"),L96="CFS/CY"),0,IF(M96="DG",1,IF(LEFT(C96,3)="LCH",7,IF(C96="BKK02",5,3))))</f>
        <v>7</v>
      </c>
      <c r="Z96" s="57">
        <f>IF(IF(AND(AC96="TML",AB96&gt;0),((T96-W96)+1)-AB96,((T96-W96)+1)-Y96)&gt;0,IF(AND(AC96="TML",AB96&gt;0),((T96-W96)+1)-AB96,((T96-W96)+1)-Y96),0)</f>
        <v>5</v>
      </c>
      <c r="AA96" s="48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1250</v>
      </c>
      <c r="AB96" s="53"/>
      <c r="AC96" s="53"/>
      <c r="AD96" s="56">
        <f>IF(M96="DG",3,IF(N96="RF",3,5))+IF(AND(LEFT(C96,3)="BKK",N96="RF",Q96="KTS"),1,0)+IF(Q96="KHS",1,0)</f>
        <v>5</v>
      </c>
      <c r="AE96" s="57">
        <f>(T96-V96)+1</f>
        <v>46324</v>
      </c>
      <c r="AF96" s="57">
        <f>IF(AB96&gt;IF((V96-W96)&gt;0,V96-W96,0),0,IF(AB96&lt;IF((V96-W96)&gt;0,V96-W96,0),IF((V96-W96)&gt;0,V96-W96,0)-AB96,IF((V96-W96)&gt;0,V96-W96,0)))</f>
        <v>0</v>
      </c>
      <c r="AG96" s="48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0"/>
      <c r="AI96" s="60">
        <f>AA96-AH96</f>
        <v>1250</v>
      </c>
      <c r="AJ96" s="61"/>
      <c r="AK96" s="55" t="str">
        <f>VLOOKUP(D96,'2.Bookinglist'!A:CT,40,FALSE)</f>
        <v>Nannaapust Sukporntaweewat</v>
      </c>
      <c r="AL96" s="56" t="str">
        <f>VLOOKUP(D96,'2.Bookinglist'!A:CW,101,FALSE)</f>
        <v>2026-10-24</v>
      </c>
      <c r="AM96" s="56" t="str">
        <f>VLOOKUP(D96,'2.Bookinglist'!A:BK,63,FALSE)</f>
        <v>LCHY5</v>
      </c>
      <c r="AN96" s="55" t="str">
        <f>VLOOKUP(D96,'2.Bookinglist'!A:AZ,52,FALSE)</f>
        <v>Pickup : 2026-10-15, Return : 2026-10-16</v>
      </c>
      <c r="AO96" s="55">
        <f>VLOOKUP(D96,'2.Bookinglist'!A:CY,103,FALSE)</f>
        <v>0</v>
      </c>
    </row>
    <row r="97" ht="12.95" customHeight="1" spans="1:41" x14ac:dyDescent="0.25">
      <c r="A97" s="3" t="s">
        <v>530</v>
      </c>
      <c r="B97" s="53" t="str">
        <f>IF(C97=Charge!$M$1,Charge!$J$1,IF(C97=Charge!$M$23,Charge!$J$23,IF(C97=Charge!$M$17,Charge!$J$17,IF(C97=Charge!$N$17,Charge!$J$17,Charge!$J$7))))</f>
        <v>G2</v>
      </c>
      <c r="C97" s="54" t="str">
        <f>VLOOKUP(A97,'1.Loading'!A:R,14,FALSE)</f>
        <v>LCH06</v>
      </c>
      <c r="D97" s="54" t="str">
        <f>VLOOKUP(A97,'1.Loading'!A:R,17,FALSE)</f>
        <v>HASLS22260901311</v>
      </c>
      <c r="E97" s="55" t="str">
        <f>VLOOKUP(D97,'2.Bookinglist'!A:CT,27,FALSE)</f>
        <v>WHA GC LOGISTICS COMPANY LIMITED</v>
      </c>
      <c r="F97" s="55" t="str">
        <f>VLOOKUP(D97,'2.Bookinglist'!A:CT,28,FALSE)</f>
        <v>PTT GLOBAL CHEMICAL PUBLIC COMPANY LIMITED</v>
      </c>
      <c r="G97" s="56">
        <f>VLOOKUP(D97,'2.Bookinglist'!A:E,5,FALSE)</f>
        <v>0</v>
      </c>
      <c r="H97" s="54" t="str">
        <f>VLOOKUP(D97,'2.Bookinglist'!A:CT,15,FALSE)</f>
        <v>THLCH</v>
      </c>
      <c r="I97" s="54" t="str">
        <f>VLOOKUP(D97,'2.Bookinglist'!A:CT,19,FALSE)</f>
        <v>CNSHA</v>
      </c>
      <c r="J97" s="54">
        <f>VLOOKUP(D97,'2.Bookinglist'!A:CT,26,FALSE)</f>
        <v>0</v>
      </c>
      <c r="K97" s="54" t="str">
        <f>VLOOKUP(A97,'1.Loading'!A:R,5,FALSE)</f>
        <v>45GP</v>
      </c>
      <c r="L97" s="56" t="str">
        <f>VLOOKUP(D97,'2.Bookinglist'!A:CT,85,FALSE)</f>
        <v>CY/CY</v>
      </c>
      <c r="M97" s="56" t="str">
        <f>IF(VLOOKUP(D97,'2.Bookinglist'!A:CT,43,FALSE)=0,"","DG")</f>
        <v/>
      </c>
      <c r="N97" s="56" t="str">
        <f>IF(RIGHT(K97,2)="RE","RF","")</f>
        <v/>
      </c>
      <c r="O97" s="54" t="str">
        <f>VLOOKUP(A97,'1.Loading'!A:R,3,FALSE)</f>
        <v>HMVY</v>
      </c>
      <c r="P97" s="54" t="str">
        <f>VLOOKUP(A97,'1.Loading'!A:R,4,FALSE)</f>
        <v>2609N</v>
      </c>
      <c r="Q97" s="54" t="str">
        <f>VLOOKUP(D97,'2.Bookinglist'!A:CT,12,FALSE)</f>
        <v>PCI2</v>
      </c>
      <c r="R97" s="56" t="str">
        <f>IF(LEFT(K97,2)="22","20'","40'")</f>
        <v>40'</v>
      </c>
      <c r="S97" s="38"/>
      <c r="T97" s="54" t="str">
        <f>VLOOKUP(A97,'1.Loading'!A:R,2,FALSE)</f>
        <v>2026-10-28</v>
      </c>
      <c r="U97" s="57">
        <f>T97-S97</f>
        <v>46323</v>
      </c>
      <c r="V97" s="58"/>
      <c r="W97" s="54" t="str">
        <f>VLOOKUP(A97,'3.GateMove'!A:D,4,FALSE)</f>
        <v>2026-10-25</v>
      </c>
      <c r="X97" s="57">
        <f>((T97-W97)+1)</f>
        <v>4</v>
      </c>
      <c r="Y97" s="59">
        <f>IF(AND(OR(C97="BKK01",C97="BKK04"),L97="CFS/CY"),0,IF(M97="DG",1,IF(LEFT(C97,3)="LCH",7,IF(C97="BKK02",5,3))))</f>
        <v>7</v>
      </c>
      <c r="Z97" s="57">
        <f>IF(IF(AND(AC97="TML",AB97&gt;0),((T97-W97)+1)-AB97,((T97-W97)+1)-Y97)&gt;0,IF(AND(AC97="TML",AB97&gt;0),((T97-W97)+1)-AB97,((T97-W97)+1)-Y97),0)</f>
        <v>0</v>
      </c>
      <c r="AA97" s="48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0</v>
      </c>
      <c r="AB97" s="53"/>
      <c r="AC97" s="53"/>
      <c r="AD97" s="56">
        <f>IF(M97="DG",3,IF(N97="RF",3,5))+IF(AND(LEFT(C97,3)="BKK",N97="RF",Q97="KTS"),1,0)+IF(Q97="KHS",1,0)</f>
        <v>5</v>
      </c>
      <c r="AE97" s="57">
        <f>(T97-V97)+1</f>
        <v>46324</v>
      </c>
      <c r="AF97" s="57">
        <f>IF(AB97&gt;IF((V97-W97)&gt;0,V97-W97,0),0,IF(AB97&lt;IF((V97-W97)&gt;0,V97-W97,0),IF((V97-W97)&gt;0,V97-W97,0)-AB97,IF((V97-W97)&gt;0,V97-W97,0)))</f>
        <v>0</v>
      </c>
      <c r="AG97" s="48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0"/>
      <c r="AI97" s="60">
        <f>AA97-AH97</f>
        <v>0</v>
      </c>
      <c r="AJ97" s="61"/>
      <c r="AK97" s="55" t="str">
        <f>VLOOKUP(D97,'2.Bookinglist'!A:CT,40,FALSE)</f>
        <v>Dharaporn</v>
      </c>
      <c r="AL97" s="56" t="str">
        <f>VLOOKUP(D97,'2.Bookinglist'!A:CW,101,FALSE)</f>
        <v>2026-10-28</v>
      </c>
      <c r="AM97" s="56" t="str">
        <f>VLOOKUP(D97,'2.Bookinglist'!A:BK,63,FALSE)</f>
        <v>LCHY5</v>
      </c>
      <c r="AN97" s="55" t="str">
        <f>VLOOKUP(D97,'2.Bookinglist'!A:AZ,52,FALSE)</f>
        <v>CY-RTN: 20-23/10/2026  (1ST RETURN 22/10/26)</v>
      </c>
      <c r="AO97" s="55" t="str">
        <f>VLOOKUP(D97,'2.Bookinglist'!A:CY,103,FALSE)</f>
        <v>ROLL OVER FORM PREIVOUS VSL HAB 2612N BY ALLOCATION TEAM MS.TAN APPROVED COST IS UNDER HA DD.26/10</v>
      </c>
    </row>
    <row r="98" ht="12.95" customHeight="1" spans="1:41" x14ac:dyDescent="0.25">
      <c r="A98" s="3" t="s">
        <v>525</v>
      </c>
      <c r="B98" s="53" t="str">
        <f>IF(C98=Charge!$M$1,Charge!$J$1,IF(C98=Charge!$M$23,Charge!$J$23,IF(C98=Charge!$M$17,Charge!$J$17,IF(C98=Charge!$N$17,Charge!$J$17,Charge!$J$7))))</f>
        <v>G2</v>
      </c>
      <c r="C98" s="54" t="str">
        <f>VLOOKUP(A98,'1.Loading'!A:R,14,FALSE)</f>
        <v>LCH06</v>
      </c>
      <c r="D98" s="54" t="str">
        <f>VLOOKUP(A98,'1.Loading'!A:R,17,FALSE)</f>
        <v>HASLS22260900442</v>
      </c>
      <c r="E98" s="55" t="str">
        <f>VLOOKUP(D98,'2.Bookinglist'!A:CT,27,FALSE)</f>
        <v>BARKLAYS LOGISTICS (THAILAND) CO., LTD.</v>
      </c>
      <c r="F98" s="55" t="str">
        <f>VLOOKUP(D98,'2.Bookinglist'!A:CT,28,FALSE)</f>
        <v>SHUN YI INTERNATIONAL TRADING CO., LTD.</v>
      </c>
      <c r="G98" s="56">
        <f>VLOOKUP(D98,'2.Bookinglist'!A:E,5,FALSE)</f>
        <v>0</v>
      </c>
      <c r="H98" s="54" t="str">
        <f>VLOOKUP(D98,'2.Bookinglist'!A:CT,15,FALSE)</f>
        <v>THLCH</v>
      </c>
      <c r="I98" s="54" t="str">
        <f>VLOOKUP(D98,'2.Bookinglist'!A:CT,19,FALSE)</f>
        <v>CNSHA</v>
      </c>
      <c r="J98" s="54">
        <f>VLOOKUP(D98,'2.Bookinglist'!A:CT,26,FALSE)</f>
        <v>0</v>
      </c>
      <c r="K98" s="54" t="str">
        <f>VLOOKUP(A98,'1.Loading'!A:R,5,FALSE)</f>
        <v>45GP</v>
      </c>
      <c r="L98" s="56" t="str">
        <f>VLOOKUP(D98,'2.Bookinglist'!A:CT,85,FALSE)</f>
        <v>CY/CY</v>
      </c>
      <c r="M98" s="56" t="str">
        <f>IF(VLOOKUP(D98,'2.Bookinglist'!A:CT,43,FALSE)=0,"","DG")</f>
        <v/>
      </c>
      <c r="N98" s="56" t="str">
        <f>IF(RIGHT(K98,2)="RE","RF","")</f>
        <v/>
      </c>
      <c r="O98" s="54" t="str">
        <f>VLOOKUP(A98,'1.Loading'!A:R,3,FALSE)</f>
        <v>HMVY</v>
      </c>
      <c r="P98" s="54" t="str">
        <f>VLOOKUP(A98,'1.Loading'!A:R,4,FALSE)</f>
        <v>2609N</v>
      </c>
      <c r="Q98" s="54" t="str">
        <f>VLOOKUP(D98,'2.Bookinglist'!A:CT,12,FALSE)</f>
        <v>PCI2</v>
      </c>
      <c r="R98" s="56" t="str">
        <f>IF(LEFT(K98,2)="22","20'","40'")</f>
        <v>40'</v>
      </c>
      <c r="S98" s="38"/>
      <c r="T98" s="54" t="str">
        <f>VLOOKUP(A98,'1.Loading'!A:R,2,FALSE)</f>
        <v>2026-10-28</v>
      </c>
      <c r="U98" s="57">
        <f>T98-S98</f>
        <v>46323</v>
      </c>
      <c r="V98" s="58"/>
      <c r="W98" s="54" t="str">
        <f>VLOOKUP(A98,'3.GateMove'!A:D,4,FALSE)</f>
        <v>2026-10-05</v>
      </c>
      <c r="X98" s="57">
        <f>((T98-W98)+1)</f>
        <v>24</v>
      </c>
      <c r="Y98" s="59">
        <f>IF(AND(OR(C98="BKK01",C98="BKK04"),L98="CFS/CY"),0,IF(M98="DG",1,IF(LEFT(C98,3)="LCH",7,IF(C98="BKK02",5,3))))</f>
        <v>7</v>
      </c>
      <c r="Z98" s="57">
        <f>IF(IF(AND(AC98="TML",AB98&gt;0),((T98-W98)+1)-AB98,((T98-W98)+1)-Y98)&gt;0,IF(AND(AC98="TML",AB98&gt;0),((T98-W98)+1)-AB98,((T98-W98)+1)-Y98),0)</f>
        <v>17</v>
      </c>
      <c r="AA98" s="48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7650</v>
      </c>
      <c r="AB98" s="53"/>
      <c r="AC98" s="53"/>
      <c r="AD98" s="56">
        <f>IF(M98="DG",3,IF(N98="RF",3,5))+IF(AND(LEFT(C98,3)="BKK",N98="RF",Q98="KTS"),1,0)+IF(Q98="KHS",1,0)</f>
        <v>5</v>
      </c>
      <c r="AE98" s="57">
        <f>(T98-V98)+1</f>
        <v>46324</v>
      </c>
      <c r="AF98" s="57">
        <f>IF(AB98&gt;IF((V98-W98)&gt;0,V98-W98,0),0,IF(AB98&lt;IF((V98-W98)&gt;0,V98-W98,0),IF((V98-W98)&gt;0,V98-W98,0)-AB98,IF((V98-W98)&gt;0,V98-W98,0)))</f>
        <v>0</v>
      </c>
      <c r="AG98" s="48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0"/>
      <c r="AI98" s="60">
        <f>AA98-AH98</f>
        <v>7650</v>
      </c>
      <c r="AJ98" s="61"/>
      <c r="AK98" s="55" t="str">
        <f>VLOOKUP(D98,'2.Bookinglist'!A:CT,40,FALSE)</f>
        <v>Nannaapust Sukporntaweewat</v>
      </c>
      <c r="AL98" s="56" t="str">
        <f>VLOOKUP(D98,'2.Bookinglist'!A:CW,101,FALSE)</f>
        <v>2026-10-22</v>
      </c>
      <c r="AM98" s="56" t="str">
        <f>VLOOKUP(D98,'2.Bookinglist'!A:BK,63,FALSE)</f>
        <v>LCHY5</v>
      </c>
      <c r="AN98" s="55" t="str">
        <f>VLOOKUP(D98,'2.Bookinglist'!A:AZ,52,FALSE)</f>
        <v>Pickup : 2026-10-02, Return : 2026-10-04 *1ST RETURN CNTR DD.08/10/2026*</v>
      </c>
      <c r="AO98" s="55" t="str">
        <f>VLOOKUP(D98,'2.Bookinglist'!A:CY,103,FALSE)</f>
        <v>ROLL OVER FROM PREVIOUS VSL SWRG 2609N BY ALLOCATION TEAM MS.TAN APPROVED COST IS UNDER HA DD.09/10</v>
      </c>
    </row>
    <row r="99" ht="12.95" customHeight="1" spans="1:41" x14ac:dyDescent="0.25">
      <c r="A99" s="3" t="s">
        <v>522</v>
      </c>
      <c r="B99" s="53" t="str">
        <f>IF(C99=Charge!$M$1,Charge!$J$1,IF(C99=Charge!$M$23,Charge!$J$23,IF(C99=Charge!$M$17,Charge!$J$17,IF(C99=Charge!$N$17,Charge!$J$17,Charge!$J$7))))</f>
        <v>G2</v>
      </c>
      <c r="C99" s="54" t="str">
        <f>VLOOKUP(A99,'1.Loading'!A:R,14,FALSE)</f>
        <v>LCH06</v>
      </c>
      <c r="D99" s="54" t="str">
        <f>VLOOKUP(A99,'1.Loading'!A:R,17,FALSE)</f>
        <v>HASLS22261000285</v>
      </c>
      <c r="E99" s="55" t="str">
        <f>VLOOKUP(D99,'2.Bookinglist'!A:CT,27,FALSE)</f>
        <v>AGC VINYTHAI PUBLIC COMPANY LIMITED</v>
      </c>
      <c r="F99" s="55" t="str">
        <f>VLOOKUP(D99,'2.Bookinglist'!A:CT,28,FALSE)</f>
        <v>AGC VINYTHAI PUBLIC COMPANY LIMITED</v>
      </c>
      <c r="G99" s="56">
        <f>VLOOKUP(D99,'2.Bookinglist'!A:E,5,FALSE)</f>
        <v>0</v>
      </c>
      <c r="H99" s="54" t="str">
        <f>VLOOKUP(D99,'2.Bookinglist'!A:CT,15,FALSE)</f>
        <v>THLCH</v>
      </c>
      <c r="I99" s="54" t="str">
        <f>VLOOKUP(D99,'2.Bookinglist'!A:CT,19,FALSE)</f>
        <v>CNSHA</v>
      </c>
      <c r="J99" s="54">
        <f>VLOOKUP(D99,'2.Bookinglist'!A:CT,26,FALSE)</f>
        <v>0</v>
      </c>
      <c r="K99" s="54" t="str">
        <f>VLOOKUP(A99,'1.Loading'!A:R,5,FALSE)</f>
        <v>45GP</v>
      </c>
      <c r="L99" s="56" t="str">
        <f>VLOOKUP(D99,'2.Bookinglist'!A:CT,85,FALSE)</f>
        <v>CY/CY</v>
      </c>
      <c r="M99" s="56" t="str">
        <f>IF(VLOOKUP(D99,'2.Bookinglist'!A:CT,43,FALSE)=0,"","DG")</f>
        <v/>
      </c>
      <c r="N99" s="56" t="str">
        <f>IF(RIGHT(K99,2)="RE","RF","")</f>
        <v/>
      </c>
      <c r="O99" s="54" t="str">
        <f>VLOOKUP(A99,'1.Loading'!A:R,3,FALSE)</f>
        <v>HMVY</v>
      </c>
      <c r="P99" s="54" t="str">
        <f>VLOOKUP(A99,'1.Loading'!A:R,4,FALSE)</f>
        <v>2609N</v>
      </c>
      <c r="Q99" s="54" t="str">
        <f>VLOOKUP(D99,'2.Bookinglist'!A:CT,12,FALSE)</f>
        <v>PCI2</v>
      </c>
      <c r="R99" s="56" t="str">
        <f>IF(LEFT(K99,2)="22","20'","40'")</f>
        <v>40'</v>
      </c>
      <c r="S99" s="38"/>
      <c r="T99" s="54" t="str">
        <f>VLOOKUP(A99,'1.Loading'!A:R,2,FALSE)</f>
        <v>2026-10-28</v>
      </c>
      <c r="U99" s="57">
        <f>T99-S99</f>
        <v>46323</v>
      </c>
      <c r="V99" s="58"/>
      <c r="W99" s="54" t="str">
        <f>VLOOKUP(A99,'3.GateMove'!A:D,4,FALSE)</f>
        <v>2026-10-17</v>
      </c>
      <c r="X99" s="57">
        <f>((T99-W99)+1)</f>
        <v>12</v>
      </c>
      <c r="Y99" s="59">
        <f>IF(AND(OR(C99="BKK01",C99="BKK04"),L99="CFS/CY"),0,IF(M99="DG",1,IF(LEFT(C99,3)="LCH",7,IF(C99="BKK02",5,3))))</f>
        <v>7</v>
      </c>
      <c r="Z99" s="57">
        <f>IF(IF(AND(AC99="TML",AB99&gt;0),((T99-W99)+1)-AB99,((T99-W99)+1)-Y99)&gt;0,IF(AND(AC99="TML",AB99&gt;0),((T99-W99)+1)-AB99,((T99-W99)+1)-Y99),0)</f>
        <v>5</v>
      </c>
      <c r="AA99" s="48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1250</v>
      </c>
      <c r="AB99" s="53"/>
      <c r="AC99" s="53"/>
      <c r="AD99" s="56">
        <f>IF(M99="DG",3,IF(N99="RF",3,5))+IF(AND(LEFT(C99,3)="BKK",N99="RF",Q99="KTS"),1,0)+IF(Q99="KHS",1,0)</f>
        <v>5</v>
      </c>
      <c r="AE99" s="57">
        <f>(T99-V99)+1</f>
        <v>46324</v>
      </c>
      <c r="AF99" s="57">
        <f>IF(AB99&gt;IF((V99-W99)&gt;0,V99-W99,0),0,IF(AB99&lt;IF((V99-W99)&gt;0,V99-W99,0),IF((V99-W99)&gt;0,V99-W99,0)-AB99,IF((V99-W99)&gt;0,V99-W99,0)))</f>
        <v>0</v>
      </c>
      <c r="AG99" s="48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0"/>
      <c r="AI99" s="60">
        <f>AA99-AH99</f>
        <v>1250</v>
      </c>
      <c r="AJ99" s="61"/>
      <c r="AK99" s="55" t="str">
        <f>VLOOKUP(D99,'2.Bookinglist'!A:CT,40,FALSE)</f>
        <v>Nannaapust Sukporntaweewat</v>
      </c>
      <c r="AL99" s="56" t="str">
        <f>VLOOKUP(D99,'2.Bookinglist'!A:CW,101,FALSE)</f>
        <v>2026-10-24</v>
      </c>
      <c r="AM99" s="56" t="str">
        <f>VLOOKUP(D99,'2.Bookinglist'!A:BK,63,FALSE)</f>
        <v>LCHY5</v>
      </c>
      <c r="AN99" s="55" t="str">
        <f>VLOOKUP(D99,'2.Bookinglist'!A:AZ,52,FALSE)</f>
        <v>Pickup : 2026-10-15, Return : 2026-10-16</v>
      </c>
      <c r="AO99" s="55">
        <f>VLOOKUP(D99,'2.Bookinglist'!A:CY,103,FALSE)</f>
        <v>0</v>
      </c>
    </row>
    <row r="100" ht="12.95" customHeight="1" spans="1:41" x14ac:dyDescent="0.25">
      <c r="A100" s="3" t="s">
        <v>529</v>
      </c>
      <c r="B100" s="53" t="str">
        <f>IF(C100=Charge!$M$1,Charge!$J$1,IF(C100=Charge!$M$23,Charge!$J$23,IF(C100=Charge!$M$17,Charge!$J$17,IF(C100=Charge!$N$17,Charge!$J$17,Charge!$J$7))))</f>
        <v>G2</v>
      </c>
      <c r="C100" s="54" t="str">
        <f>VLOOKUP(A100,'1.Loading'!A:R,14,FALSE)</f>
        <v>LCH06</v>
      </c>
      <c r="D100" s="54" t="str">
        <f>VLOOKUP(A100,'1.Loading'!A:R,17,FALSE)</f>
        <v>HASLS22261000876</v>
      </c>
      <c r="E100" s="55" t="str">
        <f>VLOOKUP(D100,'2.Bookinglist'!A:CT,27,FALSE)</f>
        <v>SUN-OCEAN GLOBAL SUPPLY CHAIN CO., LTD.</v>
      </c>
      <c r="F100" s="55" t="str">
        <f>VLOOKUP(D100,'2.Bookinglist'!A:CT,28,FALSE)</f>
        <v>I.P. ONE COMPANY LIMITED</v>
      </c>
      <c r="G100" s="56" t="str">
        <f>VLOOKUP(D100,'2.Bookinglist'!A:E,5,FALSE)</f>
        <v>THSRP</v>
      </c>
      <c r="H100" s="54" t="str">
        <f>VLOOKUP(D100,'2.Bookinglist'!A:CT,15,FALSE)</f>
        <v>THLCH</v>
      </c>
      <c r="I100" s="54" t="str">
        <f>VLOOKUP(D100,'2.Bookinglist'!A:CT,19,FALSE)</f>
        <v>CNSHA</v>
      </c>
      <c r="J100" s="54">
        <f>VLOOKUP(D100,'2.Bookinglist'!A:CT,26,FALSE)</f>
        <v>0</v>
      </c>
      <c r="K100" s="54" t="str">
        <f>VLOOKUP(A100,'1.Loading'!A:R,5,FALSE)</f>
        <v>45GP</v>
      </c>
      <c r="L100" s="56" t="str">
        <f>VLOOKUP(D100,'2.Bookinglist'!A:CT,85,FALSE)</f>
        <v>CY/CY</v>
      </c>
      <c r="M100" s="56" t="str">
        <f>IF(VLOOKUP(D100,'2.Bookinglist'!A:CT,43,FALSE)=0,"","DG")</f>
        <v/>
      </c>
      <c r="N100" s="56" t="str">
        <f>IF(RIGHT(K100,2)="RE","RF","")</f>
        <v/>
      </c>
      <c r="O100" s="54" t="str">
        <f>VLOOKUP(A100,'1.Loading'!A:R,3,FALSE)</f>
        <v>HMVY</v>
      </c>
      <c r="P100" s="54" t="str">
        <f>VLOOKUP(A100,'1.Loading'!A:R,4,FALSE)</f>
        <v>2609N</v>
      </c>
      <c r="Q100" s="54" t="str">
        <f>VLOOKUP(D100,'2.Bookinglist'!A:CT,12,FALSE)</f>
        <v>PCI2</v>
      </c>
      <c r="R100" s="56" t="str">
        <f>IF(LEFT(K100,2)="22","20'","40'")</f>
        <v>40'</v>
      </c>
      <c r="S100" s="38"/>
      <c r="T100" s="54" t="str">
        <f>VLOOKUP(A100,'1.Loading'!A:R,2,FALSE)</f>
        <v>2026-10-28</v>
      </c>
      <c r="U100" s="57">
        <f>T100-S100</f>
        <v>46323</v>
      </c>
      <c r="V100" s="58"/>
      <c r="W100" s="54" t="str">
        <f>VLOOKUP(A100,'3.GateMove'!A:D,4,FALSE)</f>
        <v>2026-10-23</v>
      </c>
      <c r="X100" s="57">
        <f>((T100-W100)+1)</f>
        <v>6</v>
      </c>
      <c r="Y100" s="59">
        <f>IF(AND(OR(C100="BKK01",C100="BKK04"),L100="CFS/CY"),0,IF(M100="DG",1,IF(LEFT(C100,3)="LCH",7,IF(C100="BKK02",5,3))))</f>
        <v>7</v>
      </c>
      <c r="Z100" s="57">
        <f>IF(IF(AND(AC100="TML",AB100&gt;0),((T100-W100)+1)-AB100,((T100-W100)+1)-Y100)&gt;0,IF(AND(AC100="TML",AB100&gt;0),((T100-W100)+1)-AB100,((T100-W100)+1)-Y100),0)</f>
        <v>0</v>
      </c>
      <c r="AA100" s="48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0</v>
      </c>
      <c r="AB100" s="53"/>
      <c r="AC100" s="53"/>
      <c r="AD100" s="56">
        <f>IF(M100="DG",3,IF(N100="RF",3,5))+IF(AND(LEFT(C100,3)="BKK",N100="RF",Q100="KTS"),1,0)+IF(Q100="KHS",1,0)</f>
        <v>5</v>
      </c>
      <c r="AE100" s="57">
        <f>(T100-V100)+1</f>
        <v>46324</v>
      </c>
      <c r="AF100" s="57">
        <f>IF(AB100&gt;IF((V100-W100)&gt;0,V100-W100,0),0,IF(AB100&lt;IF((V100-W100)&gt;0,V100-W100,0),IF((V100-W100)&gt;0,V100-W100,0)-AB100,IF((V100-W100)&gt;0,V100-W100,0)))</f>
        <v>0</v>
      </c>
      <c r="AG100" s="48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0"/>
      <c r="AI100" s="60">
        <f>AA100-AH100</f>
        <v>0</v>
      </c>
      <c r="AJ100" s="61"/>
      <c r="AK100" s="55" t="str">
        <f>VLOOKUP(D100,'2.Bookinglist'!A:CT,40,FALSE)</f>
        <v>Arunphat W. (Aiw)</v>
      </c>
      <c r="AL100" s="56" t="str">
        <f>VLOOKUP(D100,'2.Bookinglist'!A:CW,101,FALSE)</f>
        <v>2026-10-22</v>
      </c>
      <c r="AM100" s="56" t="str">
        <f>VLOOKUP(D100,'2.Bookinglist'!A:BK,63,FALSE)</f>
        <v>BKK27</v>
      </c>
      <c r="AN100" s="55" t="str">
        <f>VLOOKUP(D100,'2.Bookinglist'!A:AZ,52,FALSE)</f>
        <v>Pickup : 2026-10-16, Return SRP : 2026-10-17 [PAPERLESS CODE 2829]
CLS TIME 24/10/26 @21.00 (1ST RETURN 17/10/26)</v>
      </c>
      <c r="AO100" s="55">
        <f>VLOOKUP(D100,'2.Bookinglist'!A:CY,103,FALSE)</f>
        <v>0</v>
      </c>
    </row>
    <row r="101" ht="12.95" customHeight="1" spans="1:41" x14ac:dyDescent="0.25">
      <c r="A101" s="3" t="s">
        <v>528</v>
      </c>
      <c r="B101" s="53" t="str">
        <f>IF(C101=Charge!$M$1,Charge!$J$1,IF(C101=Charge!$M$23,Charge!$J$23,IF(C101=Charge!$M$17,Charge!$J$17,IF(C101=Charge!$N$17,Charge!$J$17,Charge!$J$7))))</f>
        <v>G2</v>
      </c>
      <c r="C101" s="54" t="str">
        <f>VLOOKUP(A101,'1.Loading'!A:R,14,FALSE)</f>
        <v>LCH06</v>
      </c>
      <c r="D101" s="54" t="str">
        <f>VLOOKUP(A101,'1.Loading'!A:R,17,FALSE)</f>
        <v>HASLS22261001024</v>
      </c>
      <c r="E101" s="55" t="str">
        <f>VLOOKUP(D101,'2.Bookinglist'!A:CT,27,FALSE)</f>
        <v>SUN-OCEAN GLOBAL SUPPLY CHAIN CO., LTD.</v>
      </c>
      <c r="F101" s="55" t="str">
        <f>VLOOKUP(D101,'2.Bookinglist'!A:CT,28,FALSE)</f>
        <v>I.P. ONE COMPANY LIMITED</v>
      </c>
      <c r="G101" s="56" t="str">
        <f>VLOOKUP(D101,'2.Bookinglist'!A:E,5,FALSE)</f>
        <v>THSRP</v>
      </c>
      <c r="H101" s="54" t="str">
        <f>VLOOKUP(D101,'2.Bookinglist'!A:CT,15,FALSE)</f>
        <v>THLCH</v>
      </c>
      <c r="I101" s="54" t="str">
        <f>VLOOKUP(D101,'2.Bookinglist'!A:CT,19,FALSE)</f>
        <v>CNSHA</v>
      </c>
      <c r="J101" s="54">
        <f>VLOOKUP(D101,'2.Bookinglist'!A:CT,26,FALSE)</f>
        <v>0</v>
      </c>
      <c r="K101" s="54" t="str">
        <f>VLOOKUP(A101,'1.Loading'!A:R,5,FALSE)</f>
        <v>45GP</v>
      </c>
      <c r="L101" s="56" t="str">
        <f>VLOOKUP(D101,'2.Bookinglist'!A:CT,85,FALSE)</f>
        <v>CY/CY</v>
      </c>
      <c r="M101" s="56" t="str">
        <f>IF(VLOOKUP(D101,'2.Bookinglist'!A:CT,43,FALSE)=0,"","DG")</f>
        <v/>
      </c>
      <c r="N101" s="56" t="str">
        <f>IF(RIGHT(K101,2)="RE","RF","")</f>
        <v/>
      </c>
      <c r="O101" s="54" t="str">
        <f>VLOOKUP(A101,'1.Loading'!A:R,3,FALSE)</f>
        <v>HMVY</v>
      </c>
      <c r="P101" s="54" t="str">
        <f>VLOOKUP(A101,'1.Loading'!A:R,4,FALSE)</f>
        <v>2609N</v>
      </c>
      <c r="Q101" s="54" t="str">
        <f>VLOOKUP(D101,'2.Bookinglist'!A:CT,12,FALSE)</f>
        <v>PCI2</v>
      </c>
      <c r="R101" s="56" t="str">
        <f>IF(LEFT(K101,2)="22","20'","40'")</f>
        <v>40'</v>
      </c>
      <c r="S101" s="38"/>
      <c r="T101" s="54" t="str">
        <f>VLOOKUP(A101,'1.Loading'!A:R,2,FALSE)</f>
        <v>2026-10-28</v>
      </c>
      <c r="U101" s="57">
        <f>T101-S101</f>
        <v>46323</v>
      </c>
      <c r="V101" s="58"/>
      <c r="W101" s="54" t="str">
        <f>VLOOKUP(A101,'3.GateMove'!A:D,4,FALSE)</f>
        <v>2026-10-23</v>
      </c>
      <c r="X101" s="57">
        <f>((T101-W101)+1)</f>
        <v>6</v>
      </c>
      <c r="Y101" s="59">
        <f>IF(AND(OR(C101="BKK01",C101="BKK04"),L101="CFS/CY"),0,IF(M101="DG",1,IF(LEFT(C101,3)="LCH",7,IF(C101="BKK02",5,3))))</f>
        <v>7</v>
      </c>
      <c r="Z101" s="57">
        <f>IF(IF(AND(AC101="TML",AB101&gt;0),((T101-W101)+1)-AB101,((T101-W101)+1)-Y101)&gt;0,IF(AND(AC101="TML",AB101&gt;0),((T101-W101)+1)-AB101,((T101-W101)+1)-Y101),0)</f>
        <v>0</v>
      </c>
      <c r="AA101" s="48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0</v>
      </c>
      <c r="AB101" s="53"/>
      <c r="AC101" s="53"/>
      <c r="AD101" s="56">
        <f>IF(M101="DG",3,IF(N101="RF",3,5))+IF(AND(LEFT(C101,3)="BKK",N101="RF",Q101="KTS"),1,0)+IF(Q101="KHS",1,0)</f>
        <v>5</v>
      </c>
      <c r="AE101" s="57">
        <f>(T101-V101)+1</f>
        <v>46324</v>
      </c>
      <c r="AF101" s="57">
        <f>IF(AB101&gt;IF((V101-W101)&gt;0,V101-W101,0),0,IF(AB101&lt;IF((V101-W101)&gt;0,V101-W101,0),IF((V101-W101)&gt;0,V101-W101,0)-AB101,IF((V101-W101)&gt;0,V101-W101,0)))</f>
        <v>0</v>
      </c>
      <c r="AG101" s="48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0"/>
      <c r="AI101" s="60">
        <f>AA101-AH101</f>
        <v>0</v>
      </c>
      <c r="AJ101" s="61"/>
      <c r="AK101" s="55" t="str">
        <f>VLOOKUP(D101,'2.Bookinglist'!A:CT,40,FALSE)</f>
        <v>Arunphat W. (Aiw)</v>
      </c>
      <c r="AL101" s="56" t="str">
        <f>VLOOKUP(D101,'2.Bookinglist'!A:CW,101,FALSE)</f>
        <v>2026-10-24</v>
      </c>
      <c r="AM101" s="56" t="str">
        <f>VLOOKUP(D101,'2.Bookinglist'!A:BK,63,FALSE)</f>
        <v>BKK27</v>
      </c>
      <c r="AN101" s="55" t="str">
        <f>VLOOKUP(D101,'2.Bookinglist'!A:AZ,52,FALSE)</f>
        <v>Pickup : 2026-10-19, Return SRP : 2026-10-20 [PAPERLESS CODE 2829]
CLS TIME 24/10/26 @21.00 (1ST RETURN DD.21/10/26)</v>
      </c>
      <c r="AO101" s="55">
        <f>VLOOKUP(D101,'2.Bookinglist'!A:CY,103,FALSE)</f>
        <v>0</v>
      </c>
    </row>
    <row r="102" ht="12.95" customHeight="1" spans="1:41" x14ac:dyDescent="0.25">
      <c r="A102" s="3" t="s">
        <v>518</v>
      </c>
      <c r="B102" s="53" t="str">
        <f>IF(C102=Charge!$M$1,Charge!$J$1,IF(C102=Charge!$M$23,Charge!$J$23,IF(C102=Charge!$M$17,Charge!$J$17,IF(C102=Charge!$N$17,Charge!$J$17,Charge!$J$7))))</f>
        <v>G2</v>
      </c>
      <c r="C102" s="54" t="str">
        <f>VLOOKUP(A102,'1.Loading'!A:R,14,FALSE)</f>
        <v>LCH06</v>
      </c>
      <c r="D102" s="54" t="str">
        <f>VLOOKUP(A102,'1.Loading'!A:R,17,FALSE)</f>
        <v>HASLS22261001378</v>
      </c>
      <c r="E102" s="55" t="str">
        <f>VLOOKUP(D102,'2.Bookinglist'!A:CT,27,FALSE)</f>
        <v>JINWINS LOGISTICS CO.,LTD</v>
      </c>
      <c r="F102" s="55" t="str">
        <f>VLOOKUP(D102,'2.Bookinglist'!A:CT,28,FALSE)</f>
        <v>VAST OCEAN CO., LTD.</v>
      </c>
      <c r="G102" s="56" t="str">
        <f>VLOOKUP(D102,'2.Bookinglist'!A:E,5,FALSE)</f>
        <v>THSRP</v>
      </c>
      <c r="H102" s="54" t="str">
        <f>VLOOKUP(D102,'2.Bookinglist'!A:CT,15,FALSE)</f>
        <v>THLCH</v>
      </c>
      <c r="I102" s="54" t="str">
        <f>VLOOKUP(D102,'2.Bookinglist'!A:CT,19,FALSE)</f>
        <v>CNSHA</v>
      </c>
      <c r="J102" s="54">
        <f>VLOOKUP(D102,'2.Bookinglist'!A:CT,26,FALSE)</f>
        <v>0</v>
      </c>
      <c r="K102" s="54" t="str">
        <f>VLOOKUP(A102,'1.Loading'!A:R,5,FALSE)</f>
        <v>45GP</v>
      </c>
      <c r="L102" s="56" t="str">
        <f>VLOOKUP(D102,'2.Bookinglist'!A:CT,85,FALSE)</f>
        <v>CY/CY</v>
      </c>
      <c r="M102" s="56" t="str">
        <f>IF(VLOOKUP(D102,'2.Bookinglist'!A:CT,43,FALSE)=0,"","DG")</f>
        <v/>
      </c>
      <c r="N102" s="56" t="str">
        <f>IF(RIGHT(K102,2)="RE","RF","")</f>
        <v/>
      </c>
      <c r="O102" s="54" t="str">
        <f>VLOOKUP(A102,'1.Loading'!A:R,3,FALSE)</f>
        <v>HMVY</v>
      </c>
      <c r="P102" s="54" t="str">
        <f>VLOOKUP(A102,'1.Loading'!A:R,4,FALSE)</f>
        <v>2609N</v>
      </c>
      <c r="Q102" s="54" t="str">
        <f>VLOOKUP(D102,'2.Bookinglist'!A:CT,12,FALSE)</f>
        <v>PCI2</v>
      </c>
      <c r="R102" s="56" t="str">
        <f>IF(LEFT(K102,2)="22","20'","40'")</f>
        <v>40'</v>
      </c>
      <c r="S102" s="38"/>
      <c r="T102" s="54" t="str">
        <f>VLOOKUP(A102,'1.Loading'!A:R,2,FALSE)</f>
        <v>2026-10-28</v>
      </c>
      <c r="U102" s="57">
        <f>T102-S102</f>
        <v>46323</v>
      </c>
      <c r="V102" s="58"/>
      <c r="W102" s="54" t="str">
        <f>VLOOKUP(A102,'3.GateMove'!A:D,4,FALSE)</f>
        <v>2026-10-23</v>
      </c>
      <c r="X102" s="57">
        <f>((T102-W102)+1)</f>
        <v>6</v>
      </c>
      <c r="Y102" s="59">
        <f>IF(AND(OR(C102="BKK01",C102="BKK04"),L102="CFS/CY"),0,IF(M102="DG",1,IF(LEFT(C102,3)="LCH",7,IF(C102="BKK02",5,3))))</f>
        <v>7</v>
      </c>
      <c r="Z102" s="57">
        <f>IF(IF(AND(AC102="TML",AB102&gt;0),((T102-W102)+1)-AB102,((T102-W102)+1)-Y102)&gt;0,IF(AND(AC102="TML",AB102&gt;0),((T102-W102)+1)-AB102,((T102-W102)+1)-Y102),0)</f>
        <v>0</v>
      </c>
      <c r="AA102" s="48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0</v>
      </c>
      <c r="AB102" s="53"/>
      <c r="AC102" s="53"/>
      <c r="AD102" s="56">
        <f>IF(M102="DG",3,IF(N102="RF",3,5))+IF(AND(LEFT(C102,3)="BKK",N102="RF",Q102="KTS"),1,0)+IF(Q102="KHS",1,0)</f>
        <v>5</v>
      </c>
      <c r="AE102" s="57">
        <f>(T102-V102)+1</f>
        <v>46324</v>
      </c>
      <c r="AF102" s="57">
        <f>IF(AB102&gt;IF((V102-W102)&gt;0,V102-W102,0),0,IF(AB102&lt;IF((V102-W102)&gt;0,V102-W102,0),IF((V102-W102)&gt;0,V102-W102,0)-AB102,IF((V102-W102)&gt;0,V102-W102,0)))</f>
        <v>0</v>
      </c>
      <c r="AG102" s="48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0"/>
      <c r="AI102" s="60">
        <f>AA102-AH102</f>
        <v>0</v>
      </c>
      <c r="AJ102" s="61"/>
      <c r="AK102" s="55" t="str">
        <f>VLOOKUP(D102,'2.Bookinglist'!A:CT,40,FALSE)</f>
        <v>Nannaapust Sukporntaweewat</v>
      </c>
      <c r="AL102" s="56" t="str">
        <f>VLOOKUP(D102,'2.Bookinglist'!A:CW,101,FALSE)</f>
        <v>2026-10-27</v>
      </c>
      <c r="AM102" s="56" t="str">
        <f>VLOOKUP(D102,'2.Bookinglist'!A:BK,63,FALSE)</f>
        <v>BKK27</v>
      </c>
      <c r="AN102" s="55" t="str">
        <f>VLOOKUP(D102,'2.Bookinglist'!A:AZ,52,FALSE)</f>
        <v>Pickup : 2026-10-20, Return SRP : 2026-10-21 [PAPERLESS CODE 2829]
CLS TIME 24/10/26 @18.00</v>
      </c>
      <c r="AO102" s="55">
        <f>VLOOKUP(D102,'2.Bookinglist'!A:CY,103,FALSE)</f>
        <v>0</v>
      </c>
    </row>
    <row r="103" ht="12.95" customHeight="1" spans="1:41" x14ac:dyDescent="0.25">
      <c r="A103" s="3" t="s">
        <v>516</v>
      </c>
      <c r="B103" s="53" t="str">
        <f>IF(C103=Charge!$M$1,Charge!$J$1,IF(C103=Charge!$M$23,Charge!$J$23,IF(C103=Charge!$M$17,Charge!$J$17,IF(C103=Charge!$N$17,Charge!$J$17,Charge!$J$7))))</f>
        <v>G2</v>
      </c>
      <c r="C103" s="54" t="str">
        <f>VLOOKUP(A103,'1.Loading'!A:R,14,FALSE)</f>
        <v>LCH06</v>
      </c>
      <c r="D103" s="54" t="str">
        <f>VLOOKUP(A103,'1.Loading'!A:R,17,FALSE)</f>
        <v>HASLS22260901902</v>
      </c>
      <c r="E103" s="55" t="str">
        <f>VLOOKUP(D103,'2.Bookinglist'!A:CT,27,FALSE)</f>
        <v>WHA GC LOGISTICS COMPANY LIMITED</v>
      </c>
      <c r="F103" s="55" t="str">
        <f>VLOOKUP(D103,'2.Bookinglist'!A:CT,28,FALSE)</f>
        <v>PTT GLOBAL CHEMICAL PUBLIC COMPANY LIMITED</v>
      </c>
      <c r="G103" s="56">
        <f>VLOOKUP(D103,'2.Bookinglist'!A:E,5,FALSE)</f>
        <v>0</v>
      </c>
      <c r="H103" s="54" t="str">
        <f>VLOOKUP(D103,'2.Bookinglist'!A:CT,15,FALSE)</f>
        <v>THLCH</v>
      </c>
      <c r="I103" s="54" t="str">
        <f>VLOOKUP(D103,'2.Bookinglist'!A:CT,19,FALSE)</f>
        <v>CNSHA</v>
      </c>
      <c r="J103" s="54">
        <f>VLOOKUP(D103,'2.Bookinglist'!A:CT,26,FALSE)</f>
        <v>0</v>
      </c>
      <c r="K103" s="54" t="str">
        <f>VLOOKUP(A103,'1.Loading'!A:R,5,FALSE)</f>
        <v>45GP</v>
      </c>
      <c r="L103" s="56" t="str">
        <f>VLOOKUP(D103,'2.Bookinglist'!A:CT,85,FALSE)</f>
        <v>CY/CY</v>
      </c>
      <c r="M103" s="56" t="str">
        <f>IF(VLOOKUP(D103,'2.Bookinglist'!A:CT,43,FALSE)=0,"","DG")</f>
        <v/>
      </c>
      <c r="N103" s="56" t="str">
        <f>IF(RIGHT(K103,2)="RE","RF","")</f>
        <v/>
      </c>
      <c r="O103" s="54" t="str">
        <f>VLOOKUP(A103,'1.Loading'!A:R,3,FALSE)</f>
        <v>HMVY</v>
      </c>
      <c r="P103" s="54" t="str">
        <f>VLOOKUP(A103,'1.Loading'!A:R,4,FALSE)</f>
        <v>2609N</v>
      </c>
      <c r="Q103" s="54" t="str">
        <f>VLOOKUP(D103,'2.Bookinglist'!A:CT,12,FALSE)</f>
        <v>PCI2</v>
      </c>
      <c r="R103" s="56" t="str">
        <f>IF(LEFT(K103,2)="22","20'","40'")</f>
        <v>40'</v>
      </c>
      <c r="S103" s="38"/>
      <c r="T103" s="54" t="str">
        <f>VLOOKUP(A103,'1.Loading'!A:R,2,FALSE)</f>
        <v>2026-10-28</v>
      </c>
      <c r="U103" s="57">
        <f>T103-S103</f>
        <v>46323</v>
      </c>
      <c r="V103" s="58"/>
      <c r="W103" s="54" t="str">
        <f>VLOOKUP(A103,'3.GateMove'!A:D,4,FALSE)</f>
        <v>2026-10-18</v>
      </c>
      <c r="X103" s="57">
        <f>((T103-W103)+1)</f>
        <v>11</v>
      </c>
      <c r="Y103" s="59">
        <f>IF(AND(OR(C103="BKK01",C103="BKK04"),L103="CFS/CY"),0,IF(M103="DG",1,IF(LEFT(C103,3)="LCH",7,IF(C103="BKK02",5,3))))</f>
        <v>7</v>
      </c>
      <c r="Z103" s="57">
        <f>IF(IF(AND(AC103="TML",AB103&gt;0),((T103-W103)+1)-AB103,((T103-W103)+1)-Y103)&gt;0,IF(AND(AC103="TML",AB103&gt;0),((T103-W103)+1)-AB103,((T103-W103)+1)-Y103),0)</f>
        <v>4</v>
      </c>
      <c r="AA103" s="48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1000</v>
      </c>
      <c r="AB103" s="53"/>
      <c r="AC103" s="53"/>
      <c r="AD103" s="56">
        <f>IF(M103="DG",3,IF(N103="RF",3,5))+IF(AND(LEFT(C103,3)="BKK",N103="RF",Q103="KTS"),1,0)+IF(Q103="KHS",1,0)</f>
        <v>5</v>
      </c>
      <c r="AE103" s="57">
        <f>(T103-V103)+1</f>
        <v>46324</v>
      </c>
      <c r="AF103" s="57">
        <f>IF(AB103&gt;IF((V103-W103)&gt;0,V103-W103,0),0,IF(AB103&lt;IF((V103-W103)&gt;0,V103-W103,0),IF((V103-W103)&gt;0,V103-W103,0)-AB103,IF((V103-W103)&gt;0,V103-W103,0)))</f>
        <v>0</v>
      </c>
      <c r="AG103" s="48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0"/>
      <c r="AI103" s="60">
        <f>AA103-AH103</f>
        <v>1000</v>
      </c>
      <c r="AJ103" s="61"/>
      <c r="AK103" s="55" t="str">
        <f>VLOOKUP(D103,'2.Bookinglist'!A:CT,40,FALSE)</f>
        <v>Dharaporn</v>
      </c>
      <c r="AL103" s="56" t="str">
        <f>VLOOKUP(D103,'2.Bookinglist'!A:CW,101,FALSE)</f>
        <v>2026-10-16</v>
      </c>
      <c r="AM103" s="56" t="str">
        <f>VLOOKUP(D103,'2.Bookinglist'!A:BK,63,FALSE)</f>
        <v>LCHY5</v>
      </c>
      <c r="AN103" s="55" t="str">
        <f>VLOOKUP(D103,'2.Bookinglist'!A:AZ,52,FALSE)</f>
        <v>CY-RTN 09-10/10/26 
*PLS CHECK OPEN GATE BEFORE RETURN CTNR*</v>
      </c>
      <c r="AO103" s="55">
        <f>VLOOKUP(D103,'2.Bookinglist'!A:CY,103,FALSE)</f>
        <v>0</v>
      </c>
    </row>
    <row r="104" ht="12.95" customHeight="1" spans="1:41" x14ac:dyDescent="0.25">
      <c r="A104" s="3" t="s">
        <v>526</v>
      </c>
      <c r="B104" s="53" t="str">
        <f>IF(C104=Charge!$M$1,Charge!$J$1,IF(C104=Charge!$M$23,Charge!$J$23,IF(C104=Charge!$M$17,Charge!$J$17,IF(C104=Charge!$N$17,Charge!$J$17,Charge!$J$7))))</f>
        <v>G2</v>
      </c>
      <c r="C104" s="54" t="str">
        <f>VLOOKUP(A104,'1.Loading'!A:R,14,FALSE)</f>
        <v>LCH06</v>
      </c>
      <c r="D104" s="54" t="str">
        <f>VLOOKUP(A104,'1.Loading'!A:R,17,FALSE)</f>
        <v>HASLS22260900442</v>
      </c>
      <c r="E104" s="55" t="str">
        <f>VLOOKUP(D104,'2.Bookinglist'!A:CT,27,FALSE)</f>
        <v>BARKLAYS LOGISTICS (THAILAND) CO., LTD.</v>
      </c>
      <c r="F104" s="55" t="str">
        <f>VLOOKUP(D104,'2.Bookinglist'!A:CT,28,FALSE)</f>
        <v>SHUN YI INTERNATIONAL TRADING CO., LTD.</v>
      </c>
      <c r="G104" s="56">
        <f>VLOOKUP(D104,'2.Bookinglist'!A:E,5,FALSE)</f>
        <v>0</v>
      </c>
      <c r="H104" s="54" t="str">
        <f>VLOOKUP(D104,'2.Bookinglist'!A:CT,15,FALSE)</f>
        <v>THLCH</v>
      </c>
      <c r="I104" s="54" t="str">
        <f>VLOOKUP(D104,'2.Bookinglist'!A:CT,19,FALSE)</f>
        <v>CNSHA</v>
      </c>
      <c r="J104" s="54">
        <f>VLOOKUP(D104,'2.Bookinglist'!A:CT,26,FALSE)</f>
        <v>0</v>
      </c>
      <c r="K104" s="54" t="str">
        <f>VLOOKUP(A104,'1.Loading'!A:R,5,FALSE)</f>
        <v>45GP</v>
      </c>
      <c r="L104" s="56" t="str">
        <f>VLOOKUP(D104,'2.Bookinglist'!A:CT,85,FALSE)</f>
        <v>CY/CY</v>
      </c>
      <c r="M104" s="56" t="str">
        <f>IF(VLOOKUP(D104,'2.Bookinglist'!A:CT,43,FALSE)=0,"","DG")</f>
        <v/>
      </c>
      <c r="N104" s="56" t="str">
        <f>IF(RIGHT(K104,2)="RE","RF","")</f>
        <v/>
      </c>
      <c r="O104" s="54" t="str">
        <f>VLOOKUP(A104,'1.Loading'!A:R,3,FALSE)</f>
        <v>HMVY</v>
      </c>
      <c r="P104" s="54" t="str">
        <f>VLOOKUP(A104,'1.Loading'!A:R,4,FALSE)</f>
        <v>2609N</v>
      </c>
      <c r="Q104" s="54" t="str">
        <f>VLOOKUP(D104,'2.Bookinglist'!A:CT,12,FALSE)</f>
        <v>PCI2</v>
      </c>
      <c r="R104" s="56" t="str">
        <f>IF(LEFT(K104,2)="22","20'","40'")</f>
        <v>40'</v>
      </c>
      <c r="S104" s="38"/>
      <c r="T104" s="54" t="str">
        <f>VLOOKUP(A104,'1.Loading'!A:R,2,FALSE)</f>
        <v>2026-10-28</v>
      </c>
      <c r="U104" s="57">
        <f>T104-S104</f>
        <v>46323</v>
      </c>
      <c r="V104" s="58"/>
      <c r="W104" s="54" t="str">
        <f>VLOOKUP(A104,'3.GateMove'!A:D,4,FALSE)</f>
        <v>2026-10-04</v>
      </c>
      <c r="X104" s="57">
        <f>((T104-W104)+1)</f>
        <v>25</v>
      </c>
      <c r="Y104" s="59">
        <f>IF(AND(OR(C104="BKK01",C104="BKK04"),L104="CFS/CY"),0,IF(M104="DG",1,IF(LEFT(C104,3)="LCH",7,IF(C104="BKK02",5,3))))</f>
        <v>7</v>
      </c>
      <c r="Z104" s="57">
        <f>IF(IF(AND(AC104="TML",AB104&gt;0),((T104-W104)+1)-AB104,((T104-W104)+1)-Y104)&gt;0,IF(AND(AC104="TML",AB104&gt;0),((T104-W104)+1)-AB104,((T104-W104)+1)-Y104),0)</f>
        <v>18</v>
      </c>
      <c r="AA104" s="48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8450</v>
      </c>
      <c r="AB104" s="53"/>
      <c r="AC104" s="53"/>
      <c r="AD104" s="56">
        <f>IF(M104="DG",3,IF(N104="RF",3,5))+IF(AND(LEFT(C104,3)="BKK",N104="RF",Q104="KTS"),1,0)+IF(Q104="KHS",1,0)</f>
        <v>5</v>
      </c>
      <c r="AE104" s="57">
        <f>(T104-V104)+1</f>
        <v>46324</v>
      </c>
      <c r="AF104" s="57">
        <f>IF(AB104&gt;IF((V104-W104)&gt;0,V104-W104,0),0,IF(AB104&lt;IF((V104-W104)&gt;0,V104-W104,0),IF((V104-W104)&gt;0,V104-W104,0)-AB104,IF((V104-W104)&gt;0,V104-W104,0)))</f>
        <v>0</v>
      </c>
      <c r="AG104" s="48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0"/>
      <c r="AI104" s="60">
        <f>AA104-AH104</f>
        <v>8450</v>
      </c>
      <c r="AJ104" s="61"/>
      <c r="AK104" s="55" t="str">
        <f>VLOOKUP(D104,'2.Bookinglist'!A:CT,40,FALSE)</f>
        <v>Nannaapust Sukporntaweewat</v>
      </c>
      <c r="AL104" s="56" t="str">
        <f>VLOOKUP(D104,'2.Bookinglist'!A:CW,101,FALSE)</f>
        <v>2026-10-22</v>
      </c>
      <c r="AM104" s="56" t="str">
        <f>VLOOKUP(D104,'2.Bookinglist'!A:BK,63,FALSE)</f>
        <v>LCHY5</v>
      </c>
      <c r="AN104" s="55" t="str">
        <f>VLOOKUP(D104,'2.Bookinglist'!A:AZ,52,FALSE)</f>
        <v>Pickup : 2026-10-02, Return : 2026-10-04 *1ST RETURN CNTR DD.08/10/2026*</v>
      </c>
      <c r="AO104" s="55" t="str">
        <f>VLOOKUP(D104,'2.Bookinglist'!A:CY,103,FALSE)</f>
        <v>ROLL OVER FROM PREVIOUS VSL SWRG 2609N BY ALLOCATION TEAM MS.TAN APPROVED COST IS UNDER HA DD.09/10</v>
      </c>
    </row>
    <row r="105" ht="12.95" customHeight="1" spans="1:41" x14ac:dyDescent="0.25">
      <c r="A105" s="3" t="s">
        <v>531</v>
      </c>
      <c r="B105" s="53" t="str">
        <f>IF(C105=Charge!$M$1,Charge!$J$1,IF(C105=Charge!$M$23,Charge!$J$23,IF(C105=Charge!$M$17,Charge!$J$17,IF(C105=Charge!$N$17,Charge!$J$17,Charge!$J$7))))</f>
        <v>G2</v>
      </c>
      <c r="C105" s="54" t="str">
        <f>VLOOKUP(A105,'1.Loading'!A:R,14,FALSE)</f>
        <v>LCH06</v>
      </c>
      <c r="D105" s="54" t="str">
        <f>VLOOKUP(A105,'1.Loading'!A:R,17,FALSE)</f>
        <v>HASLS22260901311</v>
      </c>
      <c r="E105" s="55" t="str">
        <f>VLOOKUP(D105,'2.Bookinglist'!A:CT,27,FALSE)</f>
        <v>WHA GC LOGISTICS COMPANY LIMITED</v>
      </c>
      <c r="F105" s="55" t="str">
        <f>VLOOKUP(D105,'2.Bookinglist'!A:CT,28,FALSE)</f>
        <v>PTT GLOBAL CHEMICAL PUBLIC COMPANY LIMITED</v>
      </c>
      <c r="G105" s="56">
        <f>VLOOKUP(D105,'2.Bookinglist'!A:E,5,FALSE)</f>
        <v>0</v>
      </c>
      <c r="H105" s="54" t="str">
        <f>VLOOKUP(D105,'2.Bookinglist'!A:CT,15,FALSE)</f>
        <v>THLCH</v>
      </c>
      <c r="I105" s="54" t="str">
        <f>VLOOKUP(D105,'2.Bookinglist'!A:CT,19,FALSE)</f>
        <v>CNSHA</v>
      </c>
      <c r="J105" s="54">
        <f>VLOOKUP(D105,'2.Bookinglist'!A:CT,26,FALSE)</f>
        <v>0</v>
      </c>
      <c r="K105" s="54" t="str">
        <f>VLOOKUP(A105,'1.Loading'!A:R,5,FALSE)</f>
        <v>45GP</v>
      </c>
      <c r="L105" s="56" t="str">
        <f>VLOOKUP(D105,'2.Bookinglist'!A:CT,85,FALSE)</f>
        <v>CY/CY</v>
      </c>
      <c r="M105" s="56" t="str">
        <f>IF(VLOOKUP(D105,'2.Bookinglist'!A:CT,43,FALSE)=0,"","DG")</f>
        <v/>
      </c>
      <c r="N105" s="56" t="str">
        <f>IF(RIGHT(K105,2)="RE","RF","")</f>
        <v/>
      </c>
      <c r="O105" s="54" t="str">
        <f>VLOOKUP(A105,'1.Loading'!A:R,3,FALSE)</f>
        <v>HMVY</v>
      </c>
      <c r="P105" s="54" t="str">
        <f>VLOOKUP(A105,'1.Loading'!A:R,4,FALSE)</f>
        <v>2609N</v>
      </c>
      <c r="Q105" s="54" t="str">
        <f>VLOOKUP(D105,'2.Bookinglist'!A:CT,12,FALSE)</f>
        <v>PCI2</v>
      </c>
      <c r="R105" s="56" t="str">
        <f>IF(LEFT(K105,2)="22","20'","40'")</f>
        <v>40'</v>
      </c>
      <c r="S105" s="38"/>
      <c r="T105" s="54" t="str">
        <f>VLOOKUP(A105,'1.Loading'!A:R,2,FALSE)</f>
        <v>2026-10-28</v>
      </c>
      <c r="U105" s="57">
        <f>T105-S105</f>
        <v>46323</v>
      </c>
      <c r="V105" s="58"/>
      <c r="W105" s="54" t="str">
        <f>VLOOKUP(A105,'3.GateMove'!A:D,4,FALSE)</f>
        <v>2026-10-25</v>
      </c>
      <c r="X105" s="57">
        <f>((T105-W105)+1)</f>
        <v>4</v>
      </c>
      <c r="Y105" s="59">
        <f>IF(AND(OR(C105="BKK01",C105="BKK04"),L105="CFS/CY"),0,IF(M105="DG",1,IF(LEFT(C105,3)="LCH",7,IF(C105="BKK02",5,3))))</f>
        <v>7</v>
      </c>
      <c r="Z105" s="57">
        <f>IF(IF(AND(AC105="TML",AB105&gt;0),((T105-W105)+1)-AB105,((T105-W105)+1)-Y105)&gt;0,IF(AND(AC105="TML",AB105&gt;0),((T105-W105)+1)-AB105,((T105-W105)+1)-Y105),0)</f>
        <v>0</v>
      </c>
      <c r="AA105" s="48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0</v>
      </c>
      <c r="AB105" s="53"/>
      <c r="AC105" s="53"/>
      <c r="AD105" s="56">
        <f>IF(M105="DG",3,IF(N105="RF",3,5))+IF(AND(LEFT(C105,3)="BKK",N105="RF",Q105="KTS"),1,0)+IF(Q105="KHS",1,0)</f>
        <v>5</v>
      </c>
      <c r="AE105" s="57">
        <f>(T105-V105)+1</f>
        <v>46324</v>
      </c>
      <c r="AF105" s="57">
        <f>IF(AB105&gt;IF((V105-W105)&gt;0,V105-W105,0),0,IF(AB105&lt;IF((V105-W105)&gt;0,V105-W105,0),IF((V105-W105)&gt;0,V105-W105,0)-AB105,IF((V105-W105)&gt;0,V105-W105,0)))</f>
        <v>0</v>
      </c>
      <c r="AG105" s="48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0"/>
      <c r="AI105" s="60">
        <f>AA105-AH105</f>
        <v>0</v>
      </c>
      <c r="AJ105" s="61"/>
      <c r="AK105" s="55" t="str">
        <f>VLOOKUP(D105,'2.Bookinglist'!A:CT,40,FALSE)</f>
        <v>Dharaporn</v>
      </c>
      <c r="AL105" s="56" t="str">
        <f>VLOOKUP(D105,'2.Bookinglist'!A:CW,101,FALSE)</f>
        <v>2026-10-28</v>
      </c>
      <c r="AM105" s="56" t="str">
        <f>VLOOKUP(D105,'2.Bookinglist'!A:BK,63,FALSE)</f>
        <v>LCHY5</v>
      </c>
      <c r="AN105" s="55" t="str">
        <f>VLOOKUP(D105,'2.Bookinglist'!A:AZ,52,FALSE)</f>
        <v>CY-RTN: 20-23/10/2026  (1ST RETURN 22/10/26)</v>
      </c>
      <c r="AO105" s="55" t="str">
        <f>VLOOKUP(D105,'2.Bookinglist'!A:CY,103,FALSE)</f>
        <v>ROLL OVER FORM PREIVOUS VSL HAB 2612N BY ALLOCATION TEAM MS.TAN APPROVED COST IS UNDER HA DD.26/10</v>
      </c>
    </row>
    <row r="106" ht="12.95" customHeight="1" spans="1:41" x14ac:dyDescent="0.25">
      <c r="A106" s="3" t="s">
        <v>527</v>
      </c>
      <c r="B106" s="53" t="str">
        <f>IF(C106=Charge!$M$1,Charge!$J$1,IF(C106=Charge!$M$23,Charge!$J$23,IF(C106=Charge!$M$17,Charge!$J$17,IF(C106=Charge!$N$17,Charge!$J$17,Charge!$J$7))))</f>
        <v>G2</v>
      </c>
      <c r="C106" s="54" t="str">
        <f>VLOOKUP(A106,'1.Loading'!A:R,14,FALSE)</f>
        <v>LCH06</v>
      </c>
      <c r="D106" s="54" t="str">
        <f>VLOOKUP(A106,'1.Loading'!A:R,17,FALSE)</f>
        <v>HASLS22260900442</v>
      </c>
      <c r="E106" s="55" t="str">
        <f>VLOOKUP(D106,'2.Bookinglist'!A:CT,27,FALSE)</f>
        <v>BARKLAYS LOGISTICS (THAILAND) CO., LTD.</v>
      </c>
      <c r="F106" s="55" t="str">
        <f>VLOOKUP(D106,'2.Bookinglist'!A:CT,28,FALSE)</f>
        <v>SHUN YI INTERNATIONAL TRADING CO., LTD.</v>
      </c>
      <c r="G106" s="56">
        <f>VLOOKUP(D106,'2.Bookinglist'!A:E,5,FALSE)</f>
        <v>0</v>
      </c>
      <c r="H106" s="54" t="str">
        <f>VLOOKUP(D106,'2.Bookinglist'!A:CT,15,FALSE)</f>
        <v>THLCH</v>
      </c>
      <c r="I106" s="54" t="str">
        <f>VLOOKUP(D106,'2.Bookinglist'!A:CT,19,FALSE)</f>
        <v>CNSHA</v>
      </c>
      <c r="J106" s="54">
        <f>VLOOKUP(D106,'2.Bookinglist'!A:CT,26,FALSE)</f>
        <v>0</v>
      </c>
      <c r="K106" s="54" t="str">
        <f>VLOOKUP(A106,'1.Loading'!A:R,5,FALSE)</f>
        <v>45GP</v>
      </c>
      <c r="L106" s="56" t="str">
        <f>VLOOKUP(D106,'2.Bookinglist'!A:CT,85,FALSE)</f>
        <v>CY/CY</v>
      </c>
      <c r="M106" s="56" t="str">
        <f>IF(VLOOKUP(D106,'2.Bookinglist'!A:CT,43,FALSE)=0,"","DG")</f>
        <v/>
      </c>
      <c r="N106" s="56" t="str">
        <f>IF(RIGHT(K106,2)="RE","RF","")</f>
        <v/>
      </c>
      <c r="O106" s="54" t="str">
        <f>VLOOKUP(A106,'1.Loading'!A:R,3,FALSE)</f>
        <v>HMVY</v>
      </c>
      <c r="P106" s="54" t="str">
        <f>VLOOKUP(A106,'1.Loading'!A:R,4,FALSE)</f>
        <v>2609N</v>
      </c>
      <c r="Q106" s="54" t="str">
        <f>VLOOKUP(D106,'2.Bookinglist'!A:CT,12,FALSE)</f>
        <v>PCI2</v>
      </c>
      <c r="R106" s="56" t="str">
        <f>IF(LEFT(K106,2)="22","20'","40'")</f>
        <v>40'</v>
      </c>
      <c r="S106" s="38"/>
      <c r="T106" s="54" t="str">
        <f>VLOOKUP(A106,'1.Loading'!A:R,2,FALSE)</f>
        <v>2026-10-28</v>
      </c>
      <c r="U106" s="57">
        <f>T106-S106</f>
        <v>46323</v>
      </c>
      <c r="V106" s="58"/>
      <c r="W106" s="54" t="str">
        <f>VLOOKUP(A106,'3.GateMove'!A:D,4,FALSE)</f>
        <v>2026-10-04</v>
      </c>
      <c r="X106" s="57">
        <f>((T106-W106)+1)</f>
        <v>25</v>
      </c>
      <c r="Y106" s="59">
        <f>IF(AND(OR(C106="BKK01",C106="BKK04"),L106="CFS/CY"),0,IF(M106="DG",1,IF(LEFT(C106,3)="LCH",7,IF(C106="BKK02",5,3))))</f>
        <v>7</v>
      </c>
      <c r="Z106" s="57">
        <f>IF(IF(AND(AC106="TML",AB106&gt;0),((T106-W106)+1)-AB106,((T106-W106)+1)-Y106)&gt;0,IF(AND(AC106="TML",AB106&gt;0),((T106-W106)+1)-AB106,((T106-W106)+1)-Y106),0)</f>
        <v>18</v>
      </c>
      <c r="AA106" s="48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8450</v>
      </c>
      <c r="AB106" s="53"/>
      <c r="AC106" s="53"/>
      <c r="AD106" s="56">
        <f>IF(M106="DG",3,IF(N106="RF",3,5))+IF(AND(LEFT(C106,3)="BKK",N106="RF",Q106="KTS"),1,0)+IF(Q106="KHS",1,0)</f>
        <v>5</v>
      </c>
      <c r="AE106" s="57">
        <f>(T106-V106)+1</f>
        <v>46324</v>
      </c>
      <c r="AF106" s="57">
        <f>IF(AB106&gt;IF((V106-W106)&gt;0,V106-W106,0),0,IF(AB106&lt;IF((V106-W106)&gt;0,V106-W106,0),IF((V106-W106)&gt;0,V106-W106,0)-AB106,IF((V106-W106)&gt;0,V106-W106,0)))</f>
        <v>0</v>
      </c>
      <c r="AG106" s="48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0"/>
      <c r="AI106" s="60">
        <f>AA106-AH106</f>
        <v>8450</v>
      </c>
      <c r="AJ106" s="61"/>
      <c r="AK106" s="55" t="str">
        <f>VLOOKUP(D106,'2.Bookinglist'!A:CT,40,FALSE)</f>
        <v>Nannaapust Sukporntaweewat</v>
      </c>
      <c r="AL106" s="56" t="str">
        <f>VLOOKUP(D106,'2.Bookinglist'!A:CW,101,FALSE)</f>
        <v>2026-10-22</v>
      </c>
      <c r="AM106" s="56" t="str">
        <f>VLOOKUP(D106,'2.Bookinglist'!A:BK,63,FALSE)</f>
        <v>LCHY5</v>
      </c>
      <c r="AN106" s="55" t="str">
        <f>VLOOKUP(D106,'2.Bookinglist'!A:AZ,52,FALSE)</f>
        <v>Pickup : 2026-10-02, Return : 2026-10-04 *1ST RETURN CNTR DD.08/10/2026*</v>
      </c>
      <c r="AO106" s="55" t="str">
        <f>VLOOKUP(D106,'2.Bookinglist'!A:CY,103,FALSE)</f>
        <v>ROLL OVER FROM PREVIOUS VSL SWRG 2609N BY ALLOCATION TEAM MS.TAN APPROVED COST IS UNDER HA DD.09/10</v>
      </c>
    </row>
    <row r="107" ht="12.95" customHeight="1" spans="1:41" x14ac:dyDescent="0.25">
      <c r="A107" s="3" t="s">
        <v>524</v>
      </c>
      <c r="B107" s="53" t="str">
        <f>IF(C107=Charge!$M$1,Charge!$J$1,IF(C107=Charge!$M$23,Charge!$J$23,IF(C107=Charge!$M$17,Charge!$J$17,IF(C107=Charge!$N$17,Charge!$J$17,Charge!$J$7))))</f>
        <v>G2</v>
      </c>
      <c r="C107" s="54" t="str">
        <f>VLOOKUP(A107,'1.Loading'!A:R,14,FALSE)</f>
        <v>LCH06</v>
      </c>
      <c r="D107" s="54" t="str">
        <f>VLOOKUP(A107,'1.Loading'!A:R,17,FALSE)</f>
        <v>HASLS22260900442</v>
      </c>
      <c r="E107" s="55" t="str">
        <f>VLOOKUP(D107,'2.Bookinglist'!A:CT,27,FALSE)</f>
        <v>BARKLAYS LOGISTICS (THAILAND) CO., LTD.</v>
      </c>
      <c r="F107" s="55" t="str">
        <f>VLOOKUP(D107,'2.Bookinglist'!A:CT,28,FALSE)</f>
        <v>SHUN YI INTERNATIONAL TRADING CO., LTD.</v>
      </c>
      <c r="G107" s="56">
        <f>VLOOKUP(D107,'2.Bookinglist'!A:E,5,FALSE)</f>
        <v>0</v>
      </c>
      <c r="H107" s="54" t="str">
        <f>VLOOKUP(D107,'2.Bookinglist'!A:CT,15,FALSE)</f>
        <v>THLCH</v>
      </c>
      <c r="I107" s="54" t="str">
        <f>VLOOKUP(D107,'2.Bookinglist'!A:CT,19,FALSE)</f>
        <v>CNSHA</v>
      </c>
      <c r="J107" s="54">
        <f>VLOOKUP(D107,'2.Bookinglist'!A:CT,26,FALSE)</f>
        <v>0</v>
      </c>
      <c r="K107" s="54" t="str">
        <f>VLOOKUP(A107,'1.Loading'!A:R,5,FALSE)</f>
        <v>45GP</v>
      </c>
      <c r="L107" s="56" t="str">
        <f>VLOOKUP(D107,'2.Bookinglist'!A:CT,85,FALSE)</f>
        <v>CY/CY</v>
      </c>
      <c r="M107" s="56" t="str">
        <f>IF(VLOOKUP(D107,'2.Bookinglist'!A:CT,43,FALSE)=0,"","DG")</f>
        <v/>
      </c>
      <c r="N107" s="56" t="str">
        <f>IF(RIGHT(K107,2)="RE","RF","")</f>
        <v/>
      </c>
      <c r="O107" s="54" t="str">
        <f>VLOOKUP(A107,'1.Loading'!A:R,3,FALSE)</f>
        <v>HMVY</v>
      </c>
      <c r="P107" s="54" t="str">
        <f>VLOOKUP(A107,'1.Loading'!A:R,4,FALSE)</f>
        <v>2609N</v>
      </c>
      <c r="Q107" s="54" t="str">
        <f>VLOOKUP(D107,'2.Bookinglist'!A:CT,12,FALSE)</f>
        <v>PCI2</v>
      </c>
      <c r="R107" s="56" t="str">
        <f>IF(LEFT(K107,2)="22","20'","40'")</f>
        <v>40'</v>
      </c>
      <c r="S107" s="38"/>
      <c r="T107" s="54" t="str">
        <f>VLOOKUP(A107,'1.Loading'!A:R,2,FALSE)</f>
        <v>2026-10-28</v>
      </c>
      <c r="U107" s="57">
        <f>T107-S107</f>
        <v>46323</v>
      </c>
      <c r="V107" s="58"/>
      <c r="W107" s="54" t="str">
        <f>VLOOKUP(A107,'3.GateMove'!A:D,4,FALSE)</f>
        <v>2026-10-04</v>
      </c>
      <c r="X107" s="57">
        <f>((T107-W107)+1)</f>
        <v>25</v>
      </c>
      <c r="Y107" s="59">
        <f>IF(AND(OR(C107="BKK01",C107="BKK04"),L107="CFS/CY"),0,IF(M107="DG",1,IF(LEFT(C107,3)="LCH",7,IF(C107="BKK02",5,3))))</f>
        <v>7</v>
      </c>
      <c r="Z107" s="57">
        <f>IF(IF(AND(AC107="TML",AB107&gt;0),((T107-W107)+1)-AB107,((T107-W107)+1)-Y107)&gt;0,IF(AND(AC107="TML",AB107&gt;0),((T107-W107)+1)-AB107,((T107-W107)+1)-Y107),0)</f>
        <v>18</v>
      </c>
      <c r="AA107" s="48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8450</v>
      </c>
      <c r="AB107" s="53"/>
      <c r="AC107" s="53"/>
      <c r="AD107" s="56">
        <f>IF(M107="DG",3,IF(N107="RF",3,5))+IF(AND(LEFT(C107,3)="BKK",N107="RF",Q107="KTS"),1,0)+IF(Q107="KHS",1,0)</f>
        <v>5</v>
      </c>
      <c r="AE107" s="57">
        <f>(T107-V107)+1</f>
        <v>46324</v>
      </c>
      <c r="AF107" s="57">
        <f>IF(AB107&gt;IF((V107-W107)&gt;0,V107-W107,0),0,IF(AB107&lt;IF((V107-W107)&gt;0,V107-W107,0),IF((V107-W107)&gt;0,V107-W107,0)-AB107,IF((V107-W107)&gt;0,V107-W107,0)))</f>
        <v>0</v>
      </c>
      <c r="AG107" s="48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0"/>
      <c r="AI107" s="60">
        <f>AA107-AH107</f>
        <v>8450</v>
      </c>
      <c r="AJ107" s="61"/>
      <c r="AK107" s="55" t="str">
        <f>VLOOKUP(D107,'2.Bookinglist'!A:CT,40,FALSE)</f>
        <v>Nannaapust Sukporntaweewat</v>
      </c>
      <c r="AL107" s="56" t="str">
        <f>VLOOKUP(D107,'2.Bookinglist'!A:CW,101,FALSE)</f>
        <v>2026-10-22</v>
      </c>
      <c r="AM107" s="56" t="str">
        <f>VLOOKUP(D107,'2.Bookinglist'!A:BK,63,FALSE)</f>
        <v>LCHY5</v>
      </c>
      <c r="AN107" s="55" t="str">
        <f>VLOOKUP(D107,'2.Bookinglist'!A:AZ,52,FALSE)</f>
        <v>Pickup : 2026-10-02, Return : 2026-10-04 *1ST RETURN CNTR DD.08/10/2026*</v>
      </c>
      <c r="AO107" s="55" t="str">
        <f>VLOOKUP(D107,'2.Bookinglist'!A:CY,103,FALSE)</f>
        <v>ROLL OVER FROM PREVIOUS VSL SWRG 2609N BY ALLOCATION TEAM MS.TAN APPROVED COST IS UNDER HA DD.09/10</v>
      </c>
    </row>
    <row r="108" ht="12.95" customHeight="1" spans="1:41" x14ac:dyDescent="0.25">
      <c r="A108" s="3" t="s">
        <v>523</v>
      </c>
      <c r="B108" s="53" t="str">
        <f>IF(C108=Charge!$M$1,Charge!$J$1,IF(C108=Charge!$M$23,Charge!$J$23,IF(C108=Charge!$M$17,Charge!$J$17,IF(C108=Charge!$N$17,Charge!$J$17,Charge!$J$7))))</f>
        <v>G2</v>
      </c>
      <c r="C108" s="54" t="str">
        <f>VLOOKUP(A108,'1.Loading'!A:R,14,FALSE)</f>
        <v>LCH06</v>
      </c>
      <c r="D108" s="54" t="str">
        <f>VLOOKUP(A108,'1.Loading'!A:R,17,FALSE)</f>
        <v>HASLS22261001354</v>
      </c>
      <c r="E108" s="55" t="str">
        <f>VLOOKUP(D108,'2.Bookinglist'!A:CT,27,FALSE)</f>
        <v>THAIGO LOGISTICS CO.,LTD</v>
      </c>
      <c r="F108" s="55" t="str">
        <f>VLOOKUP(D108,'2.Bookinglist'!A:CT,28,FALSE)</f>
        <v>THAIGO LOGISTICS CO.,LTD</v>
      </c>
      <c r="G108" s="56" t="str">
        <f>VLOOKUP(D108,'2.Bookinglist'!A:E,5,FALSE)</f>
        <v>THSRP</v>
      </c>
      <c r="H108" s="54" t="str">
        <f>VLOOKUP(D108,'2.Bookinglist'!A:CT,15,FALSE)</f>
        <v>THLCH</v>
      </c>
      <c r="I108" s="54" t="str">
        <f>VLOOKUP(D108,'2.Bookinglist'!A:CT,19,FALSE)</f>
        <v>CNSHA</v>
      </c>
      <c r="J108" s="54">
        <f>VLOOKUP(D108,'2.Bookinglist'!A:CT,26,FALSE)</f>
        <v>0</v>
      </c>
      <c r="K108" s="54" t="str">
        <f>VLOOKUP(A108,'1.Loading'!A:R,5,FALSE)</f>
        <v>45GP</v>
      </c>
      <c r="L108" s="56" t="str">
        <f>VLOOKUP(D108,'2.Bookinglist'!A:CT,85,FALSE)</f>
        <v>CY/CY</v>
      </c>
      <c r="M108" s="56" t="str">
        <f>IF(VLOOKUP(D108,'2.Bookinglist'!A:CT,43,FALSE)=0,"","DG")</f>
        <v/>
      </c>
      <c r="N108" s="56" t="str">
        <f>IF(RIGHT(K108,2)="RE","RF","")</f>
        <v/>
      </c>
      <c r="O108" s="54" t="str">
        <f>VLOOKUP(A108,'1.Loading'!A:R,3,FALSE)</f>
        <v>HMVY</v>
      </c>
      <c r="P108" s="54" t="str">
        <f>VLOOKUP(A108,'1.Loading'!A:R,4,FALSE)</f>
        <v>2609N</v>
      </c>
      <c r="Q108" s="54" t="str">
        <f>VLOOKUP(D108,'2.Bookinglist'!A:CT,12,FALSE)</f>
        <v>PCI2</v>
      </c>
      <c r="R108" s="56" t="str">
        <f>IF(LEFT(K108,2)="22","20'","40'")</f>
        <v>40'</v>
      </c>
      <c r="S108" s="38"/>
      <c r="T108" s="54" t="str">
        <f>VLOOKUP(A108,'1.Loading'!A:R,2,FALSE)</f>
        <v>2026-10-28</v>
      </c>
      <c r="U108" s="57">
        <f>T108-S108</f>
        <v>46323</v>
      </c>
      <c r="V108" s="58"/>
      <c r="W108" s="54" t="str">
        <f>VLOOKUP(A108,'3.GateMove'!A:D,4,FALSE)</f>
        <v>2026-10-24</v>
      </c>
      <c r="X108" s="57">
        <f>((T108-W108)+1)</f>
        <v>5</v>
      </c>
      <c r="Y108" s="59">
        <f>IF(AND(OR(C108="BKK01",C108="BKK04"),L108="CFS/CY"),0,IF(M108="DG",1,IF(LEFT(C108,3)="LCH",7,IF(C108="BKK02",5,3))))</f>
        <v>7</v>
      </c>
      <c r="Z108" s="57">
        <f>IF(IF(AND(AC108="TML",AB108&gt;0),((T108-W108)+1)-AB108,((T108-W108)+1)-Y108)&gt;0,IF(AND(AC108="TML",AB108&gt;0),((T108-W108)+1)-AB108,((T108-W108)+1)-Y108),0)</f>
        <v>0</v>
      </c>
      <c r="AA108" s="48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0</v>
      </c>
      <c r="AB108" s="53"/>
      <c r="AC108" s="53"/>
      <c r="AD108" s="56">
        <f>IF(M108="DG",3,IF(N108="RF",3,5))+IF(AND(LEFT(C108,3)="BKK",N108="RF",Q108="KTS"),1,0)+IF(Q108="KHS",1,0)</f>
        <v>5</v>
      </c>
      <c r="AE108" s="57">
        <f>(T108-V108)+1</f>
        <v>46324</v>
      </c>
      <c r="AF108" s="57">
        <f>IF(AB108&gt;IF((V108-W108)&gt;0,V108-W108,0),0,IF(AB108&lt;IF((V108-W108)&gt;0,V108-W108,0),IF((V108-W108)&gt;0,V108-W108,0)-AB108,IF((V108-W108)&gt;0,V108-W108,0)))</f>
        <v>0</v>
      </c>
      <c r="AG108" s="48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0"/>
      <c r="AI108" s="60">
        <f>AA108-AH108</f>
        <v>0</v>
      </c>
      <c r="AJ108" s="61"/>
      <c r="AK108" s="55" t="str">
        <f>VLOOKUP(D108,'2.Bookinglist'!A:CT,40,FALSE)</f>
        <v>Nannaapust Sukporntaweewat</v>
      </c>
      <c r="AL108" s="56" t="str">
        <f>VLOOKUP(D108,'2.Bookinglist'!A:CW,101,FALSE)</f>
        <v>2026-10-27</v>
      </c>
      <c r="AM108" s="56" t="str">
        <f>VLOOKUP(D108,'2.Bookinglist'!A:BK,63,FALSE)</f>
        <v>BKK27</v>
      </c>
      <c r="AN108" s="55" t="str">
        <f>VLOOKUP(D108,'2.Bookinglist'!A:AZ,52,FALSE)</f>
        <v>Pickup : 2026-10-20, Return SRP : 2026-10-21 [PAPERLESS CODE 2829]
CLS TIME 24/10/26 @18.00</v>
      </c>
      <c r="AO108" s="55">
        <f>VLOOKUP(D108,'2.Bookinglist'!A:CY,103,FALSE)</f>
        <v>0</v>
      </c>
    </row>
    <row r="109" ht="12.95" customHeight="1" spans="1:41" x14ac:dyDescent="0.25">
      <c r="A109" s="3" t="s">
        <v>604</v>
      </c>
      <c r="B109" s="53" t="str">
        <f>IF(C109=Charge!$M$1,Charge!$J$1,IF(C109=Charge!$M$23,Charge!$J$23,IF(C109=Charge!$M$17,Charge!$J$17,IF(C109=Charge!$N$17,Charge!$J$17,Charge!$J$7))))</f>
        <v>G2</v>
      </c>
      <c r="C109" s="54" t="str">
        <f>VLOOKUP(A109,'1.Loading'!A:R,14,FALSE)</f>
        <v>LCH06</v>
      </c>
      <c r="D109" s="54" t="str">
        <f>VLOOKUP(A109,'1.Loading'!A:R,17,FALSE)</f>
        <v>HASLS22261000285</v>
      </c>
      <c r="E109" s="55" t="str">
        <f>VLOOKUP(D109,'2.Bookinglist'!A:CT,27,FALSE)</f>
        <v>AGC VINYTHAI PUBLIC COMPANY LIMITED</v>
      </c>
      <c r="F109" s="55" t="str">
        <f>VLOOKUP(D109,'2.Bookinglist'!A:CT,28,FALSE)</f>
        <v>AGC VINYTHAI PUBLIC COMPANY LIMITED</v>
      </c>
      <c r="G109" s="56">
        <f>VLOOKUP(D109,'2.Bookinglist'!A:E,5,FALSE)</f>
        <v>0</v>
      </c>
      <c r="H109" s="54" t="str">
        <f>VLOOKUP(D109,'2.Bookinglist'!A:CT,15,FALSE)</f>
        <v>THLCH</v>
      </c>
      <c r="I109" s="54" t="str">
        <f>VLOOKUP(D109,'2.Bookinglist'!A:CT,19,FALSE)</f>
        <v>CNSHA</v>
      </c>
      <c r="J109" s="54">
        <f>VLOOKUP(D109,'2.Bookinglist'!A:CT,26,FALSE)</f>
        <v>0</v>
      </c>
      <c r="K109" s="54" t="str">
        <f>VLOOKUP(A109,'1.Loading'!A:R,5,FALSE)</f>
        <v>45GP</v>
      </c>
      <c r="L109" s="56" t="str">
        <f>VLOOKUP(D109,'2.Bookinglist'!A:CT,85,FALSE)</f>
        <v>CY/CY</v>
      </c>
      <c r="M109" s="56" t="str">
        <f>IF(VLOOKUP(D109,'2.Bookinglist'!A:CT,43,FALSE)=0,"","DG")</f>
        <v/>
      </c>
      <c r="N109" s="56" t="str">
        <f>IF(RIGHT(K109,2)="RE","RF","")</f>
        <v/>
      </c>
      <c r="O109" s="54" t="str">
        <f>VLOOKUP(A109,'1.Loading'!A:R,3,FALSE)</f>
        <v>HMVY</v>
      </c>
      <c r="P109" s="54" t="str">
        <f>VLOOKUP(A109,'1.Loading'!A:R,4,FALSE)</f>
        <v>2609N</v>
      </c>
      <c r="Q109" s="54" t="str">
        <f>VLOOKUP(D109,'2.Bookinglist'!A:CT,12,FALSE)</f>
        <v>PCI2</v>
      </c>
      <c r="R109" s="56" t="str">
        <f>IF(LEFT(K109,2)="22","20'","40'")</f>
        <v>40'</v>
      </c>
      <c r="S109" s="38"/>
      <c r="T109" s="54" t="str">
        <f>VLOOKUP(A109,'1.Loading'!A:R,2,FALSE)</f>
        <v>2026-10-28</v>
      </c>
      <c r="U109" s="57">
        <f>T109-S109</f>
        <v>46323</v>
      </c>
      <c r="V109" s="58"/>
      <c r="W109" s="54" t="str">
        <f>VLOOKUP(A109,'3.GateMove'!A:D,4,FALSE)</f>
        <v>2026-10-17</v>
      </c>
      <c r="X109" s="57">
        <f>((T109-W109)+1)</f>
        <v>12</v>
      </c>
      <c r="Y109" s="59">
        <f>IF(AND(OR(C109="BKK01",C109="BKK04"),L109="CFS/CY"),0,IF(M109="DG",1,IF(LEFT(C109,3)="LCH",7,IF(C109="BKK02",5,3))))</f>
        <v>7</v>
      </c>
      <c r="Z109" s="57">
        <f>IF(IF(AND(AC109="TML",AB109&gt;0),((T109-W109)+1)-AB109,((T109-W109)+1)-Y109)&gt;0,IF(AND(AC109="TML",AB109&gt;0),((T109-W109)+1)-AB109,((T109-W109)+1)-Y109),0)</f>
        <v>5</v>
      </c>
      <c r="AA109" s="48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1250</v>
      </c>
      <c r="AB109" s="53"/>
      <c r="AC109" s="53"/>
      <c r="AD109" s="56">
        <f>IF(M109="DG",3,IF(N109="RF",3,5))+IF(AND(LEFT(C109,3)="BKK",N109="RF",Q109="KTS"),1,0)+IF(Q109="KHS",1,0)</f>
        <v>5</v>
      </c>
      <c r="AE109" s="57">
        <f>(T109-V109)+1</f>
        <v>46324</v>
      </c>
      <c r="AF109" s="57">
        <f>IF(AB109&gt;IF((V109-W109)&gt;0,V109-W109,0),0,IF(AB109&lt;IF((V109-W109)&gt;0,V109-W109,0),IF((V109-W109)&gt;0,V109-W109,0)-AB109,IF((V109-W109)&gt;0,V109-W109,0)))</f>
        <v>0</v>
      </c>
      <c r="AG109" s="48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0"/>
      <c r="AI109" s="60">
        <f>AA109-AH109</f>
        <v>1250</v>
      </c>
      <c r="AJ109" s="61"/>
      <c r="AK109" s="55" t="str">
        <f>VLOOKUP(D109,'2.Bookinglist'!A:CT,40,FALSE)</f>
        <v>Nannaapust Sukporntaweewat</v>
      </c>
      <c r="AL109" s="56" t="str">
        <f>VLOOKUP(D109,'2.Bookinglist'!A:CW,101,FALSE)</f>
        <v>2026-10-24</v>
      </c>
      <c r="AM109" s="56" t="str">
        <f>VLOOKUP(D109,'2.Bookinglist'!A:BK,63,FALSE)</f>
        <v>LCHY5</v>
      </c>
      <c r="AN109" s="55" t="str">
        <f>VLOOKUP(D109,'2.Bookinglist'!A:AZ,52,FALSE)</f>
        <v>Pickup : 2026-10-15, Return : 2026-10-16</v>
      </c>
      <c r="AO109" s="55">
        <f>VLOOKUP(D109,'2.Bookinglist'!A:CY,103,FALSE)</f>
        <v>0</v>
      </c>
    </row>
    <row r="110" ht="12.95" customHeight="1" spans="1:41" x14ac:dyDescent="0.25">
      <c r="A110" s="3" t="s">
        <v>602</v>
      </c>
      <c r="B110" s="53" t="str">
        <f>IF(C110=Charge!$M$1,Charge!$J$1,IF(C110=Charge!$M$23,Charge!$J$23,IF(C110=Charge!$M$17,Charge!$J$17,IF(C110=Charge!$N$17,Charge!$J$17,Charge!$J$7))))</f>
        <v>G2</v>
      </c>
      <c r="C110" s="54" t="str">
        <f>VLOOKUP(A110,'1.Loading'!A:R,14,FALSE)</f>
        <v>LCH06</v>
      </c>
      <c r="D110" s="54" t="str">
        <f>VLOOKUP(A110,'1.Loading'!A:R,17,FALSE)</f>
        <v>HASLS22260902492</v>
      </c>
      <c r="E110" s="55" t="str">
        <f>VLOOKUP(D110,'2.Bookinglist'!A:CT,27,FALSE)</f>
        <v>SCGJWD LOGISTICS PUBLIC COMPANY LIMITED</v>
      </c>
      <c r="F110" s="55" t="str">
        <f>VLOOKUP(D110,'2.Bookinglist'!A:CT,28,FALSE)</f>
        <v>THAI POLYETHYLENE CO., LTD.</v>
      </c>
      <c r="G110" s="56">
        <f>VLOOKUP(D110,'2.Bookinglist'!A:E,5,FALSE)</f>
        <v>0</v>
      </c>
      <c r="H110" s="54" t="str">
        <f>VLOOKUP(D110,'2.Bookinglist'!A:CT,15,FALSE)</f>
        <v>THLCH</v>
      </c>
      <c r="I110" s="54" t="str">
        <f>VLOOKUP(D110,'2.Bookinglist'!A:CT,19,FALSE)</f>
        <v>CNSHA</v>
      </c>
      <c r="J110" s="54">
        <f>VLOOKUP(D110,'2.Bookinglist'!A:CT,26,FALSE)</f>
        <v>0</v>
      </c>
      <c r="K110" s="54" t="str">
        <f>VLOOKUP(A110,'1.Loading'!A:R,5,FALSE)</f>
        <v>45GP</v>
      </c>
      <c r="L110" s="56" t="str">
        <f>VLOOKUP(D110,'2.Bookinglist'!A:CT,85,FALSE)</f>
        <v>CY/CY</v>
      </c>
      <c r="M110" s="56" t="str">
        <f>IF(VLOOKUP(D110,'2.Bookinglist'!A:CT,43,FALSE)=0,"","DG")</f>
        <v/>
      </c>
      <c r="N110" s="56" t="str">
        <f>IF(RIGHT(K110,2)="RE","RF","")</f>
        <v/>
      </c>
      <c r="O110" s="54" t="str">
        <f>VLOOKUP(A110,'1.Loading'!A:R,3,FALSE)</f>
        <v>HMVY</v>
      </c>
      <c r="P110" s="54" t="str">
        <f>VLOOKUP(A110,'1.Loading'!A:R,4,FALSE)</f>
        <v>2609N</v>
      </c>
      <c r="Q110" s="54" t="str">
        <f>VLOOKUP(D110,'2.Bookinglist'!A:CT,12,FALSE)</f>
        <v>PCI2</v>
      </c>
      <c r="R110" s="56" t="str">
        <f>IF(LEFT(K110,2)="22","20'","40'")</f>
        <v>40'</v>
      </c>
      <c r="S110" s="38"/>
      <c r="T110" s="54" t="str">
        <f>VLOOKUP(A110,'1.Loading'!A:R,2,FALSE)</f>
        <v>2026-10-28</v>
      </c>
      <c r="U110" s="57">
        <f>T110-S110</f>
        <v>46323</v>
      </c>
      <c r="V110" s="58"/>
      <c r="W110" s="54" t="str">
        <f>VLOOKUP(A110,'3.GateMove'!A:D,4,FALSE)</f>
        <v>2026-10-22</v>
      </c>
      <c r="X110" s="57">
        <f>((T110-W110)+1)</f>
        <v>7</v>
      </c>
      <c r="Y110" s="59">
        <f>IF(AND(OR(C110="BKK01",C110="BKK04"),L110="CFS/CY"),0,IF(M110="DG",1,IF(LEFT(C110,3)="LCH",7,IF(C110="BKK02",5,3))))</f>
        <v>7</v>
      </c>
      <c r="Z110" s="57">
        <f>IF(IF(AND(AC110="TML",AB110&gt;0),((T110-W110)+1)-AB110,((T110-W110)+1)-Y110)&gt;0,IF(AND(AC110="TML",AB110&gt;0),((T110-W110)+1)-AB110,((T110-W110)+1)-Y110),0)</f>
        <v>0</v>
      </c>
      <c r="AA110" s="48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0</v>
      </c>
      <c r="AB110" s="53"/>
      <c r="AC110" s="53"/>
      <c r="AD110" s="56">
        <f>IF(M110="DG",3,IF(N110="RF",3,5))+IF(AND(LEFT(C110,3)="BKK",N110="RF",Q110="KTS"),1,0)+IF(Q110="KHS",1,0)</f>
        <v>5</v>
      </c>
      <c r="AE110" s="57">
        <f>(T110-V110)+1</f>
        <v>46324</v>
      </c>
      <c r="AF110" s="57">
        <f>IF(AB110&gt;IF((V110-W110)&gt;0,V110-W110,0),0,IF(AB110&lt;IF((V110-W110)&gt;0,V110-W110,0),IF((V110-W110)&gt;0,V110-W110,0)-AB110,IF((V110-W110)&gt;0,V110-W110,0)))</f>
        <v>0</v>
      </c>
      <c r="AG110" s="48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0"/>
      <c r="AI110" s="60">
        <f>AA110-AH110</f>
        <v>0</v>
      </c>
      <c r="AJ110" s="61"/>
      <c r="AK110" s="55" t="str">
        <f>VLOOKUP(D110,'2.Bookinglist'!A:CT,40,FALSE)</f>
        <v>Kanokporn</v>
      </c>
      <c r="AL110" s="56" t="str">
        <f>VLOOKUP(D110,'2.Bookinglist'!A:CW,101,FALSE)</f>
        <v>2026-10-18</v>
      </c>
      <c r="AM110" s="56" t="str">
        <f>VLOOKUP(D110,'2.Bookinglist'!A:BK,63,FALSE)</f>
        <v>LCHY5</v>
      </c>
      <c r="AN110" s="55" t="str">
        <f>VLOOKUP(D110,'2.Bookinglist'!A:AZ,52,FALSE)</f>
        <v>CY-RTN 09-12/10/26 (INV. 3031062392)
</v>
      </c>
      <c r="AO110" s="55">
        <f>VLOOKUP(D110,'2.Bookinglist'!A:CY,103,FALSE)</f>
        <v>0</v>
      </c>
    </row>
    <row r="111" ht="12.95" customHeight="1" spans="1:41" x14ac:dyDescent="0.25">
      <c r="A111" s="3" t="s">
        <v>536</v>
      </c>
      <c r="B111" s="53" t="str">
        <f>IF(C111=Charge!$M$1,Charge!$J$1,IF(C111=Charge!$M$23,Charge!$J$23,IF(C111=Charge!$M$17,Charge!$J$17,IF(C111=Charge!$N$17,Charge!$J$17,Charge!$J$7))))</f>
        <v>G2</v>
      </c>
      <c r="C111" s="54" t="str">
        <f>VLOOKUP(A111,'1.Loading'!A:R,14,FALSE)</f>
        <v>LCH06</v>
      </c>
      <c r="D111" s="54" t="str">
        <f>VLOOKUP(A111,'1.Loading'!A:R,17,FALSE)</f>
        <v>HASLS22260901683</v>
      </c>
      <c r="E111" s="55" t="str">
        <f>VLOOKUP(D111,'2.Bookinglist'!A:CT,27,FALSE)</f>
        <v>WHA GC LOGISTICS COMPANY LIMITED</v>
      </c>
      <c r="F111" s="55" t="str">
        <f>VLOOKUP(D111,'2.Bookinglist'!A:CT,28,FALSE)</f>
        <v>PTT GLOBAL CHEMICAL PUBLIC COMPANY LIMITED</v>
      </c>
      <c r="G111" s="56">
        <f>VLOOKUP(D111,'2.Bookinglist'!A:E,5,FALSE)</f>
        <v>0</v>
      </c>
      <c r="H111" s="54" t="str">
        <f>VLOOKUP(D111,'2.Bookinglist'!A:CT,15,FALSE)</f>
        <v>THLCH</v>
      </c>
      <c r="I111" s="54" t="str">
        <f>VLOOKUP(D111,'2.Bookinglist'!A:CT,19,FALSE)</f>
        <v>JPMYJ</v>
      </c>
      <c r="J111" s="54" t="str">
        <f>VLOOKUP(D111,'2.Bookinglist'!A:CT,26,FALSE)</f>
        <v>KRPUS</v>
      </c>
      <c r="K111" s="54" t="str">
        <f>VLOOKUP(A111,'1.Loading'!A:R,5,FALSE)</f>
        <v>45GP</v>
      </c>
      <c r="L111" s="56" t="str">
        <f>VLOOKUP(D111,'2.Bookinglist'!A:CT,85,FALSE)</f>
        <v>CY/CY</v>
      </c>
      <c r="M111" s="56" t="str">
        <f>IF(VLOOKUP(D111,'2.Bookinglist'!A:CT,43,FALSE)=0,"","DG")</f>
        <v/>
      </c>
      <c r="N111" s="56" t="str">
        <f>IF(RIGHT(K111,2)="RE","RF","")</f>
        <v/>
      </c>
      <c r="O111" s="54" t="str">
        <f>VLOOKUP(A111,'1.Loading'!A:R,3,FALSE)</f>
        <v>HMVY</v>
      </c>
      <c r="P111" s="54" t="str">
        <f>VLOOKUP(A111,'1.Loading'!A:R,4,FALSE)</f>
        <v>2609N</v>
      </c>
      <c r="Q111" s="54" t="str">
        <f>VLOOKUP(D111,'2.Bookinglist'!A:CT,12,FALSE)</f>
        <v>PCI2</v>
      </c>
      <c r="R111" s="56" t="str">
        <f>IF(LEFT(K111,2)="22","20'","40'")</f>
        <v>40'</v>
      </c>
      <c r="S111" s="38"/>
      <c r="T111" s="54" t="str">
        <f>VLOOKUP(A111,'1.Loading'!A:R,2,FALSE)</f>
        <v>2026-10-28</v>
      </c>
      <c r="U111" s="57">
        <f>T111-S111</f>
        <v>46323</v>
      </c>
      <c r="V111" s="58"/>
      <c r="W111" s="54" t="str">
        <f>VLOOKUP(A111,'3.GateMove'!A:D,4,FALSE)</f>
        <v>2026-10-18</v>
      </c>
      <c r="X111" s="57">
        <f>((T111-W111)+1)</f>
        <v>11</v>
      </c>
      <c r="Y111" s="59">
        <f>IF(AND(OR(C111="BKK01",C111="BKK04"),L111="CFS/CY"),0,IF(M111="DG",1,IF(LEFT(C111,3)="LCH",7,IF(C111="BKK02",5,3))))</f>
        <v>7</v>
      </c>
      <c r="Z111" s="57">
        <f>IF(IF(AND(AC111="TML",AB111&gt;0),((T111-W111)+1)-AB111,((T111-W111)+1)-Y111)&gt;0,IF(AND(AC111="TML",AB111&gt;0),((T111-W111)+1)-AB111,((T111-W111)+1)-Y111),0)</f>
        <v>4</v>
      </c>
      <c r="AA111" s="48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1000</v>
      </c>
      <c r="AB111" s="53"/>
      <c r="AC111" s="53"/>
      <c r="AD111" s="56">
        <f>IF(M111="DG",3,IF(N111="RF",3,5))+IF(AND(LEFT(C111,3)="BKK",N111="RF",Q111="KTS"),1,0)+IF(Q111="KHS",1,0)</f>
        <v>5</v>
      </c>
      <c r="AE111" s="57">
        <f>(T111-V111)+1</f>
        <v>46324</v>
      </c>
      <c r="AF111" s="57">
        <f>IF(AB111&gt;IF((V111-W111)&gt;0,V111-W111,0),0,IF(AB111&lt;IF((V111-W111)&gt;0,V111-W111,0),IF((V111-W111)&gt;0,V111-W111,0)-AB111,IF((V111-W111)&gt;0,V111-W111,0)))</f>
        <v>0</v>
      </c>
      <c r="AG111" s="48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0"/>
      <c r="AI111" s="60">
        <f>AA111-AH111</f>
        <v>1000</v>
      </c>
      <c r="AJ111" s="61"/>
      <c r="AK111" s="55" t="str">
        <f>VLOOKUP(D111,'2.Bookinglist'!A:CT,40,FALSE)</f>
        <v>Dharaporn</v>
      </c>
      <c r="AL111" s="56" t="str">
        <f>VLOOKUP(D111,'2.Bookinglist'!A:CW,101,FALSE)</f>
        <v>2026-10-14</v>
      </c>
      <c r="AM111" s="56" t="str">
        <f>VLOOKUP(D111,'2.Bookinglist'!A:BK,63,FALSE)</f>
        <v>LCHY5</v>
      </c>
      <c r="AN111" s="55" t="str">
        <f>VLOOKUP(D111,'2.Bookinglist'!A:AZ,52,FALSE)</f>
        <v>[FIX][FIX]CY-RTN 08-10/10/26</v>
      </c>
      <c r="AO111" s="55">
        <f>VLOOKUP(D111,'2.Bookinglist'!A:CY,103,FALSE)</f>
        <v>0</v>
      </c>
    </row>
    <row r="112" ht="12.95" customHeight="1" spans="1:41" x14ac:dyDescent="0.25">
      <c r="A112" s="3" t="s">
        <v>538</v>
      </c>
      <c r="B112" s="53" t="str">
        <f>IF(C112=Charge!$M$1,Charge!$J$1,IF(C112=Charge!$M$23,Charge!$J$23,IF(C112=Charge!$M$17,Charge!$J$17,IF(C112=Charge!$N$17,Charge!$J$17,Charge!$J$7))))</f>
        <v>G2</v>
      </c>
      <c r="C112" s="54" t="str">
        <f>VLOOKUP(A112,'1.Loading'!A:R,14,FALSE)</f>
        <v>LCH06</v>
      </c>
      <c r="D112" s="54" t="str">
        <f>VLOOKUP(A112,'1.Loading'!A:R,17,FALSE)</f>
        <v>HASLS22261000285</v>
      </c>
      <c r="E112" s="55" t="str">
        <f>VLOOKUP(D112,'2.Bookinglist'!A:CT,27,FALSE)</f>
        <v>AGC VINYTHAI PUBLIC COMPANY LIMITED</v>
      </c>
      <c r="F112" s="55" t="str">
        <f>VLOOKUP(D112,'2.Bookinglist'!A:CT,28,FALSE)</f>
        <v>AGC VINYTHAI PUBLIC COMPANY LIMITED</v>
      </c>
      <c r="G112" s="56">
        <f>VLOOKUP(D112,'2.Bookinglist'!A:E,5,FALSE)</f>
        <v>0</v>
      </c>
      <c r="H112" s="54" t="str">
        <f>VLOOKUP(D112,'2.Bookinglist'!A:CT,15,FALSE)</f>
        <v>THLCH</v>
      </c>
      <c r="I112" s="54" t="str">
        <f>VLOOKUP(D112,'2.Bookinglist'!A:CT,19,FALSE)</f>
        <v>CNSHA</v>
      </c>
      <c r="J112" s="54">
        <f>VLOOKUP(D112,'2.Bookinglist'!A:CT,26,FALSE)</f>
        <v>0</v>
      </c>
      <c r="K112" s="54" t="str">
        <f>VLOOKUP(A112,'1.Loading'!A:R,5,FALSE)</f>
        <v>45GP</v>
      </c>
      <c r="L112" s="56" t="str">
        <f>VLOOKUP(D112,'2.Bookinglist'!A:CT,85,FALSE)</f>
        <v>CY/CY</v>
      </c>
      <c r="M112" s="56" t="str">
        <f>IF(VLOOKUP(D112,'2.Bookinglist'!A:CT,43,FALSE)=0,"","DG")</f>
        <v/>
      </c>
      <c r="N112" s="56" t="str">
        <f>IF(RIGHT(K112,2)="RE","RF","")</f>
        <v/>
      </c>
      <c r="O112" s="54" t="str">
        <f>VLOOKUP(A112,'1.Loading'!A:R,3,FALSE)</f>
        <v>HMVY</v>
      </c>
      <c r="P112" s="54" t="str">
        <f>VLOOKUP(A112,'1.Loading'!A:R,4,FALSE)</f>
        <v>2609N</v>
      </c>
      <c r="Q112" s="54" t="str">
        <f>VLOOKUP(D112,'2.Bookinglist'!A:CT,12,FALSE)</f>
        <v>PCI2</v>
      </c>
      <c r="R112" s="56" t="str">
        <f>IF(LEFT(K112,2)="22","20'","40'")</f>
        <v>40'</v>
      </c>
      <c r="S112" s="38"/>
      <c r="T112" s="54" t="str">
        <f>VLOOKUP(A112,'1.Loading'!A:R,2,FALSE)</f>
        <v>2026-10-28</v>
      </c>
      <c r="U112" s="57">
        <f>T112-S112</f>
        <v>46323</v>
      </c>
      <c r="V112" s="58"/>
      <c r="W112" s="54" t="str">
        <f>VLOOKUP(A112,'3.GateMove'!A:D,4,FALSE)</f>
        <v>2026-10-20</v>
      </c>
      <c r="X112" s="57">
        <f>((T112-W112)+1)</f>
        <v>9</v>
      </c>
      <c r="Y112" s="59">
        <f>IF(AND(OR(C112="BKK01",C112="BKK04"),L112="CFS/CY"),0,IF(M112="DG",1,IF(LEFT(C112,3)="LCH",7,IF(C112="BKK02",5,3))))</f>
        <v>7</v>
      </c>
      <c r="Z112" s="57">
        <f>IF(IF(AND(AC112="TML",AB112&gt;0),((T112-W112)+1)-AB112,((T112-W112)+1)-Y112)&gt;0,IF(AND(AC112="TML",AB112&gt;0),((T112-W112)+1)-AB112,((T112-W112)+1)-Y112),0)</f>
        <v>2</v>
      </c>
      <c r="AA112" s="48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500</v>
      </c>
      <c r="AB112" s="53"/>
      <c r="AC112" s="53"/>
      <c r="AD112" s="56">
        <f>IF(M112="DG",3,IF(N112="RF",3,5))+IF(AND(LEFT(C112,3)="BKK",N112="RF",Q112="KTS"),1,0)+IF(Q112="KHS",1,0)</f>
        <v>5</v>
      </c>
      <c r="AE112" s="57">
        <f>(T112-V112)+1</f>
        <v>46324</v>
      </c>
      <c r="AF112" s="57">
        <f>IF(AB112&gt;IF((V112-W112)&gt;0,V112-W112,0),0,IF(AB112&lt;IF((V112-W112)&gt;0,V112-W112,0),IF((V112-W112)&gt;0,V112-W112,0)-AB112,IF((V112-W112)&gt;0,V112-W112,0)))</f>
        <v>0</v>
      </c>
      <c r="AG112" s="48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0"/>
      <c r="AI112" s="60">
        <f>AA112-AH112</f>
        <v>500</v>
      </c>
      <c r="AJ112" s="61"/>
      <c r="AK112" s="55" t="str">
        <f>VLOOKUP(D112,'2.Bookinglist'!A:CT,40,FALSE)</f>
        <v>Nannaapust Sukporntaweewat</v>
      </c>
      <c r="AL112" s="56" t="str">
        <f>VLOOKUP(D112,'2.Bookinglist'!A:CW,101,FALSE)</f>
        <v>2026-10-24</v>
      </c>
      <c r="AM112" s="56" t="str">
        <f>VLOOKUP(D112,'2.Bookinglist'!A:BK,63,FALSE)</f>
        <v>LCHY5</v>
      </c>
      <c r="AN112" s="55" t="str">
        <f>VLOOKUP(D112,'2.Bookinglist'!A:AZ,52,FALSE)</f>
        <v>Pickup : 2026-10-15, Return : 2026-10-16</v>
      </c>
      <c r="AO112" s="55">
        <f>VLOOKUP(D112,'2.Bookinglist'!A:CY,103,FALSE)</f>
        <v>0</v>
      </c>
    </row>
    <row r="113" ht="12.95" customHeight="1" spans="1:41" x14ac:dyDescent="0.25">
      <c r="A113" s="3" t="s">
        <v>539</v>
      </c>
      <c r="B113" s="53" t="str">
        <f>IF(C113=Charge!$M$1,Charge!$J$1,IF(C113=Charge!$M$23,Charge!$J$23,IF(C113=Charge!$M$17,Charge!$J$17,IF(C113=Charge!$N$17,Charge!$J$17,Charge!$J$7))))</f>
        <v>G2</v>
      </c>
      <c r="C113" s="54" t="str">
        <f>VLOOKUP(A113,'1.Loading'!A:R,14,FALSE)</f>
        <v>LCH06</v>
      </c>
      <c r="D113" s="54" t="str">
        <f>VLOOKUP(A113,'1.Loading'!A:R,17,FALSE)</f>
        <v>HASLS22260900442</v>
      </c>
      <c r="E113" s="55" t="str">
        <f>VLOOKUP(D113,'2.Bookinglist'!A:CT,27,FALSE)</f>
        <v>BARKLAYS LOGISTICS (THAILAND) CO., LTD.</v>
      </c>
      <c r="F113" s="55" t="str">
        <f>VLOOKUP(D113,'2.Bookinglist'!A:CT,28,FALSE)</f>
        <v>SHUN YI INTERNATIONAL TRADING CO., LTD.</v>
      </c>
      <c r="G113" s="56">
        <f>VLOOKUP(D113,'2.Bookinglist'!A:E,5,FALSE)</f>
        <v>0</v>
      </c>
      <c r="H113" s="54" t="str">
        <f>VLOOKUP(D113,'2.Bookinglist'!A:CT,15,FALSE)</f>
        <v>THLCH</v>
      </c>
      <c r="I113" s="54" t="str">
        <f>VLOOKUP(D113,'2.Bookinglist'!A:CT,19,FALSE)</f>
        <v>CNSHA</v>
      </c>
      <c r="J113" s="54">
        <f>VLOOKUP(D113,'2.Bookinglist'!A:CT,26,FALSE)</f>
        <v>0</v>
      </c>
      <c r="K113" s="54" t="str">
        <f>VLOOKUP(A113,'1.Loading'!A:R,5,FALSE)</f>
        <v>45GP</v>
      </c>
      <c r="L113" s="56" t="str">
        <f>VLOOKUP(D113,'2.Bookinglist'!A:CT,85,FALSE)</f>
        <v>CY/CY</v>
      </c>
      <c r="M113" s="56" t="str">
        <f>IF(VLOOKUP(D113,'2.Bookinglist'!A:CT,43,FALSE)=0,"","DG")</f>
        <v/>
      </c>
      <c r="N113" s="56" t="str">
        <f>IF(RIGHT(K113,2)="RE","RF","")</f>
        <v/>
      </c>
      <c r="O113" s="54" t="str">
        <f>VLOOKUP(A113,'1.Loading'!A:R,3,FALSE)</f>
        <v>HMVY</v>
      </c>
      <c r="P113" s="54" t="str">
        <f>VLOOKUP(A113,'1.Loading'!A:R,4,FALSE)</f>
        <v>2609N</v>
      </c>
      <c r="Q113" s="54" t="str">
        <f>VLOOKUP(D113,'2.Bookinglist'!A:CT,12,FALSE)</f>
        <v>PCI2</v>
      </c>
      <c r="R113" s="56" t="str">
        <f>IF(LEFT(K113,2)="22","20'","40'")</f>
        <v>40'</v>
      </c>
      <c r="S113" s="38"/>
      <c r="T113" s="54" t="str">
        <f>VLOOKUP(A113,'1.Loading'!A:R,2,FALSE)</f>
        <v>2026-10-28</v>
      </c>
      <c r="U113" s="57">
        <f>T113-S113</f>
        <v>46323</v>
      </c>
      <c r="V113" s="58"/>
      <c r="W113" s="54" t="str">
        <f>VLOOKUP(A113,'3.GateMove'!A:D,4,FALSE)</f>
        <v>2026-10-05</v>
      </c>
      <c r="X113" s="57">
        <f>((T113-W113)+1)</f>
        <v>24</v>
      </c>
      <c r="Y113" s="59">
        <f>IF(AND(OR(C113="BKK01",C113="BKK04"),L113="CFS/CY"),0,IF(M113="DG",1,IF(LEFT(C113,3)="LCH",7,IF(C113="BKK02",5,3))))</f>
        <v>7</v>
      </c>
      <c r="Z113" s="57">
        <f>IF(IF(AND(AC113="TML",AB113&gt;0),((T113-W113)+1)-AB113,((T113-W113)+1)-Y113)&gt;0,IF(AND(AC113="TML",AB113&gt;0),((T113-W113)+1)-AB113,((T113-W113)+1)-Y113),0)</f>
        <v>17</v>
      </c>
      <c r="AA113" s="48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7650</v>
      </c>
      <c r="AB113" s="53"/>
      <c r="AC113" s="53"/>
      <c r="AD113" s="56">
        <f>IF(M113="DG",3,IF(N113="RF",3,5))+IF(AND(LEFT(C113,3)="BKK",N113="RF",Q113="KTS"),1,0)+IF(Q113="KHS",1,0)</f>
        <v>5</v>
      </c>
      <c r="AE113" s="57">
        <f>(T113-V113)+1</f>
        <v>46324</v>
      </c>
      <c r="AF113" s="57">
        <f>IF(AB113&gt;IF((V113-W113)&gt;0,V113-W113,0),0,IF(AB113&lt;IF((V113-W113)&gt;0,V113-W113,0),IF((V113-W113)&gt;0,V113-W113,0)-AB113,IF((V113-W113)&gt;0,V113-W113,0)))</f>
        <v>0</v>
      </c>
      <c r="AG113" s="48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0"/>
      <c r="AI113" s="60">
        <f>AA113-AH113</f>
        <v>7650</v>
      </c>
      <c r="AJ113" s="61"/>
      <c r="AK113" s="55" t="str">
        <f>VLOOKUP(D113,'2.Bookinglist'!A:CT,40,FALSE)</f>
        <v>Nannaapust Sukporntaweewat</v>
      </c>
      <c r="AL113" s="56" t="str">
        <f>VLOOKUP(D113,'2.Bookinglist'!A:CW,101,FALSE)</f>
        <v>2026-10-22</v>
      </c>
      <c r="AM113" s="56" t="str">
        <f>VLOOKUP(D113,'2.Bookinglist'!A:BK,63,FALSE)</f>
        <v>LCHY5</v>
      </c>
      <c r="AN113" s="55" t="str">
        <f>VLOOKUP(D113,'2.Bookinglist'!A:AZ,52,FALSE)</f>
        <v>Pickup : 2026-10-02, Return : 2026-10-04 *1ST RETURN CNTR DD.08/10/2026*</v>
      </c>
      <c r="AO113" s="55" t="str">
        <f>VLOOKUP(D113,'2.Bookinglist'!A:CY,103,FALSE)</f>
        <v>ROLL OVER FROM PREVIOUS VSL SWRG 2609N BY ALLOCATION TEAM MS.TAN APPROVED COST IS UNDER HA DD.09/10</v>
      </c>
    </row>
    <row r="114" ht="12.95" customHeight="1" spans="1:41" x14ac:dyDescent="0.25">
      <c r="A114" s="3" t="s">
        <v>540</v>
      </c>
      <c r="B114" s="53" t="str">
        <f>IF(C114=Charge!$M$1,Charge!$J$1,IF(C114=Charge!$M$23,Charge!$J$23,IF(C114=Charge!$M$17,Charge!$J$17,IF(C114=Charge!$N$17,Charge!$J$17,Charge!$J$7))))</f>
        <v>G2</v>
      </c>
      <c r="C114" s="54" t="str">
        <f>VLOOKUP(A114,'1.Loading'!A:R,14,FALSE)</f>
        <v>LCH06</v>
      </c>
      <c r="D114" s="54" t="str">
        <f>VLOOKUP(A114,'1.Loading'!A:R,17,FALSE)</f>
        <v>HASLS22260900442</v>
      </c>
      <c r="E114" s="55" t="str">
        <f>VLOOKUP(D114,'2.Bookinglist'!A:CT,27,FALSE)</f>
        <v>BARKLAYS LOGISTICS (THAILAND) CO., LTD.</v>
      </c>
      <c r="F114" s="55" t="str">
        <f>VLOOKUP(D114,'2.Bookinglist'!A:CT,28,FALSE)</f>
        <v>SHUN YI INTERNATIONAL TRADING CO., LTD.</v>
      </c>
      <c r="G114" s="56">
        <f>VLOOKUP(D114,'2.Bookinglist'!A:E,5,FALSE)</f>
        <v>0</v>
      </c>
      <c r="H114" s="54" t="str">
        <f>VLOOKUP(D114,'2.Bookinglist'!A:CT,15,FALSE)</f>
        <v>THLCH</v>
      </c>
      <c r="I114" s="54" t="str">
        <f>VLOOKUP(D114,'2.Bookinglist'!A:CT,19,FALSE)</f>
        <v>CNSHA</v>
      </c>
      <c r="J114" s="54">
        <f>VLOOKUP(D114,'2.Bookinglist'!A:CT,26,FALSE)</f>
        <v>0</v>
      </c>
      <c r="K114" s="54" t="str">
        <f>VLOOKUP(A114,'1.Loading'!A:R,5,FALSE)</f>
        <v>45GP</v>
      </c>
      <c r="L114" s="56" t="str">
        <f>VLOOKUP(D114,'2.Bookinglist'!A:CT,85,FALSE)</f>
        <v>CY/CY</v>
      </c>
      <c r="M114" s="56" t="str">
        <f>IF(VLOOKUP(D114,'2.Bookinglist'!A:CT,43,FALSE)=0,"","DG")</f>
        <v/>
      </c>
      <c r="N114" s="56" t="str">
        <f>IF(RIGHT(K114,2)="RE","RF","")</f>
        <v/>
      </c>
      <c r="O114" s="54" t="str">
        <f>VLOOKUP(A114,'1.Loading'!A:R,3,FALSE)</f>
        <v>HMVY</v>
      </c>
      <c r="P114" s="54" t="str">
        <f>VLOOKUP(A114,'1.Loading'!A:R,4,FALSE)</f>
        <v>2609N</v>
      </c>
      <c r="Q114" s="54" t="str">
        <f>VLOOKUP(D114,'2.Bookinglist'!A:CT,12,FALSE)</f>
        <v>PCI2</v>
      </c>
      <c r="R114" s="56" t="str">
        <f>IF(LEFT(K114,2)="22","20'","40'")</f>
        <v>40'</v>
      </c>
      <c r="S114" s="38"/>
      <c r="T114" s="54" t="str">
        <f>VLOOKUP(A114,'1.Loading'!A:R,2,FALSE)</f>
        <v>2026-10-28</v>
      </c>
      <c r="U114" s="57">
        <f>T114-S114</f>
        <v>46323</v>
      </c>
      <c r="V114" s="58"/>
      <c r="W114" s="54" t="str">
        <f>VLOOKUP(A114,'3.GateMove'!A:D,4,FALSE)</f>
        <v>2026-10-04</v>
      </c>
      <c r="X114" s="57">
        <f>((T114-W114)+1)</f>
        <v>25</v>
      </c>
      <c r="Y114" s="59">
        <f>IF(AND(OR(C114="BKK01",C114="BKK04"),L114="CFS/CY"),0,IF(M114="DG",1,IF(LEFT(C114,3)="LCH",7,IF(C114="BKK02",5,3))))</f>
        <v>7</v>
      </c>
      <c r="Z114" s="57">
        <f>IF(IF(AND(AC114="TML",AB114&gt;0),((T114-W114)+1)-AB114,((T114-W114)+1)-Y114)&gt;0,IF(AND(AC114="TML",AB114&gt;0),((T114-W114)+1)-AB114,((T114-W114)+1)-Y114),0)</f>
        <v>18</v>
      </c>
      <c r="AA114" s="48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8450</v>
      </c>
      <c r="AB114" s="53"/>
      <c r="AC114" s="53"/>
      <c r="AD114" s="56">
        <f>IF(M114="DG",3,IF(N114="RF",3,5))+IF(AND(LEFT(C114,3)="BKK",N114="RF",Q114="KTS"),1,0)+IF(Q114="KHS",1,0)</f>
        <v>5</v>
      </c>
      <c r="AE114" s="57">
        <f>(T114-V114)+1</f>
        <v>46324</v>
      </c>
      <c r="AF114" s="57">
        <f>IF(AB114&gt;IF((V114-W114)&gt;0,V114-W114,0),0,IF(AB114&lt;IF((V114-W114)&gt;0,V114-W114,0),IF((V114-W114)&gt;0,V114-W114,0)-AB114,IF((V114-W114)&gt;0,V114-W114,0)))</f>
        <v>0</v>
      </c>
      <c r="AG114" s="48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0"/>
      <c r="AI114" s="60">
        <f>AA114-AH114</f>
        <v>8450</v>
      </c>
      <c r="AJ114" s="61"/>
      <c r="AK114" s="55" t="str">
        <f>VLOOKUP(D114,'2.Bookinglist'!A:CT,40,FALSE)</f>
        <v>Nannaapust Sukporntaweewat</v>
      </c>
      <c r="AL114" s="56" t="str">
        <f>VLOOKUP(D114,'2.Bookinglist'!A:CW,101,FALSE)</f>
        <v>2026-10-22</v>
      </c>
      <c r="AM114" s="56" t="str">
        <f>VLOOKUP(D114,'2.Bookinglist'!A:BK,63,FALSE)</f>
        <v>LCHY5</v>
      </c>
      <c r="AN114" s="55" t="str">
        <f>VLOOKUP(D114,'2.Bookinglist'!A:AZ,52,FALSE)</f>
        <v>Pickup : 2026-10-02, Return : 2026-10-04 *1ST RETURN CNTR DD.08/10/2026*</v>
      </c>
      <c r="AO114" s="55" t="str">
        <f>VLOOKUP(D114,'2.Bookinglist'!A:CY,103,FALSE)</f>
        <v>ROLL OVER FROM PREVIOUS VSL SWRG 2609N BY ALLOCATION TEAM MS.TAN APPROVED COST IS UNDER HA DD.09/10</v>
      </c>
    </row>
    <row r="115" ht="12.95" customHeight="1" spans="1:41" x14ac:dyDescent="0.25">
      <c r="A115" s="3" t="s">
        <v>541</v>
      </c>
      <c r="B115" s="53" t="str">
        <f>IF(C115=Charge!$M$1,Charge!$J$1,IF(C115=Charge!$M$23,Charge!$J$23,IF(C115=Charge!$M$17,Charge!$J$17,IF(C115=Charge!$N$17,Charge!$J$17,Charge!$J$7))))</f>
        <v>G2</v>
      </c>
      <c r="C115" s="54" t="str">
        <f>VLOOKUP(A115,'1.Loading'!A:R,14,FALSE)</f>
        <v>LCH06</v>
      </c>
      <c r="D115" s="54" t="str">
        <f>VLOOKUP(A115,'1.Loading'!A:R,17,FALSE)</f>
        <v>HASLS22260900723</v>
      </c>
      <c r="E115" s="55" t="str">
        <f>VLOOKUP(D115,'2.Bookinglist'!A:CT,27,FALSE)</f>
        <v>SCGJWD LOGISTICS PUBLIC COMPANY LIMITED</v>
      </c>
      <c r="F115" s="55" t="str">
        <f>VLOOKUP(D115,'2.Bookinglist'!A:CT,28,FALSE)</f>
        <v>THAI POLYETHYLENE CO., LTD.</v>
      </c>
      <c r="G115" s="56">
        <f>VLOOKUP(D115,'2.Bookinglist'!A:E,5,FALSE)</f>
        <v>0</v>
      </c>
      <c r="H115" s="54" t="str">
        <f>VLOOKUP(D115,'2.Bookinglist'!A:CT,15,FALSE)</f>
        <v>THLCH</v>
      </c>
      <c r="I115" s="54" t="str">
        <f>VLOOKUP(D115,'2.Bookinglist'!A:CT,19,FALSE)</f>
        <v>CNSHA</v>
      </c>
      <c r="J115" s="54">
        <f>VLOOKUP(D115,'2.Bookinglist'!A:CT,26,FALSE)</f>
        <v>0</v>
      </c>
      <c r="K115" s="54" t="str">
        <f>VLOOKUP(A115,'1.Loading'!A:R,5,FALSE)</f>
        <v>45GP</v>
      </c>
      <c r="L115" s="56" t="str">
        <f>VLOOKUP(D115,'2.Bookinglist'!A:CT,85,FALSE)</f>
        <v>CY/CY</v>
      </c>
      <c r="M115" s="56" t="str">
        <f>IF(VLOOKUP(D115,'2.Bookinglist'!A:CT,43,FALSE)=0,"","DG")</f>
        <v/>
      </c>
      <c r="N115" s="56" t="str">
        <f>IF(RIGHT(K115,2)="RE","RF","")</f>
        <v/>
      </c>
      <c r="O115" s="54" t="str">
        <f>VLOOKUP(A115,'1.Loading'!A:R,3,FALSE)</f>
        <v>HMVY</v>
      </c>
      <c r="P115" s="54" t="str">
        <f>VLOOKUP(A115,'1.Loading'!A:R,4,FALSE)</f>
        <v>2609N</v>
      </c>
      <c r="Q115" s="54" t="str">
        <f>VLOOKUP(D115,'2.Bookinglist'!A:CT,12,FALSE)</f>
        <v>PCI2</v>
      </c>
      <c r="R115" s="56" t="str">
        <f>IF(LEFT(K115,2)="22","20'","40'")</f>
        <v>40'</v>
      </c>
      <c r="S115" s="38"/>
      <c r="T115" s="54" t="str">
        <f>VLOOKUP(A115,'1.Loading'!A:R,2,FALSE)</f>
        <v>2026-10-28</v>
      </c>
      <c r="U115" s="57">
        <f>T115-S115</f>
        <v>46323</v>
      </c>
      <c r="V115" s="58"/>
      <c r="W115" s="54" t="str">
        <f>VLOOKUP(A115,'3.GateMove'!A:D,4,FALSE)</f>
        <v>2026-10-22</v>
      </c>
      <c r="X115" s="57">
        <f>((T115-W115)+1)</f>
        <v>7</v>
      </c>
      <c r="Y115" s="59">
        <f>IF(AND(OR(C115="BKK01",C115="BKK04"),L115="CFS/CY"),0,IF(M115="DG",1,IF(LEFT(C115,3)="LCH",7,IF(C115="BKK02",5,3))))</f>
        <v>7</v>
      </c>
      <c r="Z115" s="57">
        <f>IF(IF(AND(AC115="TML",AB115&gt;0),((T115-W115)+1)-AB115,((T115-W115)+1)-Y115)&gt;0,IF(AND(AC115="TML",AB115&gt;0),((T115-W115)+1)-AB115,((T115-W115)+1)-Y115),0)</f>
        <v>0</v>
      </c>
      <c r="AA115" s="48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0</v>
      </c>
      <c r="AB115" s="53"/>
      <c r="AC115" s="53"/>
      <c r="AD115" s="56">
        <f>IF(M115="DG",3,IF(N115="RF",3,5))+IF(AND(LEFT(C115,3)="BKK",N115="RF",Q115="KTS"),1,0)+IF(Q115="KHS",1,0)</f>
        <v>5</v>
      </c>
      <c r="AE115" s="57">
        <f>(T115-V115)+1</f>
        <v>46324</v>
      </c>
      <c r="AF115" s="57">
        <f>IF(AB115&gt;IF((V115-W115)&gt;0,V115-W115,0),0,IF(AB115&lt;IF((V115-W115)&gt;0,V115-W115,0),IF((V115-W115)&gt;0,V115-W115,0)-AB115,IF((V115-W115)&gt;0,V115-W115,0)))</f>
        <v>0</v>
      </c>
      <c r="AG115" s="48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0"/>
      <c r="AI115" s="60">
        <f>AA115-AH115</f>
        <v>0</v>
      </c>
      <c r="AJ115" s="61"/>
      <c r="AK115" s="55" t="str">
        <f>VLOOKUP(D115,'2.Bookinglist'!A:CT,40,FALSE)</f>
        <v>Kanokporn</v>
      </c>
      <c r="AL115" s="56" t="str">
        <f>VLOOKUP(D115,'2.Bookinglist'!A:CW,101,FALSE)</f>
        <v>2026-10-28</v>
      </c>
      <c r="AM115" s="56" t="str">
        <f>VLOOKUP(D115,'2.Bookinglist'!A:BK,63,FALSE)</f>
        <v>LCHY5</v>
      </c>
      <c r="AN115" s="55" t="str">
        <f>VLOOKUP(D115,'2.Bookinglist'!A:AZ,52,FALSE)</f>
        <v>CY-RTN: 16-20/10/2026 
(INV.3031062765) 
REQ GOOD AND CLEAN CONT., NO OIL, NO RUSTY</v>
      </c>
      <c r="AO115" s="55" t="str">
        <f>VLOOKUP(D115,'2.Bookinglist'!A:CY,103,FALSE)</f>
        <v>ROLL OVER FROM PREVIOUS VSL HAB 2612N BY ALLOCATION TEAM MS.TAN APPROVED COST IS UNDER HA DD.26/10</v>
      </c>
    </row>
    <row r="116" ht="12.95" customHeight="1" spans="1:41" x14ac:dyDescent="0.25">
      <c r="A116" s="3" t="s">
        <v>545</v>
      </c>
      <c r="B116" s="53" t="str">
        <f>IF(C116=Charge!$M$1,Charge!$J$1,IF(C116=Charge!$M$23,Charge!$J$23,IF(C116=Charge!$M$17,Charge!$J$17,IF(C116=Charge!$N$17,Charge!$J$17,Charge!$J$7))))</f>
        <v>G2</v>
      </c>
      <c r="C116" s="54" t="str">
        <f>VLOOKUP(A116,'1.Loading'!A:R,14,FALSE)</f>
        <v>LCH06</v>
      </c>
      <c r="D116" s="54" t="str">
        <f>VLOOKUP(A116,'1.Loading'!A:R,17,FALSE)</f>
        <v>HASLS22261001211</v>
      </c>
      <c r="E116" s="55" t="str">
        <f>VLOOKUP(D116,'2.Bookinglist'!A:CT,27,FALSE)</f>
        <v>ABLE AWARDS GLOBAL LOGISTICS CO., LTD.</v>
      </c>
      <c r="F116" s="55" t="str">
        <f>VLOOKUP(D116,'2.Bookinglist'!A:CT,28,FALSE)</f>
        <v>BANDAI LOGIPAL (THAILAND) CO., LTD.</v>
      </c>
      <c r="G116" s="56" t="str">
        <f>VLOOKUP(D116,'2.Bookinglist'!A:E,5,FALSE)</f>
        <v>THSRP</v>
      </c>
      <c r="H116" s="54" t="str">
        <f>VLOOKUP(D116,'2.Bookinglist'!A:CT,15,FALSE)</f>
        <v>THLCH</v>
      </c>
      <c r="I116" s="54" t="str">
        <f>VLOOKUP(D116,'2.Bookinglist'!A:CT,19,FALSE)</f>
        <v>CNSHA</v>
      </c>
      <c r="J116" s="54">
        <f>VLOOKUP(D116,'2.Bookinglist'!A:CT,26,FALSE)</f>
        <v>0</v>
      </c>
      <c r="K116" s="54" t="str">
        <f>VLOOKUP(A116,'1.Loading'!A:R,5,FALSE)</f>
        <v>45GP</v>
      </c>
      <c r="L116" s="56" t="str">
        <f>VLOOKUP(D116,'2.Bookinglist'!A:CT,85,FALSE)</f>
        <v>CY/CY</v>
      </c>
      <c r="M116" s="56" t="str">
        <f>IF(VLOOKUP(D116,'2.Bookinglist'!A:CT,43,FALSE)=0,"","DG")</f>
        <v/>
      </c>
      <c r="N116" s="56" t="str">
        <f>IF(RIGHT(K116,2)="RE","RF","")</f>
        <v/>
      </c>
      <c r="O116" s="54" t="str">
        <f>VLOOKUP(A116,'1.Loading'!A:R,3,FALSE)</f>
        <v>HMVY</v>
      </c>
      <c r="P116" s="54" t="str">
        <f>VLOOKUP(A116,'1.Loading'!A:R,4,FALSE)</f>
        <v>2609N</v>
      </c>
      <c r="Q116" s="54" t="str">
        <f>VLOOKUP(D116,'2.Bookinglist'!A:CT,12,FALSE)</f>
        <v>PCI2</v>
      </c>
      <c r="R116" s="56" t="str">
        <f>IF(LEFT(K116,2)="22","20'","40'")</f>
        <v>40'</v>
      </c>
      <c r="S116" s="38"/>
      <c r="T116" s="54" t="str">
        <f>VLOOKUP(A116,'1.Loading'!A:R,2,FALSE)</f>
        <v>2026-10-28</v>
      </c>
      <c r="U116" s="57">
        <f>T116-S116</f>
        <v>46323</v>
      </c>
      <c r="V116" s="58"/>
      <c r="W116" s="54" t="str">
        <f>VLOOKUP(A116,'3.GateMove'!A:D,4,FALSE)</f>
        <v>2026-10-23</v>
      </c>
      <c r="X116" s="57">
        <f>((T116-W116)+1)</f>
        <v>6</v>
      </c>
      <c r="Y116" s="59">
        <f>IF(AND(OR(C116="BKK01",C116="BKK04"),L116="CFS/CY"),0,IF(M116="DG",1,IF(LEFT(C116,3)="LCH",7,IF(C116="BKK02",5,3))))</f>
        <v>7</v>
      </c>
      <c r="Z116" s="57">
        <f>IF(IF(AND(AC116="TML",AB116&gt;0),((T116-W116)+1)-AB116,((T116-W116)+1)-Y116)&gt;0,IF(AND(AC116="TML",AB116&gt;0),((T116-W116)+1)-AB116,((T116-W116)+1)-Y116),0)</f>
        <v>0</v>
      </c>
      <c r="AA116" s="48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0</v>
      </c>
      <c r="AB116" s="53"/>
      <c r="AC116" s="53"/>
      <c r="AD116" s="56">
        <f>IF(M116="DG",3,IF(N116="RF",3,5))+IF(AND(LEFT(C116,3)="BKK",N116="RF",Q116="KTS"),1,0)+IF(Q116="KHS",1,0)</f>
        <v>5</v>
      </c>
      <c r="AE116" s="57">
        <f>(T116-V116)+1</f>
        <v>46324</v>
      </c>
      <c r="AF116" s="57">
        <f>IF(AB116&gt;IF((V116-W116)&gt;0,V116-W116,0),0,IF(AB116&lt;IF((V116-W116)&gt;0,V116-W116,0),IF((V116-W116)&gt;0,V116-W116,0)-AB116,IF((V116-W116)&gt;0,V116-W116,0)))</f>
        <v>0</v>
      </c>
      <c r="AG116" s="48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0"/>
      <c r="AI116" s="60">
        <f>AA116-AH116</f>
        <v>0</v>
      </c>
      <c r="AJ116" s="61"/>
      <c r="AK116" s="55" t="str">
        <f>VLOOKUP(D116,'2.Bookinglist'!A:CT,40,FALSE)</f>
        <v>Sukunpoj Damrongying</v>
      </c>
      <c r="AL116" s="56" t="str">
        <f>VLOOKUP(D116,'2.Bookinglist'!A:CW,101,FALSE)</f>
        <v>2026-10-25</v>
      </c>
      <c r="AM116" s="56" t="str">
        <f>VLOOKUP(D116,'2.Bookinglist'!A:BK,63,FALSE)</f>
        <v>BKK27</v>
      </c>
      <c r="AN116" s="55" t="str">
        <f>VLOOKUP(D116,'2.Bookinglist'!A:AZ,52,FALSE)</f>
        <v>Pickup : 2026-10-20, Return SRP : 2026-10-21 [PAPERLESS CODE 2829]
CLS TIME 22/10/26 @23.59</v>
      </c>
      <c r="AO116" s="55">
        <f>VLOOKUP(D116,'2.Bookinglist'!A:CY,103,FALSE)</f>
        <v>0</v>
      </c>
    </row>
    <row r="117" ht="12.95" customHeight="1" spans="1:41" x14ac:dyDescent="0.25">
      <c r="A117" s="3" t="s">
        <v>542</v>
      </c>
      <c r="B117" s="53" t="str">
        <f>IF(C117=Charge!$M$1,Charge!$J$1,IF(C117=Charge!$M$23,Charge!$J$23,IF(C117=Charge!$M$17,Charge!$J$17,IF(C117=Charge!$N$17,Charge!$J$17,Charge!$J$7))))</f>
        <v>G2</v>
      </c>
      <c r="C117" s="54" t="str">
        <f>VLOOKUP(A117,'1.Loading'!A:R,14,FALSE)</f>
        <v>LCH06</v>
      </c>
      <c r="D117" s="54" t="str">
        <f>VLOOKUP(A117,'1.Loading'!A:R,17,FALSE)</f>
        <v>HASLS22260902492</v>
      </c>
      <c r="E117" s="55" t="str">
        <f>VLOOKUP(D117,'2.Bookinglist'!A:CT,27,FALSE)</f>
        <v>SCGJWD LOGISTICS PUBLIC COMPANY LIMITED</v>
      </c>
      <c r="F117" s="55" t="str">
        <f>VLOOKUP(D117,'2.Bookinglist'!A:CT,28,FALSE)</f>
        <v>THAI POLYETHYLENE CO., LTD.</v>
      </c>
      <c r="G117" s="56">
        <f>VLOOKUP(D117,'2.Bookinglist'!A:E,5,FALSE)</f>
        <v>0</v>
      </c>
      <c r="H117" s="54" t="str">
        <f>VLOOKUP(D117,'2.Bookinglist'!A:CT,15,FALSE)</f>
        <v>THLCH</v>
      </c>
      <c r="I117" s="54" t="str">
        <f>VLOOKUP(D117,'2.Bookinglist'!A:CT,19,FALSE)</f>
        <v>CNSHA</v>
      </c>
      <c r="J117" s="54">
        <f>VLOOKUP(D117,'2.Bookinglist'!A:CT,26,FALSE)</f>
        <v>0</v>
      </c>
      <c r="K117" s="54" t="str">
        <f>VLOOKUP(A117,'1.Loading'!A:R,5,FALSE)</f>
        <v>45GP</v>
      </c>
      <c r="L117" s="56" t="str">
        <f>VLOOKUP(D117,'2.Bookinglist'!A:CT,85,FALSE)</f>
        <v>CY/CY</v>
      </c>
      <c r="M117" s="56" t="str">
        <f>IF(VLOOKUP(D117,'2.Bookinglist'!A:CT,43,FALSE)=0,"","DG")</f>
        <v/>
      </c>
      <c r="N117" s="56" t="str">
        <f>IF(RIGHT(K117,2)="RE","RF","")</f>
        <v/>
      </c>
      <c r="O117" s="54" t="str">
        <f>VLOOKUP(A117,'1.Loading'!A:R,3,FALSE)</f>
        <v>HMVY</v>
      </c>
      <c r="P117" s="54" t="str">
        <f>VLOOKUP(A117,'1.Loading'!A:R,4,FALSE)</f>
        <v>2609N</v>
      </c>
      <c r="Q117" s="54" t="str">
        <f>VLOOKUP(D117,'2.Bookinglist'!A:CT,12,FALSE)</f>
        <v>PCI2</v>
      </c>
      <c r="R117" s="56" t="str">
        <f>IF(LEFT(K117,2)="22","20'","40'")</f>
        <v>40'</v>
      </c>
      <c r="S117" s="38"/>
      <c r="T117" s="54" t="str">
        <f>VLOOKUP(A117,'1.Loading'!A:R,2,FALSE)</f>
        <v>2026-10-28</v>
      </c>
      <c r="U117" s="57">
        <f>T117-S117</f>
        <v>46323</v>
      </c>
      <c r="V117" s="58"/>
      <c r="W117" s="54" t="str">
        <f>VLOOKUP(A117,'3.GateMove'!A:D,4,FALSE)</f>
        <v>2026-10-22</v>
      </c>
      <c r="X117" s="57">
        <f>((T117-W117)+1)</f>
        <v>7</v>
      </c>
      <c r="Y117" s="59">
        <f>IF(AND(OR(C117="BKK01",C117="BKK04"),L117="CFS/CY"),0,IF(M117="DG",1,IF(LEFT(C117,3)="LCH",7,IF(C117="BKK02",5,3))))</f>
        <v>7</v>
      </c>
      <c r="Z117" s="57">
        <f>IF(IF(AND(AC117="TML",AB117&gt;0),((T117-W117)+1)-AB117,((T117-W117)+1)-Y117)&gt;0,IF(AND(AC117="TML",AB117&gt;0),((T117-W117)+1)-AB117,((T117-W117)+1)-Y117),0)</f>
        <v>0</v>
      </c>
      <c r="AA117" s="48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0</v>
      </c>
      <c r="AB117" s="53"/>
      <c r="AC117" s="53"/>
      <c r="AD117" s="56">
        <f>IF(M117="DG",3,IF(N117="RF",3,5))+IF(AND(LEFT(C117,3)="BKK",N117="RF",Q117="KTS"),1,0)+IF(Q117="KHS",1,0)</f>
        <v>5</v>
      </c>
      <c r="AE117" s="57">
        <f>(T117-V117)+1</f>
        <v>46324</v>
      </c>
      <c r="AF117" s="57">
        <f>IF(AB117&gt;IF((V117-W117)&gt;0,V117-W117,0),0,IF(AB117&lt;IF((V117-W117)&gt;0,V117-W117,0),IF((V117-W117)&gt;0,V117-W117,0)-AB117,IF((V117-W117)&gt;0,V117-W117,0)))</f>
        <v>0</v>
      </c>
      <c r="AG117" s="48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0"/>
      <c r="AI117" s="60">
        <f>AA117-AH117</f>
        <v>0</v>
      </c>
      <c r="AJ117" s="61"/>
      <c r="AK117" s="55" t="str">
        <f>VLOOKUP(D117,'2.Bookinglist'!A:CT,40,FALSE)</f>
        <v>Kanokporn</v>
      </c>
      <c r="AL117" s="56" t="str">
        <f>VLOOKUP(D117,'2.Bookinglist'!A:CW,101,FALSE)</f>
        <v>2026-10-18</v>
      </c>
      <c r="AM117" s="56" t="str">
        <f>VLOOKUP(D117,'2.Bookinglist'!A:BK,63,FALSE)</f>
        <v>LCHY5</v>
      </c>
      <c r="AN117" s="55" t="str">
        <f>VLOOKUP(D117,'2.Bookinglist'!A:AZ,52,FALSE)</f>
        <v>CY-RTN 09-12/10/26 (INV. 3031062392)
</v>
      </c>
      <c r="AO117" s="55">
        <f>VLOOKUP(D117,'2.Bookinglist'!A:CY,103,FALSE)</f>
        <v>0</v>
      </c>
    </row>
    <row r="118" ht="12.95" customHeight="1" spans="1:41" x14ac:dyDescent="0.25">
      <c r="A118" s="3" t="s">
        <v>544</v>
      </c>
      <c r="B118" s="53" t="str">
        <f>IF(C118=Charge!$M$1,Charge!$J$1,IF(C118=Charge!$M$23,Charge!$J$23,IF(C118=Charge!$M$17,Charge!$J$17,IF(C118=Charge!$N$17,Charge!$J$17,Charge!$J$7))))</f>
        <v>G2</v>
      </c>
      <c r="C118" s="54" t="str">
        <f>VLOOKUP(A118,'1.Loading'!A:R,14,FALSE)</f>
        <v>LCH06</v>
      </c>
      <c r="D118" s="54" t="str">
        <f>VLOOKUP(A118,'1.Loading'!A:R,17,FALSE)</f>
        <v>HASLS22260901682</v>
      </c>
      <c r="E118" s="55" t="str">
        <f>VLOOKUP(D118,'2.Bookinglist'!A:CT,27,FALSE)</f>
        <v>WHA GC LOGISTICS COMPANY LIMITED</v>
      </c>
      <c r="F118" s="55" t="str">
        <f>VLOOKUP(D118,'2.Bookinglist'!A:CT,28,FALSE)</f>
        <v>PTT GLOBAL CHEMICAL PUBLIC COMPANY LIMITED</v>
      </c>
      <c r="G118" s="56">
        <f>VLOOKUP(D118,'2.Bookinglist'!A:E,5,FALSE)</f>
        <v>0</v>
      </c>
      <c r="H118" s="54" t="str">
        <f>VLOOKUP(D118,'2.Bookinglist'!A:CT,15,FALSE)</f>
        <v>THLCH</v>
      </c>
      <c r="I118" s="54" t="str">
        <f>VLOOKUP(D118,'2.Bookinglist'!A:CT,19,FALSE)</f>
        <v>JPMYJ</v>
      </c>
      <c r="J118" s="54" t="str">
        <f>VLOOKUP(D118,'2.Bookinglist'!A:CT,26,FALSE)</f>
        <v>KRPUS</v>
      </c>
      <c r="K118" s="54" t="str">
        <f>VLOOKUP(A118,'1.Loading'!A:R,5,FALSE)</f>
        <v>45GP</v>
      </c>
      <c r="L118" s="56" t="str">
        <f>VLOOKUP(D118,'2.Bookinglist'!A:CT,85,FALSE)</f>
        <v>CY/CY</v>
      </c>
      <c r="M118" s="56" t="str">
        <f>IF(VLOOKUP(D118,'2.Bookinglist'!A:CT,43,FALSE)=0,"","DG")</f>
        <v/>
      </c>
      <c r="N118" s="56" t="str">
        <f>IF(RIGHT(K118,2)="RE","RF","")</f>
        <v/>
      </c>
      <c r="O118" s="54" t="str">
        <f>VLOOKUP(A118,'1.Loading'!A:R,3,FALSE)</f>
        <v>HMVY</v>
      </c>
      <c r="P118" s="54" t="str">
        <f>VLOOKUP(A118,'1.Loading'!A:R,4,FALSE)</f>
        <v>2609N</v>
      </c>
      <c r="Q118" s="54" t="str">
        <f>VLOOKUP(D118,'2.Bookinglist'!A:CT,12,FALSE)</f>
        <v>PCI2</v>
      </c>
      <c r="R118" s="56" t="str">
        <f>IF(LEFT(K118,2)="22","20'","40'")</f>
        <v>40'</v>
      </c>
      <c r="S118" s="38"/>
      <c r="T118" s="54" t="str">
        <f>VLOOKUP(A118,'1.Loading'!A:R,2,FALSE)</f>
        <v>2026-10-28</v>
      </c>
      <c r="U118" s="57">
        <f>T118-S118</f>
        <v>46323</v>
      </c>
      <c r="V118" s="58"/>
      <c r="W118" s="54" t="str">
        <f>VLOOKUP(A118,'3.GateMove'!A:D,4,FALSE)</f>
        <v>2026-10-18</v>
      </c>
      <c r="X118" s="57">
        <f>((T118-W118)+1)</f>
        <v>11</v>
      </c>
      <c r="Y118" s="59">
        <f>IF(AND(OR(C118="BKK01",C118="BKK04"),L118="CFS/CY"),0,IF(M118="DG",1,IF(LEFT(C118,3)="LCH",7,IF(C118="BKK02",5,3))))</f>
        <v>7</v>
      </c>
      <c r="Z118" s="57">
        <f>IF(IF(AND(AC118="TML",AB118&gt;0),((T118-W118)+1)-AB118,((T118-W118)+1)-Y118)&gt;0,IF(AND(AC118="TML",AB118&gt;0),((T118-W118)+1)-AB118,((T118-W118)+1)-Y118),0)</f>
        <v>4</v>
      </c>
      <c r="AA118" s="48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1000</v>
      </c>
      <c r="AB118" s="53"/>
      <c r="AC118" s="53"/>
      <c r="AD118" s="56">
        <f>IF(M118="DG",3,IF(N118="RF",3,5))+IF(AND(LEFT(C118,3)="BKK",N118="RF",Q118="KTS"),1,0)+IF(Q118="KHS",1,0)</f>
        <v>5</v>
      </c>
      <c r="AE118" s="57">
        <f>(T118-V118)+1</f>
        <v>46324</v>
      </c>
      <c r="AF118" s="57">
        <f>IF(AB118&gt;IF((V118-W118)&gt;0,V118-W118,0),0,IF(AB118&lt;IF((V118-W118)&gt;0,V118-W118,0),IF((V118-W118)&gt;0,V118-W118,0)-AB118,IF((V118-W118)&gt;0,V118-W118,0)))</f>
        <v>0</v>
      </c>
      <c r="AG118" s="48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0"/>
      <c r="AI118" s="60">
        <f>AA118-AH118</f>
        <v>1000</v>
      </c>
      <c r="AJ118" s="61"/>
      <c r="AK118" s="55" t="str">
        <f>VLOOKUP(D118,'2.Bookinglist'!A:CT,40,FALSE)</f>
        <v>Dharaporn</v>
      </c>
      <c r="AL118" s="56" t="str">
        <f>VLOOKUP(D118,'2.Bookinglist'!A:CW,101,FALSE)</f>
        <v>2026-10-14</v>
      </c>
      <c r="AM118" s="56" t="str">
        <f>VLOOKUP(D118,'2.Bookinglist'!A:BK,63,FALSE)</f>
        <v>LCHY5</v>
      </c>
      <c r="AN118" s="55" t="str">
        <f>VLOOKUP(D118,'2.Bookinglist'!A:AZ,52,FALSE)</f>
        <v>[FIX][FIX]CY-RTN 08-10/10/26</v>
      </c>
      <c r="AO118" s="55">
        <f>VLOOKUP(D118,'2.Bookinglist'!A:CY,103,FALSE)</f>
        <v>0</v>
      </c>
    </row>
    <row r="119" ht="12.95" customHeight="1" spans="1:41" x14ac:dyDescent="0.25">
      <c r="A119" s="3" t="s">
        <v>611</v>
      </c>
      <c r="B119" s="53" t="str">
        <f>IF(C119=Charge!$M$1,Charge!$J$1,IF(C119=Charge!$M$23,Charge!$J$23,IF(C119=Charge!$M$17,Charge!$J$17,IF(C119=Charge!$N$17,Charge!$J$17,Charge!$J$7))))</f>
        <v>G2</v>
      </c>
      <c r="C119" s="54" t="str">
        <f>VLOOKUP(A119,'1.Loading'!A:R,14,FALSE)</f>
        <v>LCH06</v>
      </c>
      <c r="D119" s="54" t="str">
        <f>VLOOKUP(A119,'1.Loading'!A:R,17,FALSE)</f>
        <v>HASLS22261000285</v>
      </c>
      <c r="E119" s="55" t="str">
        <f>VLOOKUP(D119,'2.Bookinglist'!A:CT,27,FALSE)</f>
        <v>AGC VINYTHAI PUBLIC COMPANY LIMITED</v>
      </c>
      <c r="F119" s="55" t="str">
        <f>VLOOKUP(D119,'2.Bookinglist'!A:CT,28,FALSE)</f>
        <v>AGC VINYTHAI PUBLIC COMPANY LIMITED</v>
      </c>
      <c r="G119" s="56">
        <f>VLOOKUP(D119,'2.Bookinglist'!A:E,5,FALSE)</f>
        <v>0</v>
      </c>
      <c r="H119" s="54" t="str">
        <f>VLOOKUP(D119,'2.Bookinglist'!A:CT,15,FALSE)</f>
        <v>THLCH</v>
      </c>
      <c r="I119" s="54" t="str">
        <f>VLOOKUP(D119,'2.Bookinglist'!A:CT,19,FALSE)</f>
        <v>CNSHA</v>
      </c>
      <c r="J119" s="54">
        <f>VLOOKUP(D119,'2.Bookinglist'!A:CT,26,FALSE)</f>
        <v>0</v>
      </c>
      <c r="K119" s="54" t="str">
        <f>VLOOKUP(A119,'1.Loading'!A:R,5,FALSE)</f>
        <v>45GP</v>
      </c>
      <c r="L119" s="56" t="str">
        <f>VLOOKUP(D119,'2.Bookinglist'!A:CT,85,FALSE)</f>
        <v>CY/CY</v>
      </c>
      <c r="M119" s="56" t="str">
        <f>IF(VLOOKUP(D119,'2.Bookinglist'!A:CT,43,FALSE)=0,"","DG")</f>
        <v/>
      </c>
      <c r="N119" s="56" t="str">
        <f>IF(RIGHT(K119,2)="RE","RF","")</f>
        <v/>
      </c>
      <c r="O119" s="54" t="str">
        <f>VLOOKUP(A119,'1.Loading'!A:R,3,FALSE)</f>
        <v>HMVY</v>
      </c>
      <c r="P119" s="54" t="str">
        <f>VLOOKUP(A119,'1.Loading'!A:R,4,FALSE)</f>
        <v>2609N</v>
      </c>
      <c r="Q119" s="54" t="str">
        <f>VLOOKUP(D119,'2.Bookinglist'!A:CT,12,FALSE)</f>
        <v>PCI2</v>
      </c>
      <c r="R119" s="56" t="str">
        <f>IF(LEFT(K119,2)="22","20'","40'")</f>
        <v>40'</v>
      </c>
      <c r="S119" s="38"/>
      <c r="T119" s="54" t="str">
        <f>VLOOKUP(A119,'1.Loading'!A:R,2,FALSE)</f>
        <v>2026-10-28</v>
      </c>
      <c r="U119" s="57">
        <f>T119-S119</f>
        <v>46323</v>
      </c>
      <c r="V119" s="58"/>
      <c r="W119" s="54" t="str">
        <f>VLOOKUP(A119,'3.GateMove'!A:D,4,FALSE)</f>
        <v>2026-10-21</v>
      </c>
      <c r="X119" s="57">
        <f>((T119-W119)+1)</f>
        <v>8</v>
      </c>
      <c r="Y119" s="59">
        <f>IF(AND(OR(C119="BKK01",C119="BKK04"),L119="CFS/CY"),0,IF(M119="DG",1,IF(LEFT(C119,3)="LCH",7,IF(C119="BKK02",5,3))))</f>
        <v>7</v>
      </c>
      <c r="Z119" s="57">
        <f>IF(IF(AND(AC119="TML",AB119&gt;0),((T119-W119)+1)-AB119,((T119-W119)+1)-Y119)&gt;0,IF(AND(AC119="TML",AB119&gt;0),((T119-W119)+1)-AB119,((T119-W119)+1)-Y119),0)</f>
        <v>1</v>
      </c>
      <c r="AA119" s="48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250</v>
      </c>
      <c r="AB119" s="53"/>
      <c r="AC119" s="53"/>
      <c r="AD119" s="56">
        <f>IF(M119="DG",3,IF(N119="RF",3,5))+IF(AND(LEFT(C119,3)="BKK",N119="RF",Q119="KTS"),1,0)+IF(Q119="KHS",1,0)</f>
        <v>5</v>
      </c>
      <c r="AE119" s="57">
        <f>(T119-V119)+1</f>
        <v>46324</v>
      </c>
      <c r="AF119" s="57">
        <f>IF(AB119&gt;IF((V119-W119)&gt;0,V119-W119,0),0,IF(AB119&lt;IF((V119-W119)&gt;0,V119-W119,0),IF((V119-W119)&gt;0,V119-W119,0)-AB119,IF((V119-W119)&gt;0,V119-W119,0)))</f>
        <v>0</v>
      </c>
      <c r="AG119" s="48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0"/>
      <c r="AI119" s="60">
        <f>AA119-AH119</f>
        <v>250</v>
      </c>
      <c r="AJ119" s="61"/>
      <c r="AK119" s="55" t="str">
        <f>VLOOKUP(D119,'2.Bookinglist'!A:CT,40,FALSE)</f>
        <v>Nannaapust Sukporntaweewat</v>
      </c>
      <c r="AL119" s="56" t="str">
        <f>VLOOKUP(D119,'2.Bookinglist'!A:CW,101,FALSE)</f>
        <v>2026-10-24</v>
      </c>
      <c r="AM119" s="56" t="str">
        <f>VLOOKUP(D119,'2.Bookinglist'!A:BK,63,FALSE)</f>
        <v>LCHY5</v>
      </c>
      <c r="AN119" s="55" t="str">
        <f>VLOOKUP(D119,'2.Bookinglist'!A:AZ,52,FALSE)</f>
        <v>Pickup : 2026-10-15, Return : 2026-10-16</v>
      </c>
      <c r="AO119" s="55">
        <f>VLOOKUP(D119,'2.Bookinglist'!A:CY,103,FALSE)</f>
        <v>0</v>
      </c>
    </row>
    <row r="120" ht="12.95" customHeight="1" spans="1:41" x14ac:dyDescent="0.25">
      <c r="A120" s="3" t="s">
        <v>613</v>
      </c>
      <c r="B120" s="53" t="str">
        <f>IF(C120=Charge!$M$1,Charge!$J$1,IF(C120=Charge!$M$23,Charge!$J$23,IF(C120=Charge!$M$17,Charge!$J$17,IF(C120=Charge!$N$17,Charge!$J$17,Charge!$J$7))))</f>
        <v>G2</v>
      </c>
      <c r="C120" s="54" t="str">
        <f>VLOOKUP(A120,'1.Loading'!A:R,14,FALSE)</f>
        <v>LCH06</v>
      </c>
      <c r="D120" s="54" t="str">
        <f>VLOOKUP(A120,'1.Loading'!A:R,17,FALSE)</f>
        <v>HASLS22261000252</v>
      </c>
      <c r="E120" s="55" t="str">
        <f>VLOOKUP(D120,'2.Bookinglist'!A:CT,27,FALSE)</f>
        <v>GRAND INTERNATIONAL LOGISTICS  CO.,LTD.</v>
      </c>
      <c r="F120" s="55" t="str">
        <f>VLOOKUP(D120,'2.Bookinglist'!A:CT,28,FALSE)</f>
        <v>TOYOX ASIA (THAILAND) CO., LTD.</v>
      </c>
      <c r="G120" s="56" t="str">
        <f>VLOOKUP(D120,'2.Bookinglist'!A:E,5,FALSE)</f>
        <v>THSRP</v>
      </c>
      <c r="H120" s="54" t="str">
        <f>VLOOKUP(D120,'2.Bookinglist'!A:CT,15,FALSE)</f>
        <v>THLCH</v>
      </c>
      <c r="I120" s="54" t="str">
        <f>VLOOKUP(D120,'2.Bookinglist'!A:CT,19,FALSE)</f>
        <v>CNSHA</v>
      </c>
      <c r="J120" s="54">
        <f>VLOOKUP(D120,'2.Bookinglist'!A:CT,26,FALSE)</f>
        <v>0</v>
      </c>
      <c r="K120" s="54" t="str">
        <f>VLOOKUP(A120,'1.Loading'!A:R,5,FALSE)</f>
        <v>45GP</v>
      </c>
      <c r="L120" s="56" t="str">
        <f>VLOOKUP(D120,'2.Bookinglist'!A:CT,85,FALSE)</f>
        <v>CY/CY</v>
      </c>
      <c r="M120" s="56" t="str">
        <f>IF(VLOOKUP(D120,'2.Bookinglist'!A:CT,43,FALSE)=0,"","DG")</f>
        <v/>
      </c>
      <c r="N120" s="56" t="str">
        <f>IF(RIGHT(K120,2)="RE","RF","")</f>
        <v/>
      </c>
      <c r="O120" s="54" t="str">
        <f>VLOOKUP(A120,'1.Loading'!A:R,3,FALSE)</f>
        <v>HMVY</v>
      </c>
      <c r="P120" s="54" t="str">
        <f>VLOOKUP(A120,'1.Loading'!A:R,4,FALSE)</f>
        <v>2609N</v>
      </c>
      <c r="Q120" s="54" t="str">
        <f>VLOOKUP(D120,'2.Bookinglist'!A:CT,12,FALSE)</f>
        <v>PCI2</v>
      </c>
      <c r="R120" s="56" t="str">
        <f>IF(LEFT(K120,2)="22","20'","40'")</f>
        <v>40'</v>
      </c>
      <c r="S120" s="38"/>
      <c r="T120" s="54" t="str">
        <f>VLOOKUP(A120,'1.Loading'!A:R,2,FALSE)</f>
        <v>2026-10-28</v>
      </c>
      <c r="U120" s="57">
        <f>T120-S120</f>
        <v>46323</v>
      </c>
      <c r="V120" s="58"/>
      <c r="W120" s="54" t="str">
        <f>VLOOKUP(A120,'3.GateMove'!A:D,4,FALSE)</f>
        <v>2026-10-23</v>
      </c>
      <c r="X120" s="57">
        <f>((T120-W120)+1)</f>
        <v>6</v>
      </c>
      <c r="Y120" s="59">
        <f>IF(AND(OR(C120="BKK01",C120="BKK04"),L120="CFS/CY"),0,IF(M120="DG",1,IF(LEFT(C120,3)="LCH",7,IF(C120="BKK02",5,3))))</f>
        <v>7</v>
      </c>
      <c r="Z120" s="57">
        <f>IF(IF(AND(AC120="TML",AB120&gt;0),((T120-W120)+1)-AB120,((T120-W120)+1)-Y120)&gt;0,IF(AND(AC120="TML",AB120&gt;0),((T120-W120)+1)-AB120,((T120-W120)+1)-Y120),0)</f>
        <v>0</v>
      </c>
      <c r="AA120" s="48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0</v>
      </c>
      <c r="AB120" s="53"/>
      <c r="AC120" s="53"/>
      <c r="AD120" s="56">
        <f>IF(M120="DG",3,IF(N120="RF",3,5))+IF(AND(LEFT(C120,3)="BKK",N120="RF",Q120="KTS"),1,0)+IF(Q120="KHS",1,0)</f>
        <v>5</v>
      </c>
      <c r="AE120" s="57">
        <f>(T120-V120)+1</f>
        <v>46324</v>
      </c>
      <c r="AF120" s="57">
        <f>IF(AB120&gt;IF((V120-W120)&gt;0,V120-W120,0),0,IF(AB120&lt;IF((V120-W120)&gt;0,V120-W120,0),IF((V120-W120)&gt;0,V120-W120,0)-AB120,IF((V120-W120)&gt;0,V120-W120,0)))</f>
        <v>0</v>
      </c>
      <c r="AG120" s="48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0"/>
      <c r="AI120" s="60">
        <f>AA120-AH120</f>
        <v>0</v>
      </c>
      <c r="AJ120" s="61"/>
      <c r="AK120" s="55" t="str">
        <f>VLOOKUP(D120,'2.Bookinglist'!A:CT,40,FALSE)</f>
        <v>Dharaporn</v>
      </c>
      <c r="AL120" s="56" t="str">
        <f>VLOOKUP(D120,'2.Bookinglist'!A:CW,101,FALSE)</f>
        <v>2026-10-20</v>
      </c>
      <c r="AM120" s="56" t="str">
        <f>VLOOKUP(D120,'2.Bookinglist'!A:BK,63,FALSE)</f>
        <v>BKK27</v>
      </c>
      <c r="AN120" s="55" t="str">
        <f>VLOOKUP(D120,'2.Bookinglist'!A:AZ,52,FALSE)</f>
        <v>Pickup : 2026-10-14, Return @SRP : 2026-10-15  (PAPERLESS CODE : 2829)
CLS TIME @SRP : 17/10/2026 @18.00 </v>
      </c>
      <c r="AO120" s="55">
        <f>VLOOKUP(D120,'2.Bookinglist'!A:CY,103,FALSE)</f>
        <v>0</v>
      </c>
    </row>
    <row r="121" ht="12.95" customHeight="1" spans="1:41" x14ac:dyDescent="0.25">
      <c r="A121" s="3" t="s">
        <v>616</v>
      </c>
      <c r="B121" s="53" t="str">
        <f>IF(C121=Charge!$M$1,Charge!$J$1,IF(C121=Charge!$M$23,Charge!$J$23,IF(C121=Charge!$M$17,Charge!$J$17,IF(C121=Charge!$N$17,Charge!$J$17,Charge!$J$7))))</f>
        <v>G2</v>
      </c>
      <c r="C121" s="54" t="str">
        <f>VLOOKUP(A121,'1.Loading'!A:R,14,FALSE)</f>
        <v>LCH06</v>
      </c>
      <c r="D121" s="54" t="str">
        <f>VLOOKUP(A121,'1.Loading'!A:R,17,FALSE)</f>
        <v>HASLS22260900442</v>
      </c>
      <c r="E121" s="55" t="str">
        <f>VLOOKUP(D121,'2.Bookinglist'!A:CT,27,FALSE)</f>
        <v>BARKLAYS LOGISTICS (THAILAND) CO., LTD.</v>
      </c>
      <c r="F121" s="55" t="str">
        <f>VLOOKUP(D121,'2.Bookinglist'!A:CT,28,FALSE)</f>
        <v>SHUN YI INTERNATIONAL TRADING CO., LTD.</v>
      </c>
      <c r="G121" s="56">
        <f>VLOOKUP(D121,'2.Bookinglist'!A:E,5,FALSE)</f>
        <v>0</v>
      </c>
      <c r="H121" s="54" t="str">
        <f>VLOOKUP(D121,'2.Bookinglist'!A:CT,15,FALSE)</f>
        <v>THLCH</v>
      </c>
      <c r="I121" s="54" t="str">
        <f>VLOOKUP(D121,'2.Bookinglist'!A:CT,19,FALSE)</f>
        <v>CNSHA</v>
      </c>
      <c r="J121" s="54">
        <f>VLOOKUP(D121,'2.Bookinglist'!A:CT,26,FALSE)</f>
        <v>0</v>
      </c>
      <c r="K121" s="54" t="str">
        <f>VLOOKUP(A121,'1.Loading'!A:R,5,FALSE)</f>
        <v>45GP</v>
      </c>
      <c r="L121" s="56" t="str">
        <f>VLOOKUP(D121,'2.Bookinglist'!A:CT,85,FALSE)</f>
        <v>CY/CY</v>
      </c>
      <c r="M121" s="56" t="str">
        <f>IF(VLOOKUP(D121,'2.Bookinglist'!A:CT,43,FALSE)=0,"","DG")</f>
        <v/>
      </c>
      <c r="N121" s="56" t="str">
        <f>IF(RIGHT(K121,2)="RE","RF","")</f>
        <v/>
      </c>
      <c r="O121" s="54" t="str">
        <f>VLOOKUP(A121,'1.Loading'!A:R,3,FALSE)</f>
        <v>HMVY</v>
      </c>
      <c r="P121" s="54" t="str">
        <f>VLOOKUP(A121,'1.Loading'!A:R,4,FALSE)</f>
        <v>2609N</v>
      </c>
      <c r="Q121" s="54" t="str">
        <f>VLOOKUP(D121,'2.Bookinglist'!A:CT,12,FALSE)</f>
        <v>PCI2</v>
      </c>
      <c r="R121" s="56" t="str">
        <f>IF(LEFT(K121,2)="22","20'","40'")</f>
        <v>40'</v>
      </c>
      <c r="S121" s="38"/>
      <c r="T121" s="54" t="str">
        <f>VLOOKUP(A121,'1.Loading'!A:R,2,FALSE)</f>
        <v>2026-10-28</v>
      </c>
      <c r="U121" s="57">
        <f>T121-S121</f>
        <v>46323</v>
      </c>
      <c r="V121" s="58"/>
      <c r="W121" s="54" t="str">
        <f>VLOOKUP(A121,'3.GateMove'!A:D,4,FALSE)</f>
        <v>2026-10-04</v>
      </c>
      <c r="X121" s="57">
        <f>((T121-W121)+1)</f>
        <v>25</v>
      </c>
      <c r="Y121" s="59">
        <f>IF(AND(OR(C121="BKK01",C121="BKK04"),L121="CFS/CY"),0,IF(M121="DG",1,IF(LEFT(C121,3)="LCH",7,IF(C121="BKK02",5,3))))</f>
        <v>7</v>
      </c>
      <c r="Z121" s="57">
        <f>IF(IF(AND(AC121="TML",AB121&gt;0),((T121-W121)+1)-AB121,((T121-W121)+1)-Y121)&gt;0,IF(AND(AC121="TML",AB121&gt;0),((T121-W121)+1)-AB121,((T121-W121)+1)-Y121),0)</f>
        <v>18</v>
      </c>
      <c r="AA121" s="48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8450</v>
      </c>
      <c r="AB121" s="53"/>
      <c r="AC121" s="53"/>
      <c r="AD121" s="56">
        <f>IF(M121="DG",3,IF(N121="RF",3,5))+IF(AND(LEFT(C121,3)="BKK",N121="RF",Q121="KTS"),1,0)+IF(Q121="KHS",1,0)</f>
        <v>5</v>
      </c>
      <c r="AE121" s="57">
        <f>(T121-V121)+1</f>
        <v>46324</v>
      </c>
      <c r="AF121" s="57">
        <f>IF(AB121&gt;IF((V121-W121)&gt;0,V121-W121,0),0,IF(AB121&lt;IF((V121-W121)&gt;0,V121-W121,0),IF((V121-W121)&gt;0,V121-W121,0)-AB121,IF((V121-W121)&gt;0,V121-W121,0)))</f>
        <v>0</v>
      </c>
      <c r="AG121" s="48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0"/>
      <c r="AI121" s="60">
        <f>AA121-AH121</f>
        <v>8450</v>
      </c>
      <c r="AJ121" s="61"/>
      <c r="AK121" s="55" t="str">
        <f>VLOOKUP(D121,'2.Bookinglist'!A:CT,40,FALSE)</f>
        <v>Nannaapust Sukporntaweewat</v>
      </c>
      <c r="AL121" s="56" t="str">
        <f>VLOOKUP(D121,'2.Bookinglist'!A:CW,101,FALSE)</f>
        <v>2026-10-22</v>
      </c>
      <c r="AM121" s="56" t="str">
        <f>VLOOKUP(D121,'2.Bookinglist'!A:BK,63,FALSE)</f>
        <v>LCHY5</v>
      </c>
      <c r="AN121" s="55" t="str">
        <f>VLOOKUP(D121,'2.Bookinglist'!A:AZ,52,FALSE)</f>
        <v>Pickup : 2026-10-02, Return : 2026-10-04 *1ST RETURN CNTR DD.08/10/2026*</v>
      </c>
      <c r="AO121" s="55" t="str">
        <f>VLOOKUP(D121,'2.Bookinglist'!A:CY,103,FALSE)</f>
        <v>ROLL OVER FROM PREVIOUS VSL SWRG 2609N BY ALLOCATION TEAM MS.TAN APPROVED COST IS UNDER HA DD.09/10</v>
      </c>
    </row>
    <row r="122" ht="12.95" customHeight="1" spans="1:41" x14ac:dyDescent="0.25">
      <c r="A122" s="3" t="s">
        <v>612</v>
      </c>
      <c r="B122" s="53" t="str">
        <f>IF(C122=Charge!$M$1,Charge!$J$1,IF(C122=Charge!$M$23,Charge!$J$23,IF(C122=Charge!$M$17,Charge!$J$17,IF(C122=Charge!$N$17,Charge!$J$17,Charge!$J$7))))</f>
        <v>G2</v>
      </c>
      <c r="C122" s="54" t="str">
        <f>VLOOKUP(A122,'1.Loading'!A:R,14,FALSE)</f>
        <v>LCH06</v>
      </c>
      <c r="D122" s="54" t="str">
        <f>VLOOKUP(A122,'1.Loading'!A:R,17,FALSE)</f>
        <v>HASLS22261000715</v>
      </c>
      <c r="E122" s="55" t="str">
        <f>VLOOKUP(D122,'2.Bookinglist'!A:CT,27,FALSE)</f>
        <v>MANA GLOBAL LINK CO., LTD.</v>
      </c>
      <c r="F122" s="55" t="str">
        <f>VLOOKUP(D122,'2.Bookinglist'!A:CT,28,FALSE)</f>
        <v>THAI FOENG INTERNATIONAL CO., LTD.</v>
      </c>
      <c r="G122" s="56" t="str">
        <f>VLOOKUP(D122,'2.Bookinglist'!A:E,5,FALSE)</f>
        <v>THSRP</v>
      </c>
      <c r="H122" s="54" t="str">
        <f>VLOOKUP(D122,'2.Bookinglist'!A:CT,15,FALSE)</f>
        <v>THLCH</v>
      </c>
      <c r="I122" s="54" t="str">
        <f>VLOOKUP(D122,'2.Bookinglist'!A:CT,19,FALSE)</f>
        <v>CNSHA</v>
      </c>
      <c r="J122" s="54">
        <f>VLOOKUP(D122,'2.Bookinglist'!A:CT,26,FALSE)</f>
        <v>0</v>
      </c>
      <c r="K122" s="54" t="str">
        <f>VLOOKUP(A122,'1.Loading'!A:R,5,FALSE)</f>
        <v>45GP</v>
      </c>
      <c r="L122" s="56" t="str">
        <f>VLOOKUP(D122,'2.Bookinglist'!A:CT,85,FALSE)</f>
        <v>CY/CY</v>
      </c>
      <c r="M122" s="56" t="str">
        <f>IF(VLOOKUP(D122,'2.Bookinglist'!A:CT,43,FALSE)=0,"","DG")</f>
        <v/>
      </c>
      <c r="N122" s="56" t="str">
        <f>IF(RIGHT(K122,2)="RE","RF","")</f>
        <v/>
      </c>
      <c r="O122" s="54" t="str">
        <f>VLOOKUP(A122,'1.Loading'!A:R,3,FALSE)</f>
        <v>HMVY</v>
      </c>
      <c r="P122" s="54" t="str">
        <f>VLOOKUP(A122,'1.Loading'!A:R,4,FALSE)</f>
        <v>2609N</v>
      </c>
      <c r="Q122" s="54" t="str">
        <f>VLOOKUP(D122,'2.Bookinglist'!A:CT,12,FALSE)</f>
        <v>PCI2</v>
      </c>
      <c r="R122" s="56" t="str">
        <f>IF(LEFT(K122,2)="22","20'","40'")</f>
        <v>40'</v>
      </c>
      <c r="S122" s="38"/>
      <c r="T122" s="54" t="str">
        <f>VLOOKUP(A122,'1.Loading'!A:R,2,FALSE)</f>
        <v>2026-10-28</v>
      </c>
      <c r="U122" s="57">
        <f>T122-S122</f>
        <v>46323</v>
      </c>
      <c r="V122" s="58"/>
      <c r="W122" s="54" t="str">
        <f>VLOOKUP(A122,'3.GateMove'!A:D,4,FALSE)</f>
        <v>2026-10-23</v>
      </c>
      <c r="X122" s="57">
        <f>((T122-W122)+1)</f>
        <v>6</v>
      </c>
      <c r="Y122" s="59">
        <f>IF(AND(OR(C122="BKK01",C122="BKK04"),L122="CFS/CY"),0,IF(M122="DG",1,IF(LEFT(C122,3)="LCH",7,IF(C122="BKK02",5,3))))</f>
        <v>7</v>
      </c>
      <c r="Z122" s="57">
        <f>IF(IF(AND(AC122="TML",AB122&gt;0),((T122-W122)+1)-AB122,((T122-W122)+1)-Y122)&gt;0,IF(AND(AC122="TML",AB122&gt;0),((T122-W122)+1)-AB122,((T122-W122)+1)-Y122),0)</f>
        <v>0</v>
      </c>
      <c r="AA122" s="48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0</v>
      </c>
      <c r="AB122" s="53"/>
      <c r="AC122" s="53"/>
      <c r="AD122" s="56">
        <f>IF(M122="DG",3,IF(N122="RF",3,5))+IF(AND(LEFT(C122,3)="BKK",N122="RF",Q122="KTS"),1,0)+IF(Q122="KHS",1,0)</f>
        <v>5</v>
      </c>
      <c r="AE122" s="57">
        <f>(T122-V122)+1</f>
        <v>46324</v>
      </c>
      <c r="AF122" s="57">
        <f>IF(AB122&gt;IF((V122-W122)&gt;0,V122-W122,0),0,IF(AB122&lt;IF((V122-W122)&gt;0,V122-W122,0),IF((V122-W122)&gt;0,V122-W122,0)-AB122,IF((V122-W122)&gt;0,V122-W122,0)))</f>
        <v>0</v>
      </c>
      <c r="AG122" s="48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0"/>
      <c r="AI122" s="60">
        <f>AA122-AH122</f>
        <v>0</v>
      </c>
      <c r="AJ122" s="61"/>
      <c r="AK122" s="55" t="str">
        <f>VLOOKUP(D122,'2.Bookinglist'!A:CT,40,FALSE)</f>
        <v>Nannaapust Sukporntaweewat</v>
      </c>
      <c r="AL122" s="56" t="str">
        <f>VLOOKUP(D122,'2.Bookinglist'!A:CW,101,FALSE)</f>
        <v>2026-10-22</v>
      </c>
      <c r="AM122" s="56" t="str">
        <f>VLOOKUP(D122,'2.Bookinglist'!A:BK,63,FALSE)</f>
        <v>BKK27</v>
      </c>
      <c r="AN122" s="55" t="str">
        <f>VLOOKUP(D122,'2.Bookinglist'!A:AZ,52,FALSE)</f>
        <v>Pickup : 2026-10-12, Return : 2026-10-14 [PAPERLESS CODE : 2829]
 CLS TIME 19/10 @12.00 [1ST RTN 16/10 W/O RENT] 
 </v>
      </c>
      <c r="AO122" s="55">
        <f>VLOOKUP(D122,'2.Bookinglist'!A:CY,103,FALSE)</f>
        <v>0</v>
      </c>
    </row>
    <row r="123" ht="12.95" customHeight="1" spans="1:41" x14ac:dyDescent="0.25">
      <c r="A123" s="3" t="s">
        <v>608</v>
      </c>
      <c r="B123" s="53" t="str">
        <f>IF(C123=Charge!$M$1,Charge!$J$1,IF(C123=Charge!$M$23,Charge!$J$23,IF(C123=Charge!$M$17,Charge!$J$17,IF(C123=Charge!$N$17,Charge!$J$17,Charge!$J$7))))</f>
        <v>G2</v>
      </c>
      <c r="C123" s="54" t="str">
        <f>VLOOKUP(A123,'1.Loading'!A:R,14,FALSE)</f>
        <v>LCH06</v>
      </c>
      <c r="D123" s="54" t="str">
        <f>VLOOKUP(A123,'1.Loading'!A:R,17,FALSE)</f>
        <v>HASLS22261000285</v>
      </c>
      <c r="E123" s="55" t="str">
        <f>VLOOKUP(D123,'2.Bookinglist'!A:CT,27,FALSE)</f>
        <v>AGC VINYTHAI PUBLIC COMPANY LIMITED</v>
      </c>
      <c r="F123" s="55" t="str">
        <f>VLOOKUP(D123,'2.Bookinglist'!A:CT,28,FALSE)</f>
        <v>AGC VINYTHAI PUBLIC COMPANY LIMITED</v>
      </c>
      <c r="G123" s="56">
        <f>VLOOKUP(D123,'2.Bookinglist'!A:E,5,FALSE)</f>
        <v>0</v>
      </c>
      <c r="H123" s="54" t="str">
        <f>VLOOKUP(D123,'2.Bookinglist'!A:CT,15,FALSE)</f>
        <v>THLCH</v>
      </c>
      <c r="I123" s="54" t="str">
        <f>VLOOKUP(D123,'2.Bookinglist'!A:CT,19,FALSE)</f>
        <v>CNSHA</v>
      </c>
      <c r="J123" s="54">
        <f>VLOOKUP(D123,'2.Bookinglist'!A:CT,26,FALSE)</f>
        <v>0</v>
      </c>
      <c r="K123" s="54" t="str">
        <f>VLOOKUP(A123,'1.Loading'!A:R,5,FALSE)</f>
        <v>45GP</v>
      </c>
      <c r="L123" s="56" t="str">
        <f>VLOOKUP(D123,'2.Bookinglist'!A:CT,85,FALSE)</f>
        <v>CY/CY</v>
      </c>
      <c r="M123" s="56" t="str">
        <f>IF(VLOOKUP(D123,'2.Bookinglist'!A:CT,43,FALSE)=0,"","DG")</f>
        <v/>
      </c>
      <c r="N123" s="56" t="str">
        <f>IF(RIGHT(K123,2)="RE","RF","")</f>
        <v/>
      </c>
      <c r="O123" s="54" t="str">
        <f>VLOOKUP(A123,'1.Loading'!A:R,3,FALSE)</f>
        <v>HMVY</v>
      </c>
      <c r="P123" s="54" t="str">
        <f>VLOOKUP(A123,'1.Loading'!A:R,4,FALSE)</f>
        <v>2609N</v>
      </c>
      <c r="Q123" s="54" t="str">
        <f>VLOOKUP(D123,'2.Bookinglist'!A:CT,12,FALSE)</f>
        <v>PCI2</v>
      </c>
      <c r="R123" s="56" t="str">
        <f>IF(LEFT(K123,2)="22","20'","40'")</f>
        <v>40'</v>
      </c>
      <c r="S123" s="38"/>
      <c r="T123" s="54" t="str">
        <f>VLOOKUP(A123,'1.Loading'!A:R,2,FALSE)</f>
        <v>2026-10-28</v>
      </c>
      <c r="U123" s="57">
        <f>T123-S123</f>
        <v>46323</v>
      </c>
      <c r="V123" s="58"/>
      <c r="W123" s="54" t="str">
        <f>VLOOKUP(A123,'3.GateMove'!A:D,4,FALSE)</f>
        <v>2026-10-19</v>
      </c>
      <c r="X123" s="57">
        <f>((T123-W123)+1)</f>
        <v>10</v>
      </c>
      <c r="Y123" s="59">
        <f>IF(AND(OR(C123="BKK01",C123="BKK04"),L123="CFS/CY"),0,IF(M123="DG",1,IF(LEFT(C123,3)="LCH",7,IF(C123="BKK02",5,3))))</f>
        <v>7</v>
      </c>
      <c r="Z123" s="57">
        <f>IF(IF(AND(AC123="TML",AB123&gt;0),((T123-W123)+1)-AB123,((T123-W123)+1)-Y123)&gt;0,IF(AND(AC123="TML",AB123&gt;0),((T123-W123)+1)-AB123,((T123-W123)+1)-Y123),0)</f>
        <v>3</v>
      </c>
      <c r="AA123" s="48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750</v>
      </c>
      <c r="AB123" s="53"/>
      <c r="AC123" s="53"/>
      <c r="AD123" s="56">
        <f>IF(M123="DG",3,IF(N123="RF",3,5))+IF(AND(LEFT(C123,3)="BKK",N123="RF",Q123="KTS"),1,0)+IF(Q123="KHS",1,0)</f>
        <v>5</v>
      </c>
      <c r="AE123" s="57">
        <f>(T123-V123)+1</f>
        <v>46324</v>
      </c>
      <c r="AF123" s="57">
        <f>IF(AB123&gt;IF((V123-W123)&gt;0,V123-W123,0),0,IF(AB123&lt;IF((V123-W123)&gt;0,V123-W123,0),IF((V123-W123)&gt;0,V123-W123,0)-AB123,IF((V123-W123)&gt;0,V123-W123,0)))</f>
        <v>0</v>
      </c>
      <c r="AG123" s="48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0"/>
      <c r="AI123" s="60">
        <f>AA123-AH123</f>
        <v>750</v>
      </c>
      <c r="AJ123" s="61"/>
      <c r="AK123" s="55" t="str">
        <f>VLOOKUP(D123,'2.Bookinglist'!A:CT,40,FALSE)</f>
        <v>Nannaapust Sukporntaweewat</v>
      </c>
      <c r="AL123" s="56" t="str">
        <f>VLOOKUP(D123,'2.Bookinglist'!A:CW,101,FALSE)</f>
        <v>2026-10-24</v>
      </c>
      <c r="AM123" s="56" t="str">
        <f>VLOOKUP(D123,'2.Bookinglist'!A:BK,63,FALSE)</f>
        <v>LCHY5</v>
      </c>
      <c r="AN123" s="55" t="str">
        <f>VLOOKUP(D123,'2.Bookinglist'!A:AZ,52,FALSE)</f>
        <v>Pickup : 2026-10-15, Return : 2026-10-16</v>
      </c>
      <c r="AO123" s="55">
        <f>VLOOKUP(D123,'2.Bookinglist'!A:CY,103,FALSE)</f>
        <v>0</v>
      </c>
    </row>
    <row r="124" ht="12.95" customHeight="1" spans="1:41" x14ac:dyDescent="0.25">
      <c r="A124" s="3" t="s">
        <v>620</v>
      </c>
      <c r="B124" s="53" t="str">
        <f>IF(C124=Charge!$M$1,Charge!$J$1,IF(C124=Charge!$M$23,Charge!$J$23,IF(C124=Charge!$M$17,Charge!$J$17,IF(C124=Charge!$N$17,Charge!$J$17,Charge!$J$7))))</f>
        <v>G2</v>
      </c>
      <c r="C124" s="54" t="str">
        <f>VLOOKUP(A124,'1.Loading'!A:R,14,FALSE)</f>
        <v>LCH06</v>
      </c>
      <c r="D124" s="54" t="str">
        <f>VLOOKUP(A124,'1.Loading'!A:R,17,FALSE)</f>
        <v>HASLS22260901311</v>
      </c>
      <c r="E124" s="55" t="str">
        <f>VLOOKUP(D124,'2.Bookinglist'!A:CT,27,FALSE)</f>
        <v>WHA GC LOGISTICS COMPANY LIMITED</v>
      </c>
      <c r="F124" s="55" t="str">
        <f>VLOOKUP(D124,'2.Bookinglist'!A:CT,28,FALSE)</f>
        <v>PTT GLOBAL CHEMICAL PUBLIC COMPANY LIMITED</v>
      </c>
      <c r="G124" s="56">
        <f>VLOOKUP(D124,'2.Bookinglist'!A:E,5,FALSE)</f>
        <v>0</v>
      </c>
      <c r="H124" s="54" t="str">
        <f>VLOOKUP(D124,'2.Bookinglist'!A:CT,15,FALSE)</f>
        <v>THLCH</v>
      </c>
      <c r="I124" s="54" t="str">
        <f>VLOOKUP(D124,'2.Bookinglist'!A:CT,19,FALSE)</f>
        <v>CNSHA</v>
      </c>
      <c r="J124" s="54">
        <f>VLOOKUP(D124,'2.Bookinglist'!A:CT,26,FALSE)</f>
        <v>0</v>
      </c>
      <c r="K124" s="54" t="str">
        <f>VLOOKUP(A124,'1.Loading'!A:R,5,FALSE)</f>
        <v>45GP</v>
      </c>
      <c r="L124" s="56" t="str">
        <f>VLOOKUP(D124,'2.Bookinglist'!A:CT,85,FALSE)</f>
        <v>CY/CY</v>
      </c>
      <c r="M124" s="56" t="str">
        <f>IF(VLOOKUP(D124,'2.Bookinglist'!A:CT,43,FALSE)=0,"","DG")</f>
        <v/>
      </c>
      <c r="N124" s="56" t="str">
        <f>IF(RIGHT(K124,2)="RE","RF","")</f>
        <v/>
      </c>
      <c r="O124" s="54" t="str">
        <f>VLOOKUP(A124,'1.Loading'!A:R,3,FALSE)</f>
        <v>HMVY</v>
      </c>
      <c r="P124" s="54" t="str">
        <f>VLOOKUP(A124,'1.Loading'!A:R,4,FALSE)</f>
        <v>2609N</v>
      </c>
      <c r="Q124" s="54" t="str">
        <f>VLOOKUP(D124,'2.Bookinglist'!A:CT,12,FALSE)</f>
        <v>PCI2</v>
      </c>
      <c r="R124" s="56" t="str">
        <f>IF(LEFT(K124,2)="22","20'","40'")</f>
        <v>40'</v>
      </c>
      <c r="S124" s="38"/>
      <c r="T124" s="54" t="str">
        <f>VLOOKUP(A124,'1.Loading'!A:R,2,FALSE)</f>
        <v>2026-10-28</v>
      </c>
      <c r="U124" s="57">
        <f>T124-S124</f>
        <v>46323</v>
      </c>
      <c r="V124" s="58"/>
      <c r="W124" s="54" t="str">
        <f>VLOOKUP(A124,'3.GateMove'!A:D,4,FALSE)</f>
        <v>2026-10-23</v>
      </c>
      <c r="X124" s="57">
        <f>((T124-W124)+1)</f>
        <v>6</v>
      </c>
      <c r="Y124" s="59">
        <f>IF(AND(OR(C124="BKK01",C124="BKK04"),L124="CFS/CY"),0,IF(M124="DG",1,IF(LEFT(C124,3)="LCH",7,IF(C124="BKK02",5,3))))</f>
        <v>7</v>
      </c>
      <c r="Z124" s="57">
        <f>IF(IF(AND(AC124="TML",AB124&gt;0),((T124-W124)+1)-AB124,((T124-W124)+1)-Y124)&gt;0,IF(AND(AC124="TML",AB124&gt;0),((T124-W124)+1)-AB124,((T124-W124)+1)-Y124),0)</f>
        <v>0</v>
      </c>
      <c r="AA124" s="48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0</v>
      </c>
      <c r="AB124" s="53"/>
      <c r="AC124" s="53"/>
      <c r="AD124" s="56">
        <f>IF(M124="DG",3,IF(N124="RF",3,5))+IF(AND(LEFT(C124,3)="BKK",N124="RF",Q124="KTS"),1,0)+IF(Q124="KHS",1,0)</f>
        <v>5</v>
      </c>
      <c r="AE124" s="57">
        <f>(T124-V124)+1</f>
        <v>46324</v>
      </c>
      <c r="AF124" s="57">
        <f>IF(AB124&gt;IF((V124-W124)&gt;0,V124-W124,0),0,IF(AB124&lt;IF((V124-W124)&gt;0,V124-W124,0),IF((V124-W124)&gt;0,V124-W124,0)-AB124,IF((V124-W124)&gt;0,V124-W124,0)))</f>
        <v>0</v>
      </c>
      <c r="AG124" s="48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0"/>
      <c r="AI124" s="60">
        <f>AA124-AH124</f>
        <v>0</v>
      </c>
      <c r="AJ124" s="61"/>
      <c r="AK124" s="55" t="str">
        <f>VLOOKUP(D124,'2.Bookinglist'!A:CT,40,FALSE)</f>
        <v>Dharaporn</v>
      </c>
      <c r="AL124" s="56" t="str">
        <f>VLOOKUP(D124,'2.Bookinglist'!A:CW,101,FALSE)</f>
        <v>2026-10-28</v>
      </c>
      <c r="AM124" s="56" t="str">
        <f>VLOOKUP(D124,'2.Bookinglist'!A:BK,63,FALSE)</f>
        <v>LCHY5</v>
      </c>
      <c r="AN124" s="55" t="str">
        <f>VLOOKUP(D124,'2.Bookinglist'!A:AZ,52,FALSE)</f>
        <v>CY-RTN: 20-23/10/2026  (1ST RETURN 22/10/26)</v>
      </c>
      <c r="AO124" s="55" t="str">
        <f>VLOOKUP(D124,'2.Bookinglist'!A:CY,103,FALSE)</f>
        <v>ROLL OVER FORM PREIVOUS VSL HAB 2612N BY ALLOCATION TEAM MS.TAN APPROVED COST IS UNDER HA DD.26/10</v>
      </c>
    </row>
    <row r="125" ht="12.95" customHeight="1" spans="1:41" x14ac:dyDescent="0.25">
      <c r="A125" s="3" t="s">
        <v>609</v>
      </c>
      <c r="B125" s="53" t="str">
        <f>IF(C125=Charge!$M$1,Charge!$J$1,IF(C125=Charge!$M$23,Charge!$J$23,IF(C125=Charge!$M$17,Charge!$J$17,IF(C125=Charge!$N$17,Charge!$J$17,Charge!$J$7))))</f>
        <v>G2</v>
      </c>
      <c r="C125" s="54" t="str">
        <f>VLOOKUP(A125,'1.Loading'!A:R,14,FALSE)</f>
        <v>LCH06</v>
      </c>
      <c r="D125" s="54" t="str">
        <f>VLOOKUP(A125,'1.Loading'!A:R,17,FALSE)</f>
        <v>HASLS22261000285</v>
      </c>
      <c r="E125" s="55" t="str">
        <f>VLOOKUP(D125,'2.Bookinglist'!A:CT,27,FALSE)</f>
        <v>AGC VINYTHAI PUBLIC COMPANY LIMITED</v>
      </c>
      <c r="F125" s="55" t="str">
        <f>VLOOKUP(D125,'2.Bookinglist'!A:CT,28,FALSE)</f>
        <v>AGC VINYTHAI PUBLIC COMPANY LIMITED</v>
      </c>
      <c r="G125" s="56">
        <f>VLOOKUP(D125,'2.Bookinglist'!A:E,5,FALSE)</f>
        <v>0</v>
      </c>
      <c r="H125" s="54" t="str">
        <f>VLOOKUP(D125,'2.Bookinglist'!A:CT,15,FALSE)</f>
        <v>THLCH</v>
      </c>
      <c r="I125" s="54" t="str">
        <f>VLOOKUP(D125,'2.Bookinglist'!A:CT,19,FALSE)</f>
        <v>CNSHA</v>
      </c>
      <c r="J125" s="54">
        <f>VLOOKUP(D125,'2.Bookinglist'!A:CT,26,FALSE)</f>
        <v>0</v>
      </c>
      <c r="K125" s="54" t="str">
        <f>VLOOKUP(A125,'1.Loading'!A:R,5,FALSE)</f>
        <v>45GP</v>
      </c>
      <c r="L125" s="56" t="str">
        <f>VLOOKUP(D125,'2.Bookinglist'!A:CT,85,FALSE)</f>
        <v>CY/CY</v>
      </c>
      <c r="M125" s="56" t="str">
        <f>IF(VLOOKUP(D125,'2.Bookinglist'!A:CT,43,FALSE)=0,"","DG")</f>
        <v/>
      </c>
      <c r="N125" s="56" t="str">
        <f>IF(RIGHT(K125,2)="RE","RF","")</f>
        <v/>
      </c>
      <c r="O125" s="54" t="str">
        <f>VLOOKUP(A125,'1.Loading'!A:R,3,FALSE)</f>
        <v>HMVY</v>
      </c>
      <c r="P125" s="54" t="str">
        <f>VLOOKUP(A125,'1.Loading'!A:R,4,FALSE)</f>
        <v>2609N</v>
      </c>
      <c r="Q125" s="54" t="str">
        <f>VLOOKUP(D125,'2.Bookinglist'!A:CT,12,FALSE)</f>
        <v>PCI2</v>
      </c>
      <c r="R125" s="56" t="str">
        <f>IF(LEFT(K125,2)="22","20'","40'")</f>
        <v>40'</v>
      </c>
      <c r="S125" s="38"/>
      <c r="T125" s="54" t="str">
        <f>VLOOKUP(A125,'1.Loading'!A:R,2,FALSE)</f>
        <v>2026-10-28</v>
      </c>
      <c r="U125" s="57">
        <f>T125-S125</f>
        <v>46323</v>
      </c>
      <c r="V125" s="58"/>
      <c r="W125" s="54" t="str">
        <f>VLOOKUP(A125,'3.GateMove'!A:D,4,FALSE)</f>
        <v>2026-10-17</v>
      </c>
      <c r="X125" s="57">
        <f>((T125-W125)+1)</f>
        <v>12</v>
      </c>
      <c r="Y125" s="59">
        <f>IF(AND(OR(C125="BKK01",C125="BKK04"),L125="CFS/CY"),0,IF(M125="DG",1,IF(LEFT(C125,3)="LCH",7,IF(C125="BKK02",5,3))))</f>
        <v>7</v>
      </c>
      <c r="Z125" s="57">
        <f>IF(IF(AND(AC125="TML",AB125&gt;0),((T125-W125)+1)-AB125,((T125-W125)+1)-Y125)&gt;0,IF(AND(AC125="TML",AB125&gt;0),((T125-W125)+1)-AB125,((T125-W125)+1)-Y125),0)</f>
        <v>5</v>
      </c>
      <c r="AA125" s="48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1250</v>
      </c>
      <c r="AB125" s="53"/>
      <c r="AC125" s="53"/>
      <c r="AD125" s="56">
        <f>IF(M125="DG",3,IF(N125="RF",3,5))+IF(AND(LEFT(C125,3)="BKK",N125="RF",Q125="KTS"),1,0)+IF(Q125="KHS",1,0)</f>
        <v>5</v>
      </c>
      <c r="AE125" s="57">
        <f>(T125-V125)+1</f>
        <v>46324</v>
      </c>
      <c r="AF125" s="57">
        <f>IF(AB125&gt;IF((V125-W125)&gt;0,V125-W125,0),0,IF(AB125&lt;IF((V125-W125)&gt;0,V125-W125,0),IF((V125-W125)&gt;0,V125-W125,0)-AB125,IF((V125-W125)&gt;0,V125-W125,0)))</f>
        <v>0</v>
      </c>
      <c r="AG125" s="48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0"/>
      <c r="AI125" s="60">
        <f>AA125-AH125</f>
        <v>1250</v>
      </c>
      <c r="AJ125" s="61"/>
      <c r="AK125" s="55" t="str">
        <f>VLOOKUP(D125,'2.Bookinglist'!A:CT,40,FALSE)</f>
        <v>Nannaapust Sukporntaweewat</v>
      </c>
      <c r="AL125" s="56" t="str">
        <f>VLOOKUP(D125,'2.Bookinglist'!A:CW,101,FALSE)</f>
        <v>2026-10-24</v>
      </c>
      <c r="AM125" s="56" t="str">
        <f>VLOOKUP(D125,'2.Bookinglist'!A:BK,63,FALSE)</f>
        <v>LCHY5</v>
      </c>
      <c r="AN125" s="55" t="str">
        <f>VLOOKUP(D125,'2.Bookinglist'!A:AZ,52,FALSE)</f>
        <v>Pickup : 2026-10-15, Return : 2026-10-16</v>
      </c>
      <c r="AO125" s="55">
        <f>VLOOKUP(D125,'2.Bookinglist'!A:CY,103,FALSE)</f>
        <v>0</v>
      </c>
    </row>
    <row r="126" ht="12.95" customHeight="1" spans="1:41" x14ac:dyDescent="0.25">
      <c r="A126" s="3" t="s">
        <v>617</v>
      </c>
      <c r="B126" s="53" t="str">
        <f>IF(C126=Charge!$M$1,Charge!$J$1,IF(C126=Charge!$M$23,Charge!$J$23,IF(C126=Charge!$M$17,Charge!$J$17,IF(C126=Charge!$N$17,Charge!$J$17,Charge!$J$7))))</f>
        <v>G2</v>
      </c>
      <c r="C126" s="54" t="str">
        <f>VLOOKUP(A126,'1.Loading'!A:R,14,FALSE)</f>
        <v>LCH06</v>
      </c>
      <c r="D126" s="54" t="str">
        <f>VLOOKUP(A126,'1.Loading'!A:R,17,FALSE)</f>
        <v>HASLS22260900442</v>
      </c>
      <c r="E126" s="55" t="str">
        <f>VLOOKUP(D126,'2.Bookinglist'!A:CT,27,FALSE)</f>
        <v>BARKLAYS LOGISTICS (THAILAND) CO., LTD.</v>
      </c>
      <c r="F126" s="55" t="str">
        <f>VLOOKUP(D126,'2.Bookinglist'!A:CT,28,FALSE)</f>
        <v>SHUN YI INTERNATIONAL TRADING CO., LTD.</v>
      </c>
      <c r="G126" s="56">
        <f>VLOOKUP(D126,'2.Bookinglist'!A:E,5,FALSE)</f>
        <v>0</v>
      </c>
      <c r="H126" s="54" t="str">
        <f>VLOOKUP(D126,'2.Bookinglist'!A:CT,15,FALSE)</f>
        <v>THLCH</v>
      </c>
      <c r="I126" s="54" t="str">
        <f>VLOOKUP(D126,'2.Bookinglist'!A:CT,19,FALSE)</f>
        <v>CNSHA</v>
      </c>
      <c r="J126" s="54">
        <f>VLOOKUP(D126,'2.Bookinglist'!A:CT,26,FALSE)</f>
        <v>0</v>
      </c>
      <c r="K126" s="54" t="str">
        <f>VLOOKUP(A126,'1.Loading'!A:R,5,FALSE)</f>
        <v>45GP</v>
      </c>
      <c r="L126" s="56" t="str">
        <f>VLOOKUP(D126,'2.Bookinglist'!A:CT,85,FALSE)</f>
        <v>CY/CY</v>
      </c>
      <c r="M126" s="56" t="str">
        <f>IF(VLOOKUP(D126,'2.Bookinglist'!A:CT,43,FALSE)=0,"","DG")</f>
        <v/>
      </c>
      <c r="N126" s="56" t="str">
        <f>IF(RIGHT(K126,2)="RE","RF","")</f>
        <v/>
      </c>
      <c r="O126" s="54" t="str">
        <f>VLOOKUP(A126,'1.Loading'!A:R,3,FALSE)</f>
        <v>HMVY</v>
      </c>
      <c r="P126" s="54" t="str">
        <f>VLOOKUP(A126,'1.Loading'!A:R,4,FALSE)</f>
        <v>2609N</v>
      </c>
      <c r="Q126" s="54" t="str">
        <f>VLOOKUP(D126,'2.Bookinglist'!A:CT,12,FALSE)</f>
        <v>PCI2</v>
      </c>
      <c r="R126" s="56" t="str">
        <f>IF(LEFT(K126,2)="22","20'","40'")</f>
        <v>40'</v>
      </c>
      <c r="S126" s="38"/>
      <c r="T126" s="54" t="str">
        <f>VLOOKUP(A126,'1.Loading'!A:R,2,FALSE)</f>
        <v>2026-10-28</v>
      </c>
      <c r="U126" s="57">
        <f>T126-S126</f>
        <v>46323</v>
      </c>
      <c r="V126" s="58"/>
      <c r="W126" s="54" t="str">
        <f>VLOOKUP(A126,'3.GateMove'!A:D,4,FALSE)</f>
        <v>2026-10-04</v>
      </c>
      <c r="X126" s="57">
        <f>((T126-W126)+1)</f>
        <v>25</v>
      </c>
      <c r="Y126" s="59">
        <f>IF(AND(OR(C126="BKK01",C126="BKK04"),L126="CFS/CY"),0,IF(M126="DG",1,IF(LEFT(C126,3)="LCH",7,IF(C126="BKK02",5,3))))</f>
        <v>7</v>
      </c>
      <c r="Z126" s="57">
        <f>IF(IF(AND(AC126="TML",AB126&gt;0),((T126-W126)+1)-AB126,((T126-W126)+1)-Y126)&gt;0,IF(AND(AC126="TML",AB126&gt;0),((T126-W126)+1)-AB126,((T126-W126)+1)-Y126),0)</f>
        <v>18</v>
      </c>
      <c r="AA126" s="48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8450</v>
      </c>
      <c r="AB126" s="53"/>
      <c r="AC126" s="53"/>
      <c r="AD126" s="56">
        <f>IF(M126="DG",3,IF(N126="RF",3,5))+IF(AND(LEFT(C126,3)="BKK",N126="RF",Q126="KTS"),1,0)+IF(Q126="KHS",1,0)</f>
        <v>5</v>
      </c>
      <c r="AE126" s="57">
        <f>(T126-V126)+1</f>
        <v>46324</v>
      </c>
      <c r="AF126" s="57">
        <f>IF(AB126&gt;IF((V126-W126)&gt;0,V126-W126,0),0,IF(AB126&lt;IF((V126-W126)&gt;0,V126-W126,0),IF((V126-W126)&gt;0,V126-W126,0)-AB126,IF((V126-W126)&gt;0,V126-W126,0)))</f>
        <v>0</v>
      </c>
      <c r="AG126" s="48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0"/>
      <c r="AI126" s="60">
        <f>AA126-AH126</f>
        <v>8450</v>
      </c>
      <c r="AJ126" s="61"/>
      <c r="AK126" s="55" t="str">
        <f>VLOOKUP(D126,'2.Bookinglist'!A:CT,40,FALSE)</f>
        <v>Nannaapust Sukporntaweewat</v>
      </c>
      <c r="AL126" s="56" t="str">
        <f>VLOOKUP(D126,'2.Bookinglist'!A:CW,101,FALSE)</f>
        <v>2026-10-22</v>
      </c>
      <c r="AM126" s="56" t="str">
        <f>VLOOKUP(D126,'2.Bookinglist'!A:BK,63,FALSE)</f>
        <v>LCHY5</v>
      </c>
      <c r="AN126" s="55" t="str">
        <f>VLOOKUP(D126,'2.Bookinglist'!A:AZ,52,FALSE)</f>
        <v>Pickup : 2026-10-02, Return : 2026-10-04 *1ST RETURN CNTR DD.08/10/2026*</v>
      </c>
      <c r="AO126" s="55" t="str">
        <f>VLOOKUP(D126,'2.Bookinglist'!A:CY,103,FALSE)</f>
        <v>ROLL OVER FROM PREVIOUS VSL SWRG 2609N BY ALLOCATION TEAM MS.TAN APPROVED COST IS UNDER HA DD.09/10</v>
      </c>
    </row>
    <row r="127" ht="12.95" customHeight="1" spans="1:41" x14ac:dyDescent="0.25">
      <c r="A127" s="3" t="s">
        <v>618</v>
      </c>
      <c r="B127" s="53" t="str">
        <f>IF(C127=Charge!$M$1,Charge!$J$1,IF(C127=Charge!$M$23,Charge!$J$23,IF(C127=Charge!$M$17,Charge!$J$17,IF(C127=Charge!$N$17,Charge!$J$17,Charge!$J$7))))</f>
        <v>G2</v>
      </c>
      <c r="C127" s="54" t="str">
        <f>VLOOKUP(A127,'1.Loading'!A:R,14,FALSE)</f>
        <v>LCH06</v>
      </c>
      <c r="D127" s="54" t="str">
        <f>VLOOKUP(A127,'1.Loading'!A:R,17,FALSE)</f>
        <v>HASLS22260900442</v>
      </c>
      <c r="E127" s="55" t="str">
        <f>VLOOKUP(D127,'2.Bookinglist'!A:CT,27,FALSE)</f>
        <v>BARKLAYS LOGISTICS (THAILAND) CO., LTD.</v>
      </c>
      <c r="F127" s="55" t="str">
        <f>VLOOKUP(D127,'2.Bookinglist'!A:CT,28,FALSE)</f>
        <v>SHUN YI INTERNATIONAL TRADING CO., LTD.</v>
      </c>
      <c r="G127" s="56">
        <f>VLOOKUP(D127,'2.Bookinglist'!A:E,5,FALSE)</f>
        <v>0</v>
      </c>
      <c r="H127" s="54" t="str">
        <f>VLOOKUP(D127,'2.Bookinglist'!A:CT,15,FALSE)</f>
        <v>THLCH</v>
      </c>
      <c r="I127" s="54" t="str">
        <f>VLOOKUP(D127,'2.Bookinglist'!A:CT,19,FALSE)</f>
        <v>CNSHA</v>
      </c>
      <c r="J127" s="54">
        <f>VLOOKUP(D127,'2.Bookinglist'!A:CT,26,FALSE)</f>
        <v>0</v>
      </c>
      <c r="K127" s="54" t="str">
        <f>VLOOKUP(A127,'1.Loading'!A:R,5,FALSE)</f>
        <v>45GP</v>
      </c>
      <c r="L127" s="56" t="str">
        <f>VLOOKUP(D127,'2.Bookinglist'!A:CT,85,FALSE)</f>
        <v>CY/CY</v>
      </c>
      <c r="M127" s="56" t="str">
        <f>IF(VLOOKUP(D127,'2.Bookinglist'!A:CT,43,FALSE)=0,"","DG")</f>
        <v/>
      </c>
      <c r="N127" s="56" t="str">
        <f>IF(RIGHT(K127,2)="RE","RF","")</f>
        <v/>
      </c>
      <c r="O127" s="54" t="str">
        <f>VLOOKUP(A127,'1.Loading'!A:R,3,FALSE)</f>
        <v>HMVY</v>
      </c>
      <c r="P127" s="54" t="str">
        <f>VLOOKUP(A127,'1.Loading'!A:R,4,FALSE)</f>
        <v>2609N</v>
      </c>
      <c r="Q127" s="54" t="str">
        <f>VLOOKUP(D127,'2.Bookinglist'!A:CT,12,FALSE)</f>
        <v>PCI2</v>
      </c>
      <c r="R127" s="56" t="str">
        <f>IF(LEFT(K127,2)="22","20'","40'")</f>
        <v>40'</v>
      </c>
      <c r="S127" s="38"/>
      <c r="T127" s="54" t="str">
        <f>VLOOKUP(A127,'1.Loading'!A:R,2,FALSE)</f>
        <v>2026-10-28</v>
      </c>
      <c r="U127" s="57">
        <f>T127-S127</f>
        <v>46323</v>
      </c>
      <c r="V127" s="58"/>
      <c r="W127" s="54" t="str">
        <f>VLOOKUP(A127,'3.GateMove'!A:D,4,FALSE)</f>
        <v>2026-10-05</v>
      </c>
      <c r="X127" s="57">
        <f>((T127-W127)+1)</f>
        <v>24</v>
      </c>
      <c r="Y127" s="59">
        <f>IF(AND(OR(C127="BKK01",C127="BKK04"),L127="CFS/CY"),0,IF(M127="DG",1,IF(LEFT(C127,3)="LCH",7,IF(C127="BKK02",5,3))))</f>
        <v>7</v>
      </c>
      <c r="Z127" s="57">
        <f>IF(IF(AND(AC127="TML",AB127&gt;0),((T127-W127)+1)-AB127,((T127-W127)+1)-Y127)&gt;0,IF(AND(AC127="TML",AB127&gt;0),((T127-W127)+1)-AB127,((T127-W127)+1)-Y127),0)</f>
        <v>17</v>
      </c>
      <c r="AA127" s="48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7650</v>
      </c>
      <c r="AB127" s="53"/>
      <c r="AC127" s="53"/>
      <c r="AD127" s="56">
        <f>IF(M127="DG",3,IF(N127="RF",3,5))+IF(AND(LEFT(C127,3)="BKK",N127="RF",Q127="KTS"),1,0)+IF(Q127="KHS",1,0)</f>
        <v>5</v>
      </c>
      <c r="AE127" s="57">
        <f>(T127-V127)+1</f>
        <v>46324</v>
      </c>
      <c r="AF127" s="57">
        <f>IF(AB127&gt;IF((V127-W127)&gt;0,V127-W127,0),0,IF(AB127&lt;IF((V127-W127)&gt;0,V127-W127,0),IF((V127-W127)&gt;0,V127-W127,0)-AB127,IF((V127-W127)&gt;0,V127-W127,0)))</f>
        <v>0</v>
      </c>
      <c r="AG127" s="48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0"/>
      <c r="AI127" s="60">
        <f>AA127-AH127</f>
        <v>7650</v>
      </c>
      <c r="AJ127" s="61"/>
      <c r="AK127" s="55" t="str">
        <f>VLOOKUP(D127,'2.Bookinglist'!A:CT,40,FALSE)</f>
        <v>Nannaapust Sukporntaweewat</v>
      </c>
      <c r="AL127" s="56" t="str">
        <f>VLOOKUP(D127,'2.Bookinglist'!A:CW,101,FALSE)</f>
        <v>2026-10-22</v>
      </c>
      <c r="AM127" s="56" t="str">
        <f>VLOOKUP(D127,'2.Bookinglist'!A:BK,63,FALSE)</f>
        <v>LCHY5</v>
      </c>
      <c r="AN127" s="55" t="str">
        <f>VLOOKUP(D127,'2.Bookinglist'!A:AZ,52,FALSE)</f>
        <v>Pickup : 2026-10-02, Return : 2026-10-04 *1ST RETURN CNTR DD.08/10/2026*</v>
      </c>
      <c r="AO127" s="55" t="str">
        <f>VLOOKUP(D127,'2.Bookinglist'!A:CY,103,FALSE)</f>
        <v>ROLL OVER FROM PREVIOUS VSL SWRG 2609N BY ALLOCATION TEAM MS.TAN APPROVED COST IS UNDER HA DD.09/10</v>
      </c>
    </row>
    <row r="128" ht="12.95" customHeight="1" spans="1:41" x14ac:dyDescent="0.25">
      <c r="A128" s="3" t="s">
        <v>605</v>
      </c>
      <c r="B128" s="53" t="str">
        <f>IF(C128=Charge!$M$1,Charge!$J$1,IF(C128=Charge!$M$23,Charge!$J$23,IF(C128=Charge!$M$17,Charge!$J$17,IF(C128=Charge!$N$17,Charge!$J$17,Charge!$J$7))))</f>
        <v>G2</v>
      </c>
      <c r="C128" s="54" t="str">
        <f>VLOOKUP(A128,'1.Loading'!A:R,14,FALSE)</f>
        <v>LCH06</v>
      </c>
      <c r="D128" s="54" t="str">
        <f>VLOOKUP(A128,'1.Loading'!A:R,17,FALSE)</f>
        <v>HASLS22261001110</v>
      </c>
      <c r="E128" s="55" t="str">
        <f>VLOOKUP(D128,'2.Bookinglist'!A:CT,27,FALSE)</f>
        <v>MORRISON EXPRESS CORP (THAILAND)LTD.</v>
      </c>
      <c r="F128" s="55" t="str">
        <f>VLOOKUP(D128,'2.Bookinglist'!A:CT,28,FALSE)</f>
        <v>VILLEROY &amp; BOCH (THAILAND) CO., LTD.</v>
      </c>
      <c r="G128" s="56" t="str">
        <f>VLOOKUP(D128,'2.Bookinglist'!A:E,5,FALSE)</f>
        <v>THSRP</v>
      </c>
      <c r="H128" s="54" t="str">
        <f>VLOOKUP(D128,'2.Bookinglist'!A:CT,15,FALSE)</f>
        <v>THLCH</v>
      </c>
      <c r="I128" s="54" t="str">
        <f>VLOOKUP(D128,'2.Bookinglist'!A:CT,19,FALSE)</f>
        <v>CNSHA</v>
      </c>
      <c r="J128" s="54">
        <f>VLOOKUP(D128,'2.Bookinglist'!A:CT,26,FALSE)</f>
        <v>0</v>
      </c>
      <c r="K128" s="54" t="str">
        <f>VLOOKUP(A128,'1.Loading'!A:R,5,FALSE)</f>
        <v>45GP</v>
      </c>
      <c r="L128" s="56" t="str">
        <f>VLOOKUP(D128,'2.Bookinglist'!A:CT,85,FALSE)</f>
        <v>CY/CY</v>
      </c>
      <c r="M128" s="56" t="str">
        <f>IF(VLOOKUP(D128,'2.Bookinglist'!A:CT,43,FALSE)=0,"","DG")</f>
        <v/>
      </c>
      <c r="N128" s="56" t="str">
        <f>IF(RIGHT(K128,2)="RE","RF","")</f>
        <v/>
      </c>
      <c r="O128" s="54" t="str">
        <f>VLOOKUP(A128,'1.Loading'!A:R,3,FALSE)</f>
        <v>HMVY</v>
      </c>
      <c r="P128" s="54" t="str">
        <f>VLOOKUP(A128,'1.Loading'!A:R,4,FALSE)</f>
        <v>2609N</v>
      </c>
      <c r="Q128" s="54" t="str">
        <f>VLOOKUP(D128,'2.Bookinglist'!A:CT,12,FALSE)</f>
        <v>PCI2</v>
      </c>
      <c r="R128" s="56" t="str">
        <f>IF(LEFT(K128,2)="22","20'","40'")</f>
        <v>40'</v>
      </c>
      <c r="S128" s="38"/>
      <c r="T128" s="54" t="str">
        <f>VLOOKUP(A128,'1.Loading'!A:R,2,FALSE)</f>
        <v>2026-10-28</v>
      </c>
      <c r="U128" s="57">
        <f>T128-S128</f>
        <v>46323</v>
      </c>
      <c r="V128" s="58"/>
      <c r="W128" s="54" t="str">
        <f>VLOOKUP(A128,'3.GateMove'!A:D,4,FALSE)</f>
        <v>2026-10-23</v>
      </c>
      <c r="X128" s="57">
        <f>((T128-W128)+1)</f>
        <v>6</v>
      </c>
      <c r="Y128" s="59">
        <f>IF(AND(OR(C128="BKK01",C128="BKK04"),L128="CFS/CY"),0,IF(M128="DG",1,IF(LEFT(C128,3)="LCH",7,IF(C128="BKK02",5,3))))</f>
        <v>7</v>
      </c>
      <c r="Z128" s="57">
        <f>IF(IF(AND(AC128="TML",AB128&gt;0),((T128-W128)+1)-AB128,((T128-W128)+1)-Y128)&gt;0,IF(AND(AC128="TML",AB128&gt;0),((T128-W128)+1)-AB128,((T128-W128)+1)-Y128),0)</f>
        <v>0</v>
      </c>
      <c r="AA128" s="48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0</v>
      </c>
      <c r="AB128" s="53"/>
      <c r="AC128" s="53"/>
      <c r="AD128" s="56">
        <f>IF(M128="DG",3,IF(N128="RF",3,5))+IF(AND(LEFT(C128,3)="BKK",N128="RF",Q128="KTS"),1,0)+IF(Q128="KHS",1,0)</f>
        <v>5</v>
      </c>
      <c r="AE128" s="57">
        <f>(T128-V128)+1</f>
        <v>46324</v>
      </c>
      <c r="AF128" s="57">
        <f>IF(AB128&gt;IF((V128-W128)&gt;0,V128-W128,0),0,IF(AB128&lt;IF((V128-W128)&gt;0,V128-W128,0),IF((V128-W128)&gt;0,V128-W128,0)-AB128,IF((V128-W128)&gt;0,V128-W128,0)))</f>
        <v>0</v>
      </c>
      <c r="AG128" s="48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0"/>
      <c r="AI128" s="60">
        <f>AA128-AH128</f>
        <v>0</v>
      </c>
      <c r="AJ128" s="61"/>
      <c r="AK128" s="55" t="str">
        <f>VLOOKUP(D128,'2.Bookinglist'!A:CT,40,FALSE)</f>
        <v>Nannaapust Sukporntaweewat</v>
      </c>
      <c r="AL128" s="56" t="str">
        <f>VLOOKUP(D128,'2.Bookinglist'!A:CW,101,FALSE)</f>
        <v>2026-10-25</v>
      </c>
      <c r="AM128" s="56" t="str">
        <f>VLOOKUP(D128,'2.Bookinglist'!A:BK,63,FALSE)</f>
        <v>BKK27</v>
      </c>
      <c r="AN128" s="55" t="str">
        <f>VLOOKUP(D128,'2.Bookinglist'!A:AZ,52,FALSE)</f>
        <v>Pickup : 2026-10-17, Return SRP : 2026-10-19 [PAPERLESS CODE 2829]
CLS TIME 22/10/26 @23.59</v>
      </c>
      <c r="AO128" s="55">
        <f>VLOOKUP(D128,'2.Bookinglist'!A:CY,103,FALSE)</f>
        <v>0</v>
      </c>
    </row>
    <row r="129" ht="12.95" customHeight="1" spans="1:41" x14ac:dyDescent="0.25">
      <c r="A129" s="3" t="s">
        <v>614</v>
      </c>
      <c r="B129" s="53" t="str">
        <f>IF(C129=Charge!$M$1,Charge!$J$1,IF(C129=Charge!$M$23,Charge!$J$23,IF(C129=Charge!$M$17,Charge!$J$17,IF(C129=Charge!$N$17,Charge!$J$17,Charge!$J$7))))</f>
        <v>G2</v>
      </c>
      <c r="C129" s="54" t="str">
        <f>VLOOKUP(A129,'1.Loading'!A:R,14,FALSE)</f>
        <v>LCH06</v>
      </c>
      <c r="D129" s="54" t="str">
        <f>VLOOKUP(A129,'1.Loading'!A:R,17,FALSE)</f>
        <v>HASLS22260900442</v>
      </c>
      <c r="E129" s="55" t="str">
        <f>VLOOKUP(D129,'2.Bookinglist'!A:CT,27,FALSE)</f>
        <v>BARKLAYS LOGISTICS (THAILAND) CO., LTD.</v>
      </c>
      <c r="F129" s="55" t="str">
        <f>VLOOKUP(D129,'2.Bookinglist'!A:CT,28,FALSE)</f>
        <v>SHUN YI INTERNATIONAL TRADING CO., LTD.</v>
      </c>
      <c r="G129" s="56">
        <f>VLOOKUP(D129,'2.Bookinglist'!A:E,5,FALSE)</f>
        <v>0</v>
      </c>
      <c r="H129" s="54" t="str">
        <f>VLOOKUP(D129,'2.Bookinglist'!A:CT,15,FALSE)</f>
        <v>THLCH</v>
      </c>
      <c r="I129" s="54" t="str">
        <f>VLOOKUP(D129,'2.Bookinglist'!A:CT,19,FALSE)</f>
        <v>CNSHA</v>
      </c>
      <c r="J129" s="54">
        <f>VLOOKUP(D129,'2.Bookinglist'!A:CT,26,FALSE)</f>
        <v>0</v>
      </c>
      <c r="K129" s="54" t="str">
        <f>VLOOKUP(A129,'1.Loading'!A:R,5,FALSE)</f>
        <v>45GP</v>
      </c>
      <c r="L129" s="56" t="str">
        <f>VLOOKUP(D129,'2.Bookinglist'!A:CT,85,FALSE)</f>
        <v>CY/CY</v>
      </c>
      <c r="M129" s="56" t="str">
        <f>IF(VLOOKUP(D129,'2.Bookinglist'!A:CT,43,FALSE)=0,"","DG")</f>
        <v/>
      </c>
      <c r="N129" s="56" t="str">
        <f>IF(RIGHT(K129,2)="RE","RF","")</f>
        <v/>
      </c>
      <c r="O129" s="54" t="str">
        <f>VLOOKUP(A129,'1.Loading'!A:R,3,FALSE)</f>
        <v>HMVY</v>
      </c>
      <c r="P129" s="54" t="str">
        <f>VLOOKUP(A129,'1.Loading'!A:R,4,FALSE)</f>
        <v>2609N</v>
      </c>
      <c r="Q129" s="54" t="str">
        <f>VLOOKUP(D129,'2.Bookinglist'!A:CT,12,FALSE)</f>
        <v>PCI2</v>
      </c>
      <c r="R129" s="56" t="str">
        <f>IF(LEFT(K129,2)="22","20'","40'")</f>
        <v>40'</v>
      </c>
      <c r="S129" s="38"/>
      <c r="T129" s="54" t="str">
        <f>VLOOKUP(A129,'1.Loading'!A:R,2,FALSE)</f>
        <v>2026-10-28</v>
      </c>
      <c r="U129" s="57">
        <f>T129-S129</f>
        <v>46323</v>
      </c>
      <c r="V129" s="58"/>
      <c r="W129" s="54" t="str">
        <f>VLOOKUP(A129,'3.GateMove'!A:D,4,FALSE)</f>
        <v>2026-10-04</v>
      </c>
      <c r="X129" s="57">
        <f>((T129-W129)+1)</f>
        <v>25</v>
      </c>
      <c r="Y129" s="59">
        <f>IF(AND(OR(C129="BKK01",C129="BKK04"),L129="CFS/CY"),0,IF(M129="DG",1,IF(LEFT(C129,3)="LCH",7,IF(C129="BKK02",5,3))))</f>
        <v>7</v>
      </c>
      <c r="Z129" s="57">
        <f>IF(IF(AND(AC129="TML",AB129&gt;0),((T129-W129)+1)-AB129,((T129-W129)+1)-Y129)&gt;0,IF(AND(AC129="TML",AB129&gt;0),((T129-W129)+1)-AB129,((T129-W129)+1)-Y129),0)</f>
        <v>18</v>
      </c>
      <c r="AA129" s="48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8450</v>
      </c>
      <c r="AB129" s="53"/>
      <c r="AC129" s="53"/>
      <c r="AD129" s="56">
        <f>IF(M129="DG",3,IF(N129="RF",3,5))+IF(AND(LEFT(C129,3)="BKK",N129="RF",Q129="KTS"),1,0)+IF(Q129="KHS",1,0)</f>
        <v>5</v>
      </c>
      <c r="AE129" s="57">
        <f>(T129-V129)+1</f>
        <v>46324</v>
      </c>
      <c r="AF129" s="57">
        <f>IF(AB129&gt;IF((V129-W129)&gt;0,V129-W129,0),0,IF(AB129&lt;IF((V129-W129)&gt;0,V129-W129,0),IF((V129-W129)&gt;0,V129-W129,0)-AB129,IF((V129-W129)&gt;0,V129-W129,0)))</f>
        <v>0</v>
      </c>
      <c r="AG129" s="48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0"/>
      <c r="AI129" s="60">
        <f>AA129-AH129</f>
        <v>8450</v>
      </c>
      <c r="AJ129" s="61"/>
      <c r="AK129" s="55" t="str">
        <f>VLOOKUP(D129,'2.Bookinglist'!A:CT,40,FALSE)</f>
        <v>Nannaapust Sukporntaweewat</v>
      </c>
      <c r="AL129" s="56" t="str">
        <f>VLOOKUP(D129,'2.Bookinglist'!A:CW,101,FALSE)</f>
        <v>2026-10-22</v>
      </c>
      <c r="AM129" s="56" t="str">
        <f>VLOOKUP(D129,'2.Bookinglist'!A:BK,63,FALSE)</f>
        <v>LCHY5</v>
      </c>
      <c r="AN129" s="55" t="str">
        <f>VLOOKUP(D129,'2.Bookinglist'!A:AZ,52,FALSE)</f>
        <v>Pickup : 2026-10-02, Return : 2026-10-04 *1ST RETURN CNTR DD.08/10/2026*</v>
      </c>
      <c r="AO129" s="55" t="str">
        <f>VLOOKUP(D129,'2.Bookinglist'!A:CY,103,FALSE)</f>
        <v>ROLL OVER FROM PREVIOUS VSL SWRG 2609N BY ALLOCATION TEAM MS.TAN APPROVED COST IS UNDER HA DD.09/10</v>
      </c>
    </row>
    <row r="130" ht="12.95" customHeight="1" spans="1:41" x14ac:dyDescent="0.25">
      <c r="A130" s="3" t="s">
        <v>621</v>
      </c>
      <c r="B130" s="53" t="str">
        <f>IF(C130=Charge!$M$1,Charge!$J$1,IF(C130=Charge!$M$23,Charge!$J$23,IF(C130=Charge!$M$17,Charge!$J$17,IF(C130=Charge!$N$17,Charge!$J$17,Charge!$J$7))))</f>
        <v>G2</v>
      </c>
      <c r="C130" s="54" t="str">
        <f>VLOOKUP(A130,'1.Loading'!A:R,14,FALSE)</f>
        <v>LCH06</v>
      </c>
      <c r="D130" s="54" t="str">
        <f>VLOOKUP(A130,'1.Loading'!A:R,17,FALSE)</f>
        <v>HASLS22260901311</v>
      </c>
      <c r="E130" s="55" t="str">
        <f>VLOOKUP(D130,'2.Bookinglist'!A:CT,27,FALSE)</f>
        <v>WHA GC LOGISTICS COMPANY LIMITED</v>
      </c>
      <c r="F130" s="55" t="str">
        <f>VLOOKUP(D130,'2.Bookinglist'!A:CT,28,FALSE)</f>
        <v>PTT GLOBAL CHEMICAL PUBLIC COMPANY LIMITED</v>
      </c>
      <c r="G130" s="56">
        <f>VLOOKUP(D130,'2.Bookinglist'!A:E,5,FALSE)</f>
        <v>0</v>
      </c>
      <c r="H130" s="54" t="str">
        <f>VLOOKUP(D130,'2.Bookinglist'!A:CT,15,FALSE)</f>
        <v>THLCH</v>
      </c>
      <c r="I130" s="54" t="str">
        <f>VLOOKUP(D130,'2.Bookinglist'!A:CT,19,FALSE)</f>
        <v>CNSHA</v>
      </c>
      <c r="J130" s="54">
        <f>VLOOKUP(D130,'2.Bookinglist'!A:CT,26,FALSE)</f>
        <v>0</v>
      </c>
      <c r="K130" s="54" t="str">
        <f>VLOOKUP(A130,'1.Loading'!A:R,5,FALSE)</f>
        <v>45GP</v>
      </c>
      <c r="L130" s="56" t="str">
        <f>VLOOKUP(D130,'2.Bookinglist'!A:CT,85,FALSE)</f>
        <v>CY/CY</v>
      </c>
      <c r="M130" s="56" t="str">
        <f>IF(VLOOKUP(D130,'2.Bookinglist'!A:CT,43,FALSE)=0,"","DG")</f>
        <v/>
      </c>
      <c r="N130" s="56" t="str">
        <f>IF(RIGHT(K130,2)="RE","RF","")</f>
        <v/>
      </c>
      <c r="O130" s="54" t="str">
        <f>VLOOKUP(A130,'1.Loading'!A:R,3,FALSE)</f>
        <v>HMVY</v>
      </c>
      <c r="P130" s="54" t="str">
        <f>VLOOKUP(A130,'1.Loading'!A:R,4,FALSE)</f>
        <v>2609N</v>
      </c>
      <c r="Q130" s="54" t="str">
        <f>VLOOKUP(D130,'2.Bookinglist'!A:CT,12,FALSE)</f>
        <v>PCI2</v>
      </c>
      <c r="R130" s="56" t="str">
        <f>IF(LEFT(K130,2)="22","20'","40'")</f>
        <v>40'</v>
      </c>
      <c r="S130" s="38"/>
      <c r="T130" s="54" t="str">
        <f>VLOOKUP(A130,'1.Loading'!A:R,2,FALSE)</f>
        <v>2026-10-28</v>
      </c>
      <c r="U130" s="57">
        <f>T130-S130</f>
        <v>46323</v>
      </c>
      <c r="V130" s="58"/>
      <c r="W130" s="54" t="str">
        <f>VLOOKUP(A130,'3.GateMove'!A:D,4,FALSE)</f>
        <v>2026-10-25</v>
      </c>
      <c r="X130" s="57">
        <f>((T130-W130)+1)</f>
        <v>4</v>
      </c>
      <c r="Y130" s="59">
        <f>IF(AND(OR(C130="BKK01",C130="BKK04"),L130="CFS/CY"),0,IF(M130="DG",1,IF(LEFT(C130,3)="LCH",7,IF(C130="BKK02",5,3))))</f>
        <v>7</v>
      </c>
      <c r="Z130" s="57">
        <f>IF(IF(AND(AC130="TML",AB130&gt;0),((T130-W130)+1)-AB130,((T130-W130)+1)-Y130)&gt;0,IF(AND(AC130="TML",AB130&gt;0),((T130-W130)+1)-AB130,((T130-W130)+1)-Y130),0)</f>
        <v>0</v>
      </c>
      <c r="AA130" s="48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0</v>
      </c>
      <c r="AB130" s="53"/>
      <c r="AC130" s="53"/>
      <c r="AD130" s="56">
        <f>IF(M130="DG",3,IF(N130="RF",3,5))+IF(AND(LEFT(C130,3)="BKK",N130="RF",Q130="KTS"),1,0)+IF(Q130="KHS",1,0)</f>
        <v>5</v>
      </c>
      <c r="AE130" s="57">
        <f>(T130-V130)+1</f>
        <v>46324</v>
      </c>
      <c r="AF130" s="57">
        <f>IF(AB130&gt;IF((V130-W130)&gt;0,V130-W130,0),0,IF(AB130&lt;IF((V130-W130)&gt;0,V130-W130,0),IF((V130-W130)&gt;0,V130-W130,0)-AB130,IF((V130-W130)&gt;0,V130-W130,0)))</f>
        <v>0</v>
      </c>
      <c r="AG130" s="48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0"/>
      <c r="AI130" s="60">
        <f>AA130-AH130</f>
        <v>0</v>
      </c>
      <c r="AJ130" s="61"/>
      <c r="AK130" s="55" t="str">
        <f>VLOOKUP(D130,'2.Bookinglist'!A:CT,40,FALSE)</f>
        <v>Dharaporn</v>
      </c>
      <c r="AL130" s="56" t="str">
        <f>VLOOKUP(D130,'2.Bookinglist'!A:CW,101,FALSE)</f>
        <v>2026-10-28</v>
      </c>
      <c r="AM130" s="56" t="str">
        <f>VLOOKUP(D130,'2.Bookinglist'!A:BK,63,FALSE)</f>
        <v>LCHY5</v>
      </c>
      <c r="AN130" s="55" t="str">
        <f>VLOOKUP(D130,'2.Bookinglist'!A:AZ,52,FALSE)</f>
        <v>CY-RTN: 20-23/10/2026  (1ST RETURN 22/10/26)</v>
      </c>
      <c r="AO130" s="55" t="str">
        <f>VLOOKUP(D130,'2.Bookinglist'!A:CY,103,FALSE)</f>
        <v>ROLL OVER FORM PREIVOUS VSL HAB 2612N BY ALLOCATION TEAM MS.TAN APPROVED COST IS UNDER HA DD.26/10</v>
      </c>
    </row>
    <row r="131" ht="12.95" customHeight="1" spans="1:41" x14ac:dyDescent="0.25">
      <c r="A131" s="3" t="s">
        <v>607</v>
      </c>
      <c r="B131" s="53" t="str">
        <f>IF(C131=Charge!$M$1,Charge!$J$1,IF(C131=Charge!$M$23,Charge!$J$23,IF(C131=Charge!$M$17,Charge!$J$17,IF(C131=Charge!$N$17,Charge!$J$17,Charge!$J$7))))</f>
        <v>G2</v>
      </c>
      <c r="C131" s="54" t="str">
        <f>VLOOKUP(A131,'1.Loading'!A:R,14,FALSE)</f>
        <v>LCH06</v>
      </c>
      <c r="D131" s="54" t="str">
        <f>VLOOKUP(A131,'1.Loading'!A:R,17,FALSE)</f>
        <v>HASLS22260901902</v>
      </c>
      <c r="E131" s="55" t="str">
        <f>VLOOKUP(D131,'2.Bookinglist'!A:CT,27,FALSE)</f>
        <v>WHA GC LOGISTICS COMPANY LIMITED</v>
      </c>
      <c r="F131" s="55" t="str">
        <f>VLOOKUP(D131,'2.Bookinglist'!A:CT,28,FALSE)</f>
        <v>PTT GLOBAL CHEMICAL PUBLIC COMPANY LIMITED</v>
      </c>
      <c r="G131" s="56">
        <f>VLOOKUP(D131,'2.Bookinglist'!A:E,5,FALSE)</f>
        <v>0</v>
      </c>
      <c r="H131" s="54" t="str">
        <f>VLOOKUP(D131,'2.Bookinglist'!A:CT,15,FALSE)</f>
        <v>THLCH</v>
      </c>
      <c r="I131" s="54" t="str">
        <f>VLOOKUP(D131,'2.Bookinglist'!A:CT,19,FALSE)</f>
        <v>CNSHA</v>
      </c>
      <c r="J131" s="54">
        <f>VLOOKUP(D131,'2.Bookinglist'!A:CT,26,FALSE)</f>
        <v>0</v>
      </c>
      <c r="K131" s="54" t="str">
        <f>VLOOKUP(A131,'1.Loading'!A:R,5,FALSE)</f>
        <v>45GP</v>
      </c>
      <c r="L131" s="56" t="str">
        <f>VLOOKUP(D131,'2.Bookinglist'!A:CT,85,FALSE)</f>
        <v>CY/CY</v>
      </c>
      <c r="M131" s="56" t="str">
        <f>IF(VLOOKUP(D131,'2.Bookinglist'!A:CT,43,FALSE)=0,"","DG")</f>
        <v/>
      </c>
      <c r="N131" s="56" t="str">
        <f>IF(RIGHT(K131,2)="RE","RF","")</f>
        <v/>
      </c>
      <c r="O131" s="54" t="str">
        <f>VLOOKUP(A131,'1.Loading'!A:R,3,FALSE)</f>
        <v>HMVY</v>
      </c>
      <c r="P131" s="54" t="str">
        <f>VLOOKUP(A131,'1.Loading'!A:R,4,FALSE)</f>
        <v>2609N</v>
      </c>
      <c r="Q131" s="54" t="str">
        <f>VLOOKUP(D131,'2.Bookinglist'!A:CT,12,FALSE)</f>
        <v>PCI2</v>
      </c>
      <c r="R131" s="56" t="str">
        <f>IF(LEFT(K131,2)="22","20'","40'")</f>
        <v>40'</v>
      </c>
      <c r="S131" s="38"/>
      <c r="T131" s="54" t="str">
        <f>VLOOKUP(A131,'1.Loading'!A:R,2,FALSE)</f>
        <v>2026-10-28</v>
      </c>
      <c r="U131" s="57">
        <f>T131-S131</f>
        <v>46323</v>
      </c>
      <c r="V131" s="58"/>
      <c r="W131" s="54" t="str">
        <f>VLOOKUP(A131,'3.GateMove'!A:D,4,FALSE)</f>
        <v>2026-10-18</v>
      </c>
      <c r="X131" s="57">
        <f>((T131-W131)+1)</f>
        <v>11</v>
      </c>
      <c r="Y131" s="59">
        <f>IF(AND(OR(C131="BKK01",C131="BKK04"),L131="CFS/CY"),0,IF(M131="DG",1,IF(LEFT(C131,3)="LCH",7,IF(C131="BKK02",5,3))))</f>
        <v>7</v>
      </c>
      <c r="Z131" s="57">
        <f>IF(IF(AND(AC131="TML",AB131&gt;0),((T131-W131)+1)-AB131,((T131-W131)+1)-Y131)&gt;0,IF(AND(AC131="TML",AB131&gt;0),((T131-W131)+1)-AB131,((T131-W131)+1)-Y131),0)</f>
        <v>4</v>
      </c>
      <c r="AA131" s="48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1000</v>
      </c>
      <c r="AB131" s="53"/>
      <c r="AC131" s="53"/>
      <c r="AD131" s="56">
        <f>IF(M131="DG",3,IF(N131="RF",3,5))+IF(AND(LEFT(C131,3)="BKK",N131="RF",Q131="KTS"),1,0)+IF(Q131="KHS",1,0)</f>
        <v>5</v>
      </c>
      <c r="AE131" s="57">
        <f>(T131-V131)+1</f>
        <v>46324</v>
      </c>
      <c r="AF131" s="57">
        <f>IF(AB131&gt;IF((V131-W131)&gt;0,V131-W131,0),0,IF(AB131&lt;IF((V131-W131)&gt;0,V131-W131,0),IF((V131-W131)&gt;0,V131-W131,0)-AB131,IF((V131-W131)&gt;0,V131-W131,0)))</f>
        <v>0</v>
      </c>
      <c r="AG131" s="48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0"/>
      <c r="AI131" s="60">
        <f>AA131-AH131</f>
        <v>1000</v>
      </c>
      <c r="AJ131" s="61"/>
      <c r="AK131" s="55" t="str">
        <f>VLOOKUP(D131,'2.Bookinglist'!A:CT,40,FALSE)</f>
        <v>Dharaporn</v>
      </c>
      <c r="AL131" s="56" t="str">
        <f>VLOOKUP(D131,'2.Bookinglist'!A:CW,101,FALSE)</f>
        <v>2026-10-16</v>
      </c>
      <c r="AM131" s="56" t="str">
        <f>VLOOKUP(D131,'2.Bookinglist'!A:BK,63,FALSE)</f>
        <v>LCHY5</v>
      </c>
      <c r="AN131" s="55" t="str">
        <f>VLOOKUP(D131,'2.Bookinglist'!A:AZ,52,FALSE)</f>
        <v>CY-RTN 09-10/10/26 
*PLS CHECK OPEN GATE BEFORE RETURN CTNR*</v>
      </c>
      <c r="AO131" s="55">
        <f>VLOOKUP(D131,'2.Bookinglist'!A:CY,103,FALSE)</f>
        <v>0</v>
      </c>
    </row>
    <row r="132" ht="12.95" customHeight="1" spans="1:41" x14ac:dyDescent="0.25">
      <c r="A132" s="3" t="s">
        <v>615</v>
      </c>
      <c r="B132" s="53" t="str">
        <f>IF(C132=Charge!$M$1,Charge!$J$1,IF(C132=Charge!$M$23,Charge!$J$23,IF(C132=Charge!$M$17,Charge!$J$17,IF(C132=Charge!$N$17,Charge!$J$17,Charge!$J$7))))</f>
        <v>G2</v>
      </c>
      <c r="C132" s="54" t="str">
        <f>VLOOKUP(A132,'1.Loading'!A:R,14,FALSE)</f>
        <v>LCH06</v>
      </c>
      <c r="D132" s="54" t="str">
        <f>VLOOKUP(A132,'1.Loading'!A:R,17,FALSE)</f>
        <v>HASLS22260900442</v>
      </c>
      <c r="E132" s="55" t="str">
        <f>VLOOKUP(D132,'2.Bookinglist'!A:CT,27,FALSE)</f>
        <v>BARKLAYS LOGISTICS (THAILAND) CO., LTD.</v>
      </c>
      <c r="F132" s="55" t="str">
        <f>VLOOKUP(D132,'2.Bookinglist'!A:CT,28,FALSE)</f>
        <v>SHUN YI INTERNATIONAL TRADING CO., LTD.</v>
      </c>
      <c r="G132" s="56">
        <f>VLOOKUP(D132,'2.Bookinglist'!A:E,5,FALSE)</f>
        <v>0</v>
      </c>
      <c r="H132" s="54" t="str">
        <f>VLOOKUP(D132,'2.Bookinglist'!A:CT,15,FALSE)</f>
        <v>THLCH</v>
      </c>
      <c r="I132" s="54" t="str">
        <f>VLOOKUP(D132,'2.Bookinglist'!A:CT,19,FALSE)</f>
        <v>CNSHA</v>
      </c>
      <c r="J132" s="54">
        <f>VLOOKUP(D132,'2.Bookinglist'!A:CT,26,FALSE)</f>
        <v>0</v>
      </c>
      <c r="K132" s="54" t="str">
        <f>VLOOKUP(A132,'1.Loading'!A:R,5,FALSE)</f>
        <v>45GP</v>
      </c>
      <c r="L132" s="56" t="str">
        <f>VLOOKUP(D132,'2.Bookinglist'!A:CT,85,FALSE)</f>
        <v>CY/CY</v>
      </c>
      <c r="M132" s="56" t="str">
        <f>IF(VLOOKUP(D132,'2.Bookinglist'!A:CT,43,FALSE)=0,"","DG")</f>
        <v/>
      </c>
      <c r="N132" s="56" t="str">
        <f>IF(RIGHT(K132,2)="RE","RF","")</f>
        <v/>
      </c>
      <c r="O132" s="54" t="str">
        <f>VLOOKUP(A132,'1.Loading'!A:R,3,FALSE)</f>
        <v>HMVY</v>
      </c>
      <c r="P132" s="54" t="str">
        <f>VLOOKUP(A132,'1.Loading'!A:R,4,FALSE)</f>
        <v>2609N</v>
      </c>
      <c r="Q132" s="54" t="str">
        <f>VLOOKUP(D132,'2.Bookinglist'!A:CT,12,FALSE)</f>
        <v>PCI2</v>
      </c>
      <c r="R132" s="56" t="str">
        <f>IF(LEFT(K132,2)="22","20'","40'")</f>
        <v>40'</v>
      </c>
      <c r="S132" s="38"/>
      <c r="T132" s="54" t="str">
        <f>VLOOKUP(A132,'1.Loading'!A:R,2,FALSE)</f>
        <v>2026-10-28</v>
      </c>
      <c r="U132" s="57">
        <f>T132-S132</f>
        <v>46323</v>
      </c>
      <c r="V132" s="58"/>
      <c r="W132" s="54" t="str">
        <f>VLOOKUP(A132,'3.GateMove'!A:D,4,FALSE)</f>
        <v>2026-10-04</v>
      </c>
      <c r="X132" s="57">
        <f>((T132-W132)+1)</f>
        <v>25</v>
      </c>
      <c r="Y132" s="59">
        <f>IF(AND(OR(C132="BKK01",C132="BKK04"),L132="CFS/CY"),0,IF(M132="DG",1,IF(LEFT(C132,3)="LCH",7,IF(C132="BKK02",5,3))))</f>
        <v>7</v>
      </c>
      <c r="Z132" s="57">
        <f>IF(IF(AND(AC132="TML",AB132&gt;0),((T132-W132)+1)-AB132,((T132-W132)+1)-Y132)&gt;0,IF(AND(AC132="TML",AB132&gt;0),((T132-W132)+1)-AB132,((T132-W132)+1)-Y132),0)</f>
        <v>18</v>
      </c>
      <c r="AA132" s="48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8450</v>
      </c>
      <c r="AB132" s="53"/>
      <c r="AC132" s="53"/>
      <c r="AD132" s="56">
        <f>IF(M132="DG",3,IF(N132="RF",3,5))+IF(AND(LEFT(C132,3)="BKK",N132="RF",Q132="KTS"),1,0)+IF(Q132="KHS",1,0)</f>
        <v>5</v>
      </c>
      <c r="AE132" s="57">
        <f>(T132-V132)+1</f>
        <v>46324</v>
      </c>
      <c r="AF132" s="57">
        <f>IF(AB132&gt;IF((V132-W132)&gt;0,V132-W132,0),0,IF(AB132&lt;IF((V132-W132)&gt;0,V132-W132,0),IF((V132-W132)&gt;0,V132-W132,0)-AB132,IF((V132-W132)&gt;0,V132-W132,0)))</f>
        <v>0</v>
      </c>
      <c r="AG132" s="48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0"/>
      <c r="AI132" s="60">
        <f>AA132-AH132</f>
        <v>8450</v>
      </c>
      <c r="AJ132" s="61"/>
      <c r="AK132" s="55" t="str">
        <f>VLOOKUP(D132,'2.Bookinglist'!A:CT,40,FALSE)</f>
        <v>Nannaapust Sukporntaweewat</v>
      </c>
      <c r="AL132" s="56" t="str">
        <f>VLOOKUP(D132,'2.Bookinglist'!A:CW,101,FALSE)</f>
        <v>2026-10-22</v>
      </c>
      <c r="AM132" s="56" t="str">
        <f>VLOOKUP(D132,'2.Bookinglist'!A:BK,63,FALSE)</f>
        <v>LCHY5</v>
      </c>
      <c r="AN132" s="55" t="str">
        <f>VLOOKUP(D132,'2.Bookinglist'!A:AZ,52,FALSE)</f>
        <v>Pickup : 2026-10-02, Return : 2026-10-04 *1ST RETURN CNTR DD.08/10/2026*</v>
      </c>
      <c r="AO132" s="55" t="str">
        <f>VLOOKUP(D132,'2.Bookinglist'!A:CY,103,FALSE)</f>
        <v>ROLL OVER FROM PREVIOUS VSL SWRG 2609N BY ALLOCATION TEAM MS.TAN APPROVED COST IS UNDER HA DD.09/10</v>
      </c>
    </row>
    <row r="133" ht="12.95" customHeight="1" spans="1:41" x14ac:dyDescent="0.25">
      <c r="A133" s="3" t="s">
        <v>619</v>
      </c>
      <c r="B133" s="53" t="str">
        <f>IF(C133=Charge!$M$1,Charge!$J$1,IF(C133=Charge!$M$23,Charge!$J$23,IF(C133=Charge!$M$17,Charge!$J$17,IF(C133=Charge!$N$17,Charge!$J$17,Charge!$J$7))))</f>
        <v>G2</v>
      </c>
      <c r="C133" s="54" t="str">
        <f>VLOOKUP(A133,'1.Loading'!A:R,14,FALSE)</f>
        <v>LCH06</v>
      </c>
      <c r="D133" s="54" t="str">
        <f>VLOOKUP(A133,'1.Loading'!A:R,17,FALSE)</f>
        <v>HASLS22260900723</v>
      </c>
      <c r="E133" s="55" t="str">
        <f>VLOOKUP(D133,'2.Bookinglist'!A:CT,27,FALSE)</f>
        <v>SCGJWD LOGISTICS PUBLIC COMPANY LIMITED</v>
      </c>
      <c r="F133" s="55" t="str">
        <f>VLOOKUP(D133,'2.Bookinglist'!A:CT,28,FALSE)</f>
        <v>THAI POLYETHYLENE CO., LTD.</v>
      </c>
      <c r="G133" s="56">
        <f>VLOOKUP(D133,'2.Bookinglist'!A:E,5,FALSE)</f>
        <v>0</v>
      </c>
      <c r="H133" s="54" t="str">
        <f>VLOOKUP(D133,'2.Bookinglist'!A:CT,15,FALSE)</f>
        <v>THLCH</v>
      </c>
      <c r="I133" s="54" t="str">
        <f>VLOOKUP(D133,'2.Bookinglist'!A:CT,19,FALSE)</f>
        <v>CNSHA</v>
      </c>
      <c r="J133" s="54">
        <f>VLOOKUP(D133,'2.Bookinglist'!A:CT,26,FALSE)</f>
        <v>0</v>
      </c>
      <c r="K133" s="54" t="str">
        <f>VLOOKUP(A133,'1.Loading'!A:R,5,FALSE)</f>
        <v>45GP</v>
      </c>
      <c r="L133" s="56" t="str">
        <f>VLOOKUP(D133,'2.Bookinglist'!A:CT,85,FALSE)</f>
        <v>CY/CY</v>
      </c>
      <c r="M133" s="56" t="str">
        <f>IF(VLOOKUP(D133,'2.Bookinglist'!A:CT,43,FALSE)=0,"","DG")</f>
        <v/>
      </c>
      <c r="N133" s="56" t="str">
        <f>IF(RIGHT(K133,2)="RE","RF","")</f>
        <v/>
      </c>
      <c r="O133" s="54" t="str">
        <f>VLOOKUP(A133,'1.Loading'!A:R,3,FALSE)</f>
        <v>HMVY</v>
      </c>
      <c r="P133" s="54" t="str">
        <f>VLOOKUP(A133,'1.Loading'!A:R,4,FALSE)</f>
        <v>2609N</v>
      </c>
      <c r="Q133" s="54" t="str">
        <f>VLOOKUP(D133,'2.Bookinglist'!A:CT,12,FALSE)</f>
        <v>PCI2</v>
      </c>
      <c r="R133" s="56" t="str">
        <f>IF(LEFT(K133,2)="22","20'","40'")</f>
        <v>40'</v>
      </c>
      <c r="S133" s="38"/>
      <c r="T133" s="54" t="str">
        <f>VLOOKUP(A133,'1.Loading'!A:R,2,FALSE)</f>
        <v>2026-10-28</v>
      </c>
      <c r="U133" s="57">
        <f>T133-S133</f>
        <v>46323</v>
      </c>
      <c r="V133" s="58"/>
      <c r="W133" s="54" t="str">
        <f>VLOOKUP(A133,'3.GateMove'!A:D,4,FALSE)</f>
        <v>2026-10-22</v>
      </c>
      <c r="X133" s="57">
        <f>((T133-W133)+1)</f>
        <v>7</v>
      </c>
      <c r="Y133" s="59">
        <f>IF(AND(OR(C133="BKK01",C133="BKK04"),L133="CFS/CY"),0,IF(M133="DG",1,IF(LEFT(C133,3)="LCH",7,IF(C133="BKK02",5,3))))</f>
        <v>7</v>
      </c>
      <c r="Z133" s="57">
        <f>IF(IF(AND(AC133="TML",AB133&gt;0),((T133-W133)+1)-AB133,((T133-W133)+1)-Y133)&gt;0,IF(AND(AC133="TML",AB133&gt;0),((T133-W133)+1)-AB133,((T133-W133)+1)-Y133),0)</f>
        <v>0</v>
      </c>
      <c r="AA133" s="48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0</v>
      </c>
      <c r="AB133" s="53"/>
      <c r="AC133" s="53"/>
      <c r="AD133" s="56">
        <f>IF(M133="DG",3,IF(N133="RF",3,5))+IF(AND(LEFT(C133,3)="BKK",N133="RF",Q133="KTS"),1,0)+IF(Q133="KHS",1,0)</f>
        <v>5</v>
      </c>
      <c r="AE133" s="57">
        <f>(T133-V133)+1</f>
        <v>46324</v>
      </c>
      <c r="AF133" s="57">
        <f>IF(AB133&gt;IF((V133-W133)&gt;0,V133-W133,0),0,IF(AB133&lt;IF((V133-W133)&gt;0,V133-W133,0),IF((V133-W133)&gt;0,V133-W133,0)-AB133,IF((V133-W133)&gt;0,V133-W133,0)))</f>
        <v>0</v>
      </c>
      <c r="AG133" s="48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0"/>
      <c r="AI133" s="60">
        <f>AA133-AH133</f>
        <v>0</v>
      </c>
      <c r="AJ133" s="61"/>
      <c r="AK133" s="55" t="str">
        <f>VLOOKUP(D133,'2.Bookinglist'!A:CT,40,FALSE)</f>
        <v>Kanokporn</v>
      </c>
      <c r="AL133" s="56" t="str">
        <f>VLOOKUP(D133,'2.Bookinglist'!A:CW,101,FALSE)</f>
        <v>2026-10-28</v>
      </c>
      <c r="AM133" s="56" t="str">
        <f>VLOOKUP(D133,'2.Bookinglist'!A:BK,63,FALSE)</f>
        <v>LCHY5</v>
      </c>
      <c r="AN133" s="55" t="str">
        <f>VLOOKUP(D133,'2.Bookinglist'!A:AZ,52,FALSE)</f>
        <v>CY-RTN: 16-20/10/2026 
(INV.3031062765) 
REQ GOOD AND CLEAN CONT., NO OIL, NO RUSTY</v>
      </c>
      <c r="AO133" s="55" t="str">
        <f>VLOOKUP(D133,'2.Bookinglist'!A:CY,103,FALSE)</f>
        <v>ROLL OVER FROM PREVIOUS VSL HAB 2612N BY ALLOCATION TEAM MS.TAN APPROVED COST IS UNDER HA DD.26/10</v>
      </c>
    </row>
    <row r="134" ht="12.95" customHeight="1" spans="1:41" x14ac:dyDescent="0.25">
      <c r="A134" s="3" t="s">
        <v>610</v>
      </c>
      <c r="B134" s="53" t="str">
        <f>IF(C134=Charge!$M$1,Charge!$J$1,IF(C134=Charge!$M$23,Charge!$J$23,IF(C134=Charge!$M$17,Charge!$J$17,IF(C134=Charge!$N$17,Charge!$J$17,Charge!$J$7))))</f>
        <v>G2</v>
      </c>
      <c r="C134" s="54" t="str">
        <f>VLOOKUP(A134,'1.Loading'!A:R,14,FALSE)</f>
        <v>LCH06</v>
      </c>
      <c r="D134" s="54" t="str">
        <f>VLOOKUP(A134,'1.Loading'!A:R,17,FALSE)</f>
        <v>HASLS22261000285</v>
      </c>
      <c r="E134" s="55" t="str">
        <f>VLOOKUP(D134,'2.Bookinglist'!A:CT,27,FALSE)</f>
        <v>AGC VINYTHAI PUBLIC COMPANY LIMITED</v>
      </c>
      <c r="F134" s="55" t="str">
        <f>VLOOKUP(D134,'2.Bookinglist'!A:CT,28,FALSE)</f>
        <v>AGC VINYTHAI PUBLIC COMPANY LIMITED</v>
      </c>
      <c r="G134" s="56">
        <f>VLOOKUP(D134,'2.Bookinglist'!A:E,5,FALSE)</f>
        <v>0</v>
      </c>
      <c r="H134" s="54" t="str">
        <f>VLOOKUP(D134,'2.Bookinglist'!A:CT,15,FALSE)</f>
        <v>THLCH</v>
      </c>
      <c r="I134" s="54" t="str">
        <f>VLOOKUP(D134,'2.Bookinglist'!A:CT,19,FALSE)</f>
        <v>CNSHA</v>
      </c>
      <c r="J134" s="54">
        <f>VLOOKUP(D134,'2.Bookinglist'!A:CT,26,FALSE)</f>
        <v>0</v>
      </c>
      <c r="K134" s="54" t="str">
        <f>VLOOKUP(A134,'1.Loading'!A:R,5,FALSE)</f>
        <v>45GP</v>
      </c>
      <c r="L134" s="56" t="str">
        <f>VLOOKUP(D134,'2.Bookinglist'!A:CT,85,FALSE)</f>
        <v>CY/CY</v>
      </c>
      <c r="M134" s="56" t="str">
        <f>IF(VLOOKUP(D134,'2.Bookinglist'!A:CT,43,FALSE)=0,"","DG")</f>
        <v/>
      </c>
      <c r="N134" s="56" t="str">
        <f>IF(RIGHT(K134,2)="RE","RF","")</f>
        <v/>
      </c>
      <c r="O134" s="54" t="str">
        <f>VLOOKUP(A134,'1.Loading'!A:R,3,FALSE)</f>
        <v>HMVY</v>
      </c>
      <c r="P134" s="54" t="str">
        <f>VLOOKUP(A134,'1.Loading'!A:R,4,FALSE)</f>
        <v>2609N</v>
      </c>
      <c r="Q134" s="54" t="str">
        <f>VLOOKUP(D134,'2.Bookinglist'!A:CT,12,FALSE)</f>
        <v>PCI2</v>
      </c>
      <c r="R134" s="56" t="str">
        <f>IF(LEFT(K134,2)="22","20'","40'")</f>
        <v>40'</v>
      </c>
      <c r="S134" s="38"/>
      <c r="T134" s="54" t="str">
        <f>VLOOKUP(A134,'1.Loading'!A:R,2,FALSE)</f>
        <v>2026-10-28</v>
      </c>
      <c r="U134" s="57">
        <f>T134-S134</f>
        <v>46323</v>
      </c>
      <c r="V134" s="58"/>
      <c r="W134" s="54" t="str">
        <f>VLOOKUP(A134,'3.GateMove'!A:D,4,FALSE)</f>
        <v>2026-10-19</v>
      </c>
      <c r="X134" s="57">
        <f>((T134-W134)+1)</f>
        <v>10</v>
      </c>
      <c r="Y134" s="59">
        <f>IF(AND(OR(C134="BKK01",C134="BKK04"),L134="CFS/CY"),0,IF(M134="DG",1,IF(LEFT(C134,3)="LCH",7,IF(C134="BKK02",5,3))))</f>
        <v>7</v>
      </c>
      <c r="Z134" s="57">
        <f>IF(IF(AND(AC134="TML",AB134&gt;0),((T134-W134)+1)-AB134,((T134-W134)+1)-Y134)&gt;0,IF(AND(AC134="TML",AB134&gt;0),((T134-W134)+1)-AB134,((T134-W134)+1)-Y134),0)</f>
        <v>3</v>
      </c>
      <c r="AA134" s="48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750</v>
      </c>
      <c r="AB134" s="53"/>
      <c r="AC134" s="53"/>
      <c r="AD134" s="56">
        <f>IF(M134="DG",3,IF(N134="RF",3,5))+IF(AND(LEFT(C134,3)="BKK",N134="RF",Q134="KTS"),1,0)+IF(Q134="KHS",1,0)</f>
        <v>5</v>
      </c>
      <c r="AE134" s="57">
        <f>(T134-V134)+1</f>
        <v>46324</v>
      </c>
      <c r="AF134" s="57">
        <f>IF(AB134&gt;IF((V134-W134)&gt;0,V134-W134,0),0,IF(AB134&lt;IF((V134-W134)&gt;0,V134-W134,0),IF((V134-W134)&gt;0,V134-W134,0)-AB134,IF((V134-W134)&gt;0,V134-W134,0)))</f>
        <v>0</v>
      </c>
      <c r="AG134" s="48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0"/>
      <c r="AI134" s="60">
        <f>AA134-AH134</f>
        <v>750</v>
      </c>
      <c r="AJ134" s="61"/>
      <c r="AK134" s="55" t="str">
        <f>VLOOKUP(D134,'2.Bookinglist'!A:CT,40,FALSE)</f>
        <v>Nannaapust Sukporntaweewat</v>
      </c>
      <c r="AL134" s="56" t="str">
        <f>VLOOKUP(D134,'2.Bookinglist'!A:CW,101,FALSE)</f>
        <v>2026-10-24</v>
      </c>
      <c r="AM134" s="56" t="str">
        <f>VLOOKUP(D134,'2.Bookinglist'!A:BK,63,FALSE)</f>
        <v>LCHY5</v>
      </c>
      <c r="AN134" s="55" t="str">
        <f>VLOOKUP(D134,'2.Bookinglist'!A:AZ,52,FALSE)</f>
        <v>Pickup : 2026-10-15, Return : 2026-10-16</v>
      </c>
      <c r="AO134" s="55">
        <f>VLOOKUP(D134,'2.Bookinglist'!A:CY,103,FALSE)</f>
        <v>0</v>
      </c>
    </row>
    <row r="135" ht="12.95" customHeight="1" spans="1:41" x14ac:dyDescent="0.25">
      <c r="A135" s="3" t="s">
        <v>625</v>
      </c>
      <c r="B135" s="53" t="str">
        <f>IF(C135=Charge!$M$1,Charge!$J$1,IF(C135=Charge!$M$23,Charge!$J$23,IF(C135=Charge!$M$17,Charge!$J$17,IF(C135=Charge!$N$17,Charge!$J$17,Charge!$J$7))))</f>
        <v>G2</v>
      </c>
      <c r="C135" s="54" t="str">
        <f>VLOOKUP(A135,'1.Loading'!A:R,14,FALSE)</f>
        <v>LCH06</v>
      </c>
      <c r="D135" s="54" t="str">
        <f>VLOOKUP(A135,'1.Loading'!A:R,17,FALSE)</f>
        <v>HASLS22261000876</v>
      </c>
      <c r="E135" s="55" t="str">
        <f>VLOOKUP(D135,'2.Bookinglist'!A:CT,27,FALSE)</f>
        <v>SUN-OCEAN GLOBAL SUPPLY CHAIN CO., LTD.</v>
      </c>
      <c r="F135" s="55" t="str">
        <f>VLOOKUP(D135,'2.Bookinglist'!A:CT,28,FALSE)</f>
        <v>I.P. ONE COMPANY LIMITED</v>
      </c>
      <c r="G135" s="56" t="str">
        <f>VLOOKUP(D135,'2.Bookinglist'!A:E,5,FALSE)</f>
        <v>THSRP</v>
      </c>
      <c r="H135" s="54" t="str">
        <f>VLOOKUP(D135,'2.Bookinglist'!A:CT,15,FALSE)</f>
        <v>THLCH</v>
      </c>
      <c r="I135" s="54" t="str">
        <f>VLOOKUP(D135,'2.Bookinglist'!A:CT,19,FALSE)</f>
        <v>CNSHA</v>
      </c>
      <c r="J135" s="54">
        <f>VLOOKUP(D135,'2.Bookinglist'!A:CT,26,FALSE)</f>
        <v>0</v>
      </c>
      <c r="K135" s="54" t="str">
        <f>VLOOKUP(A135,'1.Loading'!A:R,5,FALSE)</f>
        <v>45GP</v>
      </c>
      <c r="L135" s="56" t="str">
        <f>VLOOKUP(D135,'2.Bookinglist'!A:CT,85,FALSE)</f>
        <v>CY/CY</v>
      </c>
      <c r="M135" s="56" t="str">
        <f>IF(VLOOKUP(D135,'2.Bookinglist'!A:CT,43,FALSE)=0,"","DG")</f>
        <v/>
      </c>
      <c r="N135" s="56" t="str">
        <f>IF(RIGHT(K135,2)="RE","RF","")</f>
        <v/>
      </c>
      <c r="O135" s="54" t="str">
        <f>VLOOKUP(A135,'1.Loading'!A:R,3,FALSE)</f>
        <v>HMVY</v>
      </c>
      <c r="P135" s="54" t="str">
        <f>VLOOKUP(A135,'1.Loading'!A:R,4,FALSE)</f>
        <v>2609N</v>
      </c>
      <c r="Q135" s="54" t="str">
        <f>VLOOKUP(D135,'2.Bookinglist'!A:CT,12,FALSE)</f>
        <v>PCI2</v>
      </c>
      <c r="R135" s="56" t="str">
        <f>IF(LEFT(K135,2)="22","20'","40'")</f>
        <v>40'</v>
      </c>
      <c r="S135" s="38"/>
      <c r="T135" s="54" t="str">
        <f>VLOOKUP(A135,'1.Loading'!A:R,2,FALSE)</f>
        <v>2026-10-28</v>
      </c>
      <c r="U135" s="57">
        <f>T135-S135</f>
        <v>46323</v>
      </c>
      <c r="V135" s="58"/>
      <c r="W135" s="54" t="str">
        <f>VLOOKUP(A135,'3.GateMove'!A:D,4,FALSE)</f>
        <v>2026-10-23</v>
      </c>
      <c r="X135" s="57">
        <f>((T135-W135)+1)</f>
        <v>6</v>
      </c>
      <c r="Y135" s="59">
        <f>IF(AND(OR(C135="BKK01",C135="BKK04"),L135="CFS/CY"),0,IF(M135="DG",1,IF(LEFT(C135,3)="LCH",7,IF(C135="BKK02",5,3))))</f>
        <v>7</v>
      </c>
      <c r="Z135" s="57">
        <f>IF(IF(AND(AC135="TML",AB135&gt;0),((T135-W135)+1)-AB135,((T135-W135)+1)-Y135)&gt;0,IF(AND(AC135="TML",AB135&gt;0),((T135-W135)+1)-AB135,((T135-W135)+1)-Y135),0)</f>
        <v>0</v>
      </c>
      <c r="AA135" s="48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0</v>
      </c>
      <c r="AB135" s="53"/>
      <c r="AC135" s="53"/>
      <c r="AD135" s="56">
        <f>IF(M135="DG",3,IF(N135="RF",3,5))+IF(AND(LEFT(C135,3)="BKK",N135="RF",Q135="KTS"),1,0)+IF(Q135="KHS",1,0)</f>
        <v>5</v>
      </c>
      <c r="AE135" s="57">
        <f>(T135-V135)+1</f>
        <v>46324</v>
      </c>
      <c r="AF135" s="57">
        <f>IF(AB135&gt;IF((V135-W135)&gt;0,V135-W135,0),0,IF(AB135&lt;IF((V135-W135)&gt;0,V135-W135,0),IF((V135-W135)&gt;0,V135-W135,0)-AB135,IF((V135-W135)&gt;0,V135-W135,0)))</f>
        <v>0</v>
      </c>
      <c r="AG135" s="48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0"/>
      <c r="AI135" s="60">
        <f>AA135-AH135</f>
        <v>0</v>
      </c>
      <c r="AJ135" s="61"/>
      <c r="AK135" s="55" t="str">
        <f>VLOOKUP(D135,'2.Bookinglist'!A:CT,40,FALSE)</f>
        <v>Arunphat W. (Aiw)</v>
      </c>
      <c r="AL135" s="56" t="str">
        <f>VLOOKUP(D135,'2.Bookinglist'!A:CW,101,FALSE)</f>
        <v>2026-10-22</v>
      </c>
      <c r="AM135" s="56" t="str">
        <f>VLOOKUP(D135,'2.Bookinglist'!A:BK,63,FALSE)</f>
        <v>BKK27</v>
      </c>
      <c r="AN135" s="55" t="str">
        <f>VLOOKUP(D135,'2.Bookinglist'!A:AZ,52,FALSE)</f>
        <v>Pickup : 2026-10-16, Return SRP : 2026-10-17 [PAPERLESS CODE 2829]
CLS TIME 24/10/26 @21.00 (1ST RETURN 17/10/26)</v>
      </c>
      <c r="AO135" s="55">
        <f>VLOOKUP(D135,'2.Bookinglist'!A:CY,103,FALSE)</f>
        <v>0</v>
      </c>
    </row>
    <row r="136" ht="12.95" customHeight="1" spans="1:41" x14ac:dyDescent="0.25">
      <c r="A136" s="3" t="s">
        <v>626</v>
      </c>
      <c r="B136" s="53" t="str">
        <f>IF(C136=Charge!$M$1,Charge!$J$1,IF(C136=Charge!$M$23,Charge!$J$23,IF(C136=Charge!$M$17,Charge!$J$17,IF(C136=Charge!$N$17,Charge!$J$17,Charge!$J$7))))</f>
        <v>G2</v>
      </c>
      <c r="C136" s="54" t="str">
        <f>VLOOKUP(A136,'1.Loading'!A:R,14,FALSE)</f>
        <v>LCH06</v>
      </c>
      <c r="D136" s="54" t="str">
        <f>VLOOKUP(A136,'1.Loading'!A:R,17,FALSE)</f>
        <v>HASLS22261000876</v>
      </c>
      <c r="E136" s="55" t="str">
        <f>VLOOKUP(D136,'2.Bookinglist'!A:CT,27,FALSE)</f>
        <v>SUN-OCEAN GLOBAL SUPPLY CHAIN CO., LTD.</v>
      </c>
      <c r="F136" s="55" t="str">
        <f>VLOOKUP(D136,'2.Bookinglist'!A:CT,28,FALSE)</f>
        <v>I.P. ONE COMPANY LIMITED</v>
      </c>
      <c r="G136" s="56" t="str">
        <f>VLOOKUP(D136,'2.Bookinglist'!A:E,5,FALSE)</f>
        <v>THSRP</v>
      </c>
      <c r="H136" s="54" t="str">
        <f>VLOOKUP(D136,'2.Bookinglist'!A:CT,15,FALSE)</f>
        <v>THLCH</v>
      </c>
      <c r="I136" s="54" t="str">
        <f>VLOOKUP(D136,'2.Bookinglist'!A:CT,19,FALSE)</f>
        <v>CNSHA</v>
      </c>
      <c r="J136" s="54">
        <f>VLOOKUP(D136,'2.Bookinglist'!A:CT,26,FALSE)</f>
        <v>0</v>
      </c>
      <c r="K136" s="54" t="str">
        <f>VLOOKUP(A136,'1.Loading'!A:R,5,FALSE)</f>
        <v>45GP</v>
      </c>
      <c r="L136" s="56" t="str">
        <f>VLOOKUP(D136,'2.Bookinglist'!A:CT,85,FALSE)</f>
        <v>CY/CY</v>
      </c>
      <c r="M136" s="56" t="str">
        <f>IF(VLOOKUP(D136,'2.Bookinglist'!A:CT,43,FALSE)=0,"","DG")</f>
        <v/>
      </c>
      <c r="N136" s="56" t="str">
        <f>IF(RIGHT(K136,2)="RE","RF","")</f>
        <v/>
      </c>
      <c r="O136" s="54" t="str">
        <f>VLOOKUP(A136,'1.Loading'!A:R,3,FALSE)</f>
        <v>HMVY</v>
      </c>
      <c r="P136" s="54" t="str">
        <f>VLOOKUP(A136,'1.Loading'!A:R,4,FALSE)</f>
        <v>2609N</v>
      </c>
      <c r="Q136" s="54" t="str">
        <f>VLOOKUP(D136,'2.Bookinglist'!A:CT,12,FALSE)</f>
        <v>PCI2</v>
      </c>
      <c r="R136" s="56" t="str">
        <f>IF(LEFT(K136,2)="22","20'","40'")</f>
        <v>40'</v>
      </c>
      <c r="S136" s="38"/>
      <c r="T136" s="54" t="str">
        <f>VLOOKUP(A136,'1.Loading'!A:R,2,FALSE)</f>
        <v>2026-10-28</v>
      </c>
      <c r="U136" s="57">
        <f>T136-S136</f>
        <v>46323</v>
      </c>
      <c r="V136" s="58"/>
      <c r="W136" s="54" t="str">
        <f>VLOOKUP(A136,'3.GateMove'!A:D,4,FALSE)</f>
        <v>2026-10-23</v>
      </c>
      <c r="X136" s="57">
        <f>((T136-W136)+1)</f>
        <v>6</v>
      </c>
      <c r="Y136" s="59">
        <f>IF(AND(OR(C136="BKK01",C136="BKK04"),L136="CFS/CY"),0,IF(M136="DG",1,IF(LEFT(C136,3)="LCH",7,IF(C136="BKK02",5,3))))</f>
        <v>7</v>
      </c>
      <c r="Z136" s="57">
        <f>IF(IF(AND(AC136="TML",AB136&gt;0),((T136-W136)+1)-AB136,((T136-W136)+1)-Y136)&gt;0,IF(AND(AC136="TML",AB136&gt;0),((T136-W136)+1)-AB136,((T136-W136)+1)-Y136),0)</f>
        <v>0</v>
      </c>
      <c r="AA136" s="48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0</v>
      </c>
      <c r="AB136" s="53"/>
      <c r="AC136" s="53"/>
      <c r="AD136" s="56">
        <f>IF(M136="DG",3,IF(N136="RF",3,5))+IF(AND(LEFT(C136,3)="BKK",N136="RF",Q136="KTS"),1,0)+IF(Q136="KHS",1,0)</f>
        <v>5</v>
      </c>
      <c r="AE136" s="57">
        <f>(T136-V136)+1</f>
        <v>46324</v>
      </c>
      <c r="AF136" s="57">
        <f>IF(AB136&gt;IF((V136-W136)&gt;0,V136-W136,0),0,IF(AB136&lt;IF((V136-W136)&gt;0,V136-W136,0),IF((V136-W136)&gt;0,V136-W136,0)-AB136,IF((V136-W136)&gt;0,V136-W136,0)))</f>
        <v>0</v>
      </c>
      <c r="AG136" s="48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0"/>
      <c r="AI136" s="60">
        <f>AA136-AH136</f>
        <v>0</v>
      </c>
      <c r="AJ136" s="61"/>
      <c r="AK136" s="55" t="str">
        <f>VLOOKUP(D136,'2.Bookinglist'!A:CT,40,FALSE)</f>
        <v>Arunphat W. (Aiw)</v>
      </c>
      <c r="AL136" s="56" t="str">
        <f>VLOOKUP(D136,'2.Bookinglist'!A:CW,101,FALSE)</f>
        <v>2026-10-22</v>
      </c>
      <c r="AM136" s="56" t="str">
        <f>VLOOKUP(D136,'2.Bookinglist'!A:BK,63,FALSE)</f>
        <v>BKK27</v>
      </c>
      <c r="AN136" s="55" t="str">
        <f>VLOOKUP(D136,'2.Bookinglist'!A:AZ,52,FALSE)</f>
        <v>Pickup : 2026-10-16, Return SRP : 2026-10-17 [PAPERLESS CODE 2829]
CLS TIME 24/10/26 @21.00 (1ST RETURN 17/10/26)</v>
      </c>
      <c r="AO136" s="55">
        <f>VLOOKUP(D136,'2.Bookinglist'!A:CY,103,FALSE)</f>
        <v>0</v>
      </c>
    </row>
    <row r="137" ht="12.95" customHeight="1" spans="1:41" x14ac:dyDescent="0.25">
      <c r="A137" s="3" t="s">
        <v>624</v>
      </c>
      <c r="B137" s="53" t="str">
        <f>IF(C137=Charge!$M$1,Charge!$J$1,IF(C137=Charge!$M$23,Charge!$J$23,IF(C137=Charge!$M$17,Charge!$J$17,IF(C137=Charge!$N$17,Charge!$J$17,Charge!$J$7))))</f>
        <v>G2</v>
      </c>
      <c r="C137" s="54" t="str">
        <f>VLOOKUP(A137,'1.Loading'!A:R,14,FALSE)</f>
        <v>LCH06</v>
      </c>
      <c r="D137" s="54" t="str">
        <f>VLOOKUP(A137,'1.Loading'!A:R,17,FALSE)</f>
        <v>HASLS22260900442</v>
      </c>
      <c r="E137" s="55" t="str">
        <f>VLOOKUP(D137,'2.Bookinglist'!A:CT,27,FALSE)</f>
        <v>BARKLAYS LOGISTICS (THAILAND) CO., LTD.</v>
      </c>
      <c r="F137" s="55" t="str">
        <f>VLOOKUP(D137,'2.Bookinglist'!A:CT,28,FALSE)</f>
        <v>SHUN YI INTERNATIONAL TRADING CO., LTD.</v>
      </c>
      <c r="G137" s="56">
        <f>VLOOKUP(D137,'2.Bookinglist'!A:E,5,FALSE)</f>
        <v>0</v>
      </c>
      <c r="H137" s="54" t="str">
        <f>VLOOKUP(D137,'2.Bookinglist'!A:CT,15,FALSE)</f>
        <v>THLCH</v>
      </c>
      <c r="I137" s="54" t="str">
        <f>VLOOKUP(D137,'2.Bookinglist'!A:CT,19,FALSE)</f>
        <v>CNSHA</v>
      </c>
      <c r="J137" s="54">
        <f>VLOOKUP(D137,'2.Bookinglist'!A:CT,26,FALSE)</f>
        <v>0</v>
      </c>
      <c r="K137" s="54" t="str">
        <f>VLOOKUP(A137,'1.Loading'!A:R,5,FALSE)</f>
        <v>45GP</v>
      </c>
      <c r="L137" s="56" t="str">
        <f>VLOOKUP(D137,'2.Bookinglist'!A:CT,85,FALSE)</f>
        <v>CY/CY</v>
      </c>
      <c r="M137" s="56" t="str">
        <f>IF(VLOOKUP(D137,'2.Bookinglist'!A:CT,43,FALSE)=0,"","DG")</f>
        <v/>
      </c>
      <c r="N137" s="56" t="str">
        <f>IF(RIGHT(K137,2)="RE","RF","")</f>
        <v/>
      </c>
      <c r="O137" s="54" t="str">
        <f>VLOOKUP(A137,'1.Loading'!A:R,3,FALSE)</f>
        <v>HMVY</v>
      </c>
      <c r="P137" s="54" t="str">
        <f>VLOOKUP(A137,'1.Loading'!A:R,4,FALSE)</f>
        <v>2609N</v>
      </c>
      <c r="Q137" s="54" t="str">
        <f>VLOOKUP(D137,'2.Bookinglist'!A:CT,12,FALSE)</f>
        <v>PCI2</v>
      </c>
      <c r="R137" s="56" t="str">
        <f>IF(LEFT(K137,2)="22","20'","40'")</f>
        <v>40'</v>
      </c>
      <c r="S137" s="38"/>
      <c r="T137" s="54" t="str">
        <f>VLOOKUP(A137,'1.Loading'!A:R,2,FALSE)</f>
        <v>2026-10-28</v>
      </c>
      <c r="U137" s="57">
        <f>T137-S137</f>
        <v>46323</v>
      </c>
      <c r="V137" s="58"/>
      <c r="W137" s="54" t="str">
        <f>VLOOKUP(A137,'3.GateMove'!A:D,4,FALSE)</f>
        <v>2026-10-04</v>
      </c>
      <c r="X137" s="57">
        <f>((T137-W137)+1)</f>
        <v>25</v>
      </c>
      <c r="Y137" s="59">
        <f>IF(AND(OR(C137="BKK01",C137="BKK04"),L137="CFS/CY"),0,IF(M137="DG",1,IF(LEFT(C137,3)="LCH",7,IF(C137="BKK02",5,3))))</f>
        <v>7</v>
      </c>
      <c r="Z137" s="57">
        <f>IF(IF(AND(AC137="TML",AB137&gt;0),((T137-W137)+1)-AB137,((T137-W137)+1)-Y137)&gt;0,IF(AND(AC137="TML",AB137&gt;0),((T137-W137)+1)-AB137,((T137-W137)+1)-Y137),0)</f>
        <v>18</v>
      </c>
      <c r="AA137" s="48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8450</v>
      </c>
      <c r="AB137" s="53"/>
      <c r="AC137" s="53"/>
      <c r="AD137" s="56">
        <f>IF(M137="DG",3,IF(N137="RF",3,5))+IF(AND(LEFT(C137,3)="BKK",N137="RF",Q137="KTS"),1,0)+IF(Q137="KHS",1,0)</f>
        <v>5</v>
      </c>
      <c r="AE137" s="57">
        <f>(T137-V137)+1</f>
        <v>46324</v>
      </c>
      <c r="AF137" s="57">
        <f>IF(AB137&gt;IF((V137-W137)&gt;0,V137-W137,0),0,IF(AB137&lt;IF((V137-W137)&gt;0,V137-W137,0),IF((V137-W137)&gt;0,V137-W137,0)-AB137,IF((V137-W137)&gt;0,V137-W137,0)))</f>
        <v>0</v>
      </c>
      <c r="AG137" s="48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0"/>
      <c r="AI137" s="60">
        <f>AA137-AH137</f>
        <v>8450</v>
      </c>
      <c r="AJ137" s="61"/>
      <c r="AK137" s="55" t="str">
        <f>VLOOKUP(D137,'2.Bookinglist'!A:CT,40,FALSE)</f>
        <v>Nannaapust Sukporntaweewat</v>
      </c>
      <c r="AL137" s="56" t="str">
        <f>VLOOKUP(D137,'2.Bookinglist'!A:CW,101,FALSE)</f>
        <v>2026-10-22</v>
      </c>
      <c r="AM137" s="56" t="str">
        <f>VLOOKUP(D137,'2.Bookinglist'!A:BK,63,FALSE)</f>
        <v>LCHY5</v>
      </c>
      <c r="AN137" s="55" t="str">
        <f>VLOOKUP(D137,'2.Bookinglist'!A:AZ,52,FALSE)</f>
        <v>Pickup : 2026-10-02, Return : 2026-10-04 *1ST RETURN CNTR DD.08/10/2026*</v>
      </c>
      <c r="AO137" s="55" t="str">
        <f>VLOOKUP(D137,'2.Bookinglist'!A:CY,103,FALSE)</f>
        <v>ROLL OVER FROM PREVIOUS VSL SWRG 2609N BY ALLOCATION TEAM MS.TAN APPROVED COST IS UNDER HA DD.09/10</v>
      </c>
    </row>
    <row r="138" ht="12.95" customHeight="1" spans="1:41" x14ac:dyDescent="0.25">
      <c r="A138" s="3" t="s">
        <v>622</v>
      </c>
      <c r="B138" s="53" t="str">
        <f>IF(C138=Charge!$M$1,Charge!$J$1,IF(C138=Charge!$M$23,Charge!$J$23,IF(C138=Charge!$M$17,Charge!$J$17,IF(C138=Charge!$N$17,Charge!$J$17,Charge!$J$7))))</f>
        <v>G2</v>
      </c>
      <c r="C138" s="54" t="str">
        <f>VLOOKUP(A138,'1.Loading'!A:R,14,FALSE)</f>
        <v>LCH06</v>
      </c>
      <c r="D138" s="54" t="str">
        <f>VLOOKUP(A138,'1.Loading'!A:R,17,FALSE)</f>
        <v>HASLS22261000285</v>
      </c>
      <c r="E138" s="55" t="str">
        <f>VLOOKUP(D138,'2.Bookinglist'!A:CT,27,FALSE)</f>
        <v>AGC VINYTHAI PUBLIC COMPANY LIMITED</v>
      </c>
      <c r="F138" s="55" t="str">
        <f>VLOOKUP(D138,'2.Bookinglist'!A:CT,28,FALSE)</f>
        <v>AGC VINYTHAI PUBLIC COMPANY LIMITED</v>
      </c>
      <c r="G138" s="56">
        <f>VLOOKUP(D138,'2.Bookinglist'!A:E,5,FALSE)</f>
        <v>0</v>
      </c>
      <c r="H138" s="54" t="str">
        <f>VLOOKUP(D138,'2.Bookinglist'!A:CT,15,FALSE)</f>
        <v>THLCH</v>
      </c>
      <c r="I138" s="54" t="str">
        <f>VLOOKUP(D138,'2.Bookinglist'!A:CT,19,FALSE)</f>
        <v>CNSHA</v>
      </c>
      <c r="J138" s="54">
        <f>VLOOKUP(D138,'2.Bookinglist'!A:CT,26,FALSE)</f>
        <v>0</v>
      </c>
      <c r="K138" s="54" t="str">
        <f>VLOOKUP(A138,'1.Loading'!A:R,5,FALSE)</f>
        <v>45GP</v>
      </c>
      <c r="L138" s="56" t="str">
        <f>VLOOKUP(D138,'2.Bookinglist'!A:CT,85,FALSE)</f>
        <v>CY/CY</v>
      </c>
      <c r="M138" s="56" t="str">
        <f>IF(VLOOKUP(D138,'2.Bookinglist'!A:CT,43,FALSE)=0,"","DG")</f>
        <v/>
      </c>
      <c r="N138" s="56" t="str">
        <f>IF(RIGHT(K138,2)="RE","RF","")</f>
        <v/>
      </c>
      <c r="O138" s="54" t="str">
        <f>VLOOKUP(A138,'1.Loading'!A:R,3,FALSE)</f>
        <v>HMVY</v>
      </c>
      <c r="P138" s="54" t="str">
        <f>VLOOKUP(A138,'1.Loading'!A:R,4,FALSE)</f>
        <v>2609N</v>
      </c>
      <c r="Q138" s="54" t="str">
        <f>VLOOKUP(D138,'2.Bookinglist'!A:CT,12,FALSE)</f>
        <v>PCI2</v>
      </c>
      <c r="R138" s="56" t="str">
        <f>IF(LEFT(K138,2)="22","20'","40'")</f>
        <v>40'</v>
      </c>
      <c r="S138" s="38"/>
      <c r="T138" s="54" t="str">
        <f>VLOOKUP(A138,'1.Loading'!A:R,2,FALSE)</f>
        <v>2026-10-28</v>
      </c>
      <c r="U138" s="57">
        <f>T138-S138</f>
        <v>46323</v>
      </c>
      <c r="V138" s="58"/>
      <c r="W138" s="54" t="str">
        <f>VLOOKUP(A138,'3.GateMove'!A:D,4,FALSE)</f>
        <v>2026-10-17</v>
      </c>
      <c r="X138" s="57">
        <f>((T138-W138)+1)</f>
        <v>12</v>
      </c>
      <c r="Y138" s="59">
        <f>IF(AND(OR(C138="BKK01",C138="BKK04"),L138="CFS/CY"),0,IF(M138="DG",1,IF(LEFT(C138,3)="LCH",7,IF(C138="BKK02",5,3))))</f>
        <v>7</v>
      </c>
      <c r="Z138" s="57">
        <f>IF(IF(AND(AC138="TML",AB138&gt;0),((T138-W138)+1)-AB138,((T138-W138)+1)-Y138)&gt;0,IF(AND(AC138="TML",AB138&gt;0),((T138-W138)+1)-AB138,((T138-W138)+1)-Y138),0)</f>
        <v>5</v>
      </c>
      <c r="AA138" s="48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1250</v>
      </c>
      <c r="AB138" s="53"/>
      <c r="AC138" s="53"/>
      <c r="AD138" s="56">
        <f>IF(M138="DG",3,IF(N138="RF",3,5))+IF(AND(LEFT(C138,3)="BKK",N138="RF",Q138="KTS"),1,0)+IF(Q138="KHS",1,0)</f>
        <v>5</v>
      </c>
      <c r="AE138" s="57">
        <f>(T138-V138)+1</f>
        <v>46324</v>
      </c>
      <c r="AF138" s="57">
        <f>IF(AB138&gt;IF((V138-W138)&gt;0,V138-W138,0),0,IF(AB138&lt;IF((V138-W138)&gt;0,V138-W138,0),IF((V138-W138)&gt;0,V138-W138,0)-AB138,IF((V138-W138)&gt;0,V138-W138,0)))</f>
        <v>0</v>
      </c>
      <c r="AG138" s="48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0"/>
      <c r="AI138" s="60">
        <f>AA138-AH138</f>
        <v>1250</v>
      </c>
      <c r="AJ138" s="61"/>
      <c r="AK138" s="55" t="str">
        <f>VLOOKUP(D138,'2.Bookinglist'!A:CT,40,FALSE)</f>
        <v>Nannaapust Sukporntaweewat</v>
      </c>
      <c r="AL138" s="56" t="str">
        <f>VLOOKUP(D138,'2.Bookinglist'!A:CW,101,FALSE)</f>
        <v>2026-10-24</v>
      </c>
      <c r="AM138" s="56" t="str">
        <f>VLOOKUP(D138,'2.Bookinglist'!A:BK,63,FALSE)</f>
        <v>LCHY5</v>
      </c>
      <c r="AN138" s="55" t="str">
        <f>VLOOKUP(D138,'2.Bookinglist'!A:AZ,52,FALSE)</f>
        <v>Pickup : 2026-10-15, Return : 2026-10-16</v>
      </c>
      <c r="AO138" s="55">
        <f>VLOOKUP(D138,'2.Bookinglist'!A:CY,103,FALSE)</f>
        <v>0</v>
      </c>
    </row>
    <row r="139" ht="12.95" customHeight="1" spans="1:41" x14ac:dyDescent="0.25">
      <c r="A139" s="3" t="s">
        <v>66</v>
      </c>
      <c r="B139" s="53" t="str">
        <f>IF(C139=Charge!$M$1,Charge!$J$1,IF(C139=Charge!$M$23,Charge!$J$23,IF(C139=Charge!$M$17,Charge!$J$17,IF(C139=Charge!$N$17,Charge!$J$17,Charge!$J$7))))</f>
        <v>G2</v>
      </c>
      <c r="C139" s="54" t="str">
        <f>VLOOKUP(A139,'1.Loading'!A:R,14,FALSE)</f>
        <v>LCH06</v>
      </c>
      <c r="D139" s="54" t="str">
        <f>VLOOKUP(A139,'1.Loading'!A:R,17,FALSE)</f>
        <v>HASLS22261000285</v>
      </c>
      <c r="E139" s="55" t="str">
        <f>VLOOKUP(D139,'2.Bookinglist'!A:CT,27,FALSE)</f>
        <v>AGC VINYTHAI PUBLIC COMPANY LIMITED</v>
      </c>
      <c r="F139" s="55" t="str">
        <f>VLOOKUP(D139,'2.Bookinglist'!A:CT,28,FALSE)</f>
        <v>AGC VINYTHAI PUBLIC COMPANY LIMITED</v>
      </c>
      <c r="G139" s="56">
        <f>VLOOKUP(D139,'2.Bookinglist'!A:E,5,FALSE)</f>
        <v>0</v>
      </c>
      <c r="H139" s="54" t="str">
        <f>VLOOKUP(D139,'2.Bookinglist'!A:CT,15,FALSE)</f>
        <v>THLCH</v>
      </c>
      <c r="I139" s="54" t="str">
        <f>VLOOKUP(D139,'2.Bookinglist'!A:CT,19,FALSE)</f>
        <v>CNSHA</v>
      </c>
      <c r="J139" s="54">
        <f>VLOOKUP(D139,'2.Bookinglist'!A:CT,26,FALSE)</f>
        <v>0</v>
      </c>
      <c r="K139" s="54" t="str">
        <f>VLOOKUP(A139,'1.Loading'!A:R,5,FALSE)</f>
        <v>45GP</v>
      </c>
      <c r="L139" s="56" t="str">
        <f>VLOOKUP(D139,'2.Bookinglist'!A:CT,85,FALSE)</f>
        <v>CY/CY</v>
      </c>
      <c r="M139" s="56" t="str">
        <f>IF(VLOOKUP(D139,'2.Bookinglist'!A:CT,43,FALSE)=0,"","DG")</f>
        <v/>
      </c>
      <c r="N139" s="56" t="str">
        <f>IF(RIGHT(K139,2)="RE","RF","")</f>
        <v/>
      </c>
      <c r="O139" s="54" t="str">
        <f>VLOOKUP(A139,'1.Loading'!A:R,3,FALSE)</f>
        <v>HMVY</v>
      </c>
      <c r="P139" s="54" t="str">
        <f>VLOOKUP(A139,'1.Loading'!A:R,4,FALSE)</f>
        <v>2609N</v>
      </c>
      <c r="Q139" s="54" t="str">
        <f>VLOOKUP(D139,'2.Bookinglist'!A:CT,12,FALSE)</f>
        <v>PCI2</v>
      </c>
      <c r="R139" s="56" t="str">
        <f>IF(LEFT(K139,2)="22","20'","40'")</f>
        <v>40'</v>
      </c>
      <c r="S139" s="38"/>
      <c r="T139" s="54" t="str">
        <f>VLOOKUP(A139,'1.Loading'!A:R,2,FALSE)</f>
        <v>2026-10-28</v>
      </c>
      <c r="U139" s="57">
        <f>T139-S139</f>
        <v>46323</v>
      </c>
      <c r="V139" s="58"/>
      <c r="W139" s="54" t="str">
        <f>VLOOKUP(A139,'3.GateMove'!A:D,4,FALSE)</f>
        <v>2026-10-17</v>
      </c>
      <c r="X139" s="57">
        <f>((T139-W139)+1)</f>
        <v>12</v>
      </c>
      <c r="Y139" s="59">
        <f>IF(AND(OR(C139="BKK01",C139="BKK04"),L139="CFS/CY"),0,IF(M139="DG",1,IF(LEFT(C139,3)="LCH",7,IF(C139="BKK02",5,3))))</f>
        <v>7</v>
      </c>
      <c r="Z139" s="57">
        <f>IF(IF(AND(AC139="TML",AB139&gt;0),((T139-W139)+1)-AB139,((T139-W139)+1)-Y139)&gt;0,IF(AND(AC139="TML",AB139&gt;0),((T139-W139)+1)-AB139,((T139-W139)+1)-Y139),0)</f>
        <v>5</v>
      </c>
      <c r="AA139" s="48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1250</v>
      </c>
      <c r="AB139" s="53"/>
      <c r="AC139" s="53"/>
      <c r="AD139" s="56">
        <f>IF(M139="DG",3,IF(N139="RF",3,5))+IF(AND(LEFT(C139,3)="BKK",N139="RF",Q139="KTS"),1,0)+IF(Q139="KHS",1,0)</f>
        <v>5</v>
      </c>
      <c r="AE139" s="57">
        <f>(T139-V139)+1</f>
        <v>46324</v>
      </c>
      <c r="AF139" s="57">
        <f>IF(AB139&gt;IF((V139-W139)&gt;0,V139-W139,0),0,IF(AB139&lt;IF((V139-W139)&gt;0,V139-W139,0),IF((V139-W139)&gt;0,V139-W139,0)-AB139,IF((V139-W139)&gt;0,V139-W139,0)))</f>
        <v>0</v>
      </c>
      <c r="AG139" s="48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0"/>
      <c r="AI139" s="60">
        <f>AA139-AH139</f>
        <v>1250</v>
      </c>
      <c r="AJ139" s="61"/>
      <c r="AK139" s="55" t="str">
        <f>VLOOKUP(D139,'2.Bookinglist'!A:CT,40,FALSE)</f>
        <v>Nannaapust Sukporntaweewat</v>
      </c>
      <c r="AL139" s="56" t="str">
        <f>VLOOKUP(D139,'2.Bookinglist'!A:CW,101,FALSE)</f>
        <v>2026-10-24</v>
      </c>
      <c r="AM139" s="56" t="str">
        <f>VLOOKUP(D139,'2.Bookinglist'!A:BK,63,FALSE)</f>
        <v>LCHY5</v>
      </c>
      <c r="AN139" s="55" t="str">
        <f>VLOOKUP(D139,'2.Bookinglist'!A:AZ,52,FALSE)</f>
        <v>Pickup : 2026-10-15, Return : 2026-10-16</v>
      </c>
      <c r="AO139" s="55">
        <f>VLOOKUP(D139,'2.Bookinglist'!A:CY,103,FALSE)</f>
        <v>0</v>
      </c>
    </row>
    <row r="140" ht="12.95" customHeight="1" spans="1:41" x14ac:dyDescent="0.25">
      <c r="A140" s="3" t="s">
        <v>60</v>
      </c>
      <c r="B140" s="53" t="str">
        <f>IF(C140=Charge!$M$1,Charge!$J$1,IF(C140=Charge!$M$23,Charge!$J$23,IF(C140=Charge!$M$17,Charge!$J$17,IF(C140=Charge!$N$17,Charge!$J$17,Charge!$J$7))))</f>
        <v>G2</v>
      </c>
      <c r="C140" s="54" t="str">
        <f>VLOOKUP(A140,'1.Loading'!A:R,14,FALSE)</f>
        <v>LCH06</v>
      </c>
      <c r="D140" s="54" t="str">
        <f>VLOOKUP(A140,'1.Loading'!A:R,17,FALSE)</f>
        <v>HASLS22261000802</v>
      </c>
      <c r="E140" s="55" t="str">
        <f>VLOOKUP(D140,'2.Bookinglist'!A:CT,27,FALSE)</f>
        <v>FLS 1993 (THAILAND) CO., LTD.</v>
      </c>
      <c r="F140" s="55" t="str">
        <f>VLOOKUP(D140,'2.Bookinglist'!A:CT,28,FALSE)</f>
        <v>KLOECKNER PENTAPLAST (THAILAND) LTD.</v>
      </c>
      <c r="G140" s="56">
        <f>VLOOKUP(D140,'2.Bookinglist'!A:E,5,FALSE)</f>
        <v>0</v>
      </c>
      <c r="H140" s="54" t="str">
        <f>VLOOKUP(D140,'2.Bookinglist'!A:CT,15,FALSE)</f>
        <v>THLCH</v>
      </c>
      <c r="I140" s="54" t="str">
        <f>VLOOKUP(D140,'2.Bookinglist'!A:CT,19,FALSE)</f>
        <v>CNSHA</v>
      </c>
      <c r="J140" s="54">
        <f>VLOOKUP(D140,'2.Bookinglist'!A:CT,26,FALSE)</f>
        <v>0</v>
      </c>
      <c r="K140" s="54" t="str">
        <f>VLOOKUP(A140,'1.Loading'!A:R,5,FALSE)</f>
        <v>45GP</v>
      </c>
      <c r="L140" s="56" t="str">
        <f>VLOOKUP(D140,'2.Bookinglist'!A:CT,85,FALSE)</f>
        <v>CY/CY</v>
      </c>
      <c r="M140" s="56" t="str">
        <f>IF(VLOOKUP(D140,'2.Bookinglist'!A:CT,43,FALSE)=0,"","DG")</f>
        <v/>
      </c>
      <c r="N140" s="56" t="str">
        <f>IF(RIGHT(K140,2)="RE","RF","")</f>
        <v/>
      </c>
      <c r="O140" s="54" t="str">
        <f>VLOOKUP(A140,'1.Loading'!A:R,3,FALSE)</f>
        <v>HMVY</v>
      </c>
      <c r="P140" s="54" t="str">
        <f>VLOOKUP(A140,'1.Loading'!A:R,4,FALSE)</f>
        <v>2609N</v>
      </c>
      <c r="Q140" s="54" t="str">
        <f>VLOOKUP(D140,'2.Bookinglist'!A:CT,12,FALSE)</f>
        <v>PCI2</v>
      </c>
      <c r="R140" s="56" t="str">
        <f>IF(LEFT(K140,2)="22","20'","40'")</f>
        <v>40'</v>
      </c>
      <c r="S140" s="38"/>
      <c r="T140" s="54" t="str">
        <f>VLOOKUP(A140,'1.Loading'!A:R,2,FALSE)</f>
        <v>2026-10-28</v>
      </c>
      <c r="U140" s="57">
        <f>T140-S140</f>
        <v>46323</v>
      </c>
      <c r="V140" s="58"/>
      <c r="W140" s="54" t="str">
        <f>VLOOKUP(A140,'3.GateMove'!A:D,4,FALSE)</f>
        <v>2026-10-19</v>
      </c>
      <c r="X140" s="57">
        <f>((T140-W140)+1)</f>
        <v>10</v>
      </c>
      <c r="Y140" s="59">
        <f>IF(AND(OR(C140="BKK01",C140="BKK04"),L140="CFS/CY"),0,IF(M140="DG",1,IF(LEFT(C140,3)="LCH",7,IF(C140="BKK02",5,3))))</f>
        <v>7</v>
      </c>
      <c r="Z140" s="57">
        <f>IF(IF(AND(AC140="TML",AB140&gt;0),((T140-W140)+1)-AB140,((T140-W140)+1)-Y140)&gt;0,IF(AND(AC140="TML",AB140&gt;0),((T140-W140)+1)-AB140,((T140-W140)+1)-Y140),0)</f>
        <v>3</v>
      </c>
      <c r="AA140" s="48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750</v>
      </c>
      <c r="AB140" s="53"/>
      <c r="AC140" s="53"/>
      <c r="AD140" s="56">
        <f>IF(M140="DG",3,IF(N140="RF",3,5))+IF(AND(LEFT(C140,3)="BKK",N140="RF",Q140="KTS"),1,0)+IF(Q140="KHS",1,0)</f>
        <v>5</v>
      </c>
      <c r="AE140" s="57">
        <f>(T140-V140)+1</f>
        <v>46324</v>
      </c>
      <c r="AF140" s="57">
        <f>IF(AB140&gt;IF((V140-W140)&gt;0,V140-W140,0),0,IF(AB140&lt;IF((V140-W140)&gt;0,V140-W140,0),IF((V140-W140)&gt;0,V140-W140,0)-AB140,IF((V140-W140)&gt;0,V140-W140,0)))</f>
        <v>0</v>
      </c>
      <c r="AG140" s="48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0"/>
      <c r="AI140" s="60">
        <f>AA140-AH140</f>
        <v>750</v>
      </c>
      <c r="AJ140" s="61"/>
      <c r="AK140" s="55" t="str">
        <f>VLOOKUP(D140,'2.Bookinglist'!A:CT,40,FALSE)</f>
        <v>Arunphat W. (Aiw)</v>
      </c>
      <c r="AL140" s="56" t="str">
        <f>VLOOKUP(D140,'2.Bookinglist'!A:CW,101,FALSE)</f>
        <v>2026-10-22</v>
      </c>
      <c r="AM140" s="56" t="str">
        <f>VLOOKUP(D140,'2.Bookinglist'!A:BK,63,FALSE)</f>
        <v>LCHY5</v>
      </c>
      <c r="AN140" s="55" t="str">
        <f>VLOOKUP(D140,'2.Bookinglist'!A:AZ,52,FALSE)</f>
        <v>Pickup : 2026-10-17, Return : 2026-10-18 [1ST RTN 18/10/2026 W/O RENT]</v>
      </c>
      <c r="AO140" s="55">
        <f>VLOOKUP(D140,'2.Bookinglist'!A:CY,103,FALSE)</f>
        <v>0</v>
      </c>
    </row>
    <row r="141" ht="12.95" customHeight="1" spans="1:41" x14ac:dyDescent="0.25">
      <c r="A141" s="3" t="s">
        <v>121</v>
      </c>
      <c r="B141" s="53" t="str">
        <f>IF(C141=Charge!$M$1,Charge!$J$1,IF(C141=Charge!$M$23,Charge!$J$23,IF(C141=Charge!$M$17,Charge!$J$17,IF(C141=Charge!$N$17,Charge!$J$17,Charge!$J$7))))</f>
        <v>G2</v>
      </c>
      <c r="C141" s="54" t="str">
        <f>VLOOKUP(A141,'1.Loading'!A:R,14,FALSE)</f>
        <v>LCH06</v>
      </c>
      <c r="D141" s="54" t="str">
        <f>VLOOKUP(A141,'1.Loading'!A:R,17,FALSE)</f>
        <v>HASLS22260901902</v>
      </c>
      <c r="E141" s="55" t="str">
        <f>VLOOKUP(D141,'2.Bookinglist'!A:CT,27,FALSE)</f>
        <v>WHA GC LOGISTICS COMPANY LIMITED</v>
      </c>
      <c r="F141" s="55" t="str">
        <f>VLOOKUP(D141,'2.Bookinglist'!A:CT,28,FALSE)</f>
        <v>PTT GLOBAL CHEMICAL PUBLIC COMPANY LIMITED</v>
      </c>
      <c r="G141" s="56">
        <f>VLOOKUP(D141,'2.Bookinglist'!A:E,5,FALSE)</f>
        <v>0</v>
      </c>
      <c r="H141" s="54" t="str">
        <f>VLOOKUP(D141,'2.Bookinglist'!A:CT,15,FALSE)</f>
        <v>THLCH</v>
      </c>
      <c r="I141" s="54" t="str">
        <f>VLOOKUP(D141,'2.Bookinglist'!A:CT,19,FALSE)</f>
        <v>CNSHA</v>
      </c>
      <c r="J141" s="54">
        <f>VLOOKUP(D141,'2.Bookinglist'!A:CT,26,FALSE)</f>
        <v>0</v>
      </c>
      <c r="K141" s="54" t="str">
        <f>VLOOKUP(A141,'1.Loading'!A:R,5,FALSE)</f>
        <v>45GP</v>
      </c>
      <c r="L141" s="56" t="str">
        <f>VLOOKUP(D141,'2.Bookinglist'!A:CT,85,FALSE)</f>
        <v>CY/CY</v>
      </c>
      <c r="M141" s="56" t="str">
        <f>IF(VLOOKUP(D141,'2.Bookinglist'!A:CT,43,FALSE)=0,"","DG")</f>
        <v/>
      </c>
      <c r="N141" s="56" t="str">
        <f>IF(RIGHT(K141,2)="RE","RF","")</f>
        <v/>
      </c>
      <c r="O141" s="54" t="str">
        <f>VLOOKUP(A141,'1.Loading'!A:R,3,FALSE)</f>
        <v>HMVY</v>
      </c>
      <c r="P141" s="54" t="str">
        <f>VLOOKUP(A141,'1.Loading'!A:R,4,FALSE)</f>
        <v>2609N</v>
      </c>
      <c r="Q141" s="54" t="str">
        <f>VLOOKUP(D141,'2.Bookinglist'!A:CT,12,FALSE)</f>
        <v>PCI2</v>
      </c>
      <c r="R141" s="56" t="str">
        <f>IF(LEFT(K141,2)="22","20'","40'")</f>
        <v>40'</v>
      </c>
      <c r="S141" s="38"/>
      <c r="T141" s="54" t="str">
        <f>VLOOKUP(A141,'1.Loading'!A:R,2,FALSE)</f>
        <v>2026-10-28</v>
      </c>
      <c r="U141" s="57">
        <f>T141-S141</f>
        <v>46323</v>
      </c>
      <c r="V141" s="58"/>
      <c r="W141" s="54" t="str">
        <f>VLOOKUP(A141,'3.GateMove'!A:D,4,FALSE)</f>
        <v>2026-10-18</v>
      </c>
      <c r="X141" s="57">
        <f>((T141-W141)+1)</f>
        <v>11</v>
      </c>
      <c r="Y141" s="59">
        <f>IF(AND(OR(C141="BKK01",C141="BKK04"),L141="CFS/CY"),0,IF(M141="DG",1,IF(LEFT(C141,3)="LCH",7,IF(C141="BKK02",5,3))))</f>
        <v>7</v>
      </c>
      <c r="Z141" s="57">
        <f>IF(IF(AND(AC141="TML",AB141&gt;0),((T141-W141)+1)-AB141,((T141-W141)+1)-Y141)&gt;0,IF(AND(AC141="TML",AB141&gt;0),((T141-W141)+1)-AB141,((T141-W141)+1)-Y141),0)</f>
        <v>4</v>
      </c>
      <c r="AA141" s="48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1000</v>
      </c>
      <c r="AB141" s="53"/>
      <c r="AC141" s="53"/>
      <c r="AD141" s="56">
        <f>IF(M141="DG",3,IF(N141="RF",3,5))+IF(AND(LEFT(C141,3)="BKK",N141="RF",Q141="KTS"),1,0)+IF(Q141="KHS",1,0)</f>
        <v>5</v>
      </c>
      <c r="AE141" s="57">
        <f>(T141-V141)+1</f>
        <v>46324</v>
      </c>
      <c r="AF141" s="57">
        <f>IF(AB141&gt;IF((V141-W141)&gt;0,V141-W141,0),0,IF(AB141&lt;IF((V141-W141)&gt;0,V141-W141,0),IF((V141-W141)&gt;0,V141-W141,0)-AB141,IF((V141-W141)&gt;0,V141-W141,0)))</f>
        <v>0</v>
      </c>
      <c r="AG141" s="48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0"/>
      <c r="AI141" s="60">
        <f>AA141-AH141</f>
        <v>1000</v>
      </c>
      <c r="AJ141" s="61"/>
      <c r="AK141" s="55" t="str">
        <f>VLOOKUP(D141,'2.Bookinglist'!A:CT,40,FALSE)</f>
        <v>Dharaporn</v>
      </c>
      <c r="AL141" s="56" t="str">
        <f>VLOOKUP(D141,'2.Bookinglist'!A:CW,101,FALSE)</f>
        <v>2026-10-16</v>
      </c>
      <c r="AM141" s="56" t="str">
        <f>VLOOKUP(D141,'2.Bookinglist'!A:BK,63,FALSE)</f>
        <v>LCHY5</v>
      </c>
      <c r="AN141" s="55" t="str">
        <f>VLOOKUP(D141,'2.Bookinglist'!A:AZ,52,FALSE)</f>
        <v>CY-RTN 09-10/10/26 
*PLS CHECK OPEN GATE BEFORE RETURN CTNR*</v>
      </c>
      <c r="AO141" s="55">
        <f>VLOOKUP(D141,'2.Bookinglist'!A:CY,103,FALSE)</f>
        <v>0</v>
      </c>
    </row>
    <row r="142" ht="12.95" customHeight="1" spans="1:41" x14ac:dyDescent="0.25">
      <c r="A142" s="3" t="s">
        <v>461</v>
      </c>
      <c r="B142" s="53" t="str">
        <f>IF(C142=Charge!$M$1,Charge!$J$1,IF(C142=Charge!$M$23,Charge!$J$23,IF(C142=Charge!$M$17,Charge!$J$17,IF(C142=Charge!$N$17,Charge!$J$17,Charge!$J$7))))</f>
        <v>G2</v>
      </c>
      <c r="C142" s="54" t="str">
        <f>VLOOKUP(A142,'1.Loading'!A:R,14,FALSE)</f>
        <v>LCH06</v>
      </c>
      <c r="D142" s="54" t="str">
        <f>VLOOKUP(A142,'1.Loading'!A:R,17,FALSE)</f>
        <v>HASLS22261000876</v>
      </c>
      <c r="E142" s="55" t="str">
        <f>VLOOKUP(D142,'2.Bookinglist'!A:CT,27,FALSE)</f>
        <v>SUN-OCEAN GLOBAL SUPPLY CHAIN CO., LTD.</v>
      </c>
      <c r="F142" s="55" t="str">
        <f>VLOOKUP(D142,'2.Bookinglist'!A:CT,28,FALSE)</f>
        <v>I.P. ONE COMPANY LIMITED</v>
      </c>
      <c r="G142" s="56" t="str">
        <f>VLOOKUP(D142,'2.Bookinglist'!A:E,5,FALSE)</f>
        <v>THSRP</v>
      </c>
      <c r="H142" s="54" t="str">
        <f>VLOOKUP(D142,'2.Bookinglist'!A:CT,15,FALSE)</f>
        <v>THLCH</v>
      </c>
      <c r="I142" s="54" t="str">
        <f>VLOOKUP(D142,'2.Bookinglist'!A:CT,19,FALSE)</f>
        <v>CNSHA</v>
      </c>
      <c r="J142" s="54">
        <f>VLOOKUP(D142,'2.Bookinglist'!A:CT,26,FALSE)</f>
        <v>0</v>
      </c>
      <c r="K142" s="54" t="str">
        <f>VLOOKUP(A142,'1.Loading'!A:R,5,FALSE)</f>
        <v>45GP</v>
      </c>
      <c r="L142" s="56" t="str">
        <f>VLOOKUP(D142,'2.Bookinglist'!A:CT,85,FALSE)</f>
        <v>CY/CY</v>
      </c>
      <c r="M142" s="56" t="str">
        <f>IF(VLOOKUP(D142,'2.Bookinglist'!A:CT,43,FALSE)=0,"","DG")</f>
        <v/>
      </c>
      <c r="N142" s="56" t="str">
        <f>IF(RIGHT(K142,2)="RE","RF","")</f>
        <v/>
      </c>
      <c r="O142" s="54" t="str">
        <f>VLOOKUP(A142,'1.Loading'!A:R,3,FALSE)</f>
        <v>HMVY</v>
      </c>
      <c r="P142" s="54" t="str">
        <f>VLOOKUP(A142,'1.Loading'!A:R,4,FALSE)</f>
        <v>2609N</v>
      </c>
      <c r="Q142" s="54" t="str">
        <f>VLOOKUP(D142,'2.Bookinglist'!A:CT,12,FALSE)</f>
        <v>PCI2</v>
      </c>
      <c r="R142" s="56" t="str">
        <f>IF(LEFT(K142,2)="22","20'","40'")</f>
        <v>40'</v>
      </c>
      <c r="S142" s="38"/>
      <c r="T142" s="54" t="str">
        <f>VLOOKUP(A142,'1.Loading'!A:R,2,FALSE)</f>
        <v>2026-10-28</v>
      </c>
      <c r="U142" s="57">
        <f>T142-S142</f>
        <v>46323</v>
      </c>
      <c r="V142" s="58"/>
      <c r="W142" s="54" t="str">
        <f>VLOOKUP(A142,'3.GateMove'!A:D,4,FALSE)</f>
        <v>2026-10-23</v>
      </c>
      <c r="X142" s="57">
        <f>((T142-W142)+1)</f>
        <v>6</v>
      </c>
      <c r="Y142" s="59">
        <f>IF(AND(OR(C142="BKK01",C142="BKK04"),L142="CFS/CY"),0,IF(M142="DG",1,IF(LEFT(C142,3)="LCH",7,IF(C142="BKK02",5,3))))</f>
        <v>7</v>
      </c>
      <c r="Z142" s="57">
        <f>IF(IF(AND(AC142="TML",AB142&gt;0),((T142-W142)+1)-AB142,((T142-W142)+1)-Y142)&gt;0,IF(AND(AC142="TML",AB142&gt;0),((T142-W142)+1)-AB142,((T142-W142)+1)-Y142),0)</f>
        <v>0</v>
      </c>
      <c r="AA142" s="48">
        <f>IF(AND(B142="G1",M142=""),IF(R142="20'",
VLOOKUP(Z142,Charge!$K$2:$M$5,2,TRUE)+(Z142-VLOOKUP(Z142,Charge!$K$2:$M$5,1,TRUE))*VLOOKUP(Z142,Charge!$K$2:$M$5,3,TRUE),
VLOOKUP(Z142,Charge!$N$2:$P$5,2,TRUE)+(Z142-VLOOKUP(Z142,Charge!$N$2:$P$5,1,TRUE))*VLOOKUP(Z142,Charge!$N$2:$P$5,3,TRUE)),
IF(AND(B142="G1",M142="DG"),IF(R142="20'",
VLOOKUP(Z142,Charge!$R$2:$T$5,2,TRUE)+(Z142-VLOOKUP(Z142,Charge!$R$2:$T$5,1,TRUE))*VLOOKUP(Z142,Charge!$R$2:$T$5,3,TRUE),
VLOOKUP(Z142,Charge!$U$2:$W$5,2,TRUE)+(Z142-VLOOKUP(Z142,Charge!$U$2:$W$5,1,TRUE))*VLOOKUP(Z142,Charge!$U$2:$W$5,3,TRUE)),
IF(AND(B142="G3",M142=""),IF(R142="20'",
VLOOKUP(Z142,Charge!$K$18:$M$21,2,TRUE)+(Z142-VLOOKUP(Z142,Charge!$K$18:$M$21,1,TRUE))*VLOOKUP(Z142,Charge!$K$18:$M$21,3,TRUE),
VLOOKUP(Z142,Charge!$N$18:$P$21,2,TRUE)+(Z142-VLOOKUP(Z142,Charge!$N$18:$P$21,1,TRUE))*VLOOKUP(Z142,Charge!$N$18:$P$21,3,TRUE)),
IF(AND(B142="G3",M142="DG"),IF(R142="20'",
VLOOKUP(Z142,Charge!$R$18:$T$21,2,TRUE)+(Z142-VLOOKUP(Z142,Charge!$R$18:$T$21,1,TRUE))*VLOOKUP(Z142,Charge!$R$18:$T$21,3,TRUE),
VLOOKUP(Z142,Charge!$U$18:$W$21,2,TRUE)+(Z142-VLOOKUP(Z142,Charge!$U$18:$W$21,1,TRUE))*VLOOKUP(Z142,Charge!$U$18:$W$21,3,TRUE)),
IF(AND(B142="G2",M142=""),IF(R142="20'",
VLOOKUP(Z142,Charge!$K$9:$M$12,2,TRUE)+(Z142-VLOOKUP(Z142,Charge!$K$9:$M$12,1,TRUE))*VLOOKUP(Z142,Charge!$K$9:$M$12,3,TRUE),
VLOOKUP(Z142,Charge!$N$9:$P$12,2,TRUE)+(Z142-VLOOKUP(Z142,Charge!$N$9:$P$12,1,TRUE))*VLOOKUP(Z142,Charge!$N$9:$P$12,3,TRUE)),
IF(AND(B142="G2",M142="DG"),IF(R142="20'",
VLOOKUP(Z142,Charge!$R$9:$T$12,2,TRUE)+(Z142-VLOOKUP(Z142,Charge!$R$9:$T$12,1,TRUE))*VLOOKUP(Z142,Charge!$R$9:$T$12,3,TRUE),
VLOOKUP(Z142,Charge!$U$9:$W$12,2,TRUE)+(Z142-VLOOKUP(Z142,Charge!$U$9:$W$12,1,TRUE))*VLOOKUP(Z142,Charge!$U$9:$W$12,3,TRUE)),IF(AND(B142="G4",M142=""),IF(R142="20'",Z142*Charge!$M$25,Z142*Charge!$P$25),IF(AND(B142="G4",M142="DG"),IF(R142="20'",Z142*Charge!$T$25,Z142*Charge!$W$25),0))))))))</f>
        <v>0</v>
      </c>
      <c r="AB142" s="53"/>
      <c r="AC142" s="53"/>
      <c r="AD142" s="56">
        <f>IF(M142="DG",3,IF(N142="RF",3,5))+IF(AND(LEFT(C142,3)="BKK",N142="RF",Q142="KTS"),1,0)+IF(Q142="KHS",1,0)</f>
        <v>5</v>
      </c>
      <c r="AE142" s="57">
        <f>(T142-V142)+1</f>
        <v>46324</v>
      </c>
      <c r="AF142" s="57">
        <f>IF(AB142&gt;IF((V142-W142)&gt;0,V142-W142,0),0,IF(AB142&lt;IF((V142-W142)&gt;0,V142-W142,0),IF((V142-W142)&gt;0,V142-W142,0)-AB142,IF((V142-W142)&gt;0,V142-W142,0)))</f>
        <v>0</v>
      </c>
      <c r="AG142" s="48">
        <f>IF(AND(M142=""),IF(R142="20'",
VLOOKUP(AF142,Charge!$K$31:$M$34,2,TRUE)+(AF142-VLOOKUP(AF142,Charge!$K$31:$M$34,1,TRUE))*VLOOKUP(AF142,Charge!$K$31:$M$34,3,TRUE),
VLOOKUP(AF142,Charge!$N$31:$P$34,2,TRUE)+(AF142-VLOOKUP(AF142,Charge!$N$31:$P$34,1,TRUE))*VLOOKUP(AF142,Charge!$N$31:$P$34,3,TRUE)),
IF(AND(M142="DG"),IF(R142="20'",
VLOOKUP(AF142,Charge!$R$31:$T$34,2,TRUE)+(AF142-VLOOKUP(AF142,Charge!$R$31:$T$34,1,TRUE))*VLOOKUP(AF142,Charge!$R$31:$T$34,3,TRUE),
VLOOKUP(AF142,Charge!$U$31:$W$34,2,TRUE)+(AF142-VLOOKUP(AF142,Charge!$U$31:$W$34,1,TRUE))*VLOOKUP(AF142,Charge!$U$31:$W$34,3,TRUE)),0))</f>
        <v>0</v>
      </c>
      <c r="AH142" s="60"/>
      <c r="AI142" s="60">
        <f>AA142-AH142</f>
        <v>0</v>
      </c>
      <c r="AJ142" s="61"/>
      <c r="AK142" s="55" t="str">
        <f>VLOOKUP(D142,'2.Bookinglist'!A:CT,40,FALSE)</f>
        <v>Arunphat W. (Aiw)</v>
      </c>
      <c r="AL142" s="56" t="str">
        <f>VLOOKUP(D142,'2.Bookinglist'!A:CW,101,FALSE)</f>
        <v>2026-10-22</v>
      </c>
      <c r="AM142" s="56" t="str">
        <f>VLOOKUP(D142,'2.Bookinglist'!A:BK,63,FALSE)</f>
        <v>BKK27</v>
      </c>
      <c r="AN142" s="55" t="str">
        <f>VLOOKUP(D142,'2.Bookinglist'!A:AZ,52,FALSE)</f>
        <v>Pickup : 2026-10-16, Return SRP : 2026-10-17 [PAPERLESS CODE 2829]
CLS TIME 24/10/26 @21.00 (1ST RETURN 17/10/26)</v>
      </c>
      <c r="AO142" s="55">
        <f>VLOOKUP(D142,'2.Bookinglist'!A:CY,103,FALSE)</f>
        <v>0</v>
      </c>
    </row>
    <row r="143" ht="12.95" customHeight="1" spans="1:41" x14ac:dyDescent="0.25">
      <c r="A143" s="3" t="s">
        <v>459</v>
      </c>
      <c r="B143" s="53" t="str">
        <f>IF(C143=Charge!$M$1,Charge!$J$1,IF(C143=Charge!$M$23,Charge!$J$23,IF(C143=Charge!$M$17,Charge!$J$17,IF(C143=Charge!$N$17,Charge!$J$17,Charge!$J$7))))</f>
        <v>G2</v>
      </c>
      <c r="C143" s="54" t="str">
        <f>VLOOKUP(A143,'1.Loading'!A:R,14,FALSE)</f>
        <v>LCH06</v>
      </c>
      <c r="D143" s="54" t="str">
        <f>VLOOKUP(A143,'1.Loading'!A:R,17,FALSE)</f>
        <v>HASLS22261000285</v>
      </c>
      <c r="E143" s="55" t="str">
        <f>VLOOKUP(D143,'2.Bookinglist'!A:CT,27,FALSE)</f>
        <v>AGC VINYTHAI PUBLIC COMPANY LIMITED</v>
      </c>
      <c r="F143" s="55" t="str">
        <f>VLOOKUP(D143,'2.Bookinglist'!A:CT,28,FALSE)</f>
        <v>AGC VINYTHAI PUBLIC COMPANY LIMITED</v>
      </c>
      <c r="G143" s="56">
        <f>VLOOKUP(D143,'2.Bookinglist'!A:E,5,FALSE)</f>
        <v>0</v>
      </c>
      <c r="H143" s="54" t="str">
        <f>VLOOKUP(D143,'2.Bookinglist'!A:CT,15,FALSE)</f>
        <v>THLCH</v>
      </c>
      <c r="I143" s="54" t="str">
        <f>VLOOKUP(D143,'2.Bookinglist'!A:CT,19,FALSE)</f>
        <v>CNSHA</v>
      </c>
      <c r="J143" s="54">
        <f>VLOOKUP(D143,'2.Bookinglist'!A:CT,26,FALSE)</f>
        <v>0</v>
      </c>
      <c r="K143" s="54" t="str">
        <f>VLOOKUP(A143,'1.Loading'!A:R,5,FALSE)</f>
        <v>45GP</v>
      </c>
      <c r="L143" s="56" t="str">
        <f>VLOOKUP(D143,'2.Bookinglist'!A:CT,85,FALSE)</f>
        <v>CY/CY</v>
      </c>
      <c r="M143" s="56" t="str">
        <f>IF(VLOOKUP(D143,'2.Bookinglist'!A:CT,43,FALSE)=0,"","DG")</f>
        <v/>
      </c>
      <c r="N143" s="56" t="str">
        <f>IF(RIGHT(K143,2)="RE","RF","")</f>
        <v/>
      </c>
      <c r="O143" s="54" t="str">
        <f>VLOOKUP(A143,'1.Loading'!A:R,3,FALSE)</f>
        <v>HMVY</v>
      </c>
      <c r="P143" s="54" t="str">
        <f>VLOOKUP(A143,'1.Loading'!A:R,4,FALSE)</f>
        <v>2609N</v>
      </c>
      <c r="Q143" s="54" t="str">
        <f>VLOOKUP(D143,'2.Bookinglist'!A:CT,12,FALSE)</f>
        <v>PCI2</v>
      </c>
      <c r="R143" s="56" t="str">
        <f>IF(LEFT(K143,2)="22","20'","40'")</f>
        <v>40'</v>
      </c>
      <c r="S143" s="38"/>
      <c r="T143" s="54" t="str">
        <f>VLOOKUP(A143,'1.Loading'!A:R,2,FALSE)</f>
        <v>2026-10-28</v>
      </c>
      <c r="U143" s="57">
        <f>T143-S143</f>
        <v>46323</v>
      </c>
      <c r="V143" s="58"/>
      <c r="W143" s="54" t="str">
        <f>VLOOKUP(A143,'3.GateMove'!A:D,4,FALSE)</f>
        <v>2026-10-20</v>
      </c>
      <c r="X143" s="57">
        <f>((T143-W143)+1)</f>
        <v>9</v>
      </c>
      <c r="Y143" s="59">
        <f>IF(AND(OR(C143="BKK01",C143="BKK04"),L143="CFS/CY"),0,IF(M143="DG",1,IF(LEFT(C143,3)="LCH",7,IF(C143="BKK02",5,3))))</f>
        <v>7</v>
      </c>
      <c r="Z143" s="57">
        <f>IF(IF(AND(AC143="TML",AB143&gt;0),((T143-W143)+1)-AB143,((T143-W143)+1)-Y143)&gt;0,IF(AND(AC143="TML",AB143&gt;0),((T143-W143)+1)-AB143,((T143-W143)+1)-Y143),0)</f>
        <v>2</v>
      </c>
      <c r="AA143" s="48">
        <f>IF(AND(B143="G1",M143=""),IF(R143="20'",
VLOOKUP(Z143,Charge!$K$2:$M$5,2,TRUE)+(Z143-VLOOKUP(Z143,Charge!$K$2:$M$5,1,TRUE))*VLOOKUP(Z143,Charge!$K$2:$M$5,3,TRUE),
VLOOKUP(Z143,Charge!$N$2:$P$5,2,TRUE)+(Z143-VLOOKUP(Z143,Charge!$N$2:$P$5,1,TRUE))*VLOOKUP(Z143,Charge!$N$2:$P$5,3,TRUE)),
IF(AND(B143="G1",M143="DG"),IF(R143="20'",
VLOOKUP(Z143,Charge!$R$2:$T$5,2,TRUE)+(Z143-VLOOKUP(Z143,Charge!$R$2:$T$5,1,TRUE))*VLOOKUP(Z143,Charge!$R$2:$T$5,3,TRUE),
VLOOKUP(Z143,Charge!$U$2:$W$5,2,TRUE)+(Z143-VLOOKUP(Z143,Charge!$U$2:$W$5,1,TRUE))*VLOOKUP(Z143,Charge!$U$2:$W$5,3,TRUE)),
IF(AND(B143="G3",M143=""),IF(R143="20'",
VLOOKUP(Z143,Charge!$K$18:$M$21,2,TRUE)+(Z143-VLOOKUP(Z143,Charge!$K$18:$M$21,1,TRUE))*VLOOKUP(Z143,Charge!$K$18:$M$21,3,TRUE),
VLOOKUP(Z143,Charge!$N$18:$P$21,2,TRUE)+(Z143-VLOOKUP(Z143,Charge!$N$18:$P$21,1,TRUE))*VLOOKUP(Z143,Charge!$N$18:$P$21,3,TRUE)),
IF(AND(B143="G3",M143="DG"),IF(R143="20'",
VLOOKUP(Z143,Charge!$R$18:$T$21,2,TRUE)+(Z143-VLOOKUP(Z143,Charge!$R$18:$T$21,1,TRUE))*VLOOKUP(Z143,Charge!$R$18:$T$21,3,TRUE),
VLOOKUP(Z143,Charge!$U$18:$W$21,2,TRUE)+(Z143-VLOOKUP(Z143,Charge!$U$18:$W$21,1,TRUE))*VLOOKUP(Z143,Charge!$U$18:$W$21,3,TRUE)),
IF(AND(B143="G2",M143=""),IF(R143="20'",
VLOOKUP(Z143,Charge!$K$9:$M$12,2,TRUE)+(Z143-VLOOKUP(Z143,Charge!$K$9:$M$12,1,TRUE))*VLOOKUP(Z143,Charge!$K$9:$M$12,3,TRUE),
VLOOKUP(Z143,Charge!$N$9:$P$12,2,TRUE)+(Z143-VLOOKUP(Z143,Charge!$N$9:$P$12,1,TRUE))*VLOOKUP(Z143,Charge!$N$9:$P$12,3,TRUE)),
IF(AND(B143="G2",M143="DG"),IF(R143="20'",
VLOOKUP(Z143,Charge!$R$9:$T$12,2,TRUE)+(Z143-VLOOKUP(Z143,Charge!$R$9:$T$12,1,TRUE))*VLOOKUP(Z143,Charge!$R$9:$T$12,3,TRUE),
VLOOKUP(Z143,Charge!$U$9:$W$12,2,TRUE)+(Z143-VLOOKUP(Z143,Charge!$U$9:$W$12,1,TRUE))*VLOOKUP(Z143,Charge!$U$9:$W$12,3,TRUE)),IF(AND(B143="G4",M143=""),IF(R143="20'",Z143*Charge!$M$25,Z143*Charge!$P$25),IF(AND(B143="G4",M143="DG"),IF(R143="20'",Z143*Charge!$T$25,Z143*Charge!$W$25),0))))))))</f>
        <v>500</v>
      </c>
      <c r="AB143" s="53"/>
      <c r="AC143" s="53"/>
      <c r="AD143" s="56">
        <f>IF(M143="DG",3,IF(N143="RF",3,5))+IF(AND(LEFT(C143,3)="BKK",N143="RF",Q143="KTS"),1,0)+IF(Q143="KHS",1,0)</f>
        <v>5</v>
      </c>
      <c r="AE143" s="57">
        <f>(T143-V143)+1</f>
        <v>46324</v>
      </c>
      <c r="AF143" s="57">
        <f>IF(AB143&gt;IF((V143-W143)&gt;0,V143-W143,0),0,IF(AB143&lt;IF((V143-W143)&gt;0,V143-W143,0),IF((V143-W143)&gt;0,V143-W143,0)-AB143,IF((V143-W143)&gt;0,V143-W143,0)))</f>
        <v>0</v>
      </c>
      <c r="AG143" s="48">
        <f>IF(AND(M143=""),IF(R143="20'",
VLOOKUP(AF143,Charge!$K$31:$M$34,2,TRUE)+(AF143-VLOOKUP(AF143,Charge!$K$31:$M$34,1,TRUE))*VLOOKUP(AF143,Charge!$K$31:$M$34,3,TRUE),
VLOOKUP(AF143,Charge!$N$31:$P$34,2,TRUE)+(AF143-VLOOKUP(AF143,Charge!$N$31:$P$34,1,TRUE))*VLOOKUP(AF143,Charge!$N$31:$P$34,3,TRUE)),
IF(AND(M143="DG"),IF(R143="20'",
VLOOKUP(AF143,Charge!$R$31:$T$34,2,TRUE)+(AF143-VLOOKUP(AF143,Charge!$R$31:$T$34,1,TRUE))*VLOOKUP(AF143,Charge!$R$31:$T$34,3,TRUE),
VLOOKUP(AF143,Charge!$U$31:$W$34,2,TRUE)+(AF143-VLOOKUP(AF143,Charge!$U$31:$W$34,1,TRUE))*VLOOKUP(AF143,Charge!$U$31:$W$34,3,TRUE)),0))</f>
        <v>0</v>
      </c>
      <c r="AH143" s="60"/>
      <c r="AI143" s="60">
        <f>AA143-AH143</f>
        <v>500</v>
      </c>
      <c r="AJ143" s="61"/>
      <c r="AK143" s="55" t="str">
        <f>VLOOKUP(D143,'2.Bookinglist'!A:CT,40,FALSE)</f>
        <v>Nannaapust Sukporntaweewat</v>
      </c>
      <c r="AL143" s="56" t="str">
        <f>VLOOKUP(D143,'2.Bookinglist'!A:CW,101,FALSE)</f>
        <v>2026-10-24</v>
      </c>
      <c r="AM143" s="56" t="str">
        <f>VLOOKUP(D143,'2.Bookinglist'!A:BK,63,FALSE)</f>
        <v>LCHY5</v>
      </c>
      <c r="AN143" s="55" t="str">
        <f>VLOOKUP(D143,'2.Bookinglist'!A:AZ,52,FALSE)</f>
        <v>Pickup : 2026-10-15, Return : 2026-10-16</v>
      </c>
      <c r="AO143" s="55">
        <f>VLOOKUP(D143,'2.Bookinglist'!A:CY,103,FALSE)</f>
        <v>0</v>
      </c>
    </row>
    <row r="144" ht="12.95" customHeight="1" spans="1:41" x14ac:dyDescent="0.25">
      <c r="A144" s="3" t="s">
        <v>247</v>
      </c>
      <c r="B144" s="53" t="str">
        <f>IF(C144=Charge!$M$1,Charge!$J$1,IF(C144=Charge!$M$23,Charge!$J$23,IF(C144=Charge!$M$17,Charge!$J$17,IF(C144=Charge!$N$17,Charge!$J$17,Charge!$J$7))))</f>
        <v>G2</v>
      </c>
      <c r="C144" s="54" t="str">
        <f>VLOOKUP(A144,'1.Loading'!A:R,14,FALSE)</f>
        <v>LCH06</v>
      </c>
      <c r="D144" s="54" t="str">
        <f>VLOOKUP(A144,'1.Loading'!A:R,17,FALSE)</f>
        <v>HASLS22261000876</v>
      </c>
      <c r="E144" s="55" t="str">
        <f>VLOOKUP(D144,'2.Bookinglist'!A:CT,27,FALSE)</f>
        <v>SUN-OCEAN GLOBAL SUPPLY CHAIN CO., LTD.</v>
      </c>
      <c r="F144" s="55" t="str">
        <f>VLOOKUP(D144,'2.Bookinglist'!A:CT,28,FALSE)</f>
        <v>I.P. ONE COMPANY LIMITED</v>
      </c>
      <c r="G144" s="56" t="str">
        <f>VLOOKUP(D144,'2.Bookinglist'!A:E,5,FALSE)</f>
        <v>THSRP</v>
      </c>
      <c r="H144" s="54" t="str">
        <f>VLOOKUP(D144,'2.Bookinglist'!A:CT,15,FALSE)</f>
        <v>THLCH</v>
      </c>
      <c r="I144" s="54" t="str">
        <f>VLOOKUP(D144,'2.Bookinglist'!A:CT,19,FALSE)</f>
        <v>CNSHA</v>
      </c>
      <c r="J144" s="54">
        <f>VLOOKUP(D144,'2.Bookinglist'!A:CT,26,FALSE)</f>
        <v>0</v>
      </c>
      <c r="K144" s="54" t="str">
        <f>VLOOKUP(A144,'1.Loading'!A:R,5,FALSE)</f>
        <v>45GP</v>
      </c>
      <c r="L144" s="56" t="str">
        <f>VLOOKUP(D144,'2.Bookinglist'!A:CT,85,FALSE)</f>
        <v>CY/CY</v>
      </c>
      <c r="M144" s="56" t="str">
        <f>IF(VLOOKUP(D144,'2.Bookinglist'!A:CT,43,FALSE)=0,"","DG")</f>
        <v/>
      </c>
      <c r="N144" s="56" t="str">
        <f>IF(RIGHT(K144,2)="RE","RF","")</f>
        <v/>
      </c>
      <c r="O144" s="54" t="str">
        <f>VLOOKUP(A144,'1.Loading'!A:R,3,FALSE)</f>
        <v>HMVY</v>
      </c>
      <c r="P144" s="54" t="str">
        <f>VLOOKUP(A144,'1.Loading'!A:R,4,FALSE)</f>
        <v>2609N</v>
      </c>
      <c r="Q144" s="54" t="str">
        <f>VLOOKUP(D144,'2.Bookinglist'!A:CT,12,FALSE)</f>
        <v>PCI2</v>
      </c>
      <c r="R144" s="56" t="str">
        <f>IF(LEFT(K144,2)="22","20'","40'")</f>
        <v>40'</v>
      </c>
      <c r="S144" s="38"/>
      <c r="T144" s="54" t="str">
        <f>VLOOKUP(A144,'1.Loading'!A:R,2,FALSE)</f>
        <v>2026-10-28</v>
      </c>
      <c r="U144" s="57">
        <f>T144-S144</f>
        <v>46323</v>
      </c>
      <c r="V144" s="58"/>
      <c r="W144" s="54" t="str">
        <f>VLOOKUP(A144,'3.GateMove'!A:D,4,FALSE)</f>
        <v>2026-10-23</v>
      </c>
      <c r="X144" s="57">
        <f>((T144-W144)+1)</f>
        <v>6</v>
      </c>
      <c r="Y144" s="59">
        <f>IF(AND(OR(C144="BKK01",C144="BKK04"),L144="CFS/CY"),0,IF(M144="DG",1,IF(LEFT(C144,3)="LCH",7,IF(C144="BKK02",5,3))))</f>
        <v>7</v>
      </c>
      <c r="Z144" s="57">
        <f>IF(IF(AND(AC144="TML",AB144&gt;0),((T144-W144)+1)-AB144,((T144-W144)+1)-Y144)&gt;0,IF(AND(AC144="TML",AB144&gt;0),((T144-W144)+1)-AB144,((T144-W144)+1)-Y144),0)</f>
        <v>0</v>
      </c>
      <c r="AA144" s="48">
        <f>IF(AND(B144="G1",M144=""),IF(R144="20'",
VLOOKUP(Z144,Charge!$K$2:$M$5,2,TRUE)+(Z144-VLOOKUP(Z144,Charge!$K$2:$M$5,1,TRUE))*VLOOKUP(Z144,Charge!$K$2:$M$5,3,TRUE),
VLOOKUP(Z144,Charge!$N$2:$P$5,2,TRUE)+(Z144-VLOOKUP(Z144,Charge!$N$2:$P$5,1,TRUE))*VLOOKUP(Z144,Charge!$N$2:$P$5,3,TRUE)),
IF(AND(B144="G1",M144="DG"),IF(R144="20'",
VLOOKUP(Z144,Charge!$R$2:$T$5,2,TRUE)+(Z144-VLOOKUP(Z144,Charge!$R$2:$T$5,1,TRUE))*VLOOKUP(Z144,Charge!$R$2:$T$5,3,TRUE),
VLOOKUP(Z144,Charge!$U$2:$W$5,2,TRUE)+(Z144-VLOOKUP(Z144,Charge!$U$2:$W$5,1,TRUE))*VLOOKUP(Z144,Charge!$U$2:$W$5,3,TRUE)),
IF(AND(B144="G3",M144=""),IF(R144="20'",
VLOOKUP(Z144,Charge!$K$18:$M$21,2,TRUE)+(Z144-VLOOKUP(Z144,Charge!$K$18:$M$21,1,TRUE))*VLOOKUP(Z144,Charge!$K$18:$M$21,3,TRUE),
VLOOKUP(Z144,Charge!$N$18:$P$21,2,TRUE)+(Z144-VLOOKUP(Z144,Charge!$N$18:$P$21,1,TRUE))*VLOOKUP(Z144,Charge!$N$18:$P$21,3,TRUE)),
IF(AND(B144="G3",M144="DG"),IF(R144="20'",
VLOOKUP(Z144,Charge!$R$18:$T$21,2,TRUE)+(Z144-VLOOKUP(Z144,Charge!$R$18:$T$21,1,TRUE))*VLOOKUP(Z144,Charge!$R$18:$T$21,3,TRUE),
VLOOKUP(Z144,Charge!$U$18:$W$21,2,TRUE)+(Z144-VLOOKUP(Z144,Charge!$U$18:$W$21,1,TRUE))*VLOOKUP(Z144,Charge!$U$18:$W$21,3,TRUE)),
IF(AND(B144="G2",M144=""),IF(R144="20'",
VLOOKUP(Z144,Charge!$K$9:$M$12,2,TRUE)+(Z144-VLOOKUP(Z144,Charge!$K$9:$M$12,1,TRUE))*VLOOKUP(Z144,Charge!$K$9:$M$12,3,TRUE),
VLOOKUP(Z144,Charge!$N$9:$P$12,2,TRUE)+(Z144-VLOOKUP(Z144,Charge!$N$9:$P$12,1,TRUE))*VLOOKUP(Z144,Charge!$N$9:$P$12,3,TRUE)),
IF(AND(B144="G2",M144="DG"),IF(R144="20'",
VLOOKUP(Z144,Charge!$R$9:$T$12,2,TRUE)+(Z144-VLOOKUP(Z144,Charge!$R$9:$T$12,1,TRUE))*VLOOKUP(Z144,Charge!$R$9:$T$12,3,TRUE),
VLOOKUP(Z144,Charge!$U$9:$W$12,2,TRUE)+(Z144-VLOOKUP(Z144,Charge!$U$9:$W$12,1,TRUE))*VLOOKUP(Z144,Charge!$U$9:$W$12,3,TRUE)),IF(AND(B144="G4",M144=""),IF(R144="20'",Z144*Charge!$M$25,Z144*Charge!$P$25),IF(AND(B144="G4",M144="DG"),IF(R144="20'",Z144*Charge!$T$25,Z144*Charge!$W$25),0))))))))</f>
        <v>0</v>
      </c>
      <c r="AB144" s="53"/>
      <c r="AC144" s="53"/>
      <c r="AD144" s="56">
        <f>IF(M144="DG",3,IF(N144="RF",3,5))+IF(AND(LEFT(C144,3)="BKK",N144="RF",Q144="KTS"),1,0)+IF(Q144="KHS",1,0)</f>
        <v>5</v>
      </c>
      <c r="AE144" s="57">
        <f>(T144-V144)+1</f>
        <v>46324</v>
      </c>
      <c r="AF144" s="57">
        <f>IF(AB144&gt;IF((V144-W144)&gt;0,V144-W144,0),0,IF(AB144&lt;IF((V144-W144)&gt;0,V144-W144,0),IF((V144-W144)&gt;0,V144-W144,0)-AB144,IF((V144-W144)&gt;0,V144-W144,0)))</f>
        <v>0</v>
      </c>
      <c r="AG144" s="48">
        <f>IF(AND(M144=""),IF(R144="20'",
VLOOKUP(AF144,Charge!$K$31:$M$34,2,TRUE)+(AF144-VLOOKUP(AF144,Charge!$K$31:$M$34,1,TRUE))*VLOOKUP(AF144,Charge!$K$31:$M$34,3,TRUE),
VLOOKUP(AF144,Charge!$N$31:$P$34,2,TRUE)+(AF144-VLOOKUP(AF144,Charge!$N$31:$P$34,1,TRUE))*VLOOKUP(AF144,Charge!$N$31:$P$34,3,TRUE)),
IF(AND(M144="DG"),IF(R144="20'",
VLOOKUP(AF144,Charge!$R$31:$T$34,2,TRUE)+(AF144-VLOOKUP(AF144,Charge!$R$31:$T$34,1,TRUE))*VLOOKUP(AF144,Charge!$R$31:$T$34,3,TRUE),
VLOOKUP(AF144,Charge!$U$31:$W$34,2,TRUE)+(AF144-VLOOKUP(AF144,Charge!$U$31:$W$34,1,TRUE))*VLOOKUP(AF144,Charge!$U$31:$W$34,3,TRUE)),0))</f>
        <v>0</v>
      </c>
      <c r="AH144" s="60"/>
      <c r="AI144" s="60">
        <f>AA144-AH144</f>
        <v>0</v>
      </c>
      <c r="AJ144" s="61"/>
      <c r="AK144" s="55" t="str">
        <f>VLOOKUP(D144,'2.Bookinglist'!A:CT,40,FALSE)</f>
        <v>Arunphat W. (Aiw)</v>
      </c>
      <c r="AL144" s="56" t="str">
        <f>VLOOKUP(D144,'2.Bookinglist'!A:CW,101,FALSE)</f>
        <v>2026-10-22</v>
      </c>
      <c r="AM144" s="56" t="str">
        <f>VLOOKUP(D144,'2.Bookinglist'!A:BK,63,FALSE)</f>
        <v>BKK27</v>
      </c>
      <c r="AN144" s="55" t="str">
        <f>VLOOKUP(D144,'2.Bookinglist'!A:AZ,52,FALSE)</f>
        <v>Pickup : 2026-10-16, Return SRP : 2026-10-17 [PAPERLESS CODE 2829]
CLS TIME 24/10/26 @21.00 (1ST RETURN 17/10/26)</v>
      </c>
      <c r="AO144" s="55">
        <f>VLOOKUP(D144,'2.Bookinglist'!A:CY,103,FALSE)</f>
        <v>0</v>
      </c>
    </row>
    <row r="145" ht="12.95" customHeight="1" spans="1:41" x14ac:dyDescent="0.25">
      <c r="A145" s="3" t="s">
        <v>140</v>
      </c>
      <c r="B145" s="53" t="str">
        <f>IF(C145=Charge!$M$1,Charge!$J$1,IF(C145=Charge!$M$23,Charge!$J$23,IF(C145=Charge!$M$17,Charge!$J$17,IF(C145=Charge!$N$17,Charge!$J$17,Charge!$J$7))))</f>
        <v>G2</v>
      </c>
      <c r="C145" s="54" t="str">
        <f>VLOOKUP(A145,'1.Loading'!A:R,14,FALSE)</f>
        <v>LCH06</v>
      </c>
      <c r="D145" s="54" t="str">
        <f>VLOOKUP(A145,'1.Loading'!A:R,17,FALSE)</f>
        <v>HASLS22261000285</v>
      </c>
      <c r="E145" s="55" t="str">
        <f>VLOOKUP(D145,'2.Bookinglist'!A:CT,27,FALSE)</f>
        <v>AGC VINYTHAI PUBLIC COMPANY LIMITED</v>
      </c>
      <c r="F145" s="55" t="str">
        <f>VLOOKUP(D145,'2.Bookinglist'!A:CT,28,FALSE)</f>
        <v>AGC VINYTHAI PUBLIC COMPANY LIMITED</v>
      </c>
      <c r="G145" s="56">
        <f>VLOOKUP(D145,'2.Bookinglist'!A:E,5,FALSE)</f>
        <v>0</v>
      </c>
      <c r="H145" s="54" t="str">
        <f>VLOOKUP(D145,'2.Bookinglist'!A:CT,15,FALSE)</f>
        <v>THLCH</v>
      </c>
      <c r="I145" s="54" t="str">
        <f>VLOOKUP(D145,'2.Bookinglist'!A:CT,19,FALSE)</f>
        <v>CNSHA</v>
      </c>
      <c r="J145" s="54">
        <f>VLOOKUP(D145,'2.Bookinglist'!A:CT,26,FALSE)</f>
        <v>0</v>
      </c>
      <c r="K145" s="54" t="str">
        <f>VLOOKUP(A145,'1.Loading'!A:R,5,FALSE)</f>
        <v>45GP</v>
      </c>
      <c r="L145" s="56" t="str">
        <f>VLOOKUP(D145,'2.Bookinglist'!A:CT,85,FALSE)</f>
        <v>CY/CY</v>
      </c>
      <c r="M145" s="56" t="str">
        <f>IF(VLOOKUP(D145,'2.Bookinglist'!A:CT,43,FALSE)=0,"","DG")</f>
        <v/>
      </c>
      <c r="N145" s="56" t="str">
        <f>IF(RIGHT(K145,2)="RE","RF","")</f>
        <v/>
      </c>
      <c r="O145" s="54" t="str">
        <f>VLOOKUP(A145,'1.Loading'!A:R,3,FALSE)</f>
        <v>HMVY</v>
      </c>
      <c r="P145" s="54" t="str">
        <f>VLOOKUP(A145,'1.Loading'!A:R,4,FALSE)</f>
        <v>2609N</v>
      </c>
      <c r="Q145" s="54" t="str">
        <f>VLOOKUP(D145,'2.Bookinglist'!A:CT,12,FALSE)</f>
        <v>PCI2</v>
      </c>
      <c r="R145" s="56" t="str">
        <f>IF(LEFT(K145,2)="22","20'","40'")</f>
        <v>40'</v>
      </c>
      <c r="S145" s="38"/>
      <c r="T145" s="54" t="str">
        <f>VLOOKUP(A145,'1.Loading'!A:R,2,FALSE)</f>
        <v>2026-10-28</v>
      </c>
      <c r="U145" s="57">
        <f>T145-S145</f>
        <v>46323</v>
      </c>
      <c r="V145" s="58"/>
      <c r="W145" s="54" t="str">
        <f>VLOOKUP(A145,'3.GateMove'!A:D,4,FALSE)</f>
        <v>2026-10-20</v>
      </c>
      <c r="X145" s="57">
        <f>((T145-W145)+1)</f>
        <v>9</v>
      </c>
      <c r="Y145" s="59">
        <f>IF(AND(OR(C145="BKK01",C145="BKK04"),L145="CFS/CY"),0,IF(M145="DG",1,IF(LEFT(C145,3)="LCH",7,IF(C145="BKK02",5,3))))</f>
        <v>7</v>
      </c>
      <c r="Z145" s="57">
        <f>IF(IF(AND(AC145="TML",AB145&gt;0),((T145-W145)+1)-AB145,((T145-W145)+1)-Y145)&gt;0,IF(AND(AC145="TML",AB145&gt;0),((T145-W145)+1)-AB145,((T145-W145)+1)-Y145),0)</f>
        <v>2</v>
      </c>
      <c r="AA145" s="48">
        <f>IF(AND(B145="G1",M145=""),IF(R145="20'",
VLOOKUP(Z145,Charge!$K$2:$M$5,2,TRUE)+(Z145-VLOOKUP(Z145,Charge!$K$2:$M$5,1,TRUE))*VLOOKUP(Z145,Charge!$K$2:$M$5,3,TRUE),
VLOOKUP(Z145,Charge!$N$2:$P$5,2,TRUE)+(Z145-VLOOKUP(Z145,Charge!$N$2:$P$5,1,TRUE))*VLOOKUP(Z145,Charge!$N$2:$P$5,3,TRUE)),
IF(AND(B145="G1",M145="DG"),IF(R145="20'",
VLOOKUP(Z145,Charge!$R$2:$T$5,2,TRUE)+(Z145-VLOOKUP(Z145,Charge!$R$2:$T$5,1,TRUE))*VLOOKUP(Z145,Charge!$R$2:$T$5,3,TRUE),
VLOOKUP(Z145,Charge!$U$2:$W$5,2,TRUE)+(Z145-VLOOKUP(Z145,Charge!$U$2:$W$5,1,TRUE))*VLOOKUP(Z145,Charge!$U$2:$W$5,3,TRUE)),
IF(AND(B145="G3",M145=""),IF(R145="20'",
VLOOKUP(Z145,Charge!$K$18:$M$21,2,TRUE)+(Z145-VLOOKUP(Z145,Charge!$K$18:$M$21,1,TRUE))*VLOOKUP(Z145,Charge!$K$18:$M$21,3,TRUE),
VLOOKUP(Z145,Charge!$N$18:$P$21,2,TRUE)+(Z145-VLOOKUP(Z145,Charge!$N$18:$P$21,1,TRUE))*VLOOKUP(Z145,Charge!$N$18:$P$21,3,TRUE)),
IF(AND(B145="G3",M145="DG"),IF(R145="20'",
VLOOKUP(Z145,Charge!$R$18:$T$21,2,TRUE)+(Z145-VLOOKUP(Z145,Charge!$R$18:$T$21,1,TRUE))*VLOOKUP(Z145,Charge!$R$18:$T$21,3,TRUE),
VLOOKUP(Z145,Charge!$U$18:$W$21,2,TRUE)+(Z145-VLOOKUP(Z145,Charge!$U$18:$W$21,1,TRUE))*VLOOKUP(Z145,Charge!$U$18:$W$21,3,TRUE)),
IF(AND(B145="G2",M145=""),IF(R145="20'",
VLOOKUP(Z145,Charge!$K$9:$M$12,2,TRUE)+(Z145-VLOOKUP(Z145,Charge!$K$9:$M$12,1,TRUE))*VLOOKUP(Z145,Charge!$K$9:$M$12,3,TRUE),
VLOOKUP(Z145,Charge!$N$9:$P$12,2,TRUE)+(Z145-VLOOKUP(Z145,Charge!$N$9:$P$12,1,TRUE))*VLOOKUP(Z145,Charge!$N$9:$P$12,3,TRUE)),
IF(AND(B145="G2",M145="DG"),IF(R145="20'",
VLOOKUP(Z145,Charge!$R$9:$T$12,2,TRUE)+(Z145-VLOOKUP(Z145,Charge!$R$9:$T$12,1,TRUE))*VLOOKUP(Z145,Charge!$R$9:$T$12,3,TRUE),
VLOOKUP(Z145,Charge!$U$9:$W$12,2,TRUE)+(Z145-VLOOKUP(Z145,Charge!$U$9:$W$12,1,TRUE))*VLOOKUP(Z145,Charge!$U$9:$W$12,3,TRUE)),IF(AND(B145="G4",M145=""),IF(R145="20'",Z145*Charge!$M$25,Z145*Charge!$P$25),IF(AND(B145="G4",M145="DG"),IF(R145="20'",Z145*Charge!$T$25,Z145*Charge!$W$25),0))))))))</f>
        <v>500</v>
      </c>
      <c r="AB145" s="53"/>
      <c r="AC145" s="53"/>
      <c r="AD145" s="56">
        <f>IF(M145="DG",3,IF(N145="RF",3,5))+IF(AND(LEFT(C145,3)="BKK",N145="RF",Q145="KTS"),1,0)+IF(Q145="KHS",1,0)</f>
        <v>5</v>
      </c>
      <c r="AE145" s="57">
        <f>(T145-V145)+1</f>
        <v>46324</v>
      </c>
      <c r="AF145" s="57">
        <f>IF(AB145&gt;IF((V145-W145)&gt;0,V145-W145,0),0,IF(AB145&lt;IF((V145-W145)&gt;0,V145-W145,0),IF((V145-W145)&gt;0,V145-W145,0)-AB145,IF((V145-W145)&gt;0,V145-W145,0)))</f>
        <v>0</v>
      </c>
      <c r="AG145" s="48">
        <f>IF(AND(M145=""),IF(R145="20'",
VLOOKUP(AF145,Charge!$K$31:$M$34,2,TRUE)+(AF145-VLOOKUP(AF145,Charge!$K$31:$M$34,1,TRUE))*VLOOKUP(AF145,Charge!$K$31:$M$34,3,TRUE),
VLOOKUP(AF145,Charge!$N$31:$P$34,2,TRUE)+(AF145-VLOOKUP(AF145,Charge!$N$31:$P$34,1,TRUE))*VLOOKUP(AF145,Charge!$N$31:$P$34,3,TRUE)),
IF(AND(M145="DG"),IF(R145="20'",
VLOOKUP(AF145,Charge!$R$31:$T$34,2,TRUE)+(AF145-VLOOKUP(AF145,Charge!$R$31:$T$34,1,TRUE))*VLOOKUP(AF145,Charge!$R$31:$T$34,3,TRUE),
VLOOKUP(AF145,Charge!$U$31:$W$34,2,TRUE)+(AF145-VLOOKUP(AF145,Charge!$U$31:$W$34,1,TRUE))*VLOOKUP(AF145,Charge!$U$31:$W$34,3,TRUE)),0))</f>
        <v>0</v>
      </c>
      <c r="AH145" s="60"/>
      <c r="AI145" s="60">
        <f>AA145-AH145</f>
        <v>500</v>
      </c>
      <c r="AJ145" s="61"/>
      <c r="AK145" s="55" t="str">
        <f>VLOOKUP(D145,'2.Bookinglist'!A:CT,40,FALSE)</f>
        <v>Nannaapust Sukporntaweewat</v>
      </c>
      <c r="AL145" s="56" t="str">
        <f>VLOOKUP(D145,'2.Bookinglist'!A:CW,101,FALSE)</f>
        <v>2026-10-24</v>
      </c>
      <c r="AM145" s="56" t="str">
        <f>VLOOKUP(D145,'2.Bookinglist'!A:BK,63,FALSE)</f>
        <v>LCHY5</v>
      </c>
      <c r="AN145" s="55" t="str">
        <f>VLOOKUP(D145,'2.Bookinglist'!A:AZ,52,FALSE)</f>
        <v>Pickup : 2026-10-15, Return : 2026-10-16</v>
      </c>
      <c r="AO145" s="55">
        <f>VLOOKUP(D145,'2.Bookinglist'!A:CY,103,FALSE)</f>
        <v>0</v>
      </c>
    </row>
    <row r="146" ht="12.95" customHeight="1" spans="1:41" x14ac:dyDescent="0.25">
      <c r="A146" s="3" t="s">
        <v>236</v>
      </c>
      <c r="B146" s="53" t="str">
        <f>IF(C146=Charge!$M$1,Charge!$J$1,IF(C146=Charge!$M$23,Charge!$J$23,IF(C146=Charge!$M$17,Charge!$J$17,IF(C146=Charge!$N$17,Charge!$J$17,Charge!$J$7))))</f>
        <v>G2</v>
      </c>
      <c r="C146" s="54" t="str">
        <f>VLOOKUP(A146,'1.Loading'!A:R,14,FALSE)</f>
        <v>LCH06</v>
      </c>
      <c r="D146" s="54" t="str">
        <f>VLOOKUP(A146,'1.Loading'!A:R,17,FALSE)</f>
        <v>HASLS22261000876</v>
      </c>
      <c r="E146" s="55" t="str">
        <f>VLOOKUP(D146,'2.Bookinglist'!A:CT,27,FALSE)</f>
        <v>SUN-OCEAN GLOBAL SUPPLY CHAIN CO., LTD.</v>
      </c>
      <c r="F146" s="55" t="str">
        <f>VLOOKUP(D146,'2.Bookinglist'!A:CT,28,FALSE)</f>
        <v>I.P. ONE COMPANY LIMITED</v>
      </c>
      <c r="G146" s="56" t="str">
        <f>VLOOKUP(D146,'2.Bookinglist'!A:E,5,FALSE)</f>
        <v>THSRP</v>
      </c>
      <c r="H146" s="54" t="str">
        <f>VLOOKUP(D146,'2.Bookinglist'!A:CT,15,FALSE)</f>
        <v>THLCH</v>
      </c>
      <c r="I146" s="54" t="str">
        <f>VLOOKUP(D146,'2.Bookinglist'!A:CT,19,FALSE)</f>
        <v>CNSHA</v>
      </c>
      <c r="J146" s="54">
        <f>VLOOKUP(D146,'2.Bookinglist'!A:CT,26,FALSE)</f>
        <v>0</v>
      </c>
      <c r="K146" s="54" t="str">
        <f>VLOOKUP(A146,'1.Loading'!A:R,5,FALSE)</f>
        <v>45GP</v>
      </c>
      <c r="L146" s="56" t="str">
        <f>VLOOKUP(D146,'2.Bookinglist'!A:CT,85,FALSE)</f>
        <v>CY/CY</v>
      </c>
      <c r="M146" s="56" t="str">
        <f>IF(VLOOKUP(D146,'2.Bookinglist'!A:CT,43,FALSE)=0,"","DG")</f>
        <v/>
      </c>
      <c r="N146" s="56" t="str">
        <f>IF(RIGHT(K146,2)="RE","RF","")</f>
        <v/>
      </c>
      <c r="O146" s="54" t="str">
        <f>VLOOKUP(A146,'1.Loading'!A:R,3,FALSE)</f>
        <v>HMVY</v>
      </c>
      <c r="P146" s="54" t="str">
        <f>VLOOKUP(A146,'1.Loading'!A:R,4,FALSE)</f>
        <v>2609N</v>
      </c>
      <c r="Q146" s="54" t="str">
        <f>VLOOKUP(D146,'2.Bookinglist'!A:CT,12,FALSE)</f>
        <v>PCI2</v>
      </c>
      <c r="R146" s="56" t="str">
        <f>IF(LEFT(K146,2)="22","20'","40'")</f>
        <v>40'</v>
      </c>
      <c r="S146" s="38"/>
      <c r="T146" s="54" t="str">
        <f>VLOOKUP(A146,'1.Loading'!A:R,2,FALSE)</f>
        <v>2026-10-28</v>
      </c>
      <c r="U146" s="57">
        <f>T146-S146</f>
        <v>46323</v>
      </c>
      <c r="V146" s="58"/>
      <c r="W146" s="54" t="str">
        <f>VLOOKUP(A146,'3.GateMove'!A:D,4,FALSE)</f>
        <v>2026-10-23</v>
      </c>
      <c r="X146" s="57">
        <f>((T146-W146)+1)</f>
        <v>6</v>
      </c>
      <c r="Y146" s="59">
        <f>IF(AND(OR(C146="BKK01",C146="BKK04"),L146="CFS/CY"),0,IF(M146="DG",1,IF(LEFT(C146,3)="LCH",7,IF(C146="BKK02",5,3))))</f>
        <v>7</v>
      </c>
      <c r="Z146" s="57">
        <f>IF(IF(AND(AC146="TML",AB146&gt;0),((T146-W146)+1)-AB146,((T146-W146)+1)-Y146)&gt;0,IF(AND(AC146="TML",AB146&gt;0),((T146-W146)+1)-AB146,((T146-W146)+1)-Y146),0)</f>
        <v>0</v>
      </c>
      <c r="AA146" s="48">
        <f>IF(AND(B146="G1",M146=""),IF(R146="20'",
VLOOKUP(Z146,Charge!$K$2:$M$5,2,TRUE)+(Z146-VLOOKUP(Z146,Charge!$K$2:$M$5,1,TRUE))*VLOOKUP(Z146,Charge!$K$2:$M$5,3,TRUE),
VLOOKUP(Z146,Charge!$N$2:$P$5,2,TRUE)+(Z146-VLOOKUP(Z146,Charge!$N$2:$P$5,1,TRUE))*VLOOKUP(Z146,Charge!$N$2:$P$5,3,TRUE)),
IF(AND(B146="G1",M146="DG"),IF(R146="20'",
VLOOKUP(Z146,Charge!$R$2:$T$5,2,TRUE)+(Z146-VLOOKUP(Z146,Charge!$R$2:$T$5,1,TRUE))*VLOOKUP(Z146,Charge!$R$2:$T$5,3,TRUE),
VLOOKUP(Z146,Charge!$U$2:$W$5,2,TRUE)+(Z146-VLOOKUP(Z146,Charge!$U$2:$W$5,1,TRUE))*VLOOKUP(Z146,Charge!$U$2:$W$5,3,TRUE)),
IF(AND(B146="G3",M146=""),IF(R146="20'",
VLOOKUP(Z146,Charge!$K$18:$M$21,2,TRUE)+(Z146-VLOOKUP(Z146,Charge!$K$18:$M$21,1,TRUE))*VLOOKUP(Z146,Charge!$K$18:$M$21,3,TRUE),
VLOOKUP(Z146,Charge!$N$18:$P$21,2,TRUE)+(Z146-VLOOKUP(Z146,Charge!$N$18:$P$21,1,TRUE))*VLOOKUP(Z146,Charge!$N$18:$P$21,3,TRUE)),
IF(AND(B146="G3",M146="DG"),IF(R146="20'",
VLOOKUP(Z146,Charge!$R$18:$T$21,2,TRUE)+(Z146-VLOOKUP(Z146,Charge!$R$18:$T$21,1,TRUE))*VLOOKUP(Z146,Charge!$R$18:$T$21,3,TRUE),
VLOOKUP(Z146,Charge!$U$18:$W$21,2,TRUE)+(Z146-VLOOKUP(Z146,Charge!$U$18:$W$21,1,TRUE))*VLOOKUP(Z146,Charge!$U$18:$W$21,3,TRUE)),
IF(AND(B146="G2",M146=""),IF(R146="20'",
VLOOKUP(Z146,Charge!$K$9:$M$12,2,TRUE)+(Z146-VLOOKUP(Z146,Charge!$K$9:$M$12,1,TRUE))*VLOOKUP(Z146,Charge!$K$9:$M$12,3,TRUE),
VLOOKUP(Z146,Charge!$N$9:$P$12,2,TRUE)+(Z146-VLOOKUP(Z146,Charge!$N$9:$P$12,1,TRUE))*VLOOKUP(Z146,Charge!$N$9:$P$12,3,TRUE)),
IF(AND(B146="G2",M146="DG"),IF(R146="20'",
VLOOKUP(Z146,Charge!$R$9:$T$12,2,TRUE)+(Z146-VLOOKUP(Z146,Charge!$R$9:$T$12,1,TRUE))*VLOOKUP(Z146,Charge!$R$9:$T$12,3,TRUE),
VLOOKUP(Z146,Charge!$U$9:$W$12,2,TRUE)+(Z146-VLOOKUP(Z146,Charge!$U$9:$W$12,1,TRUE))*VLOOKUP(Z146,Charge!$U$9:$W$12,3,TRUE)),IF(AND(B146="G4",M146=""),IF(R146="20'",Z146*Charge!$M$25,Z146*Charge!$P$25),IF(AND(B146="G4",M146="DG"),IF(R146="20'",Z146*Charge!$T$25,Z146*Charge!$W$25),0))))))))</f>
        <v>0</v>
      </c>
      <c r="AB146" s="53"/>
      <c r="AC146" s="53"/>
      <c r="AD146" s="56">
        <f>IF(M146="DG",3,IF(N146="RF",3,5))+IF(AND(LEFT(C146,3)="BKK",N146="RF",Q146="KTS"),1,0)+IF(Q146="KHS",1,0)</f>
        <v>5</v>
      </c>
      <c r="AE146" s="57">
        <f>(T146-V146)+1</f>
        <v>46324</v>
      </c>
      <c r="AF146" s="57">
        <f>IF(AB146&gt;IF((V146-W146)&gt;0,V146-W146,0),0,IF(AB146&lt;IF((V146-W146)&gt;0,V146-W146,0),IF((V146-W146)&gt;0,V146-W146,0)-AB146,IF((V146-W146)&gt;0,V146-W146,0)))</f>
        <v>0</v>
      </c>
      <c r="AG146" s="48">
        <f>IF(AND(M146=""),IF(R146="20'",
VLOOKUP(AF146,Charge!$K$31:$M$34,2,TRUE)+(AF146-VLOOKUP(AF146,Charge!$K$31:$M$34,1,TRUE))*VLOOKUP(AF146,Charge!$K$31:$M$34,3,TRUE),
VLOOKUP(AF146,Charge!$N$31:$P$34,2,TRUE)+(AF146-VLOOKUP(AF146,Charge!$N$31:$P$34,1,TRUE))*VLOOKUP(AF146,Charge!$N$31:$P$34,3,TRUE)),
IF(AND(M146="DG"),IF(R146="20'",
VLOOKUP(AF146,Charge!$R$31:$T$34,2,TRUE)+(AF146-VLOOKUP(AF146,Charge!$R$31:$T$34,1,TRUE))*VLOOKUP(AF146,Charge!$R$31:$T$34,3,TRUE),
VLOOKUP(AF146,Charge!$U$31:$W$34,2,TRUE)+(AF146-VLOOKUP(AF146,Charge!$U$31:$W$34,1,TRUE))*VLOOKUP(AF146,Charge!$U$31:$W$34,3,TRUE)),0))</f>
        <v>0</v>
      </c>
      <c r="AH146" s="60"/>
      <c r="AI146" s="60">
        <f>AA146-AH146</f>
        <v>0</v>
      </c>
      <c r="AJ146" s="61"/>
      <c r="AK146" s="55" t="str">
        <f>VLOOKUP(D146,'2.Bookinglist'!A:CT,40,FALSE)</f>
        <v>Arunphat W. (Aiw)</v>
      </c>
      <c r="AL146" s="56" t="str">
        <f>VLOOKUP(D146,'2.Bookinglist'!A:CW,101,FALSE)</f>
        <v>2026-10-22</v>
      </c>
      <c r="AM146" s="56" t="str">
        <f>VLOOKUP(D146,'2.Bookinglist'!A:BK,63,FALSE)</f>
        <v>BKK27</v>
      </c>
      <c r="AN146" s="55" t="str">
        <f>VLOOKUP(D146,'2.Bookinglist'!A:AZ,52,FALSE)</f>
        <v>Pickup : 2026-10-16, Return SRP : 2026-10-17 [PAPERLESS CODE 2829]
CLS TIME 24/10/26 @21.00 (1ST RETURN 17/10/26)</v>
      </c>
      <c r="AO146" s="55">
        <f>VLOOKUP(D146,'2.Bookinglist'!A:CY,103,FALSE)</f>
        <v>0</v>
      </c>
    </row>
    <row r="147" ht="12.95" customHeight="1" spans="1:41" x14ac:dyDescent="0.25">
      <c r="A147" s="3" t="s">
        <v>258</v>
      </c>
      <c r="B147" s="53" t="str">
        <f>IF(C147=Charge!$M$1,Charge!$J$1,IF(C147=Charge!$M$23,Charge!$J$23,IF(C147=Charge!$M$17,Charge!$J$17,IF(C147=Charge!$N$17,Charge!$J$17,Charge!$J$7))))</f>
        <v>G2</v>
      </c>
      <c r="C147" s="54" t="str">
        <f>VLOOKUP(A147,'1.Loading'!A:R,14,FALSE)</f>
        <v>LCH06</v>
      </c>
      <c r="D147" s="54" t="str">
        <f>VLOOKUP(A147,'1.Loading'!A:R,17,FALSE)</f>
        <v>HASLS22260901311</v>
      </c>
      <c r="E147" s="55" t="str">
        <f>VLOOKUP(D147,'2.Bookinglist'!A:CT,27,FALSE)</f>
        <v>WHA GC LOGISTICS COMPANY LIMITED</v>
      </c>
      <c r="F147" s="55" t="str">
        <f>VLOOKUP(D147,'2.Bookinglist'!A:CT,28,FALSE)</f>
        <v>PTT GLOBAL CHEMICAL PUBLIC COMPANY LIMITED</v>
      </c>
      <c r="G147" s="56">
        <f>VLOOKUP(D147,'2.Bookinglist'!A:E,5,FALSE)</f>
        <v>0</v>
      </c>
      <c r="H147" s="54" t="str">
        <f>VLOOKUP(D147,'2.Bookinglist'!A:CT,15,FALSE)</f>
        <v>THLCH</v>
      </c>
      <c r="I147" s="54" t="str">
        <f>VLOOKUP(D147,'2.Bookinglist'!A:CT,19,FALSE)</f>
        <v>CNSHA</v>
      </c>
      <c r="J147" s="54">
        <f>VLOOKUP(D147,'2.Bookinglist'!A:CT,26,FALSE)</f>
        <v>0</v>
      </c>
      <c r="K147" s="54" t="str">
        <f>VLOOKUP(A147,'1.Loading'!A:R,5,FALSE)</f>
        <v>45GP</v>
      </c>
      <c r="L147" s="56" t="str">
        <f>VLOOKUP(D147,'2.Bookinglist'!A:CT,85,FALSE)</f>
        <v>CY/CY</v>
      </c>
      <c r="M147" s="56" t="str">
        <f>IF(VLOOKUP(D147,'2.Bookinglist'!A:CT,43,FALSE)=0,"","DG")</f>
        <v/>
      </c>
      <c r="N147" s="56" t="str">
        <f>IF(RIGHT(K147,2)="RE","RF","")</f>
        <v/>
      </c>
      <c r="O147" s="54" t="str">
        <f>VLOOKUP(A147,'1.Loading'!A:R,3,FALSE)</f>
        <v>HMVY</v>
      </c>
      <c r="P147" s="54" t="str">
        <f>VLOOKUP(A147,'1.Loading'!A:R,4,FALSE)</f>
        <v>2609N</v>
      </c>
      <c r="Q147" s="54" t="str">
        <f>VLOOKUP(D147,'2.Bookinglist'!A:CT,12,FALSE)</f>
        <v>PCI2</v>
      </c>
      <c r="R147" s="56" t="str">
        <f>IF(LEFT(K147,2)="22","20'","40'")</f>
        <v>40'</v>
      </c>
      <c r="S147" s="38"/>
      <c r="T147" s="54" t="str">
        <f>VLOOKUP(A147,'1.Loading'!A:R,2,FALSE)</f>
        <v>2026-10-28</v>
      </c>
      <c r="U147" s="57">
        <f>T147-S147</f>
        <v>46323</v>
      </c>
      <c r="V147" s="58"/>
      <c r="W147" s="54" t="str">
        <f>VLOOKUP(A147,'3.GateMove'!A:D,4,FALSE)</f>
        <v>2026-10-25</v>
      </c>
      <c r="X147" s="57">
        <f>((T147-W147)+1)</f>
        <v>4</v>
      </c>
      <c r="Y147" s="59">
        <f>IF(AND(OR(C147="BKK01",C147="BKK04"),L147="CFS/CY"),0,IF(M147="DG",1,IF(LEFT(C147,3)="LCH",7,IF(C147="BKK02",5,3))))</f>
        <v>7</v>
      </c>
      <c r="Z147" s="57">
        <f>IF(IF(AND(AC147="TML",AB147&gt;0),((T147-W147)+1)-AB147,((T147-W147)+1)-Y147)&gt;0,IF(AND(AC147="TML",AB147&gt;0),((T147-W147)+1)-AB147,((T147-W147)+1)-Y147),0)</f>
        <v>0</v>
      </c>
      <c r="AA147" s="48">
        <f>IF(AND(B147="G1",M147=""),IF(R147="20'",
VLOOKUP(Z147,Charge!$K$2:$M$5,2,TRUE)+(Z147-VLOOKUP(Z147,Charge!$K$2:$M$5,1,TRUE))*VLOOKUP(Z147,Charge!$K$2:$M$5,3,TRUE),
VLOOKUP(Z147,Charge!$N$2:$P$5,2,TRUE)+(Z147-VLOOKUP(Z147,Charge!$N$2:$P$5,1,TRUE))*VLOOKUP(Z147,Charge!$N$2:$P$5,3,TRUE)),
IF(AND(B147="G1",M147="DG"),IF(R147="20'",
VLOOKUP(Z147,Charge!$R$2:$T$5,2,TRUE)+(Z147-VLOOKUP(Z147,Charge!$R$2:$T$5,1,TRUE))*VLOOKUP(Z147,Charge!$R$2:$T$5,3,TRUE),
VLOOKUP(Z147,Charge!$U$2:$W$5,2,TRUE)+(Z147-VLOOKUP(Z147,Charge!$U$2:$W$5,1,TRUE))*VLOOKUP(Z147,Charge!$U$2:$W$5,3,TRUE)),
IF(AND(B147="G3",M147=""),IF(R147="20'",
VLOOKUP(Z147,Charge!$K$18:$M$21,2,TRUE)+(Z147-VLOOKUP(Z147,Charge!$K$18:$M$21,1,TRUE))*VLOOKUP(Z147,Charge!$K$18:$M$21,3,TRUE),
VLOOKUP(Z147,Charge!$N$18:$P$21,2,TRUE)+(Z147-VLOOKUP(Z147,Charge!$N$18:$P$21,1,TRUE))*VLOOKUP(Z147,Charge!$N$18:$P$21,3,TRUE)),
IF(AND(B147="G3",M147="DG"),IF(R147="20'",
VLOOKUP(Z147,Charge!$R$18:$T$21,2,TRUE)+(Z147-VLOOKUP(Z147,Charge!$R$18:$T$21,1,TRUE))*VLOOKUP(Z147,Charge!$R$18:$T$21,3,TRUE),
VLOOKUP(Z147,Charge!$U$18:$W$21,2,TRUE)+(Z147-VLOOKUP(Z147,Charge!$U$18:$W$21,1,TRUE))*VLOOKUP(Z147,Charge!$U$18:$W$21,3,TRUE)),
IF(AND(B147="G2",M147=""),IF(R147="20'",
VLOOKUP(Z147,Charge!$K$9:$M$12,2,TRUE)+(Z147-VLOOKUP(Z147,Charge!$K$9:$M$12,1,TRUE))*VLOOKUP(Z147,Charge!$K$9:$M$12,3,TRUE),
VLOOKUP(Z147,Charge!$N$9:$P$12,2,TRUE)+(Z147-VLOOKUP(Z147,Charge!$N$9:$P$12,1,TRUE))*VLOOKUP(Z147,Charge!$N$9:$P$12,3,TRUE)),
IF(AND(B147="G2",M147="DG"),IF(R147="20'",
VLOOKUP(Z147,Charge!$R$9:$T$12,2,TRUE)+(Z147-VLOOKUP(Z147,Charge!$R$9:$T$12,1,TRUE))*VLOOKUP(Z147,Charge!$R$9:$T$12,3,TRUE),
VLOOKUP(Z147,Charge!$U$9:$W$12,2,TRUE)+(Z147-VLOOKUP(Z147,Charge!$U$9:$W$12,1,TRUE))*VLOOKUP(Z147,Charge!$U$9:$W$12,3,TRUE)),IF(AND(B147="G4",M147=""),IF(R147="20'",Z147*Charge!$M$25,Z147*Charge!$P$25),IF(AND(B147="G4",M147="DG"),IF(R147="20'",Z147*Charge!$T$25,Z147*Charge!$W$25),0))))))))</f>
        <v>0</v>
      </c>
      <c r="AB147" s="53"/>
      <c r="AC147" s="53"/>
      <c r="AD147" s="56">
        <f>IF(M147="DG",3,IF(N147="RF",3,5))+IF(AND(LEFT(C147,3)="BKK",N147="RF",Q147="KTS"),1,0)+IF(Q147="KHS",1,0)</f>
        <v>5</v>
      </c>
      <c r="AE147" s="57">
        <f>(T147-V147)+1</f>
        <v>46324</v>
      </c>
      <c r="AF147" s="57">
        <f>IF(AB147&gt;IF((V147-W147)&gt;0,V147-W147,0),0,IF(AB147&lt;IF((V147-W147)&gt;0,V147-W147,0),IF((V147-W147)&gt;0,V147-W147,0)-AB147,IF((V147-W147)&gt;0,V147-W147,0)))</f>
        <v>0</v>
      </c>
      <c r="AG147" s="48">
        <f>IF(AND(M147=""),IF(R147="20'",
VLOOKUP(AF147,Charge!$K$31:$M$34,2,TRUE)+(AF147-VLOOKUP(AF147,Charge!$K$31:$M$34,1,TRUE))*VLOOKUP(AF147,Charge!$K$31:$M$34,3,TRUE),
VLOOKUP(AF147,Charge!$N$31:$P$34,2,TRUE)+(AF147-VLOOKUP(AF147,Charge!$N$31:$P$34,1,TRUE))*VLOOKUP(AF147,Charge!$N$31:$P$34,3,TRUE)),
IF(AND(M147="DG"),IF(R147="20'",
VLOOKUP(AF147,Charge!$R$31:$T$34,2,TRUE)+(AF147-VLOOKUP(AF147,Charge!$R$31:$T$34,1,TRUE))*VLOOKUP(AF147,Charge!$R$31:$T$34,3,TRUE),
VLOOKUP(AF147,Charge!$U$31:$W$34,2,TRUE)+(AF147-VLOOKUP(AF147,Charge!$U$31:$W$34,1,TRUE))*VLOOKUP(AF147,Charge!$U$31:$W$34,3,TRUE)),0))</f>
        <v>0</v>
      </c>
      <c r="AH147" s="60"/>
      <c r="AI147" s="60">
        <f>AA147-AH147</f>
        <v>0</v>
      </c>
      <c r="AJ147" s="61"/>
      <c r="AK147" s="55" t="str">
        <f>VLOOKUP(D147,'2.Bookinglist'!A:CT,40,FALSE)</f>
        <v>Dharaporn</v>
      </c>
      <c r="AL147" s="56" t="str">
        <f>VLOOKUP(D147,'2.Bookinglist'!A:CW,101,FALSE)</f>
        <v>2026-10-28</v>
      </c>
      <c r="AM147" s="56" t="str">
        <f>VLOOKUP(D147,'2.Bookinglist'!A:BK,63,FALSE)</f>
        <v>LCHY5</v>
      </c>
      <c r="AN147" s="55" t="str">
        <f>VLOOKUP(D147,'2.Bookinglist'!A:AZ,52,FALSE)</f>
        <v>CY-RTN: 20-23/10/2026  (1ST RETURN 22/10/26)</v>
      </c>
      <c r="AO147" s="55" t="str">
        <f>VLOOKUP(D147,'2.Bookinglist'!A:CY,103,FALSE)</f>
        <v>ROLL OVER FORM PREIVOUS VSL HAB 2612N BY ALLOCATION TEAM MS.TAN APPROVED COST IS UNDER HA DD.26/10</v>
      </c>
    </row>
    <row r="148" ht="12.95" customHeight="1" spans="1:41" x14ac:dyDescent="0.25">
      <c r="A148" s="3" t="s">
        <v>107</v>
      </c>
      <c r="B148" s="53" t="str">
        <f>IF(C148=Charge!$M$1,Charge!$J$1,IF(C148=Charge!$M$23,Charge!$J$23,IF(C148=Charge!$M$17,Charge!$J$17,IF(C148=Charge!$N$17,Charge!$J$17,Charge!$J$7))))</f>
        <v>G2</v>
      </c>
      <c r="C148" s="54" t="str">
        <f>VLOOKUP(A148,'1.Loading'!A:R,14,FALSE)</f>
        <v>LCH06</v>
      </c>
      <c r="D148" s="54" t="str">
        <f>VLOOKUP(A148,'1.Loading'!A:R,17,FALSE)</f>
        <v>HASLS22260802359</v>
      </c>
      <c r="E148" s="55" t="str">
        <f>VLOOKUP(D148,'2.Bookinglist'!A:CT,27,FALSE)</f>
        <v>WHA GC LOGISTICS COMPANY LIMITED</v>
      </c>
      <c r="F148" s="55" t="str">
        <f>VLOOKUP(D148,'2.Bookinglist'!A:CT,28,FALSE)</f>
        <v>PTT GLOBAL CHEMICAL PUBLIC COMPANY LIMITED</v>
      </c>
      <c r="G148" s="56">
        <f>VLOOKUP(D148,'2.Bookinglist'!A:E,5,FALSE)</f>
        <v>0</v>
      </c>
      <c r="H148" s="54" t="str">
        <f>VLOOKUP(D148,'2.Bookinglist'!A:CT,15,FALSE)</f>
        <v>THLCH</v>
      </c>
      <c r="I148" s="54" t="str">
        <f>VLOOKUP(D148,'2.Bookinglist'!A:CT,19,FALSE)</f>
        <v>CNSHA</v>
      </c>
      <c r="J148" s="54">
        <f>VLOOKUP(D148,'2.Bookinglist'!A:CT,26,FALSE)</f>
        <v>0</v>
      </c>
      <c r="K148" s="54" t="str">
        <f>VLOOKUP(A148,'1.Loading'!A:R,5,FALSE)</f>
        <v>45GP</v>
      </c>
      <c r="L148" s="56" t="str">
        <f>VLOOKUP(D148,'2.Bookinglist'!A:CT,85,FALSE)</f>
        <v>CY/CY</v>
      </c>
      <c r="M148" s="56" t="str">
        <f>IF(VLOOKUP(D148,'2.Bookinglist'!A:CT,43,FALSE)=0,"","DG")</f>
        <v/>
      </c>
      <c r="N148" s="56" t="str">
        <f>IF(RIGHT(K148,2)="RE","RF","")</f>
        <v/>
      </c>
      <c r="O148" s="54" t="str">
        <f>VLOOKUP(A148,'1.Loading'!A:R,3,FALSE)</f>
        <v>HMVY</v>
      </c>
      <c r="P148" s="54" t="str">
        <f>VLOOKUP(A148,'1.Loading'!A:R,4,FALSE)</f>
        <v>2609N</v>
      </c>
      <c r="Q148" s="54" t="str">
        <f>VLOOKUP(D148,'2.Bookinglist'!A:CT,12,FALSE)</f>
        <v>PCI2</v>
      </c>
      <c r="R148" s="56" t="str">
        <f>IF(LEFT(K148,2)="22","20'","40'")</f>
        <v>40'</v>
      </c>
      <c r="S148" s="38"/>
      <c r="T148" s="54" t="str">
        <f>VLOOKUP(A148,'1.Loading'!A:R,2,FALSE)</f>
        <v>2026-10-28</v>
      </c>
      <c r="U148" s="57">
        <f>T148-S148</f>
        <v>46323</v>
      </c>
      <c r="V148" s="58"/>
      <c r="W148" s="54" t="str">
        <f>VLOOKUP(A148,'3.GateMove'!A:D,4,FALSE)</f>
        <v>2026-10-11</v>
      </c>
      <c r="X148" s="57">
        <f>((T148-W148)+1)</f>
        <v>18</v>
      </c>
      <c r="Y148" s="59">
        <f>IF(AND(OR(C148="BKK01",C148="BKK04"),L148="CFS/CY"),0,IF(M148="DG",1,IF(LEFT(C148,3)="LCH",7,IF(C148="BKK02",5,3))))</f>
        <v>7</v>
      </c>
      <c r="Z148" s="57">
        <f>IF(IF(AND(AC148="TML",AB148&gt;0),((T148-W148)+1)-AB148,((T148-W148)+1)-Y148)&gt;0,IF(AND(AC148="TML",AB148&gt;0),((T148-W148)+1)-AB148,((T148-W148)+1)-Y148),0)</f>
        <v>11</v>
      </c>
      <c r="AA148" s="48">
        <f>IF(AND(B148="G1",M148=""),IF(R148="20'",
VLOOKUP(Z148,Charge!$K$2:$M$5,2,TRUE)+(Z148-VLOOKUP(Z148,Charge!$K$2:$M$5,1,TRUE))*VLOOKUP(Z148,Charge!$K$2:$M$5,3,TRUE),
VLOOKUP(Z148,Charge!$N$2:$P$5,2,TRUE)+(Z148-VLOOKUP(Z148,Charge!$N$2:$P$5,1,TRUE))*VLOOKUP(Z148,Charge!$N$2:$P$5,3,TRUE)),
IF(AND(B148="G1",M148="DG"),IF(R148="20'",
VLOOKUP(Z148,Charge!$R$2:$T$5,2,TRUE)+(Z148-VLOOKUP(Z148,Charge!$R$2:$T$5,1,TRUE))*VLOOKUP(Z148,Charge!$R$2:$T$5,3,TRUE),
VLOOKUP(Z148,Charge!$U$2:$W$5,2,TRUE)+(Z148-VLOOKUP(Z148,Charge!$U$2:$W$5,1,TRUE))*VLOOKUP(Z148,Charge!$U$2:$W$5,3,TRUE)),
IF(AND(B148="G3",M148=""),IF(R148="20'",
VLOOKUP(Z148,Charge!$K$18:$M$21,2,TRUE)+(Z148-VLOOKUP(Z148,Charge!$K$18:$M$21,1,TRUE))*VLOOKUP(Z148,Charge!$K$18:$M$21,3,TRUE),
VLOOKUP(Z148,Charge!$N$18:$P$21,2,TRUE)+(Z148-VLOOKUP(Z148,Charge!$N$18:$P$21,1,TRUE))*VLOOKUP(Z148,Charge!$N$18:$P$21,3,TRUE)),
IF(AND(B148="G3",M148="DG"),IF(R148="20'",
VLOOKUP(Z148,Charge!$R$18:$T$21,2,TRUE)+(Z148-VLOOKUP(Z148,Charge!$R$18:$T$21,1,TRUE))*VLOOKUP(Z148,Charge!$R$18:$T$21,3,TRUE),
VLOOKUP(Z148,Charge!$U$18:$W$21,2,TRUE)+(Z148-VLOOKUP(Z148,Charge!$U$18:$W$21,1,TRUE))*VLOOKUP(Z148,Charge!$U$18:$W$21,3,TRUE)),
IF(AND(B148="G2",M148=""),IF(R148="20'",
VLOOKUP(Z148,Charge!$K$9:$M$12,2,TRUE)+(Z148-VLOOKUP(Z148,Charge!$K$9:$M$12,1,TRUE))*VLOOKUP(Z148,Charge!$K$9:$M$12,3,TRUE),
VLOOKUP(Z148,Charge!$N$9:$P$12,2,TRUE)+(Z148-VLOOKUP(Z148,Charge!$N$9:$P$12,1,TRUE))*VLOOKUP(Z148,Charge!$N$9:$P$12,3,TRUE)),
IF(AND(B148="G2",M148="DG"),IF(R148="20'",
VLOOKUP(Z148,Charge!$R$9:$T$12,2,TRUE)+(Z148-VLOOKUP(Z148,Charge!$R$9:$T$12,1,TRUE))*VLOOKUP(Z148,Charge!$R$9:$T$12,3,TRUE),
VLOOKUP(Z148,Charge!$U$9:$W$12,2,TRUE)+(Z148-VLOOKUP(Z148,Charge!$U$9:$W$12,1,TRUE))*VLOOKUP(Z148,Charge!$U$9:$W$12,3,TRUE)),IF(AND(B148="G4",M148=""),IF(R148="20'",Z148*Charge!$M$25,Z148*Charge!$P$25),IF(AND(B148="G4",M148="DG"),IF(R148="20'",Z148*Charge!$T$25,Z148*Charge!$W$25),0))))))))</f>
        <v>3750</v>
      </c>
      <c r="AB148" s="53"/>
      <c r="AC148" s="53"/>
      <c r="AD148" s="56">
        <f>IF(M148="DG",3,IF(N148="RF",3,5))+IF(AND(LEFT(C148,3)="BKK",N148="RF",Q148="KTS"),1,0)+IF(Q148="KHS",1,0)</f>
        <v>5</v>
      </c>
      <c r="AE148" s="57">
        <f>(T148-V148)+1</f>
        <v>46324</v>
      </c>
      <c r="AF148" s="57">
        <f>IF(AB148&gt;IF((V148-W148)&gt;0,V148-W148,0),0,IF(AB148&lt;IF((V148-W148)&gt;0,V148-W148,0),IF((V148-W148)&gt;0,V148-W148,0)-AB148,IF((V148-W148)&gt;0,V148-W148,0)))</f>
        <v>0</v>
      </c>
      <c r="AG148" s="48">
        <f>IF(AND(M148=""),IF(R148="20'",
VLOOKUP(AF148,Charge!$K$31:$M$34,2,TRUE)+(AF148-VLOOKUP(AF148,Charge!$K$31:$M$34,1,TRUE))*VLOOKUP(AF148,Charge!$K$31:$M$34,3,TRUE),
VLOOKUP(AF148,Charge!$N$31:$P$34,2,TRUE)+(AF148-VLOOKUP(AF148,Charge!$N$31:$P$34,1,TRUE))*VLOOKUP(AF148,Charge!$N$31:$P$34,3,TRUE)),
IF(AND(M148="DG"),IF(R148="20'",
VLOOKUP(AF148,Charge!$R$31:$T$34,2,TRUE)+(AF148-VLOOKUP(AF148,Charge!$R$31:$T$34,1,TRUE))*VLOOKUP(AF148,Charge!$R$31:$T$34,3,TRUE),
VLOOKUP(AF148,Charge!$U$31:$W$34,2,TRUE)+(AF148-VLOOKUP(AF148,Charge!$U$31:$W$34,1,TRUE))*VLOOKUP(AF148,Charge!$U$31:$W$34,3,TRUE)),0))</f>
        <v>0</v>
      </c>
      <c r="AH148" s="60"/>
      <c r="AI148" s="60">
        <f>AA148-AH148</f>
        <v>3750</v>
      </c>
      <c r="AJ148" s="61"/>
      <c r="AK148" s="55" t="str">
        <f>VLOOKUP(D148,'2.Bookinglist'!A:CT,40,FALSE)</f>
        <v>Dharaporn</v>
      </c>
      <c r="AL148" s="56" t="str">
        <f>VLOOKUP(D148,'2.Bookinglist'!A:CW,101,FALSE)</f>
        <v>2026-10-24</v>
      </c>
      <c r="AM148" s="56" t="str">
        <f>VLOOKUP(D148,'2.Bookinglist'!A:BK,63,FALSE)</f>
        <v>LCHY5</v>
      </c>
      <c r="AN148" s="55" t="str">
        <f>VLOOKUP(D148,'2.Bookinglist'!A:AZ,52,FALSE)</f>
        <v>CY-RTN 24-27/09/26 (1ST RETURN DATE DD.04/10/26)
*PLS CHECK OPEN GATE BEFORE RETURN CTNR*</v>
      </c>
      <c r="AO148" s="55" t="str">
        <f>VLOOKUP(D148,'2.Bookinglist'!A:CY,103,FALSE)</f>
        <v>ROLL OVER FROM PREVIOUS VSL SWRG 2609N BY ALLOCATION TEAM MS.TAN APPROVED COST IS UNDER HA DD.13/10</v>
      </c>
    </row>
    <row r="149" ht="12.95" customHeight="1" spans="1:41" x14ac:dyDescent="0.25">
      <c r="A149" s="3" t="s">
        <v>237</v>
      </c>
      <c r="B149" s="53" t="str">
        <f>IF(C149=Charge!$M$1,Charge!$J$1,IF(C149=Charge!$M$23,Charge!$J$23,IF(C149=Charge!$M$17,Charge!$J$17,IF(C149=Charge!$N$17,Charge!$J$17,Charge!$J$7))))</f>
        <v>G2</v>
      </c>
      <c r="C149" s="54" t="str">
        <f>VLOOKUP(A149,'1.Loading'!A:R,14,FALSE)</f>
        <v>LCH06</v>
      </c>
      <c r="D149" s="54" t="str">
        <f>VLOOKUP(A149,'1.Loading'!A:R,17,FALSE)</f>
        <v>HASLS22261000876</v>
      </c>
      <c r="E149" s="55" t="str">
        <f>VLOOKUP(D149,'2.Bookinglist'!A:CT,27,FALSE)</f>
        <v>SUN-OCEAN GLOBAL SUPPLY CHAIN CO., LTD.</v>
      </c>
      <c r="F149" s="55" t="str">
        <f>VLOOKUP(D149,'2.Bookinglist'!A:CT,28,FALSE)</f>
        <v>I.P. ONE COMPANY LIMITED</v>
      </c>
      <c r="G149" s="56" t="str">
        <f>VLOOKUP(D149,'2.Bookinglist'!A:E,5,FALSE)</f>
        <v>THSRP</v>
      </c>
      <c r="H149" s="54" t="str">
        <f>VLOOKUP(D149,'2.Bookinglist'!A:CT,15,FALSE)</f>
        <v>THLCH</v>
      </c>
      <c r="I149" s="54" t="str">
        <f>VLOOKUP(D149,'2.Bookinglist'!A:CT,19,FALSE)</f>
        <v>CNSHA</v>
      </c>
      <c r="J149" s="54">
        <f>VLOOKUP(D149,'2.Bookinglist'!A:CT,26,FALSE)</f>
        <v>0</v>
      </c>
      <c r="K149" s="54" t="str">
        <f>VLOOKUP(A149,'1.Loading'!A:R,5,FALSE)</f>
        <v>45GP</v>
      </c>
      <c r="L149" s="56" t="str">
        <f>VLOOKUP(D149,'2.Bookinglist'!A:CT,85,FALSE)</f>
        <v>CY/CY</v>
      </c>
      <c r="M149" s="56" t="str">
        <f>IF(VLOOKUP(D149,'2.Bookinglist'!A:CT,43,FALSE)=0,"","DG")</f>
        <v/>
      </c>
      <c r="N149" s="56" t="str">
        <f>IF(RIGHT(K149,2)="RE","RF","")</f>
        <v/>
      </c>
      <c r="O149" s="54" t="str">
        <f>VLOOKUP(A149,'1.Loading'!A:R,3,FALSE)</f>
        <v>HMVY</v>
      </c>
      <c r="P149" s="54" t="str">
        <f>VLOOKUP(A149,'1.Loading'!A:R,4,FALSE)</f>
        <v>2609N</v>
      </c>
      <c r="Q149" s="54" t="str">
        <f>VLOOKUP(D149,'2.Bookinglist'!A:CT,12,FALSE)</f>
        <v>PCI2</v>
      </c>
      <c r="R149" s="56" t="str">
        <f>IF(LEFT(K149,2)="22","20'","40'")</f>
        <v>40'</v>
      </c>
      <c r="S149" s="38"/>
      <c r="T149" s="54" t="str">
        <f>VLOOKUP(A149,'1.Loading'!A:R,2,FALSE)</f>
        <v>2026-10-28</v>
      </c>
      <c r="U149" s="57">
        <f>T149-S149</f>
        <v>46323</v>
      </c>
      <c r="V149" s="58"/>
      <c r="W149" s="54" t="str">
        <f>VLOOKUP(A149,'3.GateMove'!A:D,4,FALSE)</f>
        <v>2026-10-24</v>
      </c>
      <c r="X149" s="57">
        <f>((T149-W149)+1)</f>
        <v>5</v>
      </c>
      <c r="Y149" s="59">
        <f>IF(AND(OR(C149="BKK01",C149="BKK04"),L149="CFS/CY"),0,IF(M149="DG",1,IF(LEFT(C149,3)="LCH",7,IF(C149="BKK02",5,3))))</f>
        <v>7</v>
      </c>
      <c r="Z149" s="57">
        <f>IF(IF(AND(AC149="TML",AB149&gt;0),((T149-W149)+1)-AB149,((T149-W149)+1)-Y149)&gt;0,IF(AND(AC149="TML",AB149&gt;0),((T149-W149)+1)-AB149,((T149-W149)+1)-Y149),0)</f>
        <v>0</v>
      </c>
      <c r="AA149" s="48">
        <f>IF(AND(B149="G1",M149=""),IF(R149="20'",
VLOOKUP(Z149,Charge!$K$2:$M$5,2,TRUE)+(Z149-VLOOKUP(Z149,Charge!$K$2:$M$5,1,TRUE))*VLOOKUP(Z149,Charge!$K$2:$M$5,3,TRUE),
VLOOKUP(Z149,Charge!$N$2:$P$5,2,TRUE)+(Z149-VLOOKUP(Z149,Charge!$N$2:$P$5,1,TRUE))*VLOOKUP(Z149,Charge!$N$2:$P$5,3,TRUE)),
IF(AND(B149="G1",M149="DG"),IF(R149="20'",
VLOOKUP(Z149,Charge!$R$2:$T$5,2,TRUE)+(Z149-VLOOKUP(Z149,Charge!$R$2:$T$5,1,TRUE))*VLOOKUP(Z149,Charge!$R$2:$T$5,3,TRUE),
VLOOKUP(Z149,Charge!$U$2:$W$5,2,TRUE)+(Z149-VLOOKUP(Z149,Charge!$U$2:$W$5,1,TRUE))*VLOOKUP(Z149,Charge!$U$2:$W$5,3,TRUE)),
IF(AND(B149="G3",M149=""),IF(R149="20'",
VLOOKUP(Z149,Charge!$K$18:$M$21,2,TRUE)+(Z149-VLOOKUP(Z149,Charge!$K$18:$M$21,1,TRUE))*VLOOKUP(Z149,Charge!$K$18:$M$21,3,TRUE),
VLOOKUP(Z149,Charge!$N$18:$P$21,2,TRUE)+(Z149-VLOOKUP(Z149,Charge!$N$18:$P$21,1,TRUE))*VLOOKUP(Z149,Charge!$N$18:$P$21,3,TRUE)),
IF(AND(B149="G3",M149="DG"),IF(R149="20'",
VLOOKUP(Z149,Charge!$R$18:$T$21,2,TRUE)+(Z149-VLOOKUP(Z149,Charge!$R$18:$T$21,1,TRUE))*VLOOKUP(Z149,Charge!$R$18:$T$21,3,TRUE),
VLOOKUP(Z149,Charge!$U$18:$W$21,2,TRUE)+(Z149-VLOOKUP(Z149,Charge!$U$18:$W$21,1,TRUE))*VLOOKUP(Z149,Charge!$U$18:$W$21,3,TRUE)),
IF(AND(B149="G2",M149=""),IF(R149="20'",
VLOOKUP(Z149,Charge!$K$9:$M$12,2,TRUE)+(Z149-VLOOKUP(Z149,Charge!$K$9:$M$12,1,TRUE))*VLOOKUP(Z149,Charge!$K$9:$M$12,3,TRUE),
VLOOKUP(Z149,Charge!$N$9:$P$12,2,TRUE)+(Z149-VLOOKUP(Z149,Charge!$N$9:$P$12,1,TRUE))*VLOOKUP(Z149,Charge!$N$9:$P$12,3,TRUE)),
IF(AND(B149="G2",M149="DG"),IF(R149="20'",
VLOOKUP(Z149,Charge!$R$9:$T$12,2,TRUE)+(Z149-VLOOKUP(Z149,Charge!$R$9:$T$12,1,TRUE))*VLOOKUP(Z149,Charge!$R$9:$T$12,3,TRUE),
VLOOKUP(Z149,Charge!$U$9:$W$12,2,TRUE)+(Z149-VLOOKUP(Z149,Charge!$U$9:$W$12,1,TRUE))*VLOOKUP(Z149,Charge!$U$9:$W$12,3,TRUE)),IF(AND(B149="G4",M149=""),IF(R149="20'",Z149*Charge!$M$25,Z149*Charge!$P$25),IF(AND(B149="G4",M149="DG"),IF(R149="20'",Z149*Charge!$T$25,Z149*Charge!$W$25),0))))))))</f>
        <v>0</v>
      </c>
      <c r="AB149" s="53"/>
      <c r="AC149" s="53"/>
      <c r="AD149" s="56">
        <f>IF(M149="DG",3,IF(N149="RF",3,5))+IF(AND(LEFT(C149,3)="BKK",N149="RF",Q149="KTS"),1,0)+IF(Q149="KHS",1,0)</f>
        <v>5</v>
      </c>
      <c r="AE149" s="57">
        <f>(T149-V149)+1</f>
        <v>46324</v>
      </c>
      <c r="AF149" s="57">
        <f>IF(AB149&gt;IF((V149-W149)&gt;0,V149-W149,0),0,IF(AB149&lt;IF((V149-W149)&gt;0,V149-W149,0),IF((V149-W149)&gt;0,V149-W149,0)-AB149,IF((V149-W149)&gt;0,V149-W149,0)))</f>
        <v>0</v>
      </c>
      <c r="AG149" s="48">
        <f>IF(AND(M149=""),IF(R149="20'",
VLOOKUP(AF149,Charge!$K$31:$M$34,2,TRUE)+(AF149-VLOOKUP(AF149,Charge!$K$31:$M$34,1,TRUE))*VLOOKUP(AF149,Charge!$K$31:$M$34,3,TRUE),
VLOOKUP(AF149,Charge!$N$31:$P$34,2,TRUE)+(AF149-VLOOKUP(AF149,Charge!$N$31:$P$34,1,TRUE))*VLOOKUP(AF149,Charge!$N$31:$P$34,3,TRUE)),
IF(AND(M149="DG"),IF(R149="20'",
VLOOKUP(AF149,Charge!$R$31:$T$34,2,TRUE)+(AF149-VLOOKUP(AF149,Charge!$R$31:$T$34,1,TRUE))*VLOOKUP(AF149,Charge!$R$31:$T$34,3,TRUE),
VLOOKUP(AF149,Charge!$U$31:$W$34,2,TRUE)+(AF149-VLOOKUP(AF149,Charge!$U$31:$W$34,1,TRUE))*VLOOKUP(AF149,Charge!$U$31:$W$34,3,TRUE)),0))</f>
        <v>0</v>
      </c>
      <c r="AH149" s="60"/>
      <c r="AI149" s="60">
        <f>AA149-AH149</f>
        <v>0</v>
      </c>
      <c r="AJ149" s="61"/>
      <c r="AK149" s="55" t="str">
        <f>VLOOKUP(D149,'2.Bookinglist'!A:CT,40,FALSE)</f>
        <v>Arunphat W. (Aiw)</v>
      </c>
      <c r="AL149" s="56" t="str">
        <f>VLOOKUP(D149,'2.Bookinglist'!A:CW,101,FALSE)</f>
        <v>2026-10-22</v>
      </c>
      <c r="AM149" s="56" t="str">
        <f>VLOOKUP(D149,'2.Bookinglist'!A:BK,63,FALSE)</f>
        <v>BKK27</v>
      </c>
      <c r="AN149" s="55" t="str">
        <f>VLOOKUP(D149,'2.Bookinglist'!A:AZ,52,FALSE)</f>
        <v>Pickup : 2026-10-16, Return SRP : 2026-10-17 [PAPERLESS CODE 2829]
CLS TIME 24/10/26 @21.00 (1ST RETURN 17/10/26)</v>
      </c>
      <c r="AO149" s="55">
        <f>VLOOKUP(D149,'2.Bookinglist'!A:CY,103,FALSE)</f>
        <v>0</v>
      </c>
    </row>
    <row r="150" ht="12.95" customHeight="1" spans="1:41" x14ac:dyDescent="0.25">
      <c r="A150" s="3" t="s">
        <v>238</v>
      </c>
      <c r="B150" s="53" t="str">
        <f>IF(C150=Charge!$M$1,Charge!$J$1,IF(C150=Charge!$M$23,Charge!$J$23,IF(C150=Charge!$M$17,Charge!$J$17,IF(C150=Charge!$N$17,Charge!$J$17,Charge!$J$7))))</f>
        <v>G2</v>
      </c>
      <c r="C150" s="54" t="str">
        <f>VLOOKUP(A150,'1.Loading'!A:R,14,FALSE)</f>
        <v>LCH06</v>
      </c>
      <c r="D150" s="54" t="str">
        <f>VLOOKUP(A150,'1.Loading'!A:R,17,FALSE)</f>
        <v>HASLS22261000876</v>
      </c>
      <c r="E150" s="55" t="str">
        <f>VLOOKUP(D150,'2.Bookinglist'!A:CT,27,FALSE)</f>
        <v>SUN-OCEAN GLOBAL SUPPLY CHAIN CO., LTD.</v>
      </c>
      <c r="F150" s="55" t="str">
        <f>VLOOKUP(D150,'2.Bookinglist'!A:CT,28,FALSE)</f>
        <v>I.P. ONE COMPANY LIMITED</v>
      </c>
      <c r="G150" s="56" t="str">
        <f>VLOOKUP(D150,'2.Bookinglist'!A:E,5,FALSE)</f>
        <v>THSRP</v>
      </c>
      <c r="H150" s="54" t="str">
        <f>VLOOKUP(D150,'2.Bookinglist'!A:CT,15,FALSE)</f>
        <v>THLCH</v>
      </c>
      <c r="I150" s="54" t="str">
        <f>VLOOKUP(D150,'2.Bookinglist'!A:CT,19,FALSE)</f>
        <v>CNSHA</v>
      </c>
      <c r="J150" s="54">
        <f>VLOOKUP(D150,'2.Bookinglist'!A:CT,26,FALSE)</f>
        <v>0</v>
      </c>
      <c r="K150" s="54" t="str">
        <f>VLOOKUP(A150,'1.Loading'!A:R,5,FALSE)</f>
        <v>45GP</v>
      </c>
      <c r="L150" s="56" t="str">
        <f>VLOOKUP(D150,'2.Bookinglist'!A:CT,85,FALSE)</f>
        <v>CY/CY</v>
      </c>
      <c r="M150" s="56" t="str">
        <f>IF(VLOOKUP(D150,'2.Bookinglist'!A:CT,43,FALSE)=0,"","DG")</f>
        <v/>
      </c>
      <c r="N150" s="56" t="str">
        <f>IF(RIGHT(K150,2)="RE","RF","")</f>
        <v/>
      </c>
      <c r="O150" s="54" t="str">
        <f>VLOOKUP(A150,'1.Loading'!A:R,3,FALSE)</f>
        <v>HMVY</v>
      </c>
      <c r="P150" s="54" t="str">
        <f>VLOOKUP(A150,'1.Loading'!A:R,4,FALSE)</f>
        <v>2609N</v>
      </c>
      <c r="Q150" s="54" t="str">
        <f>VLOOKUP(D150,'2.Bookinglist'!A:CT,12,FALSE)</f>
        <v>PCI2</v>
      </c>
      <c r="R150" s="56" t="str">
        <f>IF(LEFT(K150,2)="22","20'","40'")</f>
        <v>40'</v>
      </c>
      <c r="S150" s="38"/>
      <c r="T150" s="54" t="str">
        <f>VLOOKUP(A150,'1.Loading'!A:R,2,FALSE)</f>
        <v>2026-10-28</v>
      </c>
      <c r="U150" s="57">
        <f>T150-S150</f>
        <v>46323</v>
      </c>
      <c r="V150" s="58"/>
      <c r="W150" s="54" t="str">
        <f>VLOOKUP(A150,'3.GateMove'!A:D,4,FALSE)</f>
        <v>2026-10-23</v>
      </c>
      <c r="X150" s="57">
        <f>((T150-W150)+1)</f>
        <v>6</v>
      </c>
      <c r="Y150" s="59">
        <f>IF(AND(OR(C150="BKK01",C150="BKK04"),L150="CFS/CY"),0,IF(M150="DG",1,IF(LEFT(C150,3)="LCH",7,IF(C150="BKK02",5,3))))</f>
        <v>7</v>
      </c>
      <c r="Z150" s="57">
        <f>IF(IF(AND(AC150="TML",AB150&gt;0),((T150-W150)+1)-AB150,((T150-W150)+1)-Y150)&gt;0,IF(AND(AC150="TML",AB150&gt;0),((T150-W150)+1)-AB150,((T150-W150)+1)-Y150),0)</f>
        <v>0</v>
      </c>
      <c r="AA150" s="48">
        <f>IF(AND(B150="G1",M150=""),IF(R150="20'",
VLOOKUP(Z150,Charge!$K$2:$M$5,2,TRUE)+(Z150-VLOOKUP(Z150,Charge!$K$2:$M$5,1,TRUE))*VLOOKUP(Z150,Charge!$K$2:$M$5,3,TRUE),
VLOOKUP(Z150,Charge!$N$2:$P$5,2,TRUE)+(Z150-VLOOKUP(Z150,Charge!$N$2:$P$5,1,TRUE))*VLOOKUP(Z150,Charge!$N$2:$P$5,3,TRUE)),
IF(AND(B150="G1",M150="DG"),IF(R150="20'",
VLOOKUP(Z150,Charge!$R$2:$T$5,2,TRUE)+(Z150-VLOOKUP(Z150,Charge!$R$2:$T$5,1,TRUE))*VLOOKUP(Z150,Charge!$R$2:$T$5,3,TRUE),
VLOOKUP(Z150,Charge!$U$2:$W$5,2,TRUE)+(Z150-VLOOKUP(Z150,Charge!$U$2:$W$5,1,TRUE))*VLOOKUP(Z150,Charge!$U$2:$W$5,3,TRUE)),
IF(AND(B150="G3",M150=""),IF(R150="20'",
VLOOKUP(Z150,Charge!$K$18:$M$21,2,TRUE)+(Z150-VLOOKUP(Z150,Charge!$K$18:$M$21,1,TRUE))*VLOOKUP(Z150,Charge!$K$18:$M$21,3,TRUE),
VLOOKUP(Z150,Charge!$N$18:$P$21,2,TRUE)+(Z150-VLOOKUP(Z150,Charge!$N$18:$P$21,1,TRUE))*VLOOKUP(Z150,Charge!$N$18:$P$21,3,TRUE)),
IF(AND(B150="G3",M150="DG"),IF(R150="20'",
VLOOKUP(Z150,Charge!$R$18:$T$21,2,TRUE)+(Z150-VLOOKUP(Z150,Charge!$R$18:$T$21,1,TRUE))*VLOOKUP(Z150,Charge!$R$18:$T$21,3,TRUE),
VLOOKUP(Z150,Charge!$U$18:$W$21,2,TRUE)+(Z150-VLOOKUP(Z150,Charge!$U$18:$W$21,1,TRUE))*VLOOKUP(Z150,Charge!$U$18:$W$21,3,TRUE)),
IF(AND(B150="G2",M150=""),IF(R150="20'",
VLOOKUP(Z150,Charge!$K$9:$M$12,2,TRUE)+(Z150-VLOOKUP(Z150,Charge!$K$9:$M$12,1,TRUE))*VLOOKUP(Z150,Charge!$K$9:$M$12,3,TRUE),
VLOOKUP(Z150,Charge!$N$9:$P$12,2,TRUE)+(Z150-VLOOKUP(Z150,Charge!$N$9:$P$12,1,TRUE))*VLOOKUP(Z150,Charge!$N$9:$P$12,3,TRUE)),
IF(AND(B150="G2",M150="DG"),IF(R150="20'",
VLOOKUP(Z150,Charge!$R$9:$T$12,2,TRUE)+(Z150-VLOOKUP(Z150,Charge!$R$9:$T$12,1,TRUE))*VLOOKUP(Z150,Charge!$R$9:$T$12,3,TRUE),
VLOOKUP(Z150,Charge!$U$9:$W$12,2,TRUE)+(Z150-VLOOKUP(Z150,Charge!$U$9:$W$12,1,TRUE))*VLOOKUP(Z150,Charge!$U$9:$W$12,3,TRUE)),IF(AND(B150="G4",M150=""),IF(R150="20'",Z150*Charge!$M$25,Z150*Charge!$P$25),IF(AND(B150="G4",M150="DG"),IF(R150="20'",Z150*Charge!$T$25,Z150*Charge!$W$25),0))))))))</f>
        <v>0</v>
      </c>
      <c r="AB150" s="53"/>
      <c r="AC150" s="53"/>
      <c r="AD150" s="56">
        <f>IF(M150="DG",3,IF(N150="RF",3,5))+IF(AND(LEFT(C150,3)="BKK",N150="RF",Q150="KTS"),1,0)+IF(Q150="KHS",1,0)</f>
        <v>5</v>
      </c>
      <c r="AE150" s="57">
        <f>(T150-V150)+1</f>
        <v>46324</v>
      </c>
      <c r="AF150" s="57">
        <f>IF(AB150&gt;IF((V150-W150)&gt;0,V150-W150,0),0,IF(AB150&lt;IF((V150-W150)&gt;0,V150-W150,0),IF((V150-W150)&gt;0,V150-W150,0)-AB150,IF((V150-W150)&gt;0,V150-W150,0)))</f>
        <v>0</v>
      </c>
      <c r="AG150" s="48">
        <f>IF(AND(M150=""),IF(R150="20'",
VLOOKUP(AF150,Charge!$K$31:$M$34,2,TRUE)+(AF150-VLOOKUP(AF150,Charge!$K$31:$M$34,1,TRUE))*VLOOKUP(AF150,Charge!$K$31:$M$34,3,TRUE),
VLOOKUP(AF150,Charge!$N$31:$P$34,2,TRUE)+(AF150-VLOOKUP(AF150,Charge!$N$31:$P$34,1,TRUE))*VLOOKUP(AF150,Charge!$N$31:$P$34,3,TRUE)),
IF(AND(M150="DG"),IF(R150="20'",
VLOOKUP(AF150,Charge!$R$31:$T$34,2,TRUE)+(AF150-VLOOKUP(AF150,Charge!$R$31:$T$34,1,TRUE))*VLOOKUP(AF150,Charge!$R$31:$T$34,3,TRUE),
VLOOKUP(AF150,Charge!$U$31:$W$34,2,TRUE)+(AF150-VLOOKUP(AF150,Charge!$U$31:$W$34,1,TRUE))*VLOOKUP(AF150,Charge!$U$31:$W$34,3,TRUE)),0))</f>
        <v>0</v>
      </c>
      <c r="AH150" s="60"/>
      <c r="AI150" s="60">
        <f>AA150-AH150</f>
        <v>0</v>
      </c>
      <c r="AJ150" s="61"/>
      <c r="AK150" s="55" t="str">
        <f>VLOOKUP(D150,'2.Bookinglist'!A:CT,40,FALSE)</f>
        <v>Arunphat W. (Aiw)</v>
      </c>
      <c r="AL150" s="56" t="str">
        <f>VLOOKUP(D150,'2.Bookinglist'!A:CW,101,FALSE)</f>
        <v>2026-10-22</v>
      </c>
      <c r="AM150" s="56" t="str">
        <f>VLOOKUP(D150,'2.Bookinglist'!A:BK,63,FALSE)</f>
        <v>BKK27</v>
      </c>
      <c r="AN150" s="55" t="str">
        <f>VLOOKUP(D150,'2.Bookinglist'!A:AZ,52,FALSE)</f>
        <v>Pickup : 2026-10-16, Return SRP : 2026-10-17 [PAPERLESS CODE 2829]
CLS TIME 24/10/26 @21.00 (1ST RETURN 17/10/26)</v>
      </c>
      <c r="AO150" s="55">
        <f>VLOOKUP(D150,'2.Bookinglist'!A:CY,103,FALSE)</f>
        <v>0</v>
      </c>
    </row>
    <row r="151" ht="12.95" customHeight="1" spans="1:41" x14ac:dyDescent="0.25">
      <c r="A151" s="3" t="s">
        <v>259</v>
      </c>
      <c r="B151" s="53" t="str">
        <f>IF(C151=Charge!$M$1,Charge!$J$1,IF(C151=Charge!$M$23,Charge!$J$23,IF(C151=Charge!$M$17,Charge!$J$17,IF(C151=Charge!$N$17,Charge!$J$17,Charge!$J$7))))</f>
        <v>G2</v>
      </c>
      <c r="C151" s="54" t="str">
        <f>VLOOKUP(A151,'1.Loading'!A:R,14,FALSE)</f>
        <v>LCH06</v>
      </c>
      <c r="D151" s="54" t="str">
        <f>VLOOKUP(A151,'1.Loading'!A:R,17,FALSE)</f>
        <v>HASLS22260901311</v>
      </c>
      <c r="E151" s="55" t="str">
        <f>VLOOKUP(D151,'2.Bookinglist'!A:CT,27,FALSE)</f>
        <v>WHA GC LOGISTICS COMPANY LIMITED</v>
      </c>
      <c r="F151" s="55" t="str">
        <f>VLOOKUP(D151,'2.Bookinglist'!A:CT,28,FALSE)</f>
        <v>PTT GLOBAL CHEMICAL PUBLIC COMPANY LIMITED</v>
      </c>
      <c r="G151" s="56">
        <f>VLOOKUP(D151,'2.Bookinglist'!A:E,5,FALSE)</f>
        <v>0</v>
      </c>
      <c r="H151" s="54" t="str">
        <f>VLOOKUP(D151,'2.Bookinglist'!A:CT,15,FALSE)</f>
        <v>THLCH</v>
      </c>
      <c r="I151" s="54" t="str">
        <f>VLOOKUP(D151,'2.Bookinglist'!A:CT,19,FALSE)</f>
        <v>CNSHA</v>
      </c>
      <c r="J151" s="54">
        <f>VLOOKUP(D151,'2.Bookinglist'!A:CT,26,FALSE)</f>
        <v>0</v>
      </c>
      <c r="K151" s="54" t="str">
        <f>VLOOKUP(A151,'1.Loading'!A:R,5,FALSE)</f>
        <v>45GP</v>
      </c>
      <c r="L151" s="56" t="str">
        <f>VLOOKUP(D151,'2.Bookinglist'!A:CT,85,FALSE)</f>
        <v>CY/CY</v>
      </c>
      <c r="M151" s="56" t="str">
        <f>IF(VLOOKUP(D151,'2.Bookinglist'!A:CT,43,FALSE)=0,"","DG")</f>
        <v/>
      </c>
      <c r="N151" s="56" t="str">
        <f>IF(RIGHT(K151,2)="RE","RF","")</f>
        <v/>
      </c>
      <c r="O151" s="54" t="str">
        <f>VLOOKUP(A151,'1.Loading'!A:R,3,FALSE)</f>
        <v>HMVY</v>
      </c>
      <c r="P151" s="54" t="str">
        <f>VLOOKUP(A151,'1.Loading'!A:R,4,FALSE)</f>
        <v>2609N</v>
      </c>
      <c r="Q151" s="54" t="str">
        <f>VLOOKUP(D151,'2.Bookinglist'!A:CT,12,FALSE)</f>
        <v>PCI2</v>
      </c>
      <c r="R151" s="56" t="str">
        <f>IF(LEFT(K151,2)="22","20'","40'")</f>
        <v>40'</v>
      </c>
      <c r="S151" s="38"/>
      <c r="T151" s="54" t="str">
        <f>VLOOKUP(A151,'1.Loading'!A:R,2,FALSE)</f>
        <v>2026-10-28</v>
      </c>
      <c r="U151" s="57">
        <f>T151-S151</f>
        <v>46323</v>
      </c>
      <c r="V151" s="58"/>
      <c r="W151" s="54" t="str">
        <f>VLOOKUP(A151,'3.GateMove'!A:D,4,FALSE)</f>
        <v>2026-10-23</v>
      </c>
      <c r="X151" s="57">
        <f>((T151-W151)+1)</f>
        <v>6</v>
      </c>
      <c r="Y151" s="59">
        <f>IF(AND(OR(C151="BKK01",C151="BKK04"),L151="CFS/CY"),0,IF(M151="DG",1,IF(LEFT(C151,3)="LCH",7,IF(C151="BKK02",5,3))))</f>
        <v>7</v>
      </c>
      <c r="Z151" s="57">
        <f>IF(IF(AND(AC151="TML",AB151&gt;0),((T151-W151)+1)-AB151,((T151-W151)+1)-Y151)&gt;0,IF(AND(AC151="TML",AB151&gt;0),((T151-W151)+1)-AB151,((T151-W151)+1)-Y151),0)</f>
        <v>0</v>
      </c>
      <c r="AA151" s="48">
        <f>IF(AND(B151="G1",M151=""),IF(R151="20'",
VLOOKUP(Z151,Charge!$K$2:$M$5,2,TRUE)+(Z151-VLOOKUP(Z151,Charge!$K$2:$M$5,1,TRUE))*VLOOKUP(Z151,Charge!$K$2:$M$5,3,TRUE),
VLOOKUP(Z151,Charge!$N$2:$P$5,2,TRUE)+(Z151-VLOOKUP(Z151,Charge!$N$2:$P$5,1,TRUE))*VLOOKUP(Z151,Charge!$N$2:$P$5,3,TRUE)),
IF(AND(B151="G1",M151="DG"),IF(R151="20'",
VLOOKUP(Z151,Charge!$R$2:$T$5,2,TRUE)+(Z151-VLOOKUP(Z151,Charge!$R$2:$T$5,1,TRUE))*VLOOKUP(Z151,Charge!$R$2:$T$5,3,TRUE),
VLOOKUP(Z151,Charge!$U$2:$W$5,2,TRUE)+(Z151-VLOOKUP(Z151,Charge!$U$2:$W$5,1,TRUE))*VLOOKUP(Z151,Charge!$U$2:$W$5,3,TRUE)),
IF(AND(B151="G3",M151=""),IF(R151="20'",
VLOOKUP(Z151,Charge!$K$18:$M$21,2,TRUE)+(Z151-VLOOKUP(Z151,Charge!$K$18:$M$21,1,TRUE))*VLOOKUP(Z151,Charge!$K$18:$M$21,3,TRUE),
VLOOKUP(Z151,Charge!$N$18:$P$21,2,TRUE)+(Z151-VLOOKUP(Z151,Charge!$N$18:$P$21,1,TRUE))*VLOOKUP(Z151,Charge!$N$18:$P$21,3,TRUE)),
IF(AND(B151="G3",M151="DG"),IF(R151="20'",
VLOOKUP(Z151,Charge!$R$18:$T$21,2,TRUE)+(Z151-VLOOKUP(Z151,Charge!$R$18:$T$21,1,TRUE))*VLOOKUP(Z151,Charge!$R$18:$T$21,3,TRUE),
VLOOKUP(Z151,Charge!$U$18:$W$21,2,TRUE)+(Z151-VLOOKUP(Z151,Charge!$U$18:$W$21,1,TRUE))*VLOOKUP(Z151,Charge!$U$18:$W$21,3,TRUE)),
IF(AND(B151="G2",M151=""),IF(R151="20'",
VLOOKUP(Z151,Charge!$K$9:$M$12,2,TRUE)+(Z151-VLOOKUP(Z151,Charge!$K$9:$M$12,1,TRUE))*VLOOKUP(Z151,Charge!$K$9:$M$12,3,TRUE),
VLOOKUP(Z151,Charge!$N$9:$P$12,2,TRUE)+(Z151-VLOOKUP(Z151,Charge!$N$9:$P$12,1,TRUE))*VLOOKUP(Z151,Charge!$N$9:$P$12,3,TRUE)),
IF(AND(B151="G2",M151="DG"),IF(R151="20'",
VLOOKUP(Z151,Charge!$R$9:$T$12,2,TRUE)+(Z151-VLOOKUP(Z151,Charge!$R$9:$T$12,1,TRUE))*VLOOKUP(Z151,Charge!$R$9:$T$12,3,TRUE),
VLOOKUP(Z151,Charge!$U$9:$W$12,2,TRUE)+(Z151-VLOOKUP(Z151,Charge!$U$9:$W$12,1,TRUE))*VLOOKUP(Z151,Charge!$U$9:$W$12,3,TRUE)),IF(AND(B151="G4",M151=""),IF(R151="20'",Z151*Charge!$M$25,Z151*Charge!$P$25),IF(AND(B151="G4",M151="DG"),IF(R151="20'",Z151*Charge!$T$25,Z151*Charge!$W$25),0))))))))</f>
        <v>0</v>
      </c>
      <c r="AB151" s="53"/>
      <c r="AC151" s="53"/>
      <c r="AD151" s="56">
        <f>IF(M151="DG",3,IF(N151="RF",3,5))+IF(AND(LEFT(C151,3)="BKK",N151="RF",Q151="KTS"),1,0)+IF(Q151="KHS",1,0)</f>
        <v>5</v>
      </c>
      <c r="AE151" s="57">
        <f>(T151-V151)+1</f>
        <v>46324</v>
      </c>
      <c r="AF151" s="57">
        <f>IF(AB151&gt;IF((V151-W151)&gt;0,V151-W151,0),0,IF(AB151&lt;IF((V151-W151)&gt;0,V151-W151,0),IF((V151-W151)&gt;0,V151-W151,0)-AB151,IF((V151-W151)&gt;0,V151-W151,0)))</f>
        <v>0</v>
      </c>
      <c r="AG151" s="48">
        <f>IF(AND(M151=""),IF(R151="20'",
VLOOKUP(AF151,Charge!$K$31:$M$34,2,TRUE)+(AF151-VLOOKUP(AF151,Charge!$K$31:$M$34,1,TRUE))*VLOOKUP(AF151,Charge!$K$31:$M$34,3,TRUE),
VLOOKUP(AF151,Charge!$N$31:$P$34,2,TRUE)+(AF151-VLOOKUP(AF151,Charge!$N$31:$P$34,1,TRUE))*VLOOKUP(AF151,Charge!$N$31:$P$34,3,TRUE)),
IF(AND(M151="DG"),IF(R151="20'",
VLOOKUP(AF151,Charge!$R$31:$T$34,2,TRUE)+(AF151-VLOOKUP(AF151,Charge!$R$31:$T$34,1,TRUE))*VLOOKUP(AF151,Charge!$R$31:$T$34,3,TRUE),
VLOOKUP(AF151,Charge!$U$31:$W$34,2,TRUE)+(AF151-VLOOKUP(AF151,Charge!$U$31:$W$34,1,TRUE))*VLOOKUP(AF151,Charge!$U$31:$W$34,3,TRUE)),0))</f>
        <v>0</v>
      </c>
      <c r="AH151" s="60"/>
      <c r="AI151" s="60">
        <f>AA151-AH151</f>
        <v>0</v>
      </c>
      <c r="AJ151" s="61"/>
      <c r="AK151" s="55" t="str">
        <f>VLOOKUP(D151,'2.Bookinglist'!A:CT,40,FALSE)</f>
        <v>Dharaporn</v>
      </c>
      <c r="AL151" s="56" t="str">
        <f>VLOOKUP(D151,'2.Bookinglist'!A:CW,101,FALSE)</f>
        <v>2026-10-28</v>
      </c>
      <c r="AM151" s="56" t="str">
        <f>VLOOKUP(D151,'2.Bookinglist'!A:BK,63,FALSE)</f>
        <v>LCHY5</v>
      </c>
      <c r="AN151" s="55" t="str">
        <f>VLOOKUP(D151,'2.Bookinglist'!A:AZ,52,FALSE)</f>
        <v>CY-RTN: 20-23/10/2026  (1ST RETURN 22/10/26)</v>
      </c>
      <c r="AO151" s="55" t="str">
        <f>VLOOKUP(D151,'2.Bookinglist'!A:CY,103,FALSE)</f>
        <v>ROLL OVER FORM PREIVOUS VSL HAB 2612N BY ALLOCATION TEAM MS.TAN APPROVED COST IS UNDER HA DD.26/10</v>
      </c>
    </row>
    <row r="152" ht="12.95" customHeight="1" spans="1:41" x14ac:dyDescent="0.25">
      <c r="A152" s="3" t="s">
        <v>251</v>
      </c>
      <c r="B152" s="53" t="str">
        <f>IF(C152=Charge!$M$1,Charge!$J$1,IF(C152=Charge!$M$23,Charge!$J$23,IF(C152=Charge!$M$17,Charge!$J$17,IF(C152=Charge!$N$17,Charge!$J$17,Charge!$J$7))))</f>
        <v>G2</v>
      </c>
      <c r="C152" s="54" t="str">
        <f>VLOOKUP(A152,'1.Loading'!A:R,14,FALSE)</f>
        <v>LCH06</v>
      </c>
      <c r="D152" s="54" t="str">
        <f>VLOOKUP(A152,'1.Loading'!A:R,17,FALSE)</f>
        <v>HASLS22260900723</v>
      </c>
      <c r="E152" s="55" t="str">
        <f>VLOOKUP(D152,'2.Bookinglist'!A:CT,27,FALSE)</f>
        <v>SCGJWD LOGISTICS PUBLIC COMPANY LIMITED</v>
      </c>
      <c r="F152" s="55" t="str">
        <f>VLOOKUP(D152,'2.Bookinglist'!A:CT,28,FALSE)</f>
        <v>THAI POLYETHYLENE CO., LTD.</v>
      </c>
      <c r="G152" s="56">
        <f>VLOOKUP(D152,'2.Bookinglist'!A:E,5,FALSE)</f>
        <v>0</v>
      </c>
      <c r="H152" s="54" t="str">
        <f>VLOOKUP(D152,'2.Bookinglist'!A:CT,15,FALSE)</f>
        <v>THLCH</v>
      </c>
      <c r="I152" s="54" t="str">
        <f>VLOOKUP(D152,'2.Bookinglist'!A:CT,19,FALSE)</f>
        <v>CNSHA</v>
      </c>
      <c r="J152" s="54">
        <f>VLOOKUP(D152,'2.Bookinglist'!A:CT,26,FALSE)</f>
        <v>0</v>
      </c>
      <c r="K152" s="54" t="str">
        <f>VLOOKUP(A152,'1.Loading'!A:R,5,FALSE)</f>
        <v>45GP</v>
      </c>
      <c r="L152" s="56" t="str">
        <f>VLOOKUP(D152,'2.Bookinglist'!A:CT,85,FALSE)</f>
        <v>CY/CY</v>
      </c>
      <c r="M152" s="56" t="str">
        <f>IF(VLOOKUP(D152,'2.Bookinglist'!A:CT,43,FALSE)=0,"","DG")</f>
        <v/>
      </c>
      <c r="N152" s="56" t="str">
        <f>IF(RIGHT(K152,2)="RE","RF","")</f>
        <v/>
      </c>
      <c r="O152" s="54" t="str">
        <f>VLOOKUP(A152,'1.Loading'!A:R,3,FALSE)</f>
        <v>HMVY</v>
      </c>
      <c r="P152" s="54" t="str">
        <f>VLOOKUP(A152,'1.Loading'!A:R,4,FALSE)</f>
        <v>2609N</v>
      </c>
      <c r="Q152" s="54" t="str">
        <f>VLOOKUP(D152,'2.Bookinglist'!A:CT,12,FALSE)</f>
        <v>PCI2</v>
      </c>
      <c r="R152" s="56" t="str">
        <f>IF(LEFT(K152,2)="22","20'","40'")</f>
        <v>40'</v>
      </c>
      <c r="S152" s="38"/>
      <c r="T152" s="54" t="str">
        <f>VLOOKUP(A152,'1.Loading'!A:R,2,FALSE)</f>
        <v>2026-10-28</v>
      </c>
      <c r="U152" s="57">
        <f>T152-S152</f>
        <v>46323</v>
      </c>
      <c r="V152" s="58"/>
      <c r="W152" s="54" t="str">
        <f>VLOOKUP(A152,'3.GateMove'!A:D,4,FALSE)</f>
        <v>2026-10-22</v>
      </c>
      <c r="X152" s="57">
        <f>((T152-W152)+1)</f>
        <v>7</v>
      </c>
      <c r="Y152" s="59">
        <f>IF(AND(OR(C152="BKK01",C152="BKK04"),L152="CFS/CY"),0,IF(M152="DG",1,IF(LEFT(C152,3)="LCH",7,IF(C152="BKK02",5,3))))</f>
        <v>7</v>
      </c>
      <c r="Z152" s="57">
        <f>IF(IF(AND(AC152="TML",AB152&gt;0),((T152-W152)+1)-AB152,((T152-W152)+1)-Y152)&gt;0,IF(AND(AC152="TML",AB152&gt;0),((T152-W152)+1)-AB152,((T152-W152)+1)-Y152),0)</f>
        <v>0</v>
      </c>
      <c r="AA152" s="48">
        <f>IF(AND(B152="G1",M152=""),IF(R152="20'",
VLOOKUP(Z152,Charge!$K$2:$M$5,2,TRUE)+(Z152-VLOOKUP(Z152,Charge!$K$2:$M$5,1,TRUE))*VLOOKUP(Z152,Charge!$K$2:$M$5,3,TRUE),
VLOOKUP(Z152,Charge!$N$2:$P$5,2,TRUE)+(Z152-VLOOKUP(Z152,Charge!$N$2:$P$5,1,TRUE))*VLOOKUP(Z152,Charge!$N$2:$P$5,3,TRUE)),
IF(AND(B152="G1",M152="DG"),IF(R152="20'",
VLOOKUP(Z152,Charge!$R$2:$T$5,2,TRUE)+(Z152-VLOOKUP(Z152,Charge!$R$2:$T$5,1,TRUE))*VLOOKUP(Z152,Charge!$R$2:$T$5,3,TRUE),
VLOOKUP(Z152,Charge!$U$2:$W$5,2,TRUE)+(Z152-VLOOKUP(Z152,Charge!$U$2:$W$5,1,TRUE))*VLOOKUP(Z152,Charge!$U$2:$W$5,3,TRUE)),
IF(AND(B152="G3",M152=""),IF(R152="20'",
VLOOKUP(Z152,Charge!$K$18:$M$21,2,TRUE)+(Z152-VLOOKUP(Z152,Charge!$K$18:$M$21,1,TRUE))*VLOOKUP(Z152,Charge!$K$18:$M$21,3,TRUE),
VLOOKUP(Z152,Charge!$N$18:$P$21,2,TRUE)+(Z152-VLOOKUP(Z152,Charge!$N$18:$P$21,1,TRUE))*VLOOKUP(Z152,Charge!$N$18:$P$21,3,TRUE)),
IF(AND(B152="G3",M152="DG"),IF(R152="20'",
VLOOKUP(Z152,Charge!$R$18:$T$21,2,TRUE)+(Z152-VLOOKUP(Z152,Charge!$R$18:$T$21,1,TRUE))*VLOOKUP(Z152,Charge!$R$18:$T$21,3,TRUE),
VLOOKUP(Z152,Charge!$U$18:$W$21,2,TRUE)+(Z152-VLOOKUP(Z152,Charge!$U$18:$W$21,1,TRUE))*VLOOKUP(Z152,Charge!$U$18:$W$21,3,TRUE)),
IF(AND(B152="G2",M152=""),IF(R152="20'",
VLOOKUP(Z152,Charge!$K$9:$M$12,2,TRUE)+(Z152-VLOOKUP(Z152,Charge!$K$9:$M$12,1,TRUE))*VLOOKUP(Z152,Charge!$K$9:$M$12,3,TRUE),
VLOOKUP(Z152,Charge!$N$9:$P$12,2,TRUE)+(Z152-VLOOKUP(Z152,Charge!$N$9:$P$12,1,TRUE))*VLOOKUP(Z152,Charge!$N$9:$P$12,3,TRUE)),
IF(AND(B152="G2",M152="DG"),IF(R152="20'",
VLOOKUP(Z152,Charge!$R$9:$T$12,2,TRUE)+(Z152-VLOOKUP(Z152,Charge!$R$9:$T$12,1,TRUE))*VLOOKUP(Z152,Charge!$R$9:$T$12,3,TRUE),
VLOOKUP(Z152,Charge!$U$9:$W$12,2,TRUE)+(Z152-VLOOKUP(Z152,Charge!$U$9:$W$12,1,TRUE))*VLOOKUP(Z152,Charge!$U$9:$W$12,3,TRUE)),IF(AND(B152="G4",M152=""),IF(R152="20'",Z152*Charge!$M$25,Z152*Charge!$P$25),IF(AND(B152="G4",M152="DG"),IF(R152="20'",Z152*Charge!$T$25,Z152*Charge!$W$25),0))))))))</f>
        <v>0</v>
      </c>
      <c r="AB152" s="53"/>
      <c r="AC152" s="53"/>
      <c r="AD152" s="56">
        <f>IF(M152="DG",3,IF(N152="RF",3,5))+IF(AND(LEFT(C152,3)="BKK",N152="RF",Q152="KTS"),1,0)+IF(Q152="KHS",1,0)</f>
        <v>5</v>
      </c>
      <c r="AE152" s="57">
        <f>(T152-V152)+1</f>
        <v>46324</v>
      </c>
      <c r="AF152" s="57">
        <f>IF(AB152&gt;IF((V152-W152)&gt;0,V152-W152,0),0,IF(AB152&lt;IF((V152-W152)&gt;0,V152-W152,0),IF((V152-W152)&gt;0,V152-W152,0)-AB152,IF((V152-W152)&gt;0,V152-W152,0)))</f>
        <v>0</v>
      </c>
      <c r="AG152" s="48">
        <f>IF(AND(M152=""),IF(R152="20'",
VLOOKUP(AF152,Charge!$K$31:$M$34,2,TRUE)+(AF152-VLOOKUP(AF152,Charge!$K$31:$M$34,1,TRUE))*VLOOKUP(AF152,Charge!$K$31:$M$34,3,TRUE),
VLOOKUP(AF152,Charge!$N$31:$P$34,2,TRUE)+(AF152-VLOOKUP(AF152,Charge!$N$31:$P$34,1,TRUE))*VLOOKUP(AF152,Charge!$N$31:$P$34,3,TRUE)),
IF(AND(M152="DG"),IF(R152="20'",
VLOOKUP(AF152,Charge!$R$31:$T$34,2,TRUE)+(AF152-VLOOKUP(AF152,Charge!$R$31:$T$34,1,TRUE))*VLOOKUP(AF152,Charge!$R$31:$T$34,3,TRUE),
VLOOKUP(AF152,Charge!$U$31:$W$34,2,TRUE)+(AF152-VLOOKUP(AF152,Charge!$U$31:$W$34,1,TRUE))*VLOOKUP(AF152,Charge!$U$31:$W$34,3,TRUE)),0))</f>
        <v>0</v>
      </c>
      <c r="AH152" s="60"/>
      <c r="AI152" s="60">
        <f>AA152-AH152</f>
        <v>0</v>
      </c>
      <c r="AJ152" s="61"/>
      <c r="AK152" s="55" t="str">
        <f>VLOOKUP(D152,'2.Bookinglist'!A:CT,40,FALSE)</f>
        <v>Kanokporn</v>
      </c>
      <c r="AL152" s="56" t="str">
        <f>VLOOKUP(D152,'2.Bookinglist'!A:CW,101,FALSE)</f>
        <v>2026-10-28</v>
      </c>
      <c r="AM152" s="56" t="str">
        <f>VLOOKUP(D152,'2.Bookinglist'!A:BK,63,FALSE)</f>
        <v>LCHY5</v>
      </c>
      <c r="AN152" s="55" t="str">
        <f>VLOOKUP(D152,'2.Bookinglist'!A:AZ,52,FALSE)</f>
        <v>CY-RTN: 16-20/10/2026 
(INV.3031062765) 
REQ GOOD AND CLEAN CONT., NO OIL, NO RUSTY</v>
      </c>
      <c r="AO152" s="55" t="str">
        <f>VLOOKUP(D152,'2.Bookinglist'!A:CY,103,FALSE)</f>
        <v>ROLL OVER FROM PREVIOUS VSL HAB 2612N BY ALLOCATION TEAM MS.TAN APPROVED COST IS UNDER HA DD.26/10</v>
      </c>
    </row>
    <row r="153" ht="12.95" customHeight="1" spans="1:41" x14ac:dyDescent="0.25">
      <c r="A153" s="3" t="s">
        <v>260</v>
      </c>
      <c r="B153" s="53" t="str">
        <f>IF(C153=Charge!$M$1,Charge!$J$1,IF(C153=Charge!$M$23,Charge!$J$23,IF(C153=Charge!$M$17,Charge!$J$17,IF(C153=Charge!$N$17,Charge!$J$17,Charge!$J$7))))</f>
        <v>G2</v>
      </c>
      <c r="C153" s="54" t="str">
        <f>VLOOKUP(A153,'1.Loading'!A:R,14,FALSE)</f>
        <v>LCH06</v>
      </c>
      <c r="D153" s="54" t="str">
        <f>VLOOKUP(A153,'1.Loading'!A:R,17,FALSE)</f>
        <v>HASLS22260901311</v>
      </c>
      <c r="E153" s="55" t="str">
        <f>VLOOKUP(D153,'2.Bookinglist'!A:CT,27,FALSE)</f>
        <v>WHA GC LOGISTICS COMPANY LIMITED</v>
      </c>
      <c r="F153" s="55" t="str">
        <f>VLOOKUP(D153,'2.Bookinglist'!A:CT,28,FALSE)</f>
        <v>PTT GLOBAL CHEMICAL PUBLIC COMPANY LIMITED</v>
      </c>
      <c r="G153" s="56">
        <f>VLOOKUP(D153,'2.Bookinglist'!A:E,5,FALSE)</f>
        <v>0</v>
      </c>
      <c r="H153" s="54" t="str">
        <f>VLOOKUP(D153,'2.Bookinglist'!A:CT,15,FALSE)</f>
        <v>THLCH</v>
      </c>
      <c r="I153" s="54" t="str">
        <f>VLOOKUP(D153,'2.Bookinglist'!A:CT,19,FALSE)</f>
        <v>CNSHA</v>
      </c>
      <c r="J153" s="54">
        <f>VLOOKUP(D153,'2.Bookinglist'!A:CT,26,FALSE)</f>
        <v>0</v>
      </c>
      <c r="K153" s="54" t="str">
        <f>VLOOKUP(A153,'1.Loading'!A:R,5,FALSE)</f>
        <v>45GP</v>
      </c>
      <c r="L153" s="56" t="str">
        <f>VLOOKUP(D153,'2.Bookinglist'!A:CT,85,FALSE)</f>
        <v>CY/CY</v>
      </c>
      <c r="M153" s="56" t="str">
        <f>IF(VLOOKUP(D153,'2.Bookinglist'!A:CT,43,FALSE)=0,"","DG")</f>
        <v/>
      </c>
      <c r="N153" s="56" t="str">
        <f>IF(RIGHT(K153,2)="RE","RF","")</f>
        <v/>
      </c>
      <c r="O153" s="54" t="str">
        <f>VLOOKUP(A153,'1.Loading'!A:R,3,FALSE)</f>
        <v>HMVY</v>
      </c>
      <c r="P153" s="54" t="str">
        <f>VLOOKUP(A153,'1.Loading'!A:R,4,FALSE)</f>
        <v>2609N</v>
      </c>
      <c r="Q153" s="54" t="str">
        <f>VLOOKUP(D153,'2.Bookinglist'!A:CT,12,FALSE)</f>
        <v>PCI2</v>
      </c>
      <c r="R153" s="56" t="str">
        <f>IF(LEFT(K153,2)="22","20'","40'")</f>
        <v>40'</v>
      </c>
      <c r="S153" s="38"/>
      <c r="T153" s="54" t="str">
        <f>VLOOKUP(A153,'1.Loading'!A:R,2,FALSE)</f>
        <v>2026-10-28</v>
      </c>
      <c r="U153" s="57">
        <f>T153-S153</f>
        <v>46323</v>
      </c>
      <c r="V153" s="58"/>
      <c r="W153" s="54" t="str">
        <f>VLOOKUP(A153,'3.GateMove'!A:D,4,FALSE)</f>
        <v>2026-10-25</v>
      </c>
      <c r="X153" s="57">
        <f>((T153-W153)+1)</f>
        <v>4</v>
      </c>
      <c r="Y153" s="59">
        <f>IF(AND(OR(C153="BKK01",C153="BKK04"),L153="CFS/CY"),0,IF(M153="DG",1,IF(LEFT(C153,3)="LCH",7,IF(C153="BKK02",5,3))))</f>
        <v>7</v>
      </c>
      <c r="Z153" s="57">
        <f>IF(IF(AND(AC153="TML",AB153&gt;0),((T153-W153)+1)-AB153,((T153-W153)+1)-Y153)&gt;0,IF(AND(AC153="TML",AB153&gt;0),((T153-W153)+1)-AB153,((T153-W153)+1)-Y153),0)</f>
        <v>0</v>
      </c>
      <c r="AA153" s="48">
        <f>IF(AND(B153="G1",M153=""),IF(R153="20'",
VLOOKUP(Z153,Charge!$K$2:$M$5,2,TRUE)+(Z153-VLOOKUP(Z153,Charge!$K$2:$M$5,1,TRUE))*VLOOKUP(Z153,Charge!$K$2:$M$5,3,TRUE),
VLOOKUP(Z153,Charge!$N$2:$P$5,2,TRUE)+(Z153-VLOOKUP(Z153,Charge!$N$2:$P$5,1,TRUE))*VLOOKUP(Z153,Charge!$N$2:$P$5,3,TRUE)),
IF(AND(B153="G1",M153="DG"),IF(R153="20'",
VLOOKUP(Z153,Charge!$R$2:$T$5,2,TRUE)+(Z153-VLOOKUP(Z153,Charge!$R$2:$T$5,1,TRUE))*VLOOKUP(Z153,Charge!$R$2:$T$5,3,TRUE),
VLOOKUP(Z153,Charge!$U$2:$W$5,2,TRUE)+(Z153-VLOOKUP(Z153,Charge!$U$2:$W$5,1,TRUE))*VLOOKUP(Z153,Charge!$U$2:$W$5,3,TRUE)),
IF(AND(B153="G3",M153=""),IF(R153="20'",
VLOOKUP(Z153,Charge!$K$18:$M$21,2,TRUE)+(Z153-VLOOKUP(Z153,Charge!$K$18:$M$21,1,TRUE))*VLOOKUP(Z153,Charge!$K$18:$M$21,3,TRUE),
VLOOKUP(Z153,Charge!$N$18:$P$21,2,TRUE)+(Z153-VLOOKUP(Z153,Charge!$N$18:$P$21,1,TRUE))*VLOOKUP(Z153,Charge!$N$18:$P$21,3,TRUE)),
IF(AND(B153="G3",M153="DG"),IF(R153="20'",
VLOOKUP(Z153,Charge!$R$18:$T$21,2,TRUE)+(Z153-VLOOKUP(Z153,Charge!$R$18:$T$21,1,TRUE))*VLOOKUP(Z153,Charge!$R$18:$T$21,3,TRUE),
VLOOKUP(Z153,Charge!$U$18:$W$21,2,TRUE)+(Z153-VLOOKUP(Z153,Charge!$U$18:$W$21,1,TRUE))*VLOOKUP(Z153,Charge!$U$18:$W$21,3,TRUE)),
IF(AND(B153="G2",M153=""),IF(R153="20'",
VLOOKUP(Z153,Charge!$K$9:$M$12,2,TRUE)+(Z153-VLOOKUP(Z153,Charge!$K$9:$M$12,1,TRUE))*VLOOKUP(Z153,Charge!$K$9:$M$12,3,TRUE),
VLOOKUP(Z153,Charge!$N$9:$P$12,2,TRUE)+(Z153-VLOOKUP(Z153,Charge!$N$9:$P$12,1,TRUE))*VLOOKUP(Z153,Charge!$N$9:$P$12,3,TRUE)),
IF(AND(B153="G2",M153="DG"),IF(R153="20'",
VLOOKUP(Z153,Charge!$R$9:$T$12,2,TRUE)+(Z153-VLOOKUP(Z153,Charge!$R$9:$T$12,1,TRUE))*VLOOKUP(Z153,Charge!$R$9:$T$12,3,TRUE),
VLOOKUP(Z153,Charge!$U$9:$W$12,2,TRUE)+(Z153-VLOOKUP(Z153,Charge!$U$9:$W$12,1,TRUE))*VLOOKUP(Z153,Charge!$U$9:$W$12,3,TRUE)),IF(AND(B153="G4",M153=""),IF(R153="20'",Z153*Charge!$M$25,Z153*Charge!$P$25),IF(AND(B153="G4",M153="DG"),IF(R153="20'",Z153*Charge!$T$25,Z153*Charge!$W$25),0))))))))</f>
        <v>0</v>
      </c>
      <c r="AB153" s="53"/>
      <c r="AC153" s="53"/>
      <c r="AD153" s="56">
        <f>IF(M153="DG",3,IF(N153="RF",3,5))+IF(AND(LEFT(C153,3)="BKK",N153="RF",Q153="KTS"),1,0)+IF(Q153="KHS",1,0)</f>
        <v>5</v>
      </c>
      <c r="AE153" s="57">
        <f>(T153-V153)+1</f>
        <v>46324</v>
      </c>
      <c r="AF153" s="57">
        <f>IF(AB153&gt;IF((V153-W153)&gt;0,V153-W153,0),0,IF(AB153&lt;IF((V153-W153)&gt;0,V153-W153,0),IF((V153-W153)&gt;0,V153-W153,0)-AB153,IF((V153-W153)&gt;0,V153-W153,0)))</f>
        <v>0</v>
      </c>
      <c r="AG153" s="48">
        <f>IF(AND(M153=""),IF(R153="20'",
VLOOKUP(AF153,Charge!$K$31:$M$34,2,TRUE)+(AF153-VLOOKUP(AF153,Charge!$K$31:$M$34,1,TRUE))*VLOOKUP(AF153,Charge!$K$31:$M$34,3,TRUE),
VLOOKUP(AF153,Charge!$N$31:$P$34,2,TRUE)+(AF153-VLOOKUP(AF153,Charge!$N$31:$P$34,1,TRUE))*VLOOKUP(AF153,Charge!$N$31:$P$34,3,TRUE)),
IF(AND(M153="DG"),IF(R153="20'",
VLOOKUP(AF153,Charge!$R$31:$T$34,2,TRUE)+(AF153-VLOOKUP(AF153,Charge!$R$31:$T$34,1,TRUE))*VLOOKUP(AF153,Charge!$R$31:$T$34,3,TRUE),
VLOOKUP(AF153,Charge!$U$31:$W$34,2,TRUE)+(AF153-VLOOKUP(AF153,Charge!$U$31:$W$34,1,TRUE))*VLOOKUP(AF153,Charge!$U$31:$W$34,3,TRUE)),0))</f>
        <v>0</v>
      </c>
      <c r="AH153" s="60"/>
      <c r="AI153" s="60">
        <f>AA153-AH153</f>
        <v>0</v>
      </c>
      <c r="AJ153" s="61"/>
      <c r="AK153" s="55" t="str">
        <f>VLOOKUP(D153,'2.Bookinglist'!A:CT,40,FALSE)</f>
        <v>Dharaporn</v>
      </c>
      <c r="AL153" s="56" t="str">
        <f>VLOOKUP(D153,'2.Bookinglist'!A:CW,101,FALSE)</f>
        <v>2026-10-28</v>
      </c>
      <c r="AM153" s="56" t="str">
        <f>VLOOKUP(D153,'2.Bookinglist'!A:BK,63,FALSE)</f>
        <v>LCHY5</v>
      </c>
      <c r="AN153" s="55" t="str">
        <f>VLOOKUP(D153,'2.Bookinglist'!A:AZ,52,FALSE)</f>
        <v>CY-RTN: 20-23/10/2026  (1ST RETURN 22/10/26)</v>
      </c>
      <c r="AO153" s="55" t="str">
        <f>VLOOKUP(D153,'2.Bookinglist'!A:CY,103,FALSE)</f>
        <v>ROLL OVER FORM PREIVOUS VSL HAB 2612N BY ALLOCATION TEAM MS.TAN APPROVED COST IS UNDER HA DD.26/10</v>
      </c>
    </row>
    <row r="154" ht="12.95" customHeight="1" spans="1:41" x14ac:dyDescent="0.25">
      <c r="A154" s="3" t="s">
        <v>261</v>
      </c>
      <c r="B154" s="53" t="str">
        <f>IF(C154=Charge!$M$1,Charge!$J$1,IF(C154=Charge!$M$23,Charge!$J$23,IF(C154=Charge!$M$17,Charge!$J$17,IF(C154=Charge!$N$17,Charge!$J$17,Charge!$J$7))))</f>
        <v>G2</v>
      </c>
      <c r="C154" s="54" t="str">
        <f>VLOOKUP(A154,'1.Loading'!A:R,14,FALSE)</f>
        <v>LCH06</v>
      </c>
      <c r="D154" s="54" t="str">
        <f>VLOOKUP(A154,'1.Loading'!A:R,17,FALSE)</f>
        <v>HASLS22260901311</v>
      </c>
      <c r="E154" s="55" t="str">
        <f>VLOOKUP(D154,'2.Bookinglist'!A:CT,27,FALSE)</f>
        <v>WHA GC LOGISTICS COMPANY LIMITED</v>
      </c>
      <c r="F154" s="55" t="str">
        <f>VLOOKUP(D154,'2.Bookinglist'!A:CT,28,FALSE)</f>
        <v>PTT GLOBAL CHEMICAL PUBLIC COMPANY LIMITED</v>
      </c>
      <c r="G154" s="56">
        <f>VLOOKUP(D154,'2.Bookinglist'!A:E,5,FALSE)</f>
        <v>0</v>
      </c>
      <c r="H154" s="54" t="str">
        <f>VLOOKUP(D154,'2.Bookinglist'!A:CT,15,FALSE)</f>
        <v>THLCH</v>
      </c>
      <c r="I154" s="54" t="str">
        <f>VLOOKUP(D154,'2.Bookinglist'!A:CT,19,FALSE)</f>
        <v>CNSHA</v>
      </c>
      <c r="J154" s="54">
        <f>VLOOKUP(D154,'2.Bookinglist'!A:CT,26,FALSE)</f>
        <v>0</v>
      </c>
      <c r="K154" s="54" t="str">
        <f>VLOOKUP(A154,'1.Loading'!A:R,5,FALSE)</f>
        <v>45GP</v>
      </c>
      <c r="L154" s="56" t="str">
        <f>VLOOKUP(D154,'2.Bookinglist'!A:CT,85,FALSE)</f>
        <v>CY/CY</v>
      </c>
      <c r="M154" s="56" t="str">
        <f>IF(VLOOKUP(D154,'2.Bookinglist'!A:CT,43,FALSE)=0,"","DG")</f>
        <v/>
      </c>
      <c r="N154" s="56" t="str">
        <f>IF(RIGHT(K154,2)="RE","RF","")</f>
        <v/>
      </c>
      <c r="O154" s="54" t="str">
        <f>VLOOKUP(A154,'1.Loading'!A:R,3,FALSE)</f>
        <v>HMVY</v>
      </c>
      <c r="P154" s="54" t="str">
        <f>VLOOKUP(A154,'1.Loading'!A:R,4,FALSE)</f>
        <v>2609N</v>
      </c>
      <c r="Q154" s="54" t="str">
        <f>VLOOKUP(D154,'2.Bookinglist'!A:CT,12,FALSE)</f>
        <v>PCI2</v>
      </c>
      <c r="R154" s="56" t="str">
        <f>IF(LEFT(K154,2)="22","20'","40'")</f>
        <v>40'</v>
      </c>
      <c r="S154" s="38"/>
      <c r="T154" s="54" t="str">
        <f>VLOOKUP(A154,'1.Loading'!A:R,2,FALSE)</f>
        <v>2026-10-28</v>
      </c>
      <c r="U154" s="57">
        <f>T154-S154</f>
        <v>46323</v>
      </c>
      <c r="V154" s="58"/>
      <c r="W154" s="54" t="str">
        <f>VLOOKUP(A154,'3.GateMove'!A:D,4,FALSE)</f>
        <v>2026-10-25</v>
      </c>
      <c r="X154" s="57">
        <f>((T154-W154)+1)</f>
        <v>4</v>
      </c>
      <c r="Y154" s="59">
        <f>IF(AND(OR(C154="BKK01",C154="BKK04"),L154="CFS/CY"),0,IF(M154="DG",1,IF(LEFT(C154,3)="LCH",7,IF(C154="BKK02",5,3))))</f>
        <v>7</v>
      </c>
      <c r="Z154" s="57">
        <f>IF(IF(AND(AC154="TML",AB154&gt;0),((T154-W154)+1)-AB154,((T154-W154)+1)-Y154)&gt;0,IF(AND(AC154="TML",AB154&gt;0),((T154-W154)+1)-AB154,((T154-W154)+1)-Y154),0)</f>
        <v>0</v>
      </c>
      <c r="AA154" s="48">
        <f>IF(AND(B154="G1",M154=""),IF(R154="20'",
VLOOKUP(Z154,Charge!$K$2:$M$5,2,TRUE)+(Z154-VLOOKUP(Z154,Charge!$K$2:$M$5,1,TRUE))*VLOOKUP(Z154,Charge!$K$2:$M$5,3,TRUE),
VLOOKUP(Z154,Charge!$N$2:$P$5,2,TRUE)+(Z154-VLOOKUP(Z154,Charge!$N$2:$P$5,1,TRUE))*VLOOKUP(Z154,Charge!$N$2:$P$5,3,TRUE)),
IF(AND(B154="G1",M154="DG"),IF(R154="20'",
VLOOKUP(Z154,Charge!$R$2:$T$5,2,TRUE)+(Z154-VLOOKUP(Z154,Charge!$R$2:$T$5,1,TRUE))*VLOOKUP(Z154,Charge!$R$2:$T$5,3,TRUE),
VLOOKUP(Z154,Charge!$U$2:$W$5,2,TRUE)+(Z154-VLOOKUP(Z154,Charge!$U$2:$W$5,1,TRUE))*VLOOKUP(Z154,Charge!$U$2:$W$5,3,TRUE)),
IF(AND(B154="G3",M154=""),IF(R154="20'",
VLOOKUP(Z154,Charge!$K$18:$M$21,2,TRUE)+(Z154-VLOOKUP(Z154,Charge!$K$18:$M$21,1,TRUE))*VLOOKUP(Z154,Charge!$K$18:$M$21,3,TRUE),
VLOOKUP(Z154,Charge!$N$18:$P$21,2,TRUE)+(Z154-VLOOKUP(Z154,Charge!$N$18:$P$21,1,TRUE))*VLOOKUP(Z154,Charge!$N$18:$P$21,3,TRUE)),
IF(AND(B154="G3",M154="DG"),IF(R154="20'",
VLOOKUP(Z154,Charge!$R$18:$T$21,2,TRUE)+(Z154-VLOOKUP(Z154,Charge!$R$18:$T$21,1,TRUE))*VLOOKUP(Z154,Charge!$R$18:$T$21,3,TRUE),
VLOOKUP(Z154,Charge!$U$18:$W$21,2,TRUE)+(Z154-VLOOKUP(Z154,Charge!$U$18:$W$21,1,TRUE))*VLOOKUP(Z154,Charge!$U$18:$W$21,3,TRUE)),
IF(AND(B154="G2",M154=""),IF(R154="20'",
VLOOKUP(Z154,Charge!$K$9:$M$12,2,TRUE)+(Z154-VLOOKUP(Z154,Charge!$K$9:$M$12,1,TRUE))*VLOOKUP(Z154,Charge!$K$9:$M$12,3,TRUE),
VLOOKUP(Z154,Charge!$N$9:$P$12,2,TRUE)+(Z154-VLOOKUP(Z154,Charge!$N$9:$P$12,1,TRUE))*VLOOKUP(Z154,Charge!$N$9:$P$12,3,TRUE)),
IF(AND(B154="G2",M154="DG"),IF(R154="20'",
VLOOKUP(Z154,Charge!$R$9:$T$12,2,TRUE)+(Z154-VLOOKUP(Z154,Charge!$R$9:$T$12,1,TRUE))*VLOOKUP(Z154,Charge!$R$9:$T$12,3,TRUE),
VLOOKUP(Z154,Charge!$U$9:$W$12,2,TRUE)+(Z154-VLOOKUP(Z154,Charge!$U$9:$W$12,1,TRUE))*VLOOKUP(Z154,Charge!$U$9:$W$12,3,TRUE)),IF(AND(B154="G4",M154=""),IF(R154="20'",Z154*Charge!$M$25,Z154*Charge!$P$25),IF(AND(B154="G4",M154="DG"),IF(R154="20'",Z154*Charge!$T$25,Z154*Charge!$W$25),0))))))))</f>
        <v>0</v>
      </c>
      <c r="AB154" s="53"/>
      <c r="AC154" s="53"/>
      <c r="AD154" s="56">
        <f>IF(M154="DG",3,IF(N154="RF",3,5))+IF(AND(LEFT(C154,3)="BKK",N154="RF",Q154="KTS"),1,0)+IF(Q154="KHS",1,0)</f>
        <v>5</v>
      </c>
      <c r="AE154" s="57">
        <f>(T154-V154)+1</f>
        <v>46324</v>
      </c>
      <c r="AF154" s="57">
        <f>IF(AB154&gt;IF((V154-W154)&gt;0,V154-W154,0),0,IF(AB154&lt;IF((V154-W154)&gt;0,V154-W154,0),IF((V154-W154)&gt;0,V154-W154,0)-AB154,IF((V154-W154)&gt;0,V154-W154,0)))</f>
        <v>0</v>
      </c>
      <c r="AG154" s="48">
        <f>IF(AND(M154=""),IF(R154="20'",
VLOOKUP(AF154,Charge!$K$31:$M$34,2,TRUE)+(AF154-VLOOKUP(AF154,Charge!$K$31:$M$34,1,TRUE))*VLOOKUP(AF154,Charge!$K$31:$M$34,3,TRUE),
VLOOKUP(AF154,Charge!$N$31:$P$34,2,TRUE)+(AF154-VLOOKUP(AF154,Charge!$N$31:$P$34,1,TRUE))*VLOOKUP(AF154,Charge!$N$31:$P$34,3,TRUE)),
IF(AND(M154="DG"),IF(R154="20'",
VLOOKUP(AF154,Charge!$R$31:$T$34,2,TRUE)+(AF154-VLOOKUP(AF154,Charge!$R$31:$T$34,1,TRUE))*VLOOKUP(AF154,Charge!$R$31:$T$34,3,TRUE),
VLOOKUP(AF154,Charge!$U$31:$W$34,2,TRUE)+(AF154-VLOOKUP(AF154,Charge!$U$31:$W$34,1,TRUE))*VLOOKUP(AF154,Charge!$U$31:$W$34,3,TRUE)),0))</f>
        <v>0</v>
      </c>
      <c r="AH154" s="60"/>
      <c r="AI154" s="60">
        <f>AA154-AH154</f>
        <v>0</v>
      </c>
      <c r="AJ154" s="61"/>
      <c r="AK154" s="55" t="str">
        <f>VLOOKUP(D154,'2.Bookinglist'!A:CT,40,FALSE)</f>
        <v>Dharaporn</v>
      </c>
      <c r="AL154" s="56" t="str">
        <f>VLOOKUP(D154,'2.Bookinglist'!A:CW,101,FALSE)</f>
        <v>2026-10-28</v>
      </c>
      <c r="AM154" s="56" t="str">
        <f>VLOOKUP(D154,'2.Bookinglist'!A:BK,63,FALSE)</f>
        <v>LCHY5</v>
      </c>
      <c r="AN154" s="55" t="str">
        <f>VLOOKUP(D154,'2.Bookinglist'!A:AZ,52,FALSE)</f>
        <v>CY-RTN: 20-23/10/2026  (1ST RETURN 22/10/26)</v>
      </c>
      <c r="AO154" s="55" t="str">
        <f>VLOOKUP(D154,'2.Bookinglist'!A:CY,103,FALSE)</f>
        <v>ROLL OVER FORM PREIVOUS VSL HAB 2612N BY ALLOCATION TEAM MS.TAN APPROVED COST IS UNDER HA DD.26/10</v>
      </c>
    </row>
    <row r="155" ht="12.95" customHeight="1" spans="1:41" x14ac:dyDescent="0.25">
      <c r="A155" s="3" t="s">
        <v>160</v>
      </c>
      <c r="B155" s="53" t="str">
        <f>IF(C155=Charge!$M$1,Charge!$J$1,IF(C155=Charge!$M$23,Charge!$J$23,IF(C155=Charge!$M$17,Charge!$J$17,IF(C155=Charge!$N$17,Charge!$J$17,Charge!$J$7))))</f>
        <v>G2</v>
      </c>
      <c r="C155" s="54" t="str">
        <f>VLOOKUP(A155,'1.Loading'!A:R,14,FALSE)</f>
        <v>LCH06</v>
      </c>
      <c r="D155" s="54" t="str">
        <f>VLOOKUP(A155,'1.Loading'!A:R,17,FALSE)</f>
        <v>HASLS22261001211</v>
      </c>
      <c r="E155" s="55" t="str">
        <f>VLOOKUP(D155,'2.Bookinglist'!A:CT,27,FALSE)</f>
        <v>ABLE AWARDS GLOBAL LOGISTICS CO., LTD.</v>
      </c>
      <c r="F155" s="55" t="str">
        <f>VLOOKUP(D155,'2.Bookinglist'!A:CT,28,FALSE)</f>
        <v>BANDAI LOGIPAL (THAILAND) CO., LTD.</v>
      </c>
      <c r="G155" s="56" t="str">
        <f>VLOOKUP(D155,'2.Bookinglist'!A:E,5,FALSE)</f>
        <v>THSRP</v>
      </c>
      <c r="H155" s="54" t="str">
        <f>VLOOKUP(D155,'2.Bookinglist'!A:CT,15,FALSE)</f>
        <v>THLCH</v>
      </c>
      <c r="I155" s="54" t="str">
        <f>VLOOKUP(D155,'2.Bookinglist'!A:CT,19,FALSE)</f>
        <v>CNSHA</v>
      </c>
      <c r="J155" s="54">
        <f>VLOOKUP(D155,'2.Bookinglist'!A:CT,26,FALSE)</f>
        <v>0</v>
      </c>
      <c r="K155" s="54" t="str">
        <f>VLOOKUP(A155,'1.Loading'!A:R,5,FALSE)</f>
        <v>45GP</v>
      </c>
      <c r="L155" s="56" t="str">
        <f>VLOOKUP(D155,'2.Bookinglist'!A:CT,85,FALSE)</f>
        <v>CY/CY</v>
      </c>
      <c r="M155" s="56" t="str">
        <f>IF(VLOOKUP(D155,'2.Bookinglist'!A:CT,43,FALSE)=0,"","DG")</f>
        <v/>
      </c>
      <c r="N155" s="56" t="str">
        <f>IF(RIGHT(K155,2)="RE","RF","")</f>
        <v/>
      </c>
      <c r="O155" s="54" t="str">
        <f>VLOOKUP(A155,'1.Loading'!A:R,3,FALSE)</f>
        <v>HMVY</v>
      </c>
      <c r="P155" s="54" t="str">
        <f>VLOOKUP(A155,'1.Loading'!A:R,4,FALSE)</f>
        <v>2609N</v>
      </c>
      <c r="Q155" s="54" t="str">
        <f>VLOOKUP(D155,'2.Bookinglist'!A:CT,12,FALSE)</f>
        <v>PCI2</v>
      </c>
      <c r="R155" s="56" t="str">
        <f>IF(LEFT(K155,2)="22","20'","40'")</f>
        <v>40'</v>
      </c>
      <c r="S155" s="38"/>
      <c r="T155" s="54" t="str">
        <f>VLOOKUP(A155,'1.Loading'!A:R,2,FALSE)</f>
        <v>2026-10-28</v>
      </c>
      <c r="U155" s="57">
        <f>T155-S155</f>
        <v>46323</v>
      </c>
      <c r="V155" s="58"/>
      <c r="W155" s="54" t="str">
        <f>VLOOKUP(A155,'3.GateMove'!A:D,4,FALSE)</f>
        <v>2026-10-24</v>
      </c>
      <c r="X155" s="57">
        <f>((T155-W155)+1)</f>
        <v>5</v>
      </c>
      <c r="Y155" s="59">
        <f>IF(AND(OR(C155="BKK01",C155="BKK04"),L155="CFS/CY"),0,IF(M155="DG",1,IF(LEFT(C155,3)="LCH",7,IF(C155="BKK02",5,3))))</f>
        <v>7</v>
      </c>
      <c r="Z155" s="57">
        <f>IF(IF(AND(AC155="TML",AB155&gt;0),((T155-W155)+1)-AB155,((T155-W155)+1)-Y155)&gt;0,IF(AND(AC155="TML",AB155&gt;0),((T155-W155)+1)-AB155,((T155-W155)+1)-Y155),0)</f>
        <v>0</v>
      </c>
      <c r="AA155" s="48">
        <f>IF(AND(B155="G1",M155=""),IF(R155="20'",
VLOOKUP(Z155,Charge!$K$2:$M$5,2,TRUE)+(Z155-VLOOKUP(Z155,Charge!$K$2:$M$5,1,TRUE))*VLOOKUP(Z155,Charge!$K$2:$M$5,3,TRUE),
VLOOKUP(Z155,Charge!$N$2:$P$5,2,TRUE)+(Z155-VLOOKUP(Z155,Charge!$N$2:$P$5,1,TRUE))*VLOOKUP(Z155,Charge!$N$2:$P$5,3,TRUE)),
IF(AND(B155="G1",M155="DG"),IF(R155="20'",
VLOOKUP(Z155,Charge!$R$2:$T$5,2,TRUE)+(Z155-VLOOKUP(Z155,Charge!$R$2:$T$5,1,TRUE))*VLOOKUP(Z155,Charge!$R$2:$T$5,3,TRUE),
VLOOKUP(Z155,Charge!$U$2:$W$5,2,TRUE)+(Z155-VLOOKUP(Z155,Charge!$U$2:$W$5,1,TRUE))*VLOOKUP(Z155,Charge!$U$2:$W$5,3,TRUE)),
IF(AND(B155="G3",M155=""),IF(R155="20'",
VLOOKUP(Z155,Charge!$K$18:$M$21,2,TRUE)+(Z155-VLOOKUP(Z155,Charge!$K$18:$M$21,1,TRUE))*VLOOKUP(Z155,Charge!$K$18:$M$21,3,TRUE),
VLOOKUP(Z155,Charge!$N$18:$P$21,2,TRUE)+(Z155-VLOOKUP(Z155,Charge!$N$18:$P$21,1,TRUE))*VLOOKUP(Z155,Charge!$N$18:$P$21,3,TRUE)),
IF(AND(B155="G3",M155="DG"),IF(R155="20'",
VLOOKUP(Z155,Charge!$R$18:$T$21,2,TRUE)+(Z155-VLOOKUP(Z155,Charge!$R$18:$T$21,1,TRUE))*VLOOKUP(Z155,Charge!$R$18:$T$21,3,TRUE),
VLOOKUP(Z155,Charge!$U$18:$W$21,2,TRUE)+(Z155-VLOOKUP(Z155,Charge!$U$18:$W$21,1,TRUE))*VLOOKUP(Z155,Charge!$U$18:$W$21,3,TRUE)),
IF(AND(B155="G2",M155=""),IF(R155="20'",
VLOOKUP(Z155,Charge!$K$9:$M$12,2,TRUE)+(Z155-VLOOKUP(Z155,Charge!$K$9:$M$12,1,TRUE))*VLOOKUP(Z155,Charge!$K$9:$M$12,3,TRUE),
VLOOKUP(Z155,Charge!$N$9:$P$12,2,TRUE)+(Z155-VLOOKUP(Z155,Charge!$N$9:$P$12,1,TRUE))*VLOOKUP(Z155,Charge!$N$9:$P$12,3,TRUE)),
IF(AND(B155="G2",M155="DG"),IF(R155="20'",
VLOOKUP(Z155,Charge!$R$9:$T$12,2,TRUE)+(Z155-VLOOKUP(Z155,Charge!$R$9:$T$12,1,TRUE))*VLOOKUP(Z155,Charge!$R$9:$T$12,3,TRUE),
VLOOKUP(Z155,Charge!$U$9:$W$12,2,TRUE)+(Z155-VLOOKUP(Z155,Charge!$U$9:$W$12,1,TRUE))*VLOOKUP(Z155,Charge!$U$9:$W$12,3,TRUE)),IF(AND(B155="G4",M155=""),IF(R155="20'",Z155*Charge!$M$25,Z155*Charge!$P$25),IF(AND(B155="G4",M155="DG"),IF(R155="20'",Z155*Charge!$T$25,Z155*Charge!$W$25),0))))))))</f>
        <v>0</v>
      </c>
      <c r="AB155" s="53"/>
      <c r="AC155" s="53"/>
      <c r="AD155" s="56">
        <f>IF(M155="DG",3,IF(N155="RF",3,5))+IF(AND(LEFT(C155,3)="BKK",N155="RF",Q155="KTS"),1,0)+IF(Q155="KHS",1,0)</f>
        <v>5</v>
      </c>
      <c r="AE155" s="57">
        <f>(T155-V155)+1</f>
        <v>46324</v>
      </c>
      <c r="AF155" s="57">
        <f>IF(AB155&gt;IF((V155-W155)&gt;0,V155-W155,0),0,IF(AB155&lt;IF((V155-W155)&gt;0,V155-W155,0),IF((V155-W155)&gt;0,V155-W155,0)-AB155,IF((V155-W155)&gt;0,V155-W155,0)))</f>
        <v>0</v>
      </c>
      <c r="AG155" s="48">
        <f>IF(AND(M155=""),IF(R155="20'",
VLOOKUP(AF155,Charge!$K$31:$M$34,2,TRUE)+(AF155-VLOOKUP(AF155,Charge!$K$31:$M$34,1,TRUE))*VLOOKUP(AF155,Charge!$K$31:$M$34,3,TRUE),
VLOOKUP(AF155,Charge!$N$31:$P$34,2,TRUE)+(AF155-VLOOKUP(AF155,Charge!$N$31:$P$34,1,TRUE))*VLOOKUP(AF155,Charge!$N$31:$P$34,3,TRUE)),
IF(AND(M155="DG"),IF(R155="20'",
VLOOKUP(AF155,Charge!$R$31:$T$34,2,TRUE)+(AF155-VLOOKUP(AF155,Charge!$R$31:$T$34,1,TRUE))*VLOOKUP(AF155,Charge!$R$31:$T$34,3,TRUE),
VLOOKUP(AF155,Charge!$U$31:$W$34,2,TRUE)+(AF155-VLOOKUP(AF155,Charge!$U$31:$W$34,1,TRUE))*VLOOKUP(AF155,Charge!$U$31:$W$34,3,TRUE)),0))</f>
        <v>0</v>
      </c>
      <c r="AH155" s="60"/>
      <c r="AI155" s="60">
        <f>AA155-AH155</f>
        <v>0</v>
      </c>
      <c r="AJ155" s="61"/>
      <c r="AK155" s="55" t="str">
        <f>VLOOKUP(D155,'2.Bookinglist'!A:CT,40,FALSE)</f>
        <v>Sukunpoj Damrongying</v>
      </c>
      <c r="AL155" s="56" t="str">
        <f>VLOOKUP(D155,'2.Bookinglist'!A:CW,101,FALSE)</f>
        <v>2026-10-25</v>
      </c>
      <c r="AM155" s="56" t="str">
        <f>VLOOKUP(D155,'2.Bookinglist'!A:BK,63,FALSE)</f>
        <v>BKK27</v>
      </c>
      <c r="AN155" s="55" t="str">
        <f>VLOOKUP(D155,'2.Bookinglist'!A:AZ,52,FALSE)</f>
        <v>Pickup : 2026-10-20, Return SRP : 2026-10-21 [PAPERLESS CODE 2829]
CLS TIME 22/10/26 @23.59</v>
      </c>
      <c r="AO155" s="55">
        <f>VLOOKUP(D155,'2.Bookinglist'!A:CY,103,FALSE)</f>
        <v>0</v>
      </c>
    </row>
    <row r="156" ht="12.95" customHeight="1" spans="1:41" x14ac:dyDescent="0.25">
      <c r="A156" s="3" t="s">
        <v>141</v>
      </c>
      <c r="B156" s="53" t="str">
        <f>IF(C156=Charge!$M$1,Charge!$J$1,IF(C156=Charge!$M$23,Charge!$J$23,IF(C156=Charge!$M$17,Charge!$J$17,IF(C156=Charge!$N$17,Charge!$J$17,Charge!$J$7))))</f>
        <v>G2</v>
      </c>
      <c r="C156" s="54" t="str">
        <f>VLOOKUP(A156,'1.Loading'!A:R,14,FALSE)</f>
        <v>LCH06</v>
      </c>
      <c r="D156" s="54" t="str">
        <f>VLOOKUP(A156,'1.Loading'!A:R,17,FALSE)</f>
        <v>HASLS22261000285</v>
      </c>
      <c r="E156" s="55" t="str">
        <f>VLOOKUP(D156,'2.Bookinglist'!A:CT,27,FALSE)</f>
        <v>AGC VINYTHAI PUBLIC COMPANY LIMITED</v>
      </c>
      <c r="F156" s="55" t="str">
        <f>VLOOKUP(D156,'2.Bookinglist'!A:CT,28,FALSE)</f>
        <v>AGC VINYTHAI PUBLIC COMPANY LIMITED</v>
      </c>
      <c r="G156" s="56">
        <f>VLOOKUP(D156,'2.Bookinglist'!A:E,5,FALSE)</f>
        <v>0</v>
      </c>
      <c r="H156" s="54" t="str">
        <f>VLOOKUP(D156,'2.Bookinglist'!A:CT,15,FALSE)</f>
        <v>THLCH</v>
      </c>
      <c r="I156" s="54" t="str">
        <f>VLOOKUP(D156,'2.Bookinglist'!A:CT,19,FALSE)</f>
        <v>CNSHA</v>
      </c>
      <c r="J156" s="54">
        <f>VLOOKUP(D156,'2.Bookinglist'!A:CT,26,FALSE)</f>
        <v>0</v>
      </c>
      <c r="K156" s="54" t="str">
        <f>VLOOKUP(A156,'1.Loading'!A:R,5,FALSE)</f>
        <v>45GP</v>
      </c>
      <c r="L156" s="56" t="str">
        <f>VLOOKUP(D156,'2.Bookinglist'!A:CT,85,FALSE)</f>
        <v>CY/CY</v>
      </c>
      <c r="M156" s="56" t="str">
        <f>IF(VLOOKUP(D156,'2.Bookinglist'!A:CT,43,FALSE)=0,"","DG")</f>
        <v/>
      </c>
      <c r="N156" s="56" t="str">
        <f>IF(RIGHT(K156,2)="RE","RF","")</f>
        <v/>
      </c>
      <c r="O156" s="54" t="str">
        <f>VLOOKUP(A156,'1.Loading'!A:R,3,FALSE)</f>
        <v>HMVY</v>
      </c>
      <c r="P156" s="54" t="str">
        <f>VLOOKUP(A156,'1.Loading'!A:R,4,FALSE)</f>
        <v>2609N</v>
      </c>
      <c r="Q156" s="54" t="str">
        <f>VLOOKUP(D156,'2.Bookinglist'!A:CT,12,FALSE)</f>
        <v>PCI2</v>
      </c>
      <c r="R156" s="56" t="str">
        <f>IF(LEFT(K156,2)="22","20'","40'")</f>
        <v>40'</v>
      </c>
      <c r="S156" s="38"/>
      <c r="T156" s="54" t="str">
        <f>VLOOKUP(A156,'1.Loading'!A:R,2,FALSE)</f>
        <v>2026-10-28</v>
      </c>
      <c r="U156" s="57">
        <f>T156-S156</f>
        <v>46323</v>
      </c>
      <c r="V156" s="58"/>
      <c r="W156" s="54" t="str">
        <f>VLOOKUP(A156,'3.GateMove'!A:D,4,FALSE)</f>
        <v>2026-10-20</v>
      </c>
      <c r="X156" s="57">
        <f>((T156-W156)+1)</f>
        <v>9</v>
      </c>
      <c r="Y156" s="59">
        <f>IF(AND(OR(C156="BKK01",C156="BKK04"),L156="CFS/CY"),0,IF(M156="DG",1,IF(LEFT(C156,3)="LCH",7,IF(C156="BKK02",5,3))))</f>
        <v>7</v>
      </c>
      <c r="Z156" s="57">
        <f>IF(IF(AND(AC156="TML",AB156&gt;0),((T156-W156)+1)-AB156,((T156-W156)+1)-Y156)&gt;0,IF(AND(AC156="TML",AB156&gt;0),((T156-W156)+1)-AB156,((T156-W156)+1)-Y156),0)</f>
        <v>2</v>
      </c>
      <c r="AA156" s="48">
        <f>IF(AND(B156="G1",M156=""),IF(R156="20'",
VLOOKUP(Z156,Charge!$K$2:$M$5,2,TRUE)+(Z156-VLOOKUP(Z156,Charge!$K$2:$M$5,1,TRUE))*VLOOKUP(Z156,Charge!$K$2:$M$5,3,TRUE),
VLOOKUP(Z156,Charge!$N$2:$P$5,2,TRUE)+(Z156-VLOOKUP(Z156,Charge!$N$2:$P$5,1,TRUE))*VLOOKUP(Z156,Charge!$N$2:$P$5,3,TRUE)),
IF(AND(B156="G1",M156="DG"),IF(R156="20'",
VLOOKUP(Z156,Charge!$R$2:$T$5,2,TRUE)+(Z156-VLOOKUP(Z156,Charge!$R$2:$T$5,1,TRUE))*VLOOKUP(Z156,Charge!$R$2:$T$5,3,TRUE),
VLOOKUP(Z156,Charge!$U$2:$W$5,2,TRUE)+(Z156-VLOOKUP(Z156,Charge!$U$2:$W$5,1,TRUE))*VLOOKUP(Z156,Charge!$U$2:$W$5,3,TRUE)),
IF(AND(B156="G3",M156=""),IF(R156="20'",
VLOOKUP(Z156,Charge!$K$18:$M$21,2,TRUE)+(Z156-VLOOKUP(Z156,Charge!$K$18:$M$21,1,TRUE))*VLOOKUP(Z156,Charge!$K$18:$M$21,3,TRUE),
VLOOKUP(Z156,Charge!$N$18:$P$21,2,TRUE)+(Z156-VLOOKUP(Z156,Charge!$N$18:$P$21,1,TRUE))*VLOOKUP(Z156,Charge!$N$18:$P$21,3,TRUE)),
IF(AND(B156="G3",M156="DG"),IF(R156="20'",
VLOOKUP(Z156,Charge!$R$18:$T$21,2,TRUE)+(Z156-VLOOKUP(Z156,Charge!$R$18:$T$21,1,TRUE))*VLOOKUP(Z156,Charge!$R$18:$T$21,3,TRUE),
VLOOKUP(Z156,Charge!$U$18:$W$21,2,TRUE)+(Z156-VLOOKUP(Z156,Charge!$U$18:$W$21,1,TRUE))*VLOOKUP(Z156,Charge!$U$18:$W$21,3,TRUE)),
IF(AND(B156="G2",M156=""),IF(R156="20'",
VLOOKUP(Z156,Charge!$K$9:$M$12,2,TRUE)+(Z156-VLOOKUP(Z156,Charge!$K$9:$M$12,1,TRUE))*VLOOKUP(Z156,Charge!$K$9:$M$12,3,TRUE),
VLOOKUP(Z156,Charge!$N$9:$P$12,2,TRUE)+(Z156-VLOOKUP(Z156,Charge!$N$9:$P$12,1,TRUE))*VLOOKUP(Z156,Charge!$N$9:$P$12,3,TRUE)),
IF(AND(B156="G2",M156="DG"),IF(R156="20'",
VLOOKUP(Z156,Charge!$R$9:$T$12,2,TRUE)+(Z156-VLOOKUP(Z156,Charge!$R$9:$T$12,1,TRUE))*VLOOKUP(Z156,Charge!$R$9:$T$12,3,TRUE),
VLOOKUP(Z156,Charge!$U$9:$W$12,2,TRUE)+(Z156-VLOOKUP(Z156,Charge!$U$9:$W$12,1,TRUE))*VLOOKUP(Z156,Charge!$U$9:$W$12,3,TRUE)),IF(AND(B156="G4",M156=""),IF(R156="20'",Z156*Charge!$M$25,Z156*Charge!$P$25),IF(AND(B156="G4",M156="DG"),IF(R156="20'",Z156*Charge!$T$25,Z156*Charge!$W$25),0))))))))</f>
        <v>500</v>
      </c>
      <c r="AB156" s="53"/>
      <c r="AC156" s="53"/>
      <c r="AD156" s="56">
        <f>IF(M156="DG",3,IF(N156="RF",3,5))+IF(AND(LEFT(C156,3)="BKK",N156="RF",Q156="KTS"),1,0)+IF(Q156="KHS",1,0)</f>
        <v>5</v>
      </c>
      <c r="AE156" s="57">
        <f>(T156-V156)+1</f>
        <v>46324</v>
      </c>
      <c r="AF156" s="57">
        <f>IF(AB156&gt;IF((V156-W156)&gt;0,V156-W156,0),0,IF(AB156&lt;IF((V156-W156)&gt;0,V156-W156,0),IF((V156-W156)&gt;0,V156-W156,0)-AB156,IF((V156-W156)&gt;0,V156-W156,0)))</f>
        <v>0</v>
      </c>
      <c r="AG156" s="48">
        <f>IF(AND(M156=""),IF(R156="20'",
VLOOKUP(AF156,Charge!$K$31:$M$34,2,TRUE)+(AF156-VLOOKUP(AF156,Charge!$K$31:$M$34,1,TRUE))*VLOOKUP(AF156,Charge!$K$31:$M$34,3,TRUE),
VLOOKUP(AF156,Charge!$N$31:$P$34,2,TRUE)+(AF156-VLOOKUP(AF156,Charge!$N$31:$P$34,1,TRUE))*VLOOKUP(AF156,Charge!$N$31:$P$34,3,TRUE)),
IF(AND(M156="DG"),IF(R156="20'",
VLOOKUP(AF156,Charge!$R$31:$T$34,2,TRUE)+(AF156-VLOOKUP(AF156,Charge!$R$31:$T$34,1,TRUE))*VLOOKUP(AF156,Charge!$R$31:$T$34,3,TRUE),
VLOOKUP(AF156,Charge!$U$31:$W$34,2,TRUE)+(AF156-VLOOKUP(AF156,Charge!$U$31:$W$34,1,TRUE))*VLOOKUP(AF156,Charge!$U$31:$W$34,3,TRUE)),0))</f>
        <v>0</v>
      </c>
      <c r="AH156" s="60"/>
      <c r="AI156" s="60">
        <f>AA156-AH156</f>
        <v>500</v>
      </c>
      <c r="AJ156" s="61"/>
      <c r="AK156" s="55" t="str">
        <f>VLOOKUP(D156,'2.Bookinglist'!A:CT,40,FALSE)</f>
        <v>Nannaapust Sukporntaweewat</v>
      </c>
      <c r="AL156" s="56" t="str">
        <f>VLOOKUP(D156,'2.Bookinglist'!A:CW,101,FALSE)</f>
        <v>2026-10-24</v>
      </c>
      <c r="AM156" s="56" t="str">
        <f>VLOOKUP(D156,'2.Bookinglist'!A:BK,63,FALSE)</f>
        <v>LCHY5</v>
      </c>
      <c r="AN156" s="55" t="str">
        <f>VLOOKUP(D156,'2.Bookinglist'!A:AZ,52,FALSE)</f>
        <v>Pickup : 2026-10-15, Return : 2026-10-16</v>
      </c>
      <c r="AO156" s="55">
        <f>VLOOKUP(D156,'2.Bookinglist'!A:CY,103,FALSE)</f>
        <v>0</v>
      </c>
    </row>
    <row r="157" ht="12.95" customHeight="1" spans="1:41" x14ac:dyDescent="0.25">
      <c r="A157" s="3" t="s">
        <v>142</v>
      </c>
      <c r="B157" s="53" t="str">
        <f>IF(C157=Charge!$M$1,Charge!$J$1,IF(C157=Charge!$M$23,Charge!$J$23,IF(C157=Charge!$M$17,Charge!$J$17,IF(C157=Charge!$N$17,Charge!$J$17,Charge!$J$7))))</f>
        <v>G2</v>
      </c>
      <c r="C157" s="54" t="str">
        <f>VLOOKUP(A157,'1.Loading'!A:R,14,FALSE)</f>
        <v>LCH06</v>
      </c>
      <c r="D157" s="54" t="str">
        <f>VLOOKUP(A157,'1.Loading'!A:R,17,FALSE)</f>
        <v>HASLS22261000285</v>
      </c>
      <c r="E157" s="55" t="str">
        <f>VLOOKUP(D157,'2.Bookinglist'!A:CT,27,FALSE)</f>
        <v>AGC VINYTHAI PUBLIC COMPANY LIMITED</v>
      </c>
      <c r="F157" s="55" t="str">
        <f>VLOOKUP(D157,'2.Bookinglist'!A:CT,28,FALSE)</f>
        <v>AGC VINYTHAI PUBLIC COMPANY LIMITED</v>
      </c>
      <c r="G157" s="56">
        <f>VLOOKUP(D157,'2.Bookinglist'!A:E,5,FALSE)</f>
        <v>0</v>
      </c>
      <c r="H157" s="54" t="str">
        <f>VLOOKUP(D157,'2.Bookinglist'!A:CT,15,FALSE)</f>
        <v>THLCH</v>
      </c>
      <c r="I157" s="54" t="str">
        <f>VLOOKUP(D157,'2.Bookinglist'!A:CT,19,FALSE)</f>
        <v>CNSHA</v>
      </c>
      <c r="J157" s="54">
        <f>VLOOKUP(D157,'2.Bookinglist'!A:CT,26,FALSE)</f>
        <v>0</v>
      </c>
      <c r="K157" s="54" t="str">
        <f>VLOOKUP(A157,'1.Loading'!A:R,5,FALSE)</f>
        <v>45GP</v>
      </c>
      <c r="L157" s="56" t="str">
        <f>VLOOKUP(D157,'2.Bookinglist'!A:CT,85,FALSE)</f>
        <v>CY/CY</v>
      </c>
      <c r="M157" s="56" t="str">
        <f>IF(VLOOKUP(D157,'2.Bookinglist'!A:CT,43,FALSE)=0,"","DG")</f>
        <v/>
      </c>
      <c r="N157" s="56" t="str">
        <f>IF(RIGHT(K157,2)="RE","RF","")</f>
        <v/>
      </c>
      <c r="O157" s="54" t="str">
        <f>VLOOKUP(A157,'1.Loading'!A:R,3,FALSE)</f>
        <v>HMVY</v>
      </c>
      <c r="P157" s="54" t="str">
        <f>VLOOKUP(A157,'1.Loading'!A:R,4,FALSE)</f>
        <v>2609N</v>
      </c>
      <c r="Q157" s="54" t="str">
        <f>VLOOKUP(D157,'2.Bookinglist'!A:CT,12,FALSE)</f>
        <v>PCI2</v>
      </c>
      <c r="R157" s="56" t="str">
        <f>IF(LEFT(K157,2)="22","20'","40'")</f>
        <v>40'</v>
      </c>
      <c r="S157" s="38"/>
      <c r="T157" s="54" t="str">
        <f>VLOOKUP(A157,'1.Loading'!A:R,2,FALSE)</f>
        <v>2026-10-28</v>
      </c>
      <c r="U157" s="57">
        <f>T157-S157</f>
        <v>46323</v>
      </c>
      <c r="V157" s="58"/>
      <c r="W157" s="54" t="str">
        <f>VLOOKUP(A157,'3.GateMove'!A:D,4,FALSE)</f>
        <v>2026-10-20</v>
      </c>
      <c r="X157" s="57">
        <f>((T157-W157)+1)</f>
        <v>9</v>
      </c>
      <c r="Y157" s="59">
        <f>IF(AND(OR(C157="BKK01",C157="BKK04"),L157="CFS/CY"),0,IF(M157="DG",1,IF(LEFT(C157,3)="LCH",7,IF(C157="BKK02",5,3))))</f>
        <v>7</v>
      </c>
      <c r="Z157" s="57">
        <f>IF(IF(AND(AC157="TML",AB157&gt;0),((T157-W157)+1)-AB157,((T157-W157)+1)-Y157)&gt;0,IF(AND(AC157="TML",AB157&gt;0),((T157-W157)+1)-AB157,((T157-W157)+1)-Y157),0)</f>
        <v>2</v>
      </c>
      <c r="AA157" s="48">
        <f>IF(AND(B157="G1",M157=""),IF(R157="20'",
VLOOKUP(Z157,Charge!$K$2:$M$5,2,TRUE)+(Z157-VLOOKUP(Z157,Charge!$K$2:$M$5,1,TRUE))*VLOOKUP(Z157,Charge!$K$2:$M$5,3,TRUE),
VLOOKUP(Z157,Charge!$N$2:$P$5,2,TRUE)+(Z157-VLOOKUP(Z157,Charge!$N$2:$P$5,1,TRUE))*VLOOKUP(Z157,Charge!$N$2:$P$5,3,TRUE)),
IF(AND(B157="G1",M157="DG"),IF(R157="20'",
VLOOKUP(Z157,Charge!$R$2:$T$5,2,TRUE)+(Z157-VLOOKUP(Z157,Charge!$R$2:$T$5,1,TRUE))*VLOOKUP(Z157,Charge!$R$2:$T$5,3,TRUE),
VLOOKUP(Z157,Charge!$U$2:$W$5,2,TRUE)+(Z157-VLOOKUP(Z157,Charge!$U$2:$W$5,1,TRUE))*VLOOKUP(Z157,Charge!$U$2:$W$5,3,TRUE)),
IF(AND(B157="G3",M157=""),IF(R157="20'",
VLOOKUP(Z157,Charge!$K$18:$M$21,2,TRUE)+(Z157-VLOOKUP(Z157,Charge!$K$18:$M$21,1,TRUE))*VLOOKUP(Z157,Charge!$K$18:$M$21,3,TRUE),
VLOOKUP(Z157,Charge!$N$18:$P$21,2,TRUE)+(Z157-VLOOKUP(Z157,Charge!$N$18:$P$21,1,TRUE))*VLOOKUP(Z157,Charge!$N$18:$P$21,3,TRUE)),
IF(AND(B157="G3",M157="DG"),IF(R157="20'",
VLOOKUP(Z157,Charge!$R$18:$T$21,2,TRUE)+(Z157-VLOOKUP(Z157,Charge!$R$18:$T$21,1,TRUE))*VLOOKUP(Z157,Charge!$R$18:$T$21,3,TRUE),
VLOOKUP(Z157,Charge!$U$18:$W$21,2,TRUE)+(Z157-VLOOKUP(Z157,Charge!$U$18:$W$21,1,TRUE))*VLOOKUP(Z157,Charge!$U$18:$W$21,3,TRUE)),
IF(AND(B157="G2",M157=""),IF(R157="20'",
VLOOKUP(Z157,Charge!$K$9:$M$12,2,TRUE)+(Z157-VLOOKUP(Z157,Charge!$K$9:$M$12,1,TRUE))*VLOOKUP(Z157,Charge!$K$9:$M$12,3,TRUE),
VLOOKUP(Z157,Charge!$N$9:$P$12,2,TRUE)+(Z157-VLOOKUP(Z157,Charge!$N$9:$P$12,1,TRUE))*VLOOKUP(Z157,Charge!$N$9:$P$12,3,TRUE)),
IF(AND(B157="G2",M157="DG"),IF(R157="20'",
VLOOKUP(Z157,Charge!$R$9:$T$12,2,TRUE)+(Z157-VLOOKUP(Z157,Charge!$R$9:$T$12,1,TRUE))*VLOOKUP(Z157,Charge!$R$9:$T$12,3,TRUE),
VLOOKUP(Z157,Charge!$U$9:$W$12,2,TRUE)+(Z157-VLOOKUP(Z157,Charge!$U$9:$W$12,1,TRUE))*VLOOKUP(Z157,Charge!$U$9:$W$12,3,TRUE)),IF(AND(B157="G4",M157=""),IF(R157="20'",Z157*Charge!$M$25,Z157*Charge!$P$25),IF(AND(B157="G4",M157="DG"),IF(R157="20'",Z157*Charge!$T$25,Z157*Charge!$W$25),0))))))))</f>
        <v>500</v>
      </c>
      <c r="AB157" s="53"/>
      <c r="AC157" s="53"/>
      <c r="AD157" s="56">
        <f>IF(M157="DG",3,IF(N157="RF",3,5))+IF(AND(LEFT(C157,3)="BKK",N157="RF",Q157="KTS"),1,0)+IF(Q157="KHS",1,0)</f>
        <v>5</v>
      </c>
      <c r="AE157" s="57">
        <f>(T157-V157)+1</f>
        <v>46324</v>
      </c>
      <c r="AF157" s="57">
        <f>IF(AB157&gt;IF((V157-W157)&gt;0,V157-W157,0),0,IF(AB157&lt;IF((V157-W157)&gt;0,V157-W157,0),IF((V157-W157)&gt;0,V157-W157,0)-AB157,IF((V157-W157)&gt;0,V157-W157,0)))</f>
        <v>0</v>
      </c>
      <c r="AG157" s="48">
        <f>IF(AND(M157=""),IF(R157="20'",
VLOOKUP(AF157,Charge!$K$31:$M$34,2,TRUE)+(AF157-VLOOKUP(AF157,Charge!$K$31:$M$34,1,TRUE))*VLOOKUP(AF157,Charge!$K$31:$M$34,3,TRUE),
VLOOKUP(AF157,Charge!$N$31:$P$34,2,TRUE)+(AF157-VLOOKUP(AF157,Charge!$N$31:$P$34,1,TRUE))*VLOOKUP(AF157,Charge!$N$31:$P$34,3,TRUE)),
IF(AND(M157="DG"),IF(R157="20'",
VLOOKUP(AF157,Charge!$R$31:$T$34,2,TRUE)+(AF157-VLOOKUP(AF157,Charge!$R$31:$T$34,1,TRUE))*VLOOKUP(AF157,Charge!$R$31:$T$34,3,TRUE),
VLOOKUP(AF157,Charge!$U$31:$W$34,2,TRUE)+(AF157-VLOOKUP(AF157,Charge!$U$31:$W$34,1,TRUE))*VLOOKUP(AF157,Charge!$U$31:$W$34,3,TRUE)),0))</f>
        <v>0</v>
      </c>
      <c r="AH157" s="60"/>
      <c r="AI157" s="60">
        <f>AA157-AH157</f>
        <v>500</v>
      </c>
      <c r="AJ157" s="61"/>
      <c r="AK157" s="55" t="str">
        <f>VLOOKUP(D157,'2.Bookinglist'!A:CT,40,FALSE)</f>
        <v>Nannaapust Sukporntaweewat</v>
      </c>
      <c r="AL157" s="56" t="str">
        <f>VLOOKUP(D157,'2.Bookinglist'!A:CW,101,FALSE)</f>
        <v>2026-10-24</v>
      </c>
      <c r="AM157" s="56" t="str">
        <f>VLOOKUP(D157,'2.Bookinglist'!A:BK,63,FALSE)</f>
        <v>LCHY5</v>
      </c>
      <c r="AN157" s="55" t="str">
        <f>VLOOKUP(D157,'2.Bookinglist'!A:AZ,52,FALSE)</f>
        <v>Pickup : 2026-10-15, Return : 2026-10-16</v>
      </c>
      <c r="AO157" s="55">
        <f>VLOOKUP(D157,'2.Bookinglist'!A:CY,103,FALSE)</f>
        <v>0</v>
      </c>
    </row>
    <row r="158" ht="12.95" customHeight="1" spans="1:41" x14ac:dyDescent="0.25">
      <c r="A158" s="3" t="s">
        <v>265</v>
      </c>
      <c r="B158" s="53" t="str">
        <f>IF(C158=Charge!$M$1,Charge!$J$1,IF(C158=Charge!$M$23,Charge!$J$23,IF(C158=Charge!$M$17,Charge!$J$17,IF(C158=Charge!$N$17,Charge!$J$17,Charge!$J$7))))</f>
        <v>G2</v>
      </c>
      <c r="C158" s="54" t="str">
        <f>VLOOKUP(A158,'1.Loading'!A:R,14,FALSE)</f>
        <v>LCH06</v>
      </c>
      <c r="D158" s="54" t="str">
        <f>VLOOKUP(A158,'1.Loading'!A:R,17,FALSE)</f>
        <v>HASLS22261001306</v>
      </c>
      <c r="E158" s="55" t="str">
        <f>VLOOKUP(D158,'2.Bookinglist'!A:CT,27,FALSE)</f>
        <v>EXPEDITORS (THAILAND) LTD.</v>
      </c>
      <c r="F158" s="55" t="str">
        <f>VLOOKUP(D158,'2.Bookinglist'!A:CT,28,FALSE)</f>
        <v>AVERY DENNISON (THAILAND) LTD.</v>
      </c>
      <c r="G158" s="56" t="str">
        <f>VLOOKUP(D158,'2.Bookinglist'!A:E,5,FALSE)</f>
        <v>THSRP</v>
      </c>
      <c r="H158" s="54" t="str">
        <f>VLOOKUP(D158,'2.Bookinglist'!A:CT,15,FALSE)</f>
        <v>THLCH</v>
      </c>
      <c r="I158" s="54" t="str">
        <f>VLOOKUP(D158,'2.Bookinglist'!A:CT,19,FALSE)</f>
        <v>CNSHA</v>
      </c>
      <c r="J158" s="54">
        <f>VLOOKUP(D158,'2.Bookinglist'!A:CT,26,FALSE)</f>
        <v>0</v>
      </c>
      <c r="K158" s="54" t="str">
        <f>VLOOKUP(A158,'1.Loading'!A:R,5,FALSE)</f>
        <v>45GP</v>
      </c>
      <c r="L158" s="56" t="str">
        <f>VLOOKUP(D158,'2.Bookinglist'!A:CT,85,FALSE)</f>
        <v>CY/CY</v>
      </c>
      <c r="M158" s="56" t="str">
        <f>IF(VLOOKUP(D158,'2.Bookinglist'!A:CT,43,FALSE)=0,"","DG")</f>
        <v/>
      </c>
      <c r="N158" s="56" t="str">
        <f>IF(RIGHT(K158,2)="RE","RF","")</f>
        <v/>
      </c>
      <c r="O158" s="54" t="str">
        <f>VLOOKUP(A158,'1.Loading'!A:R,3,FALSE)</f>
        <v>HMVY</v>
      </c>
      <c r="P158" s="54" t="str">
        <f>VLOOKUP(A158,'1.Loading'!A:R,4,FALSE)</f>
        <v>2609N</v>
      </c>
      <c r="Q158" s="54" t="str">
        <f>VLOOKUP(D158,'2.Bookinglist'!A:CT,12,FALSE)</f>
        <v>PCI2</v>
      </c>
      <c r="R158" s="56" t="str">
        <f>IF(LEFT(K158,2)="22","20'","40'")</f>
        <v>40'</v>
      </c>
      <c r="S158" s="38"/>
      <c r="T158" s="54" t="str">
        <f>VLOOKUP(A158,'1.Loading'!A:R,2,FALSE)</f>
        <v>2026-10-28</v>
      </c>
      <c r="U158" s="57">
        <f>T158-S158</f>
        <v>46323</v>
      </c>
      <c r="V158" s="58"/>
      <c r="W158" s="54" t="str">
        <f>VLOOKUP(A158,'3.GateMove'!A:D,4,FALSE)</f>
        <v>2026-10-24</v>
      </c>
      <c r="X158" s="57">
        <f>((T158-W158)+1)</f>
        <v>5</v>
      </c>
      <c r="Y158" s="59">
        <f>IF(AND(OR(C158="BKK01",C158="BKK04"),L158="CFS/CY"),0,IF(M158="DG",1,IF(LEFT(C158,3)="LCH",7,IF(C158="BKK02",5,3))))</f>
        <v>7</v>
      </c>
      <c r="Z158" s="57">
        <f>IF(IF(AND(AC158="TML",AB158&gt;0),((T158-W158)+1)-AB158,((T158-W158)+1)-Y158)&gt;0,IF(AND(AC158="TML",AB158&gt;0),((T158-W158)+1)-AB158,((T158-W158)+1)-Y158),0)</f>
        <v>0</v>
      </c>
      <c r="AA158" s="48">
        <f>IF(AND(B158="G1",M158=""),IF(R158="20'",
VLOOKUP(Z158,Charge!$K$2:$M$5,2,TRUE)+(Z158-VLOOKUP(Z158,Charge!$K$2:$M$5,1,TRUE))*VLOOKUP(Z158,Charge!$K$2:$M$5,3,TRUE),
VLOOKUP(Z158,Charge!$N$2:$P$5,2,TRUE)+(Z158-VLOOKUP(Z158,Charge!$N$2:$P$5,1,TRUE))*VLOOKUP(Z158,Charge!$N$2:$P$5,3,TRUE)),
IF(AND(B158="G1",M158="DG"),IF(R158="20'",
VLOOKUP(Z158,Charge!$R$2:$T$5,2,TRUE)+(Z158-VLOOKUP(Z158,Charge!$R$2:$T$5,1,TRUE))*VLOOKUP(Z158,Charge!$R$2:$T$5,3,TRUE),
VLOOKUP(Z158,Charge!$U$2:$W$5,2,TRUE)+(Z158-VLOOKUP(Z158,Charge!$U$2:$W$5,1,TRUE))*VLOOKUP(Z158,Charge!$U$2:$W$5,3,TRUE)),
IF(AND(B158="G3",M158=""),IF(R158="20'",
VLOOKUP(Z158,Charge!$K$18:$M$21,2,TRUE)+(Z158-VLOOKUP(Z158,Charge!$K$18:$M$21,1,TRUE))*VLOOKUP(Z158,Charge!$K$18:$M$21,3,TRUE),
VLOOKUP(Z158,Charge!$N$18:$P$21,2,TRUE)+(Z158-VLOOKUP(Z158,Charge!$N$18:$P$21,1,TRUE))*VLOOKUP(Z158,Charge!$N$18:$P$21,3,TRUE)),
IF(AND(B158="G3",M158="DG"),IF(R158="20'",
VLOOKUP(Z158,Charge!$R$18:$T$21,2,TRUE)+(Z158-VLOOKUP(Z158,Charge!$R$18:$T$21,1,TRUE))*VLOOKUP(Z158,Charge!$R$18:$T$21,3,TRUE),
VLOOKUP(Z158,Charge!$U$18:$W$21,2,TRUE)+(Z158-VLOOKUP(Z158,Charge!$U$18:$W$21,1,TRUE))*VLOOKUP(Z158,Charge!$U$18:$W$21,3,TRUE)),
IF(AND(B158="G2",M158=""),IF(R158="20'",
VLOOKUP(Z158,Charge!$K$9:$M$12,2,TRUE)+(Z158-VLOOKUP(Z158,Charge!$K$9:$M$12,1,TRUE))*VLOOKUP(Z158,Charge!$K$9:$M$12,3,TRUE),
VLOOKUP(Z158,Charge!$N$9:$P$12,2,TRUE)+(Z158-VLOOKUP(Z158,Charge!$N$9:$P$12,1,TRUE))*VLOOKUP(Z158,Charge!$N$9:$P$12,3,TRUE)),
IF(AND(B158="G2",M158="DG"),IF(R158="20'",
VLOOKUP(Z158,Charge!$R$9:$T$12,2,TRUE)+(Z158-VLOOKUP(Z158,Charge!$R$9:$T$12,1,TRUE))*VLOOKUP(Z158,Charge!$R$9:$T$12,3,TRUE),
VLOOKUP(Z158,Charge!$U$9:$W$12,2,TRUE)+(Z158-VLOOKUP(Z158,Charge!$U$9:$W$12,1,TRUE))*VLOOKUP(Z158,Charge!$U$9:$W$12,3,TRUE)),IF(AND(B158="G4",M158=""),IF(R158="20'",Z158*Charge!$M$25,Z158*Charge!$P$25),IF(AND(B158="G4",M158="DG"),IF(R158="20'",Z158*Charge!$T$25,Z158*Charge!$W$25),0))))))))</f>
        <v>0</v>
      </c>
      <c r="AB158" s="53"/>
      <c r="AC158" s="53"/>
      <c r="AD158" s="56">
        <f>IF(M158="DG",3,IF(N158="RF",3,5))+IF(AND(LEFT(C158,3)="BKK",N158="RF",Q158="KTS"),1,0)+IF(Q158="KHS",1,0)</f>
        <v>5</v>
      </c>
      <c r="AE158" s="57">
        <f>(T158-V158)+1</f>
        <v>46324</v>
      </c>
      <c r="AF158" s="57">
        <f>IF(AB158&gt;IF((V158-W158)&gt;0,V158-W158,0),0,IF(AB158&lt;IF((V158-W158)&gt;0,V158-W158,0),IF((V158-W158)&gt;0,V158-W158,0)-AB158,IF((V158-W158)&gt;0,V158-W158,0)))</f>
        <v>0</v>
      </c>
      <c r="AG158" s="48">
        <f>IF(AND(M158=""),IF(R158="20'",
VLOOKUP(AF158,Charge!$K$31:$M$34,2,TRUE)+(AF158-VLOOKUP(AF158,Charge!$K$31:$M$34,1,TRUE))*VLOOKUP(AF158,Charge!$K$31:$M$34,3,TRUE),
VLOOKUP(AF158,Charge!$N$31:$P$34,2,TRUE)+(AF158-VLOOKUP(AF158,Charge!$N$31:$P$34,1,TRUE))*VLOOKUP(AF158,Charge!$N$31:$P$34,3,TRUE)),
IF(AND(M158="DG"),IF(R158="20'",
VLOOKUP(AF158,Charge!$R$31:$T$34,2,TRUE)+(AF158-VLOOKUP(AF158,Charge!$R$31:$T$34,1,TRUE))*VLOOKUP(AF158,Charge!$R$31:$T$34,3,TRUE),
VLOOKUP(AF158,Charge!$U$31:$W$34,2,TRUE)+(AF158-VLOOKUP(AF158,Charge!$U$31:$W$34,1,TRUE))*VLOOKUP(AF158,Charge!$U$31:$W$34,3,TRUE)),0))</f>
        <v>0</v>
      </c>
      <c r="AH158" s="60"/>
      <c r="AI158" s="60">
        <f>AA158-AH158</f>
        <v>0</v>
      </c>
      <c r="AJ158" s="61"/>
      <c r="AK158" s="55" t="str">
        <f>VLOOKUP(D158,'2.Bookinglist'!A:CT,40,FALSE)</f>
        <v>Kanokporn</v>
      </c>
      <c r="AL158" s="56" t="str">
        <f>VLOOKUP(D158,'2.Bookinglist'!A:CW,101,FALSE)</f>
        <v>2026-10-27</v>
      </c>
      <c r="AM158" s="56" t="str">
        <f>VLOOKUP(D158,'2.Bookinglist'!A:BK,63,FALSE)</f>
        <v>BKK27</v>
      </c>
      <c r="AN158" s="55" t="str">
        <f>VLOOKUP(D158,'2.Bookinglist'!A:AZ,52,FALSE)</f>
        <v>Pickup : 2026-10-20, Return : 2026-10-21 PAPERLESS CODE 2829]
CLS TIME 24/10/26 @18.00 (1ST RTN DD: 21/10/26 WO/RENT)</v>
      </c>
      <c r="AO158" s="55">
        <f>VLOOKUP(D158,'2.Bookinglist'!A:CY,103,FALSE)</f>
        <v>0</v>
      </c>
    </row>
    <row r="159" ht="12.95" customHeight="1" spans="1:41" x14ac:dyDescent="0.25">
      <c r="A159" s="3" t="s">
        <v>208</v>
      </c>
      <c r="B159" s="53" t="str">
        <f>IF(C159=Charge!$M$1,Charge!$J$1,IF(C159=Charge!$M$23,Charge!$J$23,IF(C159=Charge!$M$17,Charge!$J$17,IF(C159=Charge!$N$17,Charge!$J$17,Charge!$J$7))))</f>
        <v>G2</v>
      </c>
      <c r="C159" s="54" t="str">
        <f>VLOOKUP(A159,'1.Loading'!A:R,14,FALSE)</f>
        <v>LCH06</v>
      </c>
      <c r="D159" s="54" t="str">
        <f>VLOOKUP(A159,'1.Loading'!A:R,17,FALSE)</f>
        <v>HASLS22260900442</v>
      </c>
      <c r="E159" s="55" t="str">
        <f>VLOOKUP(D159,'2.Bookinglist'!A:CT,27,FALSE)</f>
        <v>BARKLAYS LOGISTICS (THAILAND) CO., LTD.</v>
      </c>
      <c r="F159" s="55" t="str">
        <f>VLOOKUP(D159,'2.Bookinglist'!A:CT,28,FALSE)</f>
        <v>SHUN YI INTERNATIONAL TRADING CO., LTD.</v>
      </c>
      <c r="G159" s="56">
        <f>VLOOKUP(D159,'2.Bookinglist'!A:E,5,FALSE)</f>
        <v>0</v>
      </c>
      <c r="H159" s="54" t="str">
        <f>VLOOKUP(D159,'2.Bookinglist'!A:CT,15,FALSE)</f>
        <v>THLCH</v>
      </c>
      <c r="I159" s="54" t="str">
        <f>VLOOKUP(D159,'2.Bookinglist'!A:CT,19,FALSE)</f>
        <v>CNSHA</v>
      </c>
      <c r="J159" s="54">
        <f>VLOOKUP(D159,'2.Bookinglist'!A:CT,26,FALSE)</f>
        <v>0</v>
      </c>
      <c r="K159" s="54" t="str">
        <f>VLOOKUP(A159,'1.Loading'!A:R,5,FALSE)</f>
        <v>45GP</v>
      </c>
      <c r="L159" s="56" t="str">
        <f>VLOOKUP(D159,'2.Bookinglist'!A:CT,85,FALSE)</f>
        <v>CY/CY</v>
      </c>
      <c r="M159" s="56" t="str">
        <f>IF(VLOOKUP(D159,'2.Bookinglist'!A:CT,43,FALSE)=0,"","DG")</f>
        <v/>
      </c>
      <c r="N159" s="56" t="str">
        <f>IF(RIGHT(K159,2)="RE","RF","")</f>
        <v/>
      </c>
      <c r="O159" s="54" t="str">
        <f>VLOOKUP(A159,'1.Loading'!A:R,3,FALSE)</f>
        <v>HMVY</v>
      </c>
      <c r="P159" s="54" t="str">
        <f>VLOOKUP(A159,'1.Loading'!A:R,4,FALSE)</f>
        <v>2609N</v>
      </c>
      <c r="Q159" s="54" t="str">
        <f>VLOOKUP(D159,'2.Bookinglist'!A:CT,12,FALSE)</f>
        <v>PCI2</v>
      </c>
      <c r="R159" s="56" t="str">
        <f>IF(LEFT(K159,2)="22","20'","40'")</f>
        <v>40'</v>
      </c>
      <c r="S159" s="38"/>
      <c r="T159" s="54" t="str">
        <f>VLOOKUP(A159,'1.Loading'!A:R,2,FALSE)</f>
        <v>2026-10-28</v>
      </c>
      <c r="U159" s="57">
        <f>T159-S159</f>
        <v>46323</v>
      </c>
      <c r="V159" s="58"/>
      <c r="W159" s="54" t="str">
        <f>VLOOKUP(A159,'3.GateMove'!A:D,4,FALSE)</f>
        <v>2026-10-05</v>
      </c>
      <c r="X159" s="57">
        <f>((T159-W159)+1)</f>
        <v>24</v>
      </c>
      <c r="Y159" s="59">
        <f>IF(AND(OR(C159="BKK01",C159="BKK04"),L159="CFS/CY"),0,IF(M159="DG",1,IF(LEFT(C159,3)="LCH",7,IF(C159="BKK02",5,3))))</f>
        <v>7</v>
      </c>
      <c r="Z159" s="57">
        <f>IF(IF(AND(AC159="TML",AB159&gt;0),((T159-W159)+1)-AB159,((T159-W159)+1)-Y159)&gt;0,IF(AND(AC159="TML",AB159&gt;0),((T159-W159)+1)-AB159,((T159-W159)+1)-Y159),0)</f>
        <v>17</v>
      </c>
      <c r="AA159" s="48">
        <f>IF(AND(B159="G1",M159=""),IF(R159="20'",
VLOOKUP(Z159,Charge!$K$2:$M$5,2,TRUE)+(Z159-VLOOKUP(Z159,Charge!$K$2:$M$5,1,TRUE))*VLOOKUP(Z159,Charge!$K$2:$M$5,3,TRUE),
VLOOKUP(Z159,Charge!$N$2:$P$5,2,TRUE)+(Z159-VLOOKUP(Z159,Charge!$N$2:$P$5,1,TRUE))*VLOOKUP(Z159,Charge!$N$2:$P$5,3,TRUE)),
IF(AND(B159="G1",M159="DG"),IF(R159="20'",
VLOOKUP(Z159,Charge!$R$2:$T$5,2,TRUE)+(Z159-VLOOKUP(Z159,Charge!$R$2:$T$5,1,TRUE))*VLOOKUP(Z159,Charge!$R$2:$T$5,3,TRUE),
VLOOKUP(Z159,Charge!$U$2:$W$5,2,TRUE)+(Z159-VLOOKUP(Z159,Charge!$U$2:$W$5,1,TRUE))*VLOOKUP(Z159,Charge!$U$2:$W$5,3,TRUE)),
IF(AND(B159="G3",M159=""),IF(R159="20'",
VLOOKUP(Z159,Charge!$K$18:$M$21,2,TRUE)+(Z159-VLOOKUP(Z159,Charge!$K$18:$M$21,1,TRUE))*VLOOKUP(Z159,Charge!$K$18:$M$21,3,TRUE),
VLOOKUP(Z159,Charge!$N$18:$P$21,2,TRUE)+(Z159-VLOOKUP(Z159,Charge!$N$18:$P$21,1,TRUE))*VLOOKUP(Z159,Charge!$N$18:$P$21,3,TRUE)),
IF(AND(B159="G3",M159="DG"),IF(R159="20'",
VLOOKUP(Z159,Charge!$R$18:$T$21,2,TRUE)+(Z159-VLOOKUP(Z159,Charge!$R$18:$T$21,1,TRUE))*VLOOKUP(Z159,Charge!$R$18:$T$21,3,TRUE),
VLOOKUP(Z159,Charge!$U$18:$W$21,2,TRUE)+(Z159-VLOOKUP(Z159,Charge!$U$18:$W$21,1,TRUE))*VLOOKUP(Z159,Charge!$U$18:$W$21,3,TRUE)),
IF(AND(B159="G2",M159=""),IF(R159="20'",
VLOOKUP(Z159,Charge!$K$9:$M$12,2,TRUE)+(Z159-VLOOKUP(Z159,Charge!$K$9:$M$12,1,TRUE))*VLOOKUP(Z159,Charge!$K$9:$M$12,3,TRUE),
VLOOKUP(Z159,Charge!$N$9:$P$12,2,TRUE)+(Z159-VLOOKUP(Z159,Charge!$N$9:$P$12,1,TRUE))*VLOOKUP(Z159,Charge!$N$9:$P$12,3,TRUE)),
IF(AND(B159="G2",M159="DG"),IF(R159="20'",
VLOOKUP(Z159,Charge!$R$9:$T$12,2,TRUE)+(Z159-VLOOKUP(Z159,Charge!$R$9:$T$12,1,TRUE))*VLOOKUP(Z159,Charge!$R$9:$T$12,3,TRUE),
VLOOKUP(Z159,Charge!$U$9:$W$12,2,TRUE)+(Z159-VLOOKUP(Z159,Charge!$U$9:$W$12,1,TRUE))*VLOOKUP(Z159,Charge!$U$9:$W$12,3,TRUE)),IF(AND(B159="G4",M159=""),IF(R159="20'",Z159*Charge!$M$25,Z159*Charge!$P$25),IF(AND(B159="G4",M159="DG"),IF(R159="20'",Z159*Charge!$T$25,Z159*Charge!$W$25),0))))))))</f>
        <v>7650</v>
      </c>
      <c r="AB159" s="53"/>
      <c r="AC159" s="53"/>
      <c r="AD159" s="56">
        <f>IF(M159="DG",3,IF(N159="RF",3,5))+IF(AND(LEFT(C159,3)="BKK",N159="RF",Q159="KTS"),1,0)+IF(Q159="KHS",1,0)</f>
        <v>5</v>
      </c>
      <c r="AE159" s="57">
        <f>(T159-V159)+1</f>
        <v>46324</v>
      </c>
      <c r="AF159" s="57">
        <f>IF(AB159&gt;IF((V159-W159)&gt;0,V159-W159,0),0,IF(AB159&lt;IF((V159-W159)&gt;0,V159-W159,0),IF((V159-W159)&gt;0,V159-W159,0)-AB159,IF((V159-W159)&gt;0,V159-W159,0)))</f>
        <v>0</v>
      </c>
      <c r="AG159" s="48">
        <f>IF(AND(M159=""),IF(R159="20'",
VLOOKUP(AF159,Charge!$K$31:$M$34,2,TRUE)+(AF159-VLOOKUP(AF159,Charge!$K$31:$M$34,1,TRUE))*VLOOKUP(AF159,Charge!$K$31:$M$34,3,TRUE),
VLOOKUP(AF159,Charge!$N$31:$P$34,2,TRUE)+(AF159-VLOOKUP(AF159,Charge!$N$31:$P$34,1,TRUE))*VLOOKUP(AF159,Charge!$N$31:$P$34,3,TRUE)),
IF(AND(M159="DG"),IF(R159="20'",
VLOOKUP(AF159,Charge!$R$31:$T$34,2,TRUE)+(AF159-VLOOKUP(AF159,Charge!$R$31:$T$34,1,TRUE))*VLOOKUP(AF159,Charge!$R$31:$T$34,3,TRUE),
VLOOKUP(AF159,Charge!$U$31:$W$34,2,TRUE)+(AF159-VLOOKUP(AF159,Charge!$U$31:$W$34,1,TRUE))*VLOOKUP(AF159,Charge!$U$31:$W$34,3,TRUE)),0))</f>
        <v>0</v>
      </c>
      <c r="AH159" s="60"/>
      <c r="AI159" s="60">
        <f>AA159-AH159</f>
        <v>7650</v>
      </c>
      <c r="AJ159" s="61"/>
      <c r="AK159" s="55" t="str">
        <f>VLOOKUP(D159,'2.Bookinglist'!A:CT,40,FALSE)</f>
        <v>Nannaapust Sukporntaweewat</v>
      </c>
      <c r="AL159" s="56" t="str">
        <f>VLOOKUP(D159,'2.Bookinglist'!A:CW,101,FALSE)</f>
        <v>2026-10-22</v>
      </c>
      <c r="AM159" s="56" t="str">
        <f>VLOOKUP(D159,'2.Bookinglist'!A:BK,63,FALSE)</f>
        <v>LCHY5</v>
      </c>
      <c r="AN159" s="55" t="str">
        <f>VLOOKUP(D159,'2.Bookinglist'!A:AZ,52,FALSE)</f>
        <v>Pickup : 2026-10-02, Return : 2026-10-04 *1ST RETURN CNTR DD.08/10/2026*</v>
      </c>
      <c r="AO159" s="55" t="str">
        <f>VLOOKUP(D159,'2.Bookinglist'!A:CY,103,FALSE)</f>
        <v>ROLL OVER FROM PREVIOUS VSL SWRG 2609N BY ALLOCATION TEAM MS.TAN APPROVED COST IS UNDER HA DD.09/10</v>
      </c>
    </row>
    <row r="160" ht="12.95" customHeight="1" spans="1:41" x14ac:dyDescent="0.25">
      <c r="A160" s="3" t="s">
        <v>240</v>
      </c>
      <c r="B160" s="53" t="str">
        <f>IF(C160=Charge!$M$1,Charge!$J$1,IF(C160=Charge!$M$23,Charge!$J$23,IF(C160=Charge!$M$17,Charge!$J$17,IF(C160=Charge!$N$17,Charge!$J$17,Charge!$J$7))))</f>
        <v>G2</v>
      </c>
      <c r="C160" s="54" t="str">
        <f>VLOOKUP(A160,'1.Loading'!A:R,14,FALSE)</f>
        <v>LCH06</v>
      </c>
      <c r="D160" s="54" t="str">
        <f>VLOOKUP(A160,'1.Loading'!A:R,17,FALSE)</f>
        <v>HASLS22261000876</v>
      </c>
      <c r="E160" s="55" t="str">
        <f>VLOOKUP(D160,'2.Bookinglist'!A:CT,27,FALSE)</f>
        <v>SUN-OCEAN GLOBAL SUPPLY CHAIN CO., LTD.</v>
      </c>
      <c r="F160" s="55" t="str">
        <f>VLOOKUP(D160,'2.Bookinglist'!A:CT,28,FALSE)</f>
        <v>I.P. ONE COMPANY LIMITED</v>
      </c>
      <c r="G160" s="56" t="str">
        <f>VLOOKUP(D160,'2.Bookinglist'!A:E,5,FALSE)</f>
        <v>THSRP</v>
      </c>
      <c r="H160" s="54" t="str">
        <f>VLOOKUP(D160,'2.Bookinglist'!A:CT,15,FALSE)</f>
        <v>THLCH</v>
      </c>
      <c r="I160" s="54" t="str">
        <f>VLOOKUP(D160,'2.Bookinglist'!A:CT,19,FALSE)</f>
        <v>CNSHA</v>
      </c>
      <c r="J160" s="54">
        <f>VLOOKUP(D160,'2.Bookinglist'!A:CT,26,FALSE)</f>
        <v>0</v>
      </c>
      <c r="K160" s="54" t="str">
        <f>VLOOKUP(A160,'1.Loading'!A:R,5,FALSE)</f>
        <v>45GP</v>
      </c>
      <c r="L160" s="56" t="str">
        <f>VLOOKUP(D160,'2.Bookinglist'!A:CT,85,FALSE)</f>
        <v>CY/CY</v>
      </c>
      <c r="M160" s="56" t="str">
        <f>IF(VLOOKUP(D160,'2.Bookinglist'!A:CT,43,FALSE)=0,"","DG")</f>
        <v/>
      </c>
      <c r="N160" s="56" t="str">
        <f>IF(RIGHT(K160,2)="RE","RF","")</f>
        <v/>
      </c>
      <c r="O160" s="54" t="str">
        <f>VLOOKUP(A160,'1.Loading'!A:R,3,FALSE)</f>
        <v>HMVY</v>
      </c>
      <c r="P160" s="54" t="str">
        <f>VLOOKUP(A160,'1.Loading'!A:R,4,FALSE)</f>
        <v>2609N</v>
      </c>
      <c r="Q160" s="54" t="str">
        <f>VLOOKUP(D160,'2.Bookinglist'!A:CT,12,FALSE)</f>
        <v>PCI2</v>
      </c>
      <c r="R160" s="56" t="str">
        <f>IF(LEFT(K160,2)="22","20'","40'")</f>
        <v>40'</v>
      </c>
      <c r="S160" s="38"/>
      <c r="T160" s="54" t="str">
        <f>VLOOKUP(A160,'1.Loading'!A:R,2,FALSE)</f>
        <v>2026-10-28</v>
      </c>
      <c r="U160" s="57">
        <f>T160-S160</f>
        <v>46323</v>
      </c>
      <c r="V160" s="58"/>
      <c r="W160" s="54" t="str">
        <f>VLOOKUP(A160,'3.GateMove'!A:D,4,FALSE)</f>
        <v>2026-10-23</v>
      </c>
      <c r="X160" s="57">
        <f>((T160-W160)+1)</f>
        <v>6</v>
      </c>
      <c r="Y160" s="59">
        <f>IF(AND(OR(C160="BKK01",C160="BKK04"),L160="CFS/CY"),0,IF(M160="DG",1,IF(LEFT(C160,3)="LCH",7,IF(C160="BKK02",5,3))))</f>
        <v>7</v>
      </c>
      <c r="Z160" s="57">
        <f>IF(IF(AND(AC160="TML",AB160&gt;0),((T160-W160)+1)-AB160,((T160-W160)+1)-Y160)&gt;0,IF(AND(AC160="TML",AB160&gt;0),((T160-W160)+1)-AB160,((T160-W160)+1)-Y160),0)</f>
        <v>0</v>
      </c>
      <c r="AA160" s="48">
        <f>IF(AND(B160="G1",M160=""),IF(R160="20'",
VLOOKUP(Z160,Charge!$K$2:$M$5,2,TRUE)+(Z160-VLOOKUP(Z160,Charge!$K$2:$M$5,1,TRUE))*VLOOKUP(Z160,Charge!$K$2:$M$5,3,TRUE),
VLOOKUP(Z160,Charge!$N$2:$P$5,2,TRUE)+(Z160-VLOOKUP(Z160,Charge!$N$2:$P$5,1,TRUE))*VLOOKUP(Z160,Charge!$N$2:$P$5,3,TRUE)),
IF(AND(B160="G1",M160="DG"),IF(R160="20'",
VLOOKUP(Z160,Charge!$R$2:$T$5,2,TRUE)+(Z160-VLOOKUP(Z160,Charge!$R$2:$T$5,1,TRUE))*VLOOKUP(Z160,Charge!$R$2:$T$5,3,TRUE),
VLOOKUP(Z160,Charge!$U$2:$W$5,2,TRUE)+(Z160-VLOOKUP(Z160,Charge!$U$2:$W$5,1,TRUE))*VLOOKUP(Z160,Charge!$U$2:$W$5,3,TRUE)),
IF(AND(B160="G3",M160=""),IF(R160="20'",
VLOOKUP(Z160,Charge!$K$18:$M$21,2,TRUE)+(Z160-VLOOKUP(Z160,Charge!$K$18:$M$21,1,TRUE))*VLOOKUP(Z160,Charge!$K$18:$M$21,3,TRUE),
VLOOKUP(Z160,Charge!$N$18:$P$21,2,TRUE)+(Z160-VLOOKUP(Z160,Charge!$N$18:$P$21,1,TRUE))*VLOOKUP(Z160,Charge!$N$18:$P$21,3,TRUE)),
IF(AND(B160="G3",M160="DG"),IF(R160="20'",
VLOOKUP(Z160,Charge!$R$18:$T$21,2,TRUE)+(Z160-VLOOKUP(Z160,Charge!$R$18:$T$21,1,TRUE))*VLOOKUP(Z160,Charge!$R$18:$T$21,3,TRUE),
VLOOKUP(Z160,Charge!$U$18:$W$21,2,TRUE)+(Z160-VLOOKUP(Z160,Charge!$U$18:$W$21,1,TRUE))*VLOOKUP(Z160,Charge!$U$18:$W$21,3,TRUE)),
IF(AND(B160="G2",M160=""),IF(R160="20'",
VLOOKUP(Z160,Charge!$K$9:$M$12,2,TRUE)+(Z160-VLOOKUP(Z160,Charge!$K$9:$M$12,1,TRUE))*VLOOKUP(Z160,Charge!$K$9:$M$12,3,TRUE),
VLOOKUP(Z160,Charge!$N$9:$P$12,2,TRUE)+(Z160-VLOOKUP(Z160,Charge!$N$9:$P$12,1,TRUE))*VLOOKUP(Z160,Charge!$N$9:$P$12,3,TRUE)),
IF(AND(B160="G2",M160="DG"),IF(R160="20'",
VLOOKUP(Z160,Charge!$R$9:$T$12,2,TRUE)+(Z160-VLOOKUP(Z160,Charge!$R$9:$T$12,1,TRUE))*VLOOKUP(Z160,Charge!$R$9:$T$12,3,TRUE),
VLOOKUP(Z160,Charge!$U$9:$W$12,2,TRUE)+(Z160-VLOOKUP(Z160,Charge!$U$9:$W$12,1,TRUE))*VLOOKUP(Z160,Charge!$U$9:$W$12,3,TRUE)),IF(AND(B160="G4",M160=""),IF(R160="20'",Z160*Charge!$M$25,Z160*Charge!$P$25),IF(AND(B160="G4",M160="DG"),IF(R160="20'",Z160*Charge!$T$25,Z160*Charge!$W$25),0))))))))</f>
        <v>0</v>
      </c>
      <c r="AB160" s="53"/>
      <c r="AC160" s="53"/>
      <c r="AD160" s="56">
        <f>IF(M160="DG",3,IF(N160="RF",3,5))+IF(AND(LEFT(C160,3)="BKK",N160="RF",Q160="KTS"),1,0)+IF(Q160="KHS",1,0)</f>
        <v>5</v>
      </c>
      <c r="AE160" s="57">
        <f>(T160-V160)+1</f>
        <v>46324</v>
      </c>
      <c r="AF160" s="57">
        <f>IF(AB160&gt;IF((V160-W160)&gt;0,V160-W160,0),0,IF(AB160&lt;IF((V160-W160)&gt;0,V160-W160,0),IF((V160-W160)&gt;0,V160-W160,0)-AB160,IF((V160-W160)&gt;0,V160-W160,0)))</f>
        <v>0</v>
      </c>
      <c r="AG160" s="48">
        <f>IF(AND(M160=""),IF(R160="20'",
VLOOKUP(AF160,Charge!$K$31:$M$34,2,TRUE)+(AF160-VLOOKUP(AF160,Charge!$K$31:$M$34,1,TRUE))*VLOOKUP(AF160,Charge!$K$31:$M$34,3,TRUE),
VLOOKUP(AF160,Charge!$N$31:$P$34,2,TRUE)+(AF160-VLOOKUP(AF160,Charge!$N$31:$P$34,1,TRUE))*VLOOKUP(AF160,Charge!$N$31:$P$34,3,TRUE)),
IF(AND(M160="DG"),IF(R160="20'",
VLOOKUP(AF160,Charge!$R$31:$T$34,2,TRUE)+(AF160-VLOOKUP(AF160,Charge!$R$31:$T$34,1,TRUE))*VLOOKUP(AF160,Charge!$R$31:$T$34,3,TRUE),
VLOOKUP(AF160,Charge!$U$31:$W$34,2,TRUE)+(AF160-VLOOKUP(AF160,Charge!$U$31:$W$34,1,TRUE))*VLOOKUP(AF160,Charge!$U$31:$W$34,3,TRUE)),0))</f>
        <v>0</v>
      </c>
      <c r="AH160" s="60"/>
      <c r="AI160" s="60">
        <f>AA160-AH160</f>
        <v>0</v>
      </c>
      <c r="AJ160" s="61"/>
      <c r="AK160" s="55" t="str">
        <f>VLOOKUP(D160,'2.Bookinglist'!A:CT,40,FALSE)</f>
        <v>Arunphat W. (Aiw)</v>
      </c>
      <c r="AL160" s="56" t="str">
        <f>VLOOKUP(D160,'2.Bookinglist'!A:CW,101,FALSE)</f>
        <v>2026-10-22</v>
      </c>
      <c r="AM160" s="56" t="str">
        <f>VLOOKUP(D160,'2.Bookinglist'!A:BK,63,FALSE)</f>
        <v>BKK27</v>
      </c>
      <c r="AN160" s="55" t="str">
        <f>VLOOKUP(D160,'2.Bookinglist'!A:AZ,52,FALSE)</f>
        <v>Pickup : 2026-10-16, Return SRP : 2026-10-17 [PAPERLESS CODE 2829]
CLS TIME 24/10/26 @21.00 (1ST RETURN 17/10/26)</v>
      </c>
      <c r="AO160" s="55">
        <f>VLOOKUP(D160,'2.Bookinglist'!A:CY,103,FALSE)</f>
        <v>0</v>
      </c>
    </row>
    <row r="161" ht="12.95" customHeight="1" spans="1:41" x14ac:dyDescent="0.25">
      <c r="A161" s="3" t="s">
        <v>217</v>
      </c>
      <c r="B161" s="53" t="str">
        <f>IF(C161=Charge!$M$1,Charge!$J$1,IF(C161=Charge!$M$23,Charge!$J$23,IF(C161=Charge!$M$17,Charge!$J$17,IF(C161=Charge!$N$17,Charge!$J$17,Charge!$J$7))))</f>
        <v>G2</v>
      </c>
      <c r="C161" s="54" t="str">
        <f>VLOOKUP(A161,'1.Loading'!A:R,14,FALSE)</f>
        <v>LCH06</v>
      </c>
      <c r="D161" s="54" t="str">
        <f>VLOOKUP(A161,'1.Loading'!A:R,17,FALSE)</f>
        <v>HASLS22261001118</v>
      </c>
      <c r="E161" s="55" t="str">
        <f>VLOOKUP(D161,'2.Bookinglist'!A:CT,27,FALSE)</f>
        <v>K-APEX (THAILAND) CO., LTD.</v>
      </c>
      <c r="F161" s="55" t="str">
        <f>VLOOKUP(D161,'2.Bookinglist'!A:CT,28,FALSE)</f>
        <v>FIRST MATERIAL SCIENCE (THAILAND) CO., LTD.</v>
      </c>
      <c r="G161" s="56">
        <f>VLOOKUP(D161,'2.Bookinglist'!A:E,5,FALSE)</f>
        <v>0</v>
      </c>
      <c r="H161" s="54" t="str">
        <f>VLOOKUP(D161,'2.Bookinglist'!A:CT,15,FALSE)</f>
        <v>THLCH</v>
      </c>
      <c r="I161" s="54" t="str">
        <f>VLOOKUP(D161,'2.Bookinglist'!A:CT,19,FALSE)</f>
        <v>CNSHA</v>
      </c>
      <c r="J161" s="54">
        <f>VLOOKUP(D161,'2.Bookinglist'!A:CT,26,FALSE)</f>
        <v>0</v>
      </c>
      <c r="K161" s="54" t="str">
        <f>VLOOKUP(A161,'1.Loading'!A:R,5,FALSE)</f>
        <v>45GP</v>
      </c>
      <c r="L161" s="56" t="str">
        <f>VLOOKUP(D161,'2.Bookinglist'!A:CT,85,FALSE)</f>
        <v>CY/CY</v>
      </c>
      <c r="M161" s="56" t="str">
        <f>IF(VLOOKUP(D161,'2.Bookinglist'!A:CT,43,FALSE)=0,"","DG")</f>
        <v/>
      </c>
      <c r="N161" s="56" t="str">
        <f>IF(RIGHT(K161,2)="RE","RF","")</f>
        <v/>
      </c>
      <c r="O161" s="54" t="str">
        <f>VLOOKUP(A161,'1.Loading'!A:R,3,FALSE)</f>
        <v>HMVY</v>
      </c>
      <c r="P161" s="54" t="str">
        <f>VLOOKUP(A161,'1.Loading'!A:R,4,FALSE)</f>
        <v>2609N</v>
      </c>
      <c r="Q161" s="54" t="str">
        <f>VLOOKUP(D161,'2.Bookinglist'!A:CT,12,FALSE)</f>
        <v>PCI2</v>
      </c>
      <c r="R161" s="56" t="str">
        <f>IF(LEFT(K161,2)="22","20'","40'")</f>
        <v>40'</v>
      </c>
      <c r="S161" s="38"/>
      <c r="T161" s="54" t="str">
        <f>VLOOKUP(A161,'1.Loading'!A:R,2,FALSE)</f>
        <v>2026-10-28</v>
      </c>
      <c r="U161" s="57">
        <f>T161-S161</f>
        <v>46323</v>
      </c>
      <c r="V161" s="58"/>
      <c r="W161" s="54" t="str">
        <f>VLOOKUP(A161,'3.GateMove'!A:D,4,FALSE)</f>
        <v>2026-10-22</v>
      </c>
      <c r="X161" s="57">
        <f>((T161-W161)+1)</f>
        <v>7</v>
      </c>
      <c r="Y161" s="59">
        <f>IF(AND(OR(C161="BKK01",C161="BKK04"),L161="CFS/CY"),0,IF(M161="DG",1,IF(LEFT(C161,3)="LCH",7,IF(C161="BKK02",5,3))))</f>
        <v>7</v>
      </c>
      <c r="Z161" s="57">
        <f>IF(IF(AND(AC161="TML",AB161&gt;0),((T161-W161)+1)-AB161,((T161-W161)+1)-Y161)&gt;0,IF(AND(AC161="TML",AB161&gt;0),((T161-W161)+1)-AB161,((T161-W161)+1)-Y161),0)</f>
        <v>0</v>
      </c>
      <c r="AA161" s="48">
        <f>IF(AND(B161="G1",M161=""),IF(R161="20'",
VLOOKUP(Z161,Charge!$K$2:$M$5,2,TRUE)+(Z161-VLOOKUP(Z161,Charge!$K$2:$M$5,1,TRUE))*VLOOKUP(Z161,Charge!$K$2:$M$5,3,TRUE),
VLOOKUP(Z161,Charge!$N$2:$P$5,2,TRUE)+(Z161-VLOOKUP(Z161,Charge!$N$2:$P$5,1,TRUE))*VLOOKUP(Z161,Charge!$N$2:$P$5,3,TRUE)),
IF(AND(B161="G1",M161="DG"),IF(R161="20'",
VLOOKUP(Z161,Charge!$R$2:$T$5,2,TRUE)+(Z161-VLOOKUP(Z161,Charge!$R$2:$T$5,1,TRUE))*VLOOKUP(Z161,Charge!$R$2:$T$5,3,TRUE),
VLOOKUP(Z161,Charge!$U$2:$W$5,2,TRUE)+(Z161-VLOOKUP(Z161,Charge!$U$2:$W$5,1,TRUE))*VLOOKUP(Z161,Charge!$U$2:$W$5,3,TRUE)),
IF(AND(B161="G3",M161=""),IF(R161="20'",
VLOOKUP(Z161,Charge!$K$18:$M$21,2,TRUE)+(Z161-VLOOKUP(Z161,Charge!$K$18:$M$21,1,TRUE))*VLOOKUP(Z161,Charge!$K$18:$M$21,3,TRUE),
VLOOKUP(Z161,Charge!$N$18:$P$21,2,TRUE)+(Z161-VLOOKUP(Z161,Charge!$N$18:$P$21,1,TRUE))*VLOOKUP(Z161,Charge!$N$18:$P$21,3,TRUE)),
IF(AND(B161="G3",M161="DG"),IF(R161="20'",
VLOOKUP(Z161,Charge!$R$18:$T$21,2,TRUE)+(Z161-VLOOKUP(Z161,Charge!$R$18:$T$21,1,TRUE))*VLOOKUP(Z161,Charge!$R$18:$T$21,3,TRUE),
VLOOKUP(Z161,Charge!$U$18:$W$21,2,TRUE)+(Z161-VLOOKUP(Z161,Charge!$U$18:$W$21,1,TRUE))*VLOOKUP(Z161,Charge!$U$18:$W$21,3,TRUE)),
IF(AND(B161="G2",M161=""),IF(R161="20'",
VLOOKUP(Z161,Charge!$K$9:$M$12,2,TRUE)+(Z161-VLOOKUP(Z161,Charge!$K$9:$M$12,1,TRUE))*VLOOKUP(Z161,Charge!$K$9:$M$12,3,TRUE),
VLOOKUP(Z161,Charge!$N$9:$P$12,2,TRUE)+(Z161-VLOOKUP(Z161,Charge!$N$9:$P$12,1,TRUE))*VLOOKUP(Z161,Charge!$N$9:$P$12,3,TRUE)),
IF(AND(B161="G2",M161="DG"),IF(R161="20'",
VLOOKUP(Z161,Charge!$R$9:$T$12,2,TRUE)+(Z161-VLOOKUP(Z161,Charge!$R$9:$T$12,1,TRUE))*VLOOKUP(Z161,Charge!$R$9:$T$12,3,TRUE),
VLOOKUP(Z161,Charge!$U$9:$W$12,2,TRUE)+(Z161-VLOOKUP(Z161,Charge!$U$9:$W$12,1,TRUE))*VLOOKUP(Z161,Charge!$U$9:$W$12,3,TRUE)),IF(AND(B161="G4",M161=""),IF(R161="20'",Z161*Charge!$M$25,Z161*Charge!$P$25),IF(AND(B161="G4",M161="DG"),IF(R161="20'",Z161*Charge!$T$25,Z161*Charge!$W$25),0))))))))</f>
        <v>0</v>
      </c>
      <c r="AB161" s="53"/>
      <c r="AC161" s="53"/>
      <c r="AD161" s="56">
        <f>IF(M161="DG",3,IF(N161="RF",3,5))+IF(AND(LEFT(C161,3)="BKK",N161="RF",Q161="KTS"),1,0)+IF(Q161="KHS",1,0)</f>
        <v>5</v>
      </c>
      <c r="AE161" s="57">
        <f>(T161-V161)+1</f>
        <v>46324</v>
      </c>
      <c r="AF161" s="57">
        <f>IF(AB161&gt;IF((V161-W161)&gt;0,V161-W161,0),0,IF(AB161&lt;IF((V161-W161)&gt;0,V161-W161,0),IF((V161-W161)&gt;0,V161-W161,0)-AB161,IF((V161-W161)&gt;0,V161-W161,0)))</f>
        <v>0</v>
      </c>
      <c r="AG161" s="48">
        <f>IF(AND(M161=""),IF(R161="20'",
VLOOKUP(AF161,Charge!$K$31:$M$34,2,TRUE)+(AF161-VLOOKUP(AF161,Charge!$K$31:$M$34,1,TRUE))*VLOOKUP(AF161,Charge!$K$31:$M$34,3,TRUE),
VLOOKUP(AF161,Charge!$N$31:$P$34,2,TRUE)+(AF161-VLOOKUP(AF161,Charge!$N$31:$P$34,1,TRUE))*VLOOKUP(AF161,Charge!$N$31:$P$34,3,TRUE)),
IF(AND(M161="DG"),IF(R161="20'",
VLOOKUP(AF161,Charge!$R$31:$T$34,2,TRUE)+(AF161-VLOOKUP(AF161,Charge!$R$31:$T$34,1,TRUE))*VLOOKUP(AF161,Charge!$R$31:$T$34,3,TRUE),
VLOOKUP(AF161,Charge!$U$31:$W$34,2,TRUE)+(AF161-VLOOKUP(AF161,Charge!$U$31:$W$34,1,TRUE))*VLOOKUP(AF161,Charge!$U$31:$W$34,3,TRUE)),0))</f>
        <v>0</v>
      </c>
      <c r="AH161" s="60"/>
      <c r="AI161" s="60">
        <f>AA161-AH161</f>
        <v>0</v>
      </c>
      <c r="AJ161" s="61"/>
      <c r="AK161" s="55" t="str">
        <f>VLOOKUP(D161,'2.Bookinglist'!A:CT,40,FALSE)</f>
        <v>Nannaapust Sukporntaweewat</v>
      </c>
      <c r="AL161" s="56" t="str">
        <f>VLOOKUP(D161,'2.Bookinglist'!A:CW,101,FALSE)</f>
        <v>2026-10-25</v>
      </c>
      <c r="AM161" s="56" t="str">
        <f>VLOOKUP(D161,'2.Bookinglist'!A:BK,63,FALSE)</f>
        <v>LCHY5</v>
      </c>
      <c r="AN161" s="55" t="str">
        <f>VLOOKUP(D161,'2.Bookinglist'!A:AZ,52,FALSE)</f>
        <v>Pickup : 2026-10-20, Return : 2026-10-21</v>
      </c>
      <c r="AO161" s="55">
        <f>VLOOKUP(D161,'2.Bookinglist'!A:CY,103,FALSE)</f>
        <v>0</v>
      </c>
    </row>
    <row r="162" ht="12.95" customHeight="1" spans="1:41" x14ac:dyDescent="0.25">
      <c r="A162" s="3" t="s">
        <v>209</v>
      </c>
      <c r="B162" s="53" t="str">
        <f>IF(C162=Charge!$M$1,Charge!$J$1,IF(C162=Charge!$M$23,Charge!$J$23,IF(C162=Charge!$M$17,Charge!$J$17,IF(C162=Charge!$N$17,Charge!$J$17,Charge!$J$7))))</f>
        <v>G2</v>
      </c>
      <c r="C162" s="54" t="str">
        <f>VLOOKUP(A162,'1.Loading'!A:R,14,FALSE)</f>
        <v>LCH06</v>
      </c>
      <c r="D162" s="54" t="str">
        <f>VLOOKUP(A162,'1.Loading'!A:R,17,FALSE)</f>
        <v>HASLS22260900442</v>
      </c>
      <c r="E162" s="55" t="str">
        <f>VLOOKUP(D162,'2.Bookinglist'!A:CT,27,FALSE)</f>
        <v>BARKLAYS LOGISTICS (THAILAND) CO., LTD.</v>
      </c>
      <c r="F162" s="55" t="str">
        <f>VLOOKUP(D162,'2.Bookinglist'!A:CT,28,FALSE)</f>
        <v>SHUN YI INTERNATIONAL TRADING CO., LTD.</v>
      </c>
      <c r="G162" s="56">
        <f>VLOOKUP(D162,'2.Bookinglist'!A:E,5,FALSE)</f>
        <v>0</v>
      </c>
      <c r="H162" s="54" t="str">
        <f>VLOOKUP(D162,'2.Bookinglist'!A:CT,15,FALSE)</f>
        <v>THLCH</v>
      </c>
      <c r="I162" s="54" t="str">
        <f>VLOOKUP(D162,'2.Bookinglist'!A:CT,19,FALSE)</f>
        <v>CNSHA</v>
      </c>
      <c r="J162" s="54">
        <f>VLOOKUP(D162,'2.Bookinglist'!A:CT,26,FALSE)</f>
        <v>0</v>
      </c>
      <c r="K162" s="54" t="str">
        <f>VLOOKUP(A162,'1.Loading'!A:R,5,FALSE)</f>
        <v>45GP</v>
      </c>
      <c r="L162" s="56" t="str">
        <f>VLOOKUP(D162,'2.Bookinglist'!A:CT,85,FALSE)</f>
        <v>CY/CY</v>
      </c>
      <c r="M162" s="56" t="str">
        <f>IF(VLOOKUP(D162,'2.Bookinglist'!A:CT,43,FALSE)=0,"","DG")</f>
        <v/>
      </c>
      <c r="N162" s="56" t="str">
        <f>IF(RIGHT(K162,2)="RE","RF","")</f>
        <v/>
      </c>
      <c r="O162" s="54" t="str">
        <f>VLOOKUP(A162,'1.Loading'!A:R,3,FALSE)</f>
        <v>HMVY</v>
      </c>
      <c r="P162" s="54" t="str">
        <f>VLOOKUP(A162,'1.Loading'!A:R,4,FALSE)</f>
        <v>2609N</v>
      </c>
      <c r="Q162" s="54" t="str">
        <f>VLOOKUP(D162,'2.Bookinglist'!A:CT,12,FALSE)</f>
        <v>PCI2</v>
      </c>
      <c r="R162" s="56" t="str">
        <f>IF(LEFT(K162,2)="22","20'","40'")</f>
        <v>40'</v>
      </c>
      <c r="S162" s="38"/>
      <c r="T162" s="54" t="str">
        <f>VLOOKUP(A162,'1.Loading'!A:R,2,FALSE)</f>
        <v>2026-10-28</v>
      </c>
      <c r="U162" s="57">
        <f>T162-S162</f>
        <v>46323</v>
      </c>
      <c r="V162" s="58"/>
      <c r="W162" s="54" t="str">
        <f>VLOOKUP(A162,'3.GateMove'!A:D,4,FALSE)</f>
        <v>2026-10-04</v>
      </c>
      <c r="X162" s="57">
        <f>((T162-W162)+1)</f>
        <v>25</v>
      </c>
      <c r="Y162" s="59">
        <f>IF(AND(OR(C162="BKK01",C162="BKK04"),L162="CFS/CY"),0,IF(M162="DG",1,IF(LEFT(C162,3)="LCH",7,IF(C162="BKK02",5,3))))</f>
        <v>7</v>
      </c>
      <c r="Z162" s="57">
        <f>IF(IF(AND(AC162="TML",AB162&gt;0),((T162-W162)+1)-AB162,((T162-W162)+1)-Y162)&gt;0,IF(AND(AC162="TML",AB162&gt;0),((T162-W162)+1)-AB162,((T162-W162)+1)-Y162),0)</f>
        <v>18</v>
      </c>
      <c r="AA162" s="48">
        <f>IF(AND(B162="G1",M162=""),IF(R162="20'",
VLOOKUP(Z162,Charge!$K$2:$M$5,2,TRUE)+(Z162-VLOOKUP(Z162,Charge!$K$2:$M$5,1,TRUE))*VLOOKUP(Z162,Charge!$K$2:$M$5,3,TRUE),
VLOOKUP(Z162,Charge!$N$2:$P$5,2,TRUE)+(Z162-VLOOKUP(Z162,Charge!$N$2:$P$5,1,TRUE))*VLOOKUP(Z162,Charge!$N$2:$P$5,3,TRUE)),
IF(AND(B162="G1",M162="DG"),IF(R162="20'",
VLOOKUP(Z162,Charge!$R$2:$T$5,2,TRUE)+(Z162-VLOOKUP(Z162,Charge!$R$2:$T$5,1,TRUE))*VLOOKUP(Z162,Charge!$R$2:$T$5,3,TRUE),
VLOOKUP(Z162,Charge!$U$2:$W$5,2,TRUE)+(Z162-VLOOKUP(Z162,Charge!$U$2:$W$5,1,TRUE))*VLOOKUP(Z162,Charge!$U$2:$W$5,3,TRUE)),
IF(AND(B162="G3",M162=""),IF(R162="20'",
VLOOKUP(Z162,Charge!$K$18:$M$21,2,TRUE)+(Z162-VLOOKUP(Z162,Charge!$K$18:$M$21,1,TRUE))*VLOOKUP(Z162,Charge!$K$18:$M$21,3,TRUE),
VLOOKUP(Z162,Charge!$N$18:$P$21,2,TRUE)+(Z162-VLOOKUP(Z162,Charge!$N$18:$P$21,1,TRUE))*VLOOKUP(Z162,Charge!$N$18:$P$21,3,TRUE)),
IF(AND(B162="G3",M162="DG"),IF(R162="20'",
VLOOKUP(Z162,Charge!$R$18:$T$21,2,TRUE)+(Z162-VLOOKUP(Z162,Charge!$R$18:$T$21,1,TRUE))*VLOOKUP(Z162,Charge!$R$18:$T$21,3,TRUE),
VLOOKUP(Z162,Charge!$U$18:$W$21,2,TRUE)+(Z162-VLOOKUP(Z162,Charge!$U$18:$W$21,1,TRUE))*VLOOKUP(Z162,Charge!$U$18:$W$21,3,TRUE)),
IF(AND(B162="G2",M162=""),IF(R162="20'",
VLOOKUP(Z162,Charge!$K$9:$M$12,2,TRUE)+(Z162-VLOOKUP(Z162,Charge!$K$9:$M$12,1,TRUE))*VLOOKUP(Z162,Charge!$K$9:$M$12,3,TRUE),
VLOOKUP(Z162,Charge!$N$9:$P$12,2,TRUE)+(Z162-VLOOKUP(Z162,Charge!$N$9:$P$12,1,TRUE))*VLOOKUP(Z162,Charge!$N$9:$P$12,3,TRUE)),
IF(AND(B162="G2",M162="DG"),IF(R162="20'",
VLOOKUP(Z162,Charge!$R$9:$T$12,2,TRUE)+(Z162-VLOOKUP(Z162,Charge!$R$9:$T$12,1,TRUE))*VLOOKUP(Z162,Charge!$R$9:$T$12,3,TRUE),
VLOOKUP(Z162,Charge!$U$9:$W$12,2,TRUE)+(Z162-VLOOKUP(Z162,Charge!$U$9:$W$12,1,TRUE))*VLOOKUP(Z162,Charge!$U$9:$W$12,3,TRUE)),IF(AND(B162="G4",M162=""),IF(R162="20'",Z162*Charge!$M$25,Z162*Charge!$P$25),IF(AND(B162="G4",M162="DG"),IF(R162="20'",Z162*Charge!$T$25,Z162*Charge!$W$25),0))))))))</f>
        <v>8450</v>
      </c>
      <c r="AB162" s="53"/>
      <c r="AC162" s="53"/>
      <c r="AD162" s="56">
        <f>IF(M162="DG",3,IF(N162="RF",3,5))+IF(AND(LEFT(C162,3)="BKK",N162="RF",Q162="KTS"),1,0)+IF(Q162="KHS",1,0)</f>
        <v>5</v>
      </c>
      <c r="AE162" s="57">
        <f>(T162-V162)+1</f>
        <v>46324</v>
      </c>
      <c r="AF162" s="57">
        <f>IF(AB162&gt;IF((V162-W162)&gt;0,V162-W162,0),0,IF(AB162&lt;IF((V162-W162)&gt;0,V162-W162,0),IF((V162-W162)&gt;0,V162-W162,0)-AB162,IF((V162-W162)&gt;0,V162-W162,0)))</f>
        <v>0</v>
      </c>
      <c r="AG162" s="48">
        <f>IF(AND(M162=""),IF(R162="20'",
VLOOKUP(AF162,Charge!$K$31:$M$34,2,TRUE)+(AF162-VLOOKUP(AF162,Charge!$K$31:$M$34,1,TRUE))*VLOOKUP(AF162,Charge!$K$31:$M$34,3,TRUE),
VLOOKUP(AF162,Charge!$N$31:$P$34,2,TRUE)+(AF162-VLOOKUP(AF162,Charge!$N$31:$P$34,1,TRUE))*VLOOKUP(AF162,Charge!$N$31:$P$34,3,TRUE)),
IF(AND(M162="DG"),IF(R162="20'",
VLOOKUP(AF162,Charge!$R$31:$T$34,2,TRUE)+(AF162-VLOOKUP(AF162,Charge!$R$31:$T$34,1,TRUE))*VLOOKUP(AF162,Charge!$R$31:$T$34,3,TRUE),
VLOOKUP(AF162,Charge!$U$31:$W$34,2,TRUE)+(AF162-VLOOKUP(AF162,Charge!$U$31:$W$34,1,TRUE))*VLOOKUP(AF162,Charge!$U$31:$W$34,3,TRUE)),0))</f>
        <v>0</v>
      </c>
      <c r="AH162" s="60"/>
      <c r="AI162" s="60">
        <f>AA162-AH162</f>
        <v>8450</v>
      </c>
      <c r="AJ162" s="61"/>
      <c r="AK162" s="55" t="str">
        <f>VLOOKUP(D162,'2.Bookinglist'!A:CT,40,FALSE)</f>
        <v>Nannaapust Sukporntaweewat</v>
      </c>
      <c r="AL162" s="56" t="str">
        <f>VLOOKUP(D162,'2.Bookinglist'!A:CW,101,FALSE)</f>
        <v>2026-10-22</v>
      </c>
      <c r="AM162" s="56" t="str">
        <f>VLOOKUP(D162,'2.Bookinglist'!A:BK,63,FALSE)</f>
        <v>LCHY5</v>
      </c>
      <c r="AN162" s="55" t="str">
        <f>VLOOKUP(D162,'2.Bookinglist'!A:AZ,52,FALSE)</f>
        <v>Pickup : 2026-10-02, Return : 2026-10-04 *1ST RETURN CNTR DD.08/10/2026*</v>
      </c>
      <c r="AO162" s="55" t="str">
        <f>VLOOKUP(D162,'2.Bookinglist'!A:CY,103,FALSE)</f>
        <v>ROLL OVER FROM PREVIOUS VSL SWRG 2609N BY ALLOCATION TEAM MS.TAN APPROVED COST IS UNDER HA DD.09/10</v>
      </c>
    </row>
    <row r="163" ht="12.95" customHeight="1" spans="1:41" x14ac:dyDescent="0.25">
      <c r="A163" s="3" t="s">
        <v>255</v>
      </c>
      <c r="B163" s="53" t="str">
        <f>IF(C163=Charge!$M$1,Charge!$J$1,IF(C163=Charge!$M$23,Charge!$J$23,IF(C163=Charge!$M$17,Charge!$J$17,IF(C163=Charge!$N$17,Charge!$J$17,Charge!$J$7))))</f>
        <v>G2</v>
      </c>
      <c r="C163" s="54" t="str">
        <f>VLOOKUP(A163,'1.Loading'!A:R,14,FALSE)</f>
        <v>LCH06</v>
      </c>
      <c r="D163" s="54" t="str">
        <f>VLOOKUP(A163,'1.Loading'!A:R,17,FALSE)</f>
        <v>HASLS22260900723</v>
      </c>
      <c r="E163" s="55" t="str">
        <f>VLOOKUP(D163,'2.Bookinglist'!A:CT,27,FALSE)</f>
        <v>SCGJWD LOGISTICS PUBLIC COMPANY LIMITED</v>
      </c>
      <c r="F163" s="55" t="str">
        <f>VLOOKUP(D163,'2.Bookinglist'!A:CT,28,FALSE)</f>
        <v>THAI POLYETHYLENE CO., LTD.</v>
      </c>
      <c r="G163" s="56">
        <f>VLOOKUP(D163,'2.Bookinglist'!A:E,5,FALSE)</f>
        <v>0</v>
      </c>
      <c r="H163" s="54" t="str">
        <f>VLOOKUP(D163,'2.Bookinglist'!A:CT,15,FALSE)</f>
        <v>THLCH</v>
      </c>
      <c r="I163" s="54" t="str">
        <f>VLOOKUP(D163,'2.Bookinglist'!A:CT,19,FALSE)</f>
        <v>CNSHA</v>
      </c>
      <c r="J163" s="54">
        <f>VLOOKUP(D163,'2.Bookinglist'!A:CT,26,FALSE)</f>
        <v>0</v>
      </c>
      <c r="K163" s="54" t="str">
        <f>VLOOKUP(A163,'1.Loading'!A:R,5,FALSE)</f>
        <v>45GP</v>
      </c>
      <c r="L163" s="56" t="str">
        <f>VLOOKUP(D163,'2.Bookinglist'!A:CT,85,FALSE)</f>
        <v>CY/CY</v>
      </c>
      <c r="M163" s="56" t="str">
        <f>IF(VLOOKUP(D163,'2.Bookinglist'!A:CT,43,FALSE)=0,"","DG")</f>
        <v/>
      </c>
      <c r="N163" s="56" t="str">
        <f>IF(RIGHT(K163,2)="RE","RF","")</f>
        <v/>
      </c>
      <c r="O163" s="54" t="str">
        <f>VLOOKUP(A163,'1.Loading'!A:R,3,FALSE)</f>
        <v>HMVY</v>
      </c>
      <c r="P163" s="54" t="str">
        <f>VLOOKUP(A163,'1.Loading'!A:R,4,FALSE)</f>
        <v>2609N</v>
      </c>
      <c r="Q163" s="54" t="str">
        <f>VLOOKUP(D163,'2.Bookinglist'!A:CT,12,FALSE)</f>
        <v>PCI2</v>
      </c>
      <c r="R163" s="56" t="str">
        <f>IF(LEFT(K163,2)="22","20'","40'")</f>
        <v>40'</v>
      </c>
      <c r="S163" s="38"/>
      <c r="T163" s="54" t="str">
        <f>VLOOKUP(A163,'1.Loading'!A:R,2,FALSE)</f>
        <v>2026-10-28</v>
      </c>
      <c r="U163" s="57">
        <f>T163-S163</f>
        <v>46323</v>
      </c>
      <c r="V163" s="58"/>
      <c r="W163" s="54" t="str">
        <f>VLOOKUP(A163,'3.GateMove'!A:D,4,FALSE)</f>
        <v>2026-10-22</v>
      </c>
      <c r="X163" s="57">
        <f>((T163-W163)+1)</f>
        <v>7</v>
      </c>
      <c r="Y163" s="59">
        <f>IF(AND(OR(C163="BKK01",C163="BKK04"),L163="CFS/CY"),0,IF(M163="DG",1,IF(LEFT(C163,3)="LCH",7,IF(C163="BKK02",5,3))))</f>
        <v>7</v>
      </c>
      <c r="Z163" s="57">
        <f>IF(IF(AND(AC163="TML",AB163&gt;0),((T163-W163)+1)-AB163,((T163-W163)+1)-Y163)&gt;0,IF(AND(AC163="TML",AB163&gt;0),((T163-W163)+1)-AB163,((T163-W163)+1)-Y163),0)</f>
        <v>0</v>
      </c>
      <c r="AA163" s="48">
        <f>IF(AND(B163="G1",M163=""),IF(R163="20'",
VLOOKUP(Z163,Charge!$K$2:$M$5,2,TRUE)+(Z163-VLOOKUP(Z163,Charge!$K$2:$M$5,1,TRUE))*VLOOKUP(Z163,Charge!$K$2:$M$5,3,TRUE),
VLOOKUP(Z163,Charge!$N$2:$P$5,2,TRUE)+(Z163-VLOOKUP(Z163,Charge!$N$2:$P$5,1,TRUE))*VLOOKUP(Z163,Charge!$N$2:$P$5,3,TRUE)),
IF(AND(B163="G1",M163="DG"),IF(R163="20'",
VLOOKUP(Z163,Charge!$R$2:$T$5,2,TRUE)+(Z163-VLOOKUP(Z163,Charge!$R$2:$T$5,1,TRUE))*VLOOKUP(Z163,Charge!$R$2:$T$5,3,TRUE),
VLOOKUP(Z163,Charge!$U$2:$W$5,2,TRUE)+(Z163-VLOOKUP(Z163,Charge!$U$2:$W$5,1,TRUE))*VLOOKUP(Z163,Charge!$U$2:$W$5,3,TRUE)),
IF(AND(B163="G3",M163=""),IF(R163="20'",
VLOOKUP(Z163,Charge!$K$18:$M$21,2,TRUE)+(Z163-VLOOKUP(Z163,Charge!$K$18:$M$21,1,TRUE))*VLOOKUP(Z163,Charge!$K$18:$M$21,3,TRUE),
VLOOKUP(Z163,Charge!$N$18:$P$21,2,TRUE)+(Z163-VLOOKUP(Z163,Charge!$N$18:$P$21,1,TRUE))*VLOOKUP(Z163,Charge!$N$18:$P$21,3,TRUE)),
IF(AND(B163="G3",M163="DG"),IF(R163="20'",
VLOOKUP(Z163,Charge!$R$18:$T$21,2,TRUE)+(Z163-VLOOKUP(Z163,Charge!$R$18:$T$21,1,TRUE))*VLOOKUP(Z163,Charge!$R$18:$T$21,3,TRUE),
VLOOKUP(Z163,Charge!$U$18:$W$21,2,TRUE)+(Z163-VLOOKUP(Z163,Charge!$U$18:$W$21,1,TRUE))*VLOOKUP(Z163,Charge!$U$18:$W$21,3,TRUE)),
IF(AND(B163="G2",M163=""),IF(R163="20'",
VLOOKUP(Z163,Charge!$K$9:$M$12,2,TRUE)+(Z163-VLOOKUP(Z163,Charge!$K$9:$M$12,1,TRUE))*VLOOKUP(Z163,Charge!$K$9:$M$12,3,TRUE),
VLOOKUP(Z163,Charge!$N$9:$P$12,2,TRUE)+(Z163-VLOOKUP(Z163,Charge!$N$9:$P$12,1,TRUE))*VLOOKUP(Z163,Charge!$N$9:$P$12,3,TRUE)),
IF(AND(B163="G2",M163="DG"),IF(R163="20'",
VLOOKUP(Z163,Charge!$R$9:$T$12,2,TRUE)+(Z163-VLOOKUP(Z163,Charge!$R$9:$T$12,1,TRUE))*VLOOKUP(Z163,Charge!$R$9:$T$12,3,TRUE),
VLOOKUP(Z163,Charge!$U$9:$W$12,2,TRUE)+(Z163-VLOOKUP(Z163,Charge!$U$9:$W$12,1,TRUE))*VLOOKUP(Z163,Charge!$U$9:$W$12,3,TRUE)),IF(AND(B163="G4",M163=""),IF(R163="20'",Z163*Charge!$M$25,Z163*Charge!$P$25),IF(AND(B163="G4",M163="DG"),IF(R163="20'",Z163*Charge!$T$25,Z163*Charge!$W$25),0))))))))</f>
        <v>0</v>
      </c>
      <c r="AB163" s="53"/>
      <c r="AC163" s="53"/>
      <c r="AD163" s="56">
        <f>IF(M163="DG",3,IF(N163="RF",3,5))+IF(AND(LEFT(C163,3)="BKK",N163="RF",Q163="KTS"),1,0)+IF(Q163="KHS",1,0)</f>
        <v>5</v>
      </c>
      <c r="AE163" s="57">
        <f>(T163-V163)+1</f>
        <v>46324</v>
      </c>
      <c r="AF163" s="57">
        <f>IF(AB163&gt;IF((V163-W163)&gt;0,V163-W163,0),0,IF(AB163&lt;IF((V163-W163)&gt;0,V163-W163,0),IF((V163-W163)&gt;0,V163-W163,0)-AB163,IF((V163-W163)&gt;0,V163-W163,0)))</f>
        <v>0</v>
      </c>
      <c r="AG163" s="48">
        <f>IF(AND(M163=""),IF(R163="20'",
VLOOKUP(AF163,Charge!$K$31:$M$34,2,TRUE)+(AF163-VLOOKUP(AF163,Charge!$K$31:$M$34,1,TRUE))*VLOOKUP(AF163,Charge!$K$31:$M$34,3,TRUE),
VLOOKUP(AF163,Charge!$N$31:$P$34,2,TRUE)+(AF163-VLOOKUP(AF163,Charge!$N$31:$P$34,1,TRUE))*VLOOKUP(AF163,Charge!$N$31:$P$34,3,TRUE)),
IF(AND(M163="DG"),IF(R163="20'",
VLOOKUP(AF163,Charge!$R$31:$T$34,2,TRUE)+(AF163-VLOOKUP(AF163,Charge!$R$31:$T$34,1,TRUE))*VLOOKUP(AF163,Charge!$R$31:$T$34,3,TRUE),
VLOOKUP(AF163,Charge!$U$31:$W$34,2,TRUE)+(AF163-VLOOKUP(AF163,Charge!$U$31:$W$34,1,TRUE))*VLOOKUP(AF163,Charge!$U$31:$W$34,3,TRUE)),0))</f>
        <v>0</v>
      </c>
      <c r="AH163" s="60"/>
      <c r="AI163" s="60">
        <f>AA163-AH163</f>
        <v>0</v>
      </c>
      <c r="AJ163" s="61"/>
      <c r="AK163" s="55" t="str">
        <f>VLOOKUP(D163,'2.Bookinglist'!A:CT,40,FALSE)</f>
        <v>Kanokporn</v>
      </c>
      <c r="AL163" s="56" t="str">
        <f>VLOOKUP(D163,'2.Bookinglist'!A:CW,101,FALSE)</f>
        <v>2026-10-28</v>
      </c>
      <c r="AM163" s="56" t="str">
        <f>VLOOKUP(D163,'2.Bookinglist'!A:BK,63,FALSE)</f>
        <v>LCHY5</v>
      </c>
      <c r="AN163" s="55" t="str">
        <f>VLOOKUP(D163,'2.Bookinglist'!A:AZ,52,FALSE)</f>
        <v>CY-RTN: 16-20/10/2026 
(INV.3031062765) 
REQ GOOD AND CLEAN CONT., NO OIL, NO RUSTY</v>
      </c>
      <c r="AO163" s="55" t="str">
        <f>VLOOKUP(D163,'2.Bookinglist'!A:CY,103,FALSE)</f>
        <v>ROLL OVER FROM PREVIOUS VSL HAB 2612N BY ALLOCATION TEAM MS.TAN APPROVED COST IS UNDER HA DD.26/10</v>
      </c>
    </row>
    <row r="164" ht="12.95" customHeight="1" spans="1:41" x14ac:dyDescent="0.25">
      <c r="A164" s="3" t="s">
        <v>256</v>
      </c>
      <c r="B164" s="53" t="str">
        <f>IF(C164=Charge!$M$1,Charge!$J$1,IF(C164=Charge!$M$23,Charge!$J$23,IF(C164=Charge!$M$17,Charge!$J$17,IF(C164=Charge!$N$17,Charge!$J$17,Charge!$J$7))))</f>
        <v>G2</v>
      </c>
      <c r="C164" s="54" t="str">
        <f>VLOOKUP(A164,'1.Loading'!A:R,14,FALSE)</f>
        <v>LCH06</v>
      </c>
      <c r="D164" s="54" t="str">
        <f>VLOOKUP(A164,'1.Loading'!A:R,17,FALSE)</f>
        <v>HASLS22260901311</v>
      </c>
      <c r="E164" s="55" t="str">
        <f>VLOOKUP(D164,'2.Bookinglist'!A:CT,27,FALSE)</f>
        <v>WHA GC LOGISTICS COMPANY LIMITED</v>
      </c>
      <c r="F164" s="55" t="str">
        <f>VLOOKUP(D164,'2.Bookinglist'!A:CT,28,FALSE)</f>
        <v>PTT GLOBAL CHEMICAL PUBLIC COMPANY LIMITED</v>
      </c>
      <c r="G164" s="56">
        <f>VLOOKUP(D164,'2.Bookinglist'!A:E,5,FALSE)</f>
        <v>0</v>
      </c>
      <c r="H164" s="54" t="str">
        <f>VLOOKUP(D164,'2.Bookinglist'!A:CT,15,FALSE)</f>
        <v>THLCH</v>
      </c>
      <c r="I164" s="54" t="str">
        <f>VLOOKUP(D164,'2.Bookinglist'!A:CT,19,FALSE)</f>
        <v>CNSHA</v>
      </c>
      <c r="J164" s="54">
        <f>VLOOKUP(D164,'2.Bookinglist'!A:CT,26,FALSE)</f>
        <v>0</v>
      </c>
      <c r="K164" s="54" t="str">
        <f>VLOOKUP(A164,'1.Loading'!A:R,5,FALSE)</f>
        <v>45GP</v>
      </c>
      <c r="L164" s="56" t="str">
        <f>VLOOKUP(D164,'2.Bookinglist'!A:CT,85,FALSE)</f>
        <v>CY/CY</v>
      </c>
      <c r="M164" s="56" t="str">
        <f>IF(VLOOKUP(D164,'2.Bookinglist'!A:CT,43,FALSE)=0,"","DG")</f>
        <v/>
      </c>
      <c r="N164" s="56" t="str">
        <f>IF(RIGHT(K164,2)="RE","RF","")</f>
        <v/>
      </c>
      <c r="O164" s="54" t="str">
        <f>VLOOKUP(A164,'1.Loading'!A:R,3,FALSE)</f>
        <v>HMVY</v>
      </c>
      <c r="P164" s="54" t="str">
        <f>VLOOKUP(A164,'1.Loading'!A:R,4,FALSE)</f>
        <v>2609N</v>
      </c>
      <c r="Q164" s="54" t="str">
        <f>VLOOKUP(D164,'2.Bookinglist'!A:CT,12,FALSE)</f>
        <v>PCI2</v>
      </c>
      <c r="R164" s="56" t="str">
        <f>IF(LEFT(K164,2)="22","20'","40'")</f>
        <v>40'</v>
      </c>
      <c r="S164" s="38"/>
      <c r="T164" s="54" t="str">
        <f>VLOOKUP(A164,'1.Loading'!A:R,2,FALSE)</f>
        <v>2026-10-28</v>
      </c>
      <c r="U164" s="57">
        <f>T164-S164</f>
        <v>46323</v>
      </c>
      <c r="V164" s="58"/>
      <c r="W164" s="54" t="str">
        <f>VLOOKUP(A164,'3.GateMove'!A:D,4,FALSE)</f>
        <v>2026-10-25</v>
      </c>
      <c r="X164" s="57">
        <f>((T164-W164)+1)</f>
        <v>4</v>
      </c>
      <c r="Y164" s="59">
        <f>IF(AND(OR(C164="BKK01",C164="BKK04"),L164="CFS/CY"),0,IF(M164="DG",1,IF(LEFT(C164,3)="LCH",7,IF(C164="BKK02",5,3))))</f>
        <v>7</v>
      </c>
      <c r="Z164" s="57">
        <f>IF(IF(AND(AC164="TML",AB164&gt;0),((T164-W164)+1)-AB164,((T164-W164)+1)-Y164)&gt;0,IF(AND(AC164="TML",AB164&gt;0),((T164-W164)+1)-AB164,((T164-W164)+1)-Y164),0)</f>
        <v>0</v>
      </c>
      <c r="AA164" s="48">
        <f>IF(AND(B164="G1",M164=""),IF(R164="20'",
VLOOKUP(Z164,Charge!$K$2:$M$5,2,TRUE)+(Z164-VLOOKUP(Z164,Charge!$K$2:$M$5,1,TRUE))*VLOOKUP(Z164,Charge!$K$2:$M$5,3,TRUE),
VLOOKUP(Z164,Charge!$N$2:$P$5,2,TRUE)+(Z164-VLOOKUP(Z164,Charge!$N$2:$P$5,1,TRUE))*VLOOKUP(Z164,Charge!$N$2:$P$5,3,TRUE)),
IF(AND(B164="G1",M164="DG"),IF(R164="20'",
VLOOKUP(Z164,Charge!$R$2:$T$5,2,TRUE)+(Z164-VLOOKUP(Z164,Charge!$R$2:$T$5,1,TRUE))*VLOOKUP(Z164,Charge!$R$2:$T$5,3,TRUE),
VLOOKUP(Z164,Charge!$U$2:$W$5,2,TRUE)+(Z164-VLOOKUP(Z164,Charge!$U$2:$W$5,1,TRUE))*VLOOKUP(Z164,Charge!$U$2:$W$5,3,TRUE)),
IF(AND(B164="G3",M164=""),IF(R164="20'",
VLOOKUP(Z164,Charge!$K$18:$M$21,2,TRUE)+(Z164-VLOOKUP(Z164,Charge!$K$18:$M$21,1,TRUE))*VLOOKUP(Z164,Charge!$K$18:$M$21,3,TRUE),
VLOOKUP(Z164,Charge!$N$18:$P$21,2,TRUE)+(Z164-VLOOKUP(Z164,Charge!$N$18:$P$21,1,TRUE))*VLOOKUP(Z164,Charge!$N$18:$P$21,3,TRUE)),
IF(AND(B164="G3",M164="DG"),IF(R164="20'",
VLOOKUP(Z164,Charge!$R$18:$T$21,2,TRUE)+(Z164-VLOOKUP(Z164,Charge!$R$18:$T$21,1,TRUE))*VLOOKUP(Z164,Charge!$R$18:$T$21,3,TRUE),
VLOOKUP(Z164,Charge!$U$18:$W$21,2,TRUE)+(Z164-VLOOKUP(Z164,Charge!$U$18:$W$21,1,TRUE))*VLOOKUP(Z164,Charge!$U$18:$W$21,3,TRUE)),
IF(AND(B164="G2",M164=""),IF(R164="20'",
VLOOKUP(Z164,Charge!$K$9:$M$12,2,TRUE)+(Z164-VLOOKUP(Z164,Charge!$K$9:$M$12,1,TRUE))*VLOOKUP(Z164,Charge!$K$9:$M$12,3,TRUE),
VLOOKUP(Z164,Charge!$N$9:$P$12,2,TRUE)+(Z164-VLOOKUP(Z164,Charge!$N$9:$P$12,1,TRUE))*VLOOKUP(Z164,Charge!$N$9:$P$12,3,TRUE)),
IF(AND(B164="G2",M164="DG"),IF(R164="20'",
VLOOKUP(Z164,Charge!$R$9:$T$12,2,TRUE)+(Z164-VLOOKUP(Z164,Charge!$R$9:$T$12,1,TRUE))*VLOOKUP(Z164,Charge!$R$9:$T$12,3,TRUE),
VLOOKUP(Z164,Charge!$U$9:$W$12,2,TRUE)+(Z164-VLOOKUP(Z164,Charge!$U$9:$W$12,1,TRUE))*VLOOKUP(Z164,Charge!$U$9:$W$12,3,TRUE)),IF(AND(B164="G4",M164=""),IF(R164="20'",Z164*Charge!$M$25,Z164*Charge!$P$25),IF(AND(B164="G4",M164="DG"),IF(R164="20'",Z164*Charge!$T$25,Z164*Charge!$W$25),0))))))))</f>
        <v>0</v>
      </c>
      <c r="AB164" s="53"/>
      <c r="AC164" s="53"/>
      <c r="AD164" s="56">
        <f>IF(M164="DG",3,IF(N164="RF",3,5))+IF(AND(LEFT(C164,3)="BKK",N164="RF",Q164="KTS"),1,0)+IF(Q164="KHS",1,0)</f>
        <v>5</v>
      </c>
      <c r="AE164" s="57">
        <f>(T164-V164)+1</f>
        <v>46324</v>
      </c>
      <c r="AF164" s="57">
        <f>IF(AB164&gt;IF((V164-W164)&gt;0,V164-W164,0),0,IF(AB164&lt;IF((V164-W164)&gt;0,V164-W164,0),IF((V164-W164)&gt;0,V164-W164,0)-AB164,IF((V164-W164)&gt;0,V164-W164,0)))</f>
        <v>0</v>
      </c>
      <c r="AG164" s="48">
        <f>IF(AND(M164=""),IF(R164="20'",
VLOOKUP(AF164,Charge!$K$31:$M$34,2,TRUE)+(AF164-VLOOKUP(AF164,Charge!$K$31:$M$34,1,TRUE))*VLOOKUP(AF164,Charge!$K$31:$M$34,3,TRUE),
VLOOKUP(AF164,Charge!$N$31:$P$34,2,TRUE)+(AF164-VLOOKUP(AF164,Charge!$N$31:$P$34,1,TRUE))*VLOOKUP(AF164,Charge!$N$31:$P$34,3,TRUE)),
IF(AND(M164="DG"),IF(R164="20'",
VLOOKUP(AF164,Charge!$R$31:$T$34,2,TRUE)+(AF164-VLOOKUP(AF164,Charge!$R$31:$T$34,1,TRUE))*VLOOKUP(AF164,Charge!$R$31:$T$34,3,TRUE),
VLOOKUP(AF164,Charge!$U$31:$W$34,2,TRUE)+(AF164-VLOOKUP(AF164,Charge!$U$31:$W$34,1,TRUE))*VLOOKUP(AF164,Charge!$U$31:$W$34,3,TRUE)),0))</f>
        <v>0</v>
      </c>
      <c r="AH164" s="60"/>
      <c r="AI164" s="60">
        <f>AA164-AH164</f>
        <v>0</v>
      </c>
      <c r="AJ164" s="61"/>
      <c r="AK164" s="55" t="str">
        <f>VLOOKUP(D164,'2.Bookinglist'!A:CT,40,FALSE)</f>
        <v>Dharaporn</v>
      </c>
      <c r="AL164" s="56" t="str">
        <f>VLOOKUP(D164,'2.Bookinglist'!A:CW,101,FALSE)</f>
        <v>2026-10-28</v>
      </c>
      <c r="AM164" s="56" t="str">
        <f>VLOOKUP(D164,'2.Bookinglist'!A:BK,63,FALSE)</f>
        <v>LCHY5</v>
      </c>
      <c r="AN164" s="55" t="str">
        <f>VLOOKUP(D164,'2.Bookinglist'!A:AZ,52,FALSE)</f>
        <v>CY-RTN: 20-23/10/2026  (1ST RETURN 22/10/26)</v>
      </c>
      <c r="AO164" s="55" t="str">
        <f>VLOOKUP(D164,'2.Bookinglist'!A:CY,103,FALSE)</f>
        <v>ROLL OVER FORM PREIVOUS VSL HAB 2612N BY ALLOCATION TEAM MS.TAN APPROVED COST IS UNDER HA DD.26/10</v>
      </c>
    </row>
    <row r="165" ht="12.95" customHeight="1" spans="1:41" x14ac:dyDescent="0.25">
      <c r="A165" s="3" t="s">
        <v>168</v>
      </c>
      <c r="B165" s="53" t="str">
        <f>IF(C165=Charge!$M$1,Charge!$J$1,IF(C165=Charge!$M$23,Charge!$J$23,IF(C165=Charge!$M$17,Charge!$J$17,IF(C165=Charge!$N$17,Charge!$J$17,Charge!$J$7))))</f>
        <v>G2</v>
      </c>
      <c r="C165" s="54" t="str">
        <f>VLOOKUP(A165,'1.Loading'!A:R,14,FALSE)</f>
        <v>LCH06</v>
      </c>
      <c r="D165" s="54" t="str">
        <f>VLOOKUP(A165,'1.Loading'!A:R,17,FALSE)</f>
        <v>HASLS22261000715</v>
      </c>
      <c r="E165" s="55" t="str">
        <f>VLOOKUP(D165,'2.Bookinglist'!A:CT,27,FALSE)</f>
        <v>MANA GLOBAL LINK CO., LTD.</v>
      </c>
      <c r="F165" s="55" t="str">
        <f>VLOOKUP(D165,'2.Bookinglist'!A:CT,28,FALSE)</f>
        <v>THAI FOENG INTERNATIONAL CO., LTD.</v>
      </c>
      <c r="G165" s="56" t="str">
        <f>VLOOKUP(D165,'2.Bookinglist'!A:E,5,FALSE)</f>
        <v>THSRP</v>
      </c>
      <c r="H165" s="54" t="str">
        <f>VLOOKUP(D165,'2.Bookinglist'!A:CT,15,FALSE)</f>
        <v>THLCH</v>
      </c>
      <c r="I165" s="54" t="str">
        <f>VLOOKUP(D165,'2.Bookinglist'!A:CT,19,FALSE)</f>
        <v>CNSHA</v>
      </c>
      <c r="J165" s="54">
        <f>VLOOKUP(D165,'2.Bookinglist'!A:CT,26,FALSE)</f>
        <v>0</v>
      </c>
      <c r="K165" s="54" t="str">
        <f>VLOOKUP(A165,'1.Loading'!A:R,5,FALSE)</f>
        <v>45GP</v>
      </c>
      <c r="L165" s="56" t="str">
        <f>VLOOKUP(D165,'2.Bookinglist'!A:CT,85,FALSE)</f>
        <v>CY/CY</v>
      </c>
      <c r="M165" s="56" t="str">
        <f>IF(VLOOKUP(D165,'2.Bookinglist'!A:CT,43,FALSE)=0,"","DG")</f>
        <v/>
      </c>
      <c r="N165" s="56" t="str">
        <f>IF(RIGHT(K165,2)="RE","RF","")</f>
        <v/>
      </c>
      <c r="O165" s="54" t="str">
        <f>VLOOKUP(A165,'1.Loading'!A:R,3,FALSE)</f>
        <v>HMVY</v>
      </c>
      <c r="P165" s="54" t="str">
        <f>VLOOKUP(A165,'1.Loading'!A:R,4,FALSE)</f>
        <v>2609N</v>
      </c>
      <c r="Q165" s="54" t="str">
        <f>VLOOKUP(D165,'2.Bookinglist'!A:CT,12,FALSE)</f>
        <v>PCI2</v>
      </c>
      <c r="R165" s="56" t="str">
        <f>IF(LEFT(K165,2)="22","20'","40'")</f>
        <v>40'</v>
      </c>
      <c r="S165" s="38"/>
      <c r="T165" s="54" t="str">
        <f>VLOOKUP(A165,'1.Loading'!A:R,2,FALSE)</f>
        <v>2026-10-28</v>
      </c>
      <c r="U165" s="57">
        <f>T165-S165</f>
        <v>46323</v>
      </c>
      <c r="V165" s="58"/>
      <c r="W165" s="54" t="str">
        <f>VLOOKUP(A165,'3.GateMove'!A:D,4,FALSE)</f>
        <v>2026-10-23</v>
      </c>
      <c r="X165" s="57">
        <f>((T165-W165)+1)</f>
        <v>6</v>
      </c>
      <c r="Y165" s="59">
        <f>IF(AND(OR(C165="BKK01",C165="BKK04"),L165="CFS/CY"),0,IF(M165="DG",1,IF(LEFT(C165,3)="LCH",7,IF(C165="BKK02",5,3))))</f>
        <v>7</v>
      </c>
      <c r="Z165" s="57">
        <f>IF(IF(AND(AC165="TML",AB165&gt;0),((T165-W165)+1)-AB165,((T165-W165)+1)-Y165)&gt;0,IF(AND(AC165="TML",AB165&gt;0),((T165-W165)+1)-AB165,((T165-W165)+1)-Y165),0)</f>
        <v>0</v>
      </c>
      <c r="AA165" s="48">
        <f>IF(AND(B165="G1",M165=""),IF(R165="20'",
VLOOKUP(Z165,Charge!$K$2:$M$5,2,TRUE)+(Z165-VLOOKUP(Z165,Charge!$K$2:$M$5,1,TRUE))*VLOOKUP(Z165,Charge!$K$2:$M$5,3,TRUE),
VLOOKUP(Z165,Charge!$N$2:$P$5,2,TRUE)+(Z165-VLOOKUP(Z165,Charge!$N$2:$P$5,1,TRUE))*VLOOKUP(Z165,Charge!$N$2:$P$5,3,TRUE)),
IF(AND(B165="G1",M165="DG"),IF(R165="20'",
VLOOKUP(Z165,Charge!$R$2:$T$5,2,TRUE)+(Z165-VLOOKUP(Z165,Charge!$R$2:$T$5,1,TRUE))*VLOOKUP(Z165,Charge!$R$2:$T$5,3,TRUE),
VLOOKUP(Z165,Charge!$U$2:$W$5,2,TRUE)+(Z165-VLOOKUP(Z165,Charge!$U$2:$W$5,1,TRUE))*VLOOKUP(Z165,Charge!$U$2:$W$5,3,TRUE)),
IF(AND(B165="G3",M165=""),IF(R165="20'",
VLOOKUP(Z165,Charge!$K$18:$M$21,2,TRUE)+(Z165-VLOOKUP(Z165,Charge!$K$18:$M$21,1,TRUE))*VLOOKUP(Z165,Charge!$K$18:$M$21,3,TRUE),
VLOOKUP(Z165,Charge!$N$18:$P$21,2,TRUE)+(Z165-VLOOKUP(Z165,Charge!$N$18:$P$21,1,TRUE))*VLOOKUP(Z165,Charge!$N$18:$P$21,3,TRUE)),
IF(AND(B165="G3",M165="DG"),IF(R165="20'",
VLOOKUP(Z165,Charge!$R$18:$T$21,2,TRUE)+(Z165-VLOOKUP(Z165,Charge!$R$18:$T$21,1,TRUE))*VLOOKUP(Z165,Charge!$R$18:$T$21,3,TRUE),
VLOOKUP(Z165,Charge!$U$18:$W$21,2,TRUE)+(Z165-VLOOKUP(Z165,Charge!$U$18:$W$21,1,TRUE))*VLOOKUP(Z165,Charge!$U$18:$W$21,3,TRUE)),
IF(AND(B165="G2",M165=""),IF(R165="20'",
VLOOKUP(Z165,Charge!$K$9:$M$12,2,TRUE)+(Z165-VLOOKUP(Z165,Charge!$K$9:$M$12,1,TRUE))*VLOOKUP(Z165,Charge!$K$9:$M$12,3,TRUE),
VLOOKUP(Z165,Charge!$N$9:$P$12,2,TRUE)+(Z165-VLOOKUP(Z165,Charge!$N$9:$P$12,1,TRUE))*VLOOKUP(Z165,Charge!$N$9:$P$12,3,TRUE)),
IF(AND(B165="G2",M165="DG"),IF(R165="20'",
VLOOKUP(Z165,Charge!$R$9:$T$12,2,TRUE)+(Z165-VLOOKUP(Z165,Charge!$R$9:$T$12,1,TRUE))*VLOOKUP(Z165,Charge!$R$9:$T$12,3,TRUE),
VLOOKUP(Z165,Charge!$U$9:$W$12,2,TRUE)+(Z165-VLOOKUP(Z165,Charge!$U$9:$W$12,1,TRUE))*VLOOKUP(Z165,Charge!$U$9:$W$12,3,TRUE)),IF(AND(B165="G4",M165=""),IF(R165="20'",Z165*Charge!$M$25,Z165*Charge!$P$25),IF(AND(B165="G4",M165="DG"),IF(R165="20'",Z165*Charge!$T$25,Z165*Charge!$W$25),0))))))))</f>
        <v>0</v>
      </c>
      <c r="AB165" s="53"/>
      <c r="AC165" s="53"/>
      <c r="AD165" s="56">
        <f>IF(M165="DG",3,IF(N165="RF",3,5))+IF(AND(LEFT(C165,3)="BKK",N165="RF",Q165="KTS"),1,0)+IF(Q165="KHS",1,0)</f>
        <v>5</v>
      </c>
      <c r="AE165" s="57">
        <f>(T165-V165)+1</f>
        <v>46324</v>
      </c>
      <c r="AF165" s="57">
        <f>IF(AB165&gt;IF((V165-W165)&gt;0,V165-W165,0),0,IF(AB165&lt;IF((V165-W165)&gt;0,V165-W165,0),IF((V165-W165)&gt;0,V165-W165,0)-AB165,IF((V165-W165)&gt;0,V165-W165,0)))</f>
        <v>0</v>
      </c>
      <c r="AG165" s="48">
        <f>IF(AND(M165=""),IF(R165="20'",
VLOOKUP(AF165,Charge!$K$31:$M$34,2,TRUE)+(AF165-VLOOKUP(AF165,Charge!$K$31:$M$34,1,TRUE))*VLOOKUP(AF165,Charge!$K$31:$M$34,3,TRUE),
VLOOKUP(AF165,Charge!$N$31:$P$34,2,TRUE)+(AF165-VLOOKUP(AF165,Charge!$N$31:$P$34,1,TRUE))*VLOOKUP(AF165,Charge!$N$31:$P$34,3,TRUE)),
IF(AND(M165="DG"),IF(R165="20'",
VLOOKUP(AF165,Charge!$R$31:$T$34,2,TRUE)+(AF165-VLOOKUP(AF165,Charge!$R$31:$T$34,1,TRUE))*VLOOKUP(AF165,Charge!$R$31:$T$34,3,TRUE),
VLOOKUP(AF165,Charge!$U$31:$W$34,2,TRUE)+(AF165-VLOOKUP(AF165,Charge!$U$31:$W$34,1,TRUE))*VLOOKUP(AF165,Charge!$U$31:$W$34,3,TRUE)),0))</f>
        <v>0</v>
      </c>
      <c r="AH165" s="60"/>
      <c r="AI165" s="60">
        <f>AA165-AH165</f>
        <v>0</v>
      </c>
      <c r="AJ165" s="61"/>
      <c r="AK165" s="55" t="str">
        <f>VLOOKUP(D165,'2.Bookinglist'!A:CT,40,FALSE)</f>
        <v>Nannaapust Sukporntaweewat</v>
      </c>
      <c r="AL165" s="56" t="str">
        <f>VLOOKUP(D165,'2.Bookinglist'!A:CW,101,FALSE)</f>
        <v>2026-10-22</v>
      </c>
      <c r="AM165" s="56" t="str">
        <f>VLOOKUP(D165,'2.Bookinglist'!A:BK,63,FALSE)</f>
        <v>BKK27</v>
      </c>
      <c r="AN165" s="55" t="str">
        <f>VLOOKUP(D165,'2.Bookinglist'!A:AZ,52,FALSE)</f>
        <v>Pickup : 2026-10-12, Return : 2026-10-14 [PAPERLESS CODE : 2829]
 CLS TIME 19/10 @12.00 [1ST RTN 16/10 W/O RENT] 
 </v>
      </c>
      <c r="AO165" s="55">
        <f>VLOOKUP(D165,'2.Bookinglist'!A:CY,103,FALSE)</f>
        <v>0</v>
      </c>
    </row>
    <row r="166" ht="12.95" customHeight="1" spans="1:41" x14ac:dyDescent="0.25">
      <c r="A166" s="3" t="s">
        <v>179</v>
      </c>
      <c r="B166" s="53" t="str">
        <f>IF(C166=Charge!$M$1,Charge!$J$1,IF(C166=Charge!$M$23,Charge!$J$23,IF(C166=Charge!$M$17,Charge!$J$17,IF(C166=Charge!$N$17,Charge!$J$17,Charge!$J$7))))</f>
        <v>G2</v>
      </c>
      <c r="C166" s="54" t="str">
        <f>VLOOKUP(A166,'1.Loading'!A:R,14,FALSE)</f>
        <v>LCH06</v>
      </c>
      <c r="D166" s="54" t="str">
        <f>VLOOKUP(A166,'1.Loading'!A:R,17,FALSE)</f>
        <v>HASLS22260901682</v>
      </c>
      <c r="E166" s="55" t="str">
        <f>VLOOKUP(D166,'2.Bookinglist'!A:CT,27,FALSE)</f>
        <v>WHA GC LOGISTICS COMPANY LIMITED</v>
      </c>
      <c r="F166" s="55" t="str">
        <f>VLOOKUP(D166,'2.Bookinglist'!A:CT,28,FALSE)</f>
        <v>PTT GLOBAL CHEMICAL PUBLIC COMPANY LIMITED</v>
      </c>
      <c r="G166" s="56">
        <f>VLOOKUP(D166,'2.Bookinglist'!A:E,5,FALSE)</f>
        <v>0</v>
      </c>
      <c r="H166" s="54" t="str">
        <f>VLOOKUP(D166,'2.Bookinglist'!A:CT,15,FALSE)</f>
        <v>THLCH</v>
      </c>
      <c r="I166" s="54" t="str">
        <f>VLOOKUP(D166,'2.Bookinglist'!A:CT,19,FALSE)</f>
        <v>JPMYJ</v>
      </c>
      <c r="J166" s="54" t="str">
        <f>VLOOKUP(D166,'2.Bookinglist'!A:CT,26,FALSE)</f>
        <v>KRPUS</v>
      </c>
      <c r="K166" s="54" t="str">
        <f>VLOOKUP(A166,'1.Loading'!A:R,5,FALSE)</f>
        <v>45GP</v>
      </c>
      <c r="L166" s="56" t="str">
        <f>VLOOKUP(D166,'2.Bookinglist'!A:CT,85,FALSE)</f>
        <v>CY/CY</v>
      </c>
      <c r="M166" s="56" t="str">
        <f>IF(VLOOKUP(D166,'2.Bookinglist'!A:CT,43,FALSE)=0,"","DG")</f>
        <v/>
      </c>
      <c r="N166" s="56" t="str">
        <f>IF(RIGHT(K166,2)="RE","RF","")</f>
        <v/>
      </c>
      <c r="O166" s="54" t="str">
        <f>VLOOKUP(A166,'1.Loading'!A:R,3,FALSE)</f>
        <v>HMVY</v>
      </c>
      <c r="P166" s="54" t="str">
        <f>VLOOKUP(A166,'1.Loading'!A:R,4,FALSE)</f>
        <v>2609N</v>
      </c>
      <c r="Q166" s="54" t="str">
        <f>VLOOKUP(D166,'2.Bookinglist'!A:CT,12,FALSE)</f>
        <v>PCI2</v>
      </c>
      <c r="R166" s="56" t="str">
        <f>IF(LEFT(K166,2)="22","20'","40'")</f>
        <v>40'</v>
      </c>
      <c r="S166" s="38"/>
      <c r="T166" s="54" t="str">
        <f>VLOOKUP(A166,'1.Loading'!A:R,2,FALSE)</f>
        <v>2026-10-28</v>
      </c>
      <c r="U166" s="57">
        <f>T166-S166</f>
        <v>46323</v>
      </c>
      <c r="V166" s="58"/>
      <c r="W166" s="54" t="str">
        <f>VLOOKUP(A166,'3.GateMove'!A:D,4,FALSE)</f>
        <v>2026-10-18</v>
      </c>
      <c r="X166" s="57">
        <f>((T166-W166)+1)</f>
        <v>11</v>
      </c>
      <c r="Y166" s="59">
        <f>IF(AND(OR(C166="BKK01",C166="BKK04"),L166="CFS/CY"),0,IF(M166="DG",1,IF(LEFT(C166,3)="LCH",7,IF(C166="BKK02",5,3))))</f>
        <v>7</v>
      </c>
      <c r="Z166" s="57">
        <f>IF(IF(AND(AC166="TML",AB166&gt;0),((T166-W166)+1)-AB166,((T166-W166)+1)-Y166)&gt;0,IF(AND(AC166="TML",AB166&gt;0),((T166-W166)+1)-AB166,((T166-W166)+1)-Y166),0)</f>
        <v>4</v>
      </c>
      <c r="AA166" s="48">
        <f>IF(AND(B166="G1",M166=""),IF(R166="20'",
VLOOKUP(Z166,Charge!$K$2:$M$5,2,TRUE)+(Z166-VLOOKUP(Z166,Charge!$K$2:$M$5,1,TRUE))*VLOOKUP(Z166,Charge!$K$2:$M$5,3,TRUE),
VLOOKUP(Z166,Charge!$N$2:$P$5,2,TRUE)+(Z166-VLOOKUP(Z166,Charge!$N$2:$P$5,1,TRUE))*VLOOKUP(Z166,Charge!$N$2:$P$5,3,TRUE)),
IF(AND(B166="G1",M166="DG"),IF(R166="20'",
VLOOKUP(Z166,Charge!$R$2:$T$5,2,TRUE)+(Z166-VLOOKUP(Z166,Charge!$R$2:$T$5,1,TRUE))*VLOOKUP(Z166,Charge!$R$2:$T$5,3,TRUE),
VLOOKUP(Z166,Charge!$U$2:$W$5,2,TRUE)+(Z166-VLOOKUP(Z166,Charge!$U$2:$W$5,1,TRUE))*VLOOKUP(Z166,Charge!$U$2:$W$5,3,TRUE)),
IF(AND(B166="G3",M166=""),IF(R166="20'",
VLOOKUP(Z166,Charge!$K$18:$M$21,2,TRUE)+(Z166-VLOOKUP(Z166,Charge!$K$18:$M$21,1,TRUE))*VLOOKUP(Z166,Charge!$K$18:$M$21,3,TRUE),
VLOOKUP(Z166,Charge!$N$18:$P$21,2,TRUE)+(Z166-VLOOKUP(Z166,Charge!$N$18:$P$21,1,TRUE))*VLOOKUP(Z166,Charge!$N$18:$P$21,3,TRUE)),
IF(AND(B166="G3",M166="DG"),IF(R166="20'",
VLOOKUP(Z166,Charge!$R$18:$T$21,2,TRUE)+(Z166-VLOOKUP(Z166,Charge!$R$18:$T$21,1,TRUE))*VLOOKUP(Z166,Charge!$R$18:$T$21,3,TRUE),
VLOOKUP(Z166,Charge!$U$18:$W$21,2,TRUE)+(Z166-VLOOKUP(Z166,Charge!$U$18:$W$21,1,TRUE))*VLOOKUP(Z166,Charge!$U$18:$W$21,3,TRUE)),
IF(AND(B166="G2",M166=""),IF(R166="20'",
VLOOKUP(Z166,Charge!$K$9:$M$12,2,TRUE)+(Z166-VLOOKUP(Z166,Charge!$K$9:$M$12,1,TRUE))*VLOOKUP(Z166,Charge!$K$9:$M$12,3,TRUE),
VLOOKUP(Z166,Charge!$N$9:$P$12,2,TRUE)+(Z166-VLOOKUP(Z166,Charge!$N$9:$P$12,1,TRUE))*VLOOKUP(Z166,Charge!$N$9:$P$12,3,TRUE)),
IF(AND(B166="G2",M166="DG"),IF(R166="20'",
VLOOKUP(Z166,Charge!$R$9:$T$12,2,TRUE)+(Z166-VLOOKUP(Z166,Charge!$R$9:$T$12,1,TRUE))*VLOOKUP(Z166,Charge!$R$9:$T$12,3,TRUE),
VLOOKUP(Z166,Charge!$U$9:$W$12,2,TRUE)+(Z166-VLOOKUP(Z166,Charge!$U$9:$W$12,1,TRUE))*VLOOKUP(Z166,Charge!$U$9:$W$12,3,TRUE)),IF(AND(B166="G4",M166=""),IF(R166="20'",Z166*Charge!$M$25,Z166*Charge!$P$25),IF(AND(B166="G4",M166="DG"),IF(R166="20'",Z166*Charge!$T$25,Z166*Charge!$W$25),0))))))))</f>
        <v>1000</v>
      </c>
      <c r="AB166" s="53"/>
      <c r="AC166" s="53"/>
      <c r="AD166" s="56">
        <f>IF(M166="DG",3,IF(N166="RF",3,5))+IF(AND(LEFT(C166,3)="BKK",N166="RF",Q166="KTS"),1,0)+IF(Q166="KHS",1,0)</f>
        <v>5</v>
      </c>
      <c r="AE166" s="57">
        <f>(T166-V166)+1</f>
        <v>46324</v>
      </c>
      <c r="AF166" s="57">
        <f>IF(AB166&gt;IF((V166-W166)&gt;0,V166-W166,0),0,IF(AB166&lt;IF((V166-W166)&gt;0,V166-W166,0),IF((V166-W166)&gt;0,V166-W166,0)-AB166,IF((V166-W166)&gt;0,V166-W166,0)))</f>
        <v>0</v>
      </c>
      <c r="AG166" s="48">
        <f>IF(AND(M166=""),IF(R166="20'",
VLOOKUP(AF166,Charge!$K$31:$M$34,2,TRUE)+(AF166-VLOOKUP(AF166,Charge!$K$31:$M$34,1,TRUE))*VLOOKUP(AF166,Charge!$K$31:$M$34,3,TRUE),
VLOOKUP(AF166,Charge!$N$31:$P$34,2,TRUE)+(AF166-VLOOKUP(AF166,Charge!$N$31:$P$34,1,TRUE))*VLOOKUP(AF166,Charge!$N$31:$P$34,3,TRUE)),
IF(AND(M166="DG"),IF(R166="20'",
VLOOKUP(AF166,Charge!$R$31:$T$34,2,TRUE)+(AF166-VLOOKUP(AF166,Charge!$R$31:$T$34,1,TRUE))*VLOOKUP(AF166,Charge!$R$31:$T$34,3,TRUE),
VLOOKUP(AF166,Charge!$U$31:$W$34,2,TRUE)+(AF166-VLOOKUP(AF166,Charge!$U$31:$W$34,1,TRUE))*VLOOKUP(AF166,Charge!$U$31:$W$34,3,TRUE)),0))</f>
        <v>0</v>
      </c>
      <c r="AH166" s="60"/>
      <c r="AI166" s="60">
        <f>AA166-AH166</f>
        <v>1000</v>
      </c>
      <c r="AJ166" s="61"/>
      <c r="AK166" s="55" t="str">
        <f>VLOOKUP(D166,'2.Bookinglist'!A:CT,40,FALSE)</f>
        <v>Dharaporn</v>
      </c>
      <c r="AL166" s="56" t="str">
        <f>VLOOKUP(D166,'2.Bookinglist'!A:CW,101,FALSE)</f>
        <v>2026-10-14</v>
      </c>
      <c r="AM166" s="56" t="str">
        <f>VLOOKUP(D166,'2.Bookinglist'!A:BK,63,FALSE)</f>
        <v>LCHY5</v>
      </c>
      <c r="AN166" s="55" t="str">
        <f>VLOOKUP(D166,'2.Bookinglist'!A:AZ,52,FALSE)</f>
        <v>[FIX][FIX]CY-RTN 08-10/10/26</v>
      </c>
      <c r="AO166" s="55">
        <f>VLOOKUP(D166,'2.Bookinglist'!A:CY,103,FALSE)</f>
        <v>0</v>
      </c>
    </row>
    <row r="167" ht="12.95" customHeight="1" spans="1:41" x14ac:dyDescent="0.25">
      <c r="A167" s="3" t="s">
        <v>210</v>
      </c>
      <c r="B167" s="53" t="str">
        <f>IF(C167=Charge!$M$1,Charge!$J$1,IF(C167=Charge!$M$23,Charge!$J$23,IF(C167=Charge!$M$17,Charge!$J$17,IF(C167=Charge!$N$17,Charge!$J$17,Charge!$J$7))))</f>
        <v>G2</v>
      </c>
      <c r="C167" s="54" t="str">
        <f>VLOOKUP(A167,'1.Loading'!A:R,14,FALSE)</f>
        <v>LCH06</v>
      </c>
      <c r="D167" s="54" t="str">
        <f>VLOOKUP(A167,'1.Loading'!A:R,17,FALSE)</f>
        <v>HASLS22260900442</v>
      </c>
      <c r="E167" s="55" t="str">
        <f>VLOOKUP(D167,'2.Bookinglist'!A:CT,27,FALSE)</f>
        <v>BARKLAYS LOGISTICS (THAILAND) CO., LTD.</v>
      </c>
      <c r="F167" s="55" t="str">
        <f>VLOOKUP(D167,'2.Bookinglist'!A:CT,28,FALSE)</f>
        <v>SHUN YI INTERNATIONAL TRADING CO., LTD.</v>
      </c>
      <c r="G167" s="56">
        <f>VLOOKUP(D167,'2.Bookinglist'!A:E,5,FALSE)</f>
        <v>0</v>
      </c>
      <c r="H167" s="54" t="str">
        <f>VLOOKUP(D167,'2.Bookinglist'!A:CT,15,FALSE)</f>
        <v>THLCH</v>
      </c>
      <c r="I167" s="54" t="str">
        <f>VLOOKUP(D167,'2.Bookinglist'!A:CT,19,FALSE)</f>
        <v>CNSHA</v>
      </c>
      <c r="J167" s="54">
        <f>VLOOKUP(D167,'2.Bookinglist'!A:CT,26,FALSE)</f>
        <v>0</v>
      </c>
      <c r="K167" s="54" t="str">
        <f>VLOOKUP(A167,'1.Loading'!A:R,5,FALSE)</f>
        <v>45GP</v>
      </c>
      <c r="L167" s="56" t="str">
        <f>VLOOKUP(D167,'2.Bookinglist'!A:CT,85,FALSE)</f>
        <v>CY/CY</v>
      </c>
      <c r="M167" s="56" t="str">
        <f>IF(VLOOKUP(D167,'2.Bookinglist'!A:CT,43,FALSE)=0,"","DG")</f>
        <v/>
      </c>
      <c r="N167" s="56" t="str">
        <f>IF(RIGHT(K167,2)="RE","RF","")</f>
        <v/>
      </c>
      <c r="O167" s="54" t="str">
        <f>VLOOKUP(A167,'1.Loading'!A:R,3,FALSE)</f>
        <v>HMVY</v>
      </c>
      <c r="P167" s="54" t="str">
        <f>VLOOKUP(A167,'1.Loading'!A:R,4,FALSE)</f>
        <v>2609N</v>
      </c>
      <c r="Q167" s="54" t="str">
        <f>VLOOKUP(D167,'2.Bookinglist'!A:CT,12,FALSE)</f>
        <v>PCI2</v>
      </c>
      <c r="R167" s="56" t="str">
        <f>IF(LEFT(K167,2)="22","20'","40'")</f>
        <v>40'</v>
      </c>
      <c r="S167" s="38"/>
      <c r="T167" s="54" t="str">
        <f>VLOOKUP(A167,'1.Loading'!A:R,2,FALSE)</f>
        <v>2026-10-28</v>
      </c>
      <c r="U167" s="57">
        <f>T167-S167</f>
        <v>46323</v>
      </c>
      <c r="V167" s="58"/>
      <c r="W167" s="54" t="str">
        <f>VLOOKUP(A167,'3.GateMove'!A:D,4,FALSE)</f>
        <v>2026-10-04</v>
      </c>
      <c r="X167" s="57">
        <f>((T167-W167)+1)</f>
        <v>25</v>
      </c>
      <c r="Y167" s="59">
        <f>IF(AND(OR(C167="BKK01",C167="BKK04"),L167="CFS/CY"),0,IF(M167="DG",1,IF(LEFT(C167,3)="LCH",7,IF(C167="BKK02",5,3))))</f>
        <v>7</v>
      </c>
      <c r="Z167" s="57">
        <f>IF(IF(AND(AC167="TML",AB167&gt;0),((T167-W167)+1)-AB167,((T167-W167)+1)-Y167)&gt;0,IF(AND(AC167="TML",AB167&gt;0),((T167-W167)+1)-AB167,((T167-W167)+1)-Y167),0)</f>
        <v>18</v>
      </c>
      <c r="AA167" s="48">
        <f>IF(AND(B167="G1",M167=""),IF(R167="20'",
VLOOKUP(Z167,Charge!$K$2:$M$5,2,TRUE)+(Z167-VLOOKUP(Z167,Charge!$K$2:$M$5,1,TRUE))*VLOOKUP(Z167,Charge!$K$2:$M$5,3,TRUE),
VLOOKUP(Z167,Charge!$N$2:$P$5,2,TRUE)+(Z167-VLOOKUP(Z167,Charge!$N$2:$P$5,1,TRUE))*VLOOKUP(Z167,Charge!$N$2:$P$5,3,TRUE)),
IF(AND(B167="G1",M167="DG"),IF(R167="20'",
VLOOKUP(Z167,Charge!$R$2:$T$5,2,TRUE)+(Z167-VLOOKUP(Z167,Charge!$R$2:$T$5,1,TRUE))*VLOOKUP(Z167,Charge!$R$2:$T$5,3,TRUE),
VLOOKUP(Z167,Charge!$U$2:$W$5,2,TRUE)+(Z167-VLOOKUP(Z167,Charge!$U$2:$W$5,1,TRUE))*VLOOKUP(Z167,Charge!$U$2:$W$5,3,TRUE)),
IF(AND(B167="G3",M167=""),IF(R167="20'",
VLOOKUP(Z167,Charge!$K$18:$M$21,2,TRUE)+(Z167-VLOOKUP(Z167,Charge!$K$18:$M$21,1,TRUE))*VLOOKUP(Z167,Charge!$K$18:$M$21,3,TRUE),
VLOOKUP(Z167,Charge!$N$18:$P$21,2,TRUE)+(Z167-VLOOKUP(Z167,Charge!$N$18:$P$21,1,TRUE))*VLOOKUP(Z167,Charge!$N$18:$P$21,3,TRUE)),
IF(AND(B167="G3",M167="DG"),IF(R167="20'",
VLOOKUP(Z167,Charge!$R$18:$T$21,2,TRUE)+(Z167-VLOOKUP(Z167,Charge!$R$18:$T$21,1,TRUE))*VLOOKUP(Z167,Charge!$R$18:$T$21,3,TRUE),
VLOOKUP(Z167,Charge!$U$18:$W$21,2,TRUE)+(Z167-VLOOKUP(Z167,Charge!$U$18:$W$21,1,TRUE))*VLOOKUP(Z167,Charge!$U$18:$W$21,3,TRUE)),
IF(AND(B167="G2",M167=""),IF(R167="20'",
VLOOKUP(Z167,Charge!$K$9:$M$12,2,TRUE)+(Z167-VLOOKUP(Z167,Charge!$K$9:$M$12,1,TRUE))*VLOOKUP(Z167,Charge!$K$9:$M$12,3,TRUE),
VLOOKUP(Z167,Charge!$N$9:$P$12,2,TRUE)+(Z167-VLOOKUP(Z167,Charge!$N$9:$P$12,1,TRUE))*VLOOKUP(Z167,Charge!$N$9:$P$12,3,TRUE)),
IF(AND(B167="G2",M167="DG"),IF(R167="20'",
VLOOKUP(Z167,Charge!$R$9:$T$12,2,TRUE)+(Z167-VLOOKUP(Z167,Charge!$R$9:$T$12,1,TRUE))*VLOOKUP(Z167,Charge!$R$9:$T$12,3,TRUE),
VLOOKUP(Z167,Charge!$U$9:$W$12,2,TRUE)+(Z167-VLOOKUP(Z167,Charge!$U$9:$W$12,1,TRUE))*VLOOKUP(Z167,Charge!$U$9:$W$12,3,TRUE)),IF(AND(B167="G4",M167=""),IF(R167="20'",Z167*Charge!$M$25,Z167*Charge!$P$25),IF(AND(B167="G4",M167="DG"),IF(R167="20'",Z167*Charge!$T$25,Z167*Charge!$W$25),0))))))))</f>
        <v>8450</v>
      </c>
      <c r="AB167" s="53"/>
      <c r="AC167" s="53"/>
      <c r="AD167" s="56">
        <f>IF(M167="DG",3,IF(N167="RF",3,5))+IF(AND(LEFT(C167,3)="BKK",N167="RF",Q167="KTS"),1,0)+IF(Q167="KHS",1,0)</f>
        <v>5</v>
      </c>
      <c r="AE167" s="57">
        <f>(T167-V167)+1</f>
        <v>46324</v>
      </c>
      <c r="AF167" s="57">
        <f>IF(AB167&gt;IF((V167-W167)&gt;0,V167-W167,0),0,IF(AB167&lt;IF((V167-W167)&gt;0,V167-W167,0),IF((V167-W167)&gt;0,V167-W167,0)-AB167,IF((V167-W167)&gt;0,V167-W167,0)))</f>
        <v>0</v>
      </c>
      <c r="AG167" s="48">
        <f>IF(AND(M167=""),IF(R167="20'",
VLOOKUP(AF167,Charge!$K$31:$M$34,2,TRUE)+(AF167-VLOOKUP(AF167,Charge!$K$31:$M$34,1,TRUE))*VLOOKUP(AF167,Charge!$K$31:$M$34,3,TRUE),
VLOOKUP(AF167,Charge!$N$31:$P$34,2,TRUE)+(AF167-VLOOKUP(AF167,Charge!$N$31:$P$34,1,TRUE))*VLOOKUP(AF167,Charge!$N$31:$P$34,3,TRUE)),
IF(AND(M167="DG"),IF(R167="20'",
VLOOKUP(AF167,Charge!$R$31:$T$34,2,TRUE)+(AF167-VLOOKUP(AF167,Charge!$R$31:$T$34,1,TRUE))*VLOOKUP(AF167,Charge!$R$31:$T$34,3,TRUE),
VLOOKUP(AF167,Charge!$U$31:$W$34,2,TRUE)+(AF167-VLOOKUP(AF167,Charge!$U$31:$W$34,1,TRUE))*VLOOKUP(AF167,Charge!$U$31:$W$34,3,TRUE)),0))</f>
        <v>0</v>
      </c>
      <c r="AH167" s="60"/>
      <c r="AI167" s="60">
        <f>AA167-AH167</f>
        <v>8450</v>
      </c>
      <c r="AJ167" s="61"/>
      <c r="AK167" s="55" t="str">
        <f>VLOOKUP(D167,'2.Bookinglist'!A:CT,40,FALSE)</f>
        <v>Nannaapust Sukporntaweewat</v>
      </c>
      <c r="AL167" s="56" t="str">
        <f>VLOOKUP(D167,'2.Bookinglist'!A:CW,101,FALSE)</f>
        <v>2026-10-22</v>
      </c>
      <c r="AM167" s="56" t="str">
        <f>VLOOKUP(D167,'2.Bookinglist'!A:BK,63,FALSE)</f>
        <v>LCHY5</v>
      </c>
      <c r="AN167" s="55" t="str">
        <f>VLOOKUP(D167,'2.Bookinglist'!A:AZ,52,FALSE)</f>
        <v>Pickup : 2026-10-02, Return : 2026-10-04 *1ST RETURN CNTR DD.08/10/2026*</v>
      </c>
      <c r="AO167" s="55" t="str">
        <f>VLOOKUP(D167,'2.Bookinglist'!A:CY,103,FALSE)</f>
        <v>ROLL OVER FROM PREVIOUS VSL SWRG 2609N BY ALLOCATION TEAM MS.TAN APPROVED COST IS UNDER HA DD.09/10</v>
      </c>
    </row>
    <row r="168" ht="12.95" customHeight="1" spans="1:41" x14ac:dyDescent="0.25">
      <c r="A168" s="3" t="s">
        <v>241</v>
      </c>
      <c r="B168" s="53" t="str">
        <f>IF(C168=Charge!$M$1,Charge!$J$1,IF(C168=Charge!$M$23,Charge!$J$23,IF(C168=Charge!$M$17,Charge!$J$17,IF(C168=Charge!$N$17,Charge!$J$17,Charge!$J$7))))</f>
        <v>G2</v>
      </c>
      <c r="C168" s="54" t="str">
        <f>VLOOKUP(A168,'1.Loading'!A:R,14,FALSE)</f>
        <v>LCH06</v>
      </c>
      <c r="D168" s="54" t="str">
        <f>VLOOKUP(A168,'1.Loading'!A:R,17,FALSE)</f>
        <v>HASLS22261000876</v>
      </c>
      <c r="E168" s="55" t="str">
        <f>VLOOKUP(D168,'2.Bookinglist'!A:CT,27,FALSE)</f>
        <v>SUN-OCEAN GLOBAL SUPPLY CHAIN CO., LTD.</v>
      </c>
      <c r="F168" s="55" t="str">
        <f>VLOOKUP(D168,'2.Bookinglist'!A:CT,28,FALSE)</f>
        <v>I.P. ONE COMPANY LIMITED</v>
      </c>
      <c r="G168" s="56" t="str">
        <f>VLOOKUP(D168,'2.Bookinglist'!A:E,5,FALSE)</f>
        <v>THSRP</v>
      </c>
      <c r="H168" s="54" t="str">
        <f>VLOOKUP(D168,'2.Bookinglist'!A:CT,15,FALSE)</f>
        <v>THLCH</v>
      </c>
      <c r="I168" s="54" t="str">
        <f>VLOOKUP(D168,'2.Bookinglist'!A:CT,19,FALSE)</f>
        <v>CNSHA</v>
      </c>
      <c r="J168" s="54">
        <f>VLOOKUP(D168,'2.Bookinglist'!A:CT,26,FALSE)</f>
        <v>0</v>
      </c>
      <c r="K168" s="54" t="str">
        <f>VLOOKUP(A168,'1.Loading'!A:R,5,FALSE)</f>
        <v>45GP</v>
      </c>
      <c r="L168" s="56" t="str">
        <f>VLOOKUP(D168,'2.Bookinglist'!A:CT,85,FALSE)</f>
        <v>CY/CY</v>
      </c>
      <c r="M168" s="56" t="str">
        <f>IF(VLOOKUP(D168,'2.Bookinglist'!A:CT,43,FALSE)=0,"","DG")</f>
        <v/>
      </c>
      <c r="N168" s="56" t="str">
        <f>IF(RIGHT(K168,2)="RE","RF","")</f>
        <v/>
      </c>
      <c r="O168" s="54" t="str">
        <f>VLOOKUP(A168,'1.Loading'!A:R,3,FALSE)</f>
        <v>HMVY</v>
      </c>
      <c r="P168" s="54" t="str">
        <f>VLOOKUP(A168,'1.Loading'!A:R,4,FALSE)</f>
        <v>2609N</v>
      </c>
      <c r="Q168" s="54" t="str">
        <f>VLOOKUP(D168,'2.Bookinglist'!A:CT,12,FALSE)</f>
        <v>PCI2</v>
      </c>
      <c r="R168" s="56" t="str">
        <f>IF(LEFT(K168,2)="22","20'","40'")</f>
        <v>40'</v>
      </c>
      <c r="S168" s="38"/>
      <c r="T168" s="54" t="str">
        <f>VLOOKUP(A168,'1.Loading'!A:R,2,FALSE)</f>
        <v>2026-10-28</v>
      </c>
      <c r="U168" s="57">
        <f>T168-S168</f>
        <v>46323</v>
      </c>
      <c r="V168" s="58"/>
      <c r="W168" s="54" t="str">
        <f>VLOOKUP(A168,'3.GateMove'!A:D,4,FALSE)</f>
        <v>2026-10-23</v>
      </c>
      <c r="X168" s="57">
        <f>((T168-W168)+1)</f>
        <v>6</v>
      </c>
      <c r="Y168" s="59">
        <f>IF(AND(OR(C168="BKK01",C168="BKK04"),L168="CFS/CY"),0,IF(M168="DG",1,IF(LEFT(C168,3)="LCH",7,IF(C168="BKK02",5,3))))</f>
        <v>7</v>
      </c>
      <c r="Z168" s="57">
        <f>IF(IF(AND(AC168="TML",AB168&gt;0),((T168-W168)+1)-AB168,((T168-W168)+1)-Y168)&gt;0,IF(AND(AC168="TML",AB168&gt;0),((T168-W168)+1)-AB168,((T168-W168)+1)-Y168),0)</f>
        <v>0</v>
      </c>
      <c r="AA168" s="48">
        <f>IF(AND(B168="G1",M168=""),IF(R168="20'",
VLOOKUP(Z168,Charge!$K$2:$M$5,2,TRUE)+(Z168-VLOOKUP(Z168,Charge!$K$2:$M$5,1,TRUE))*VLOOKUP(Z168,Charge!$K$2:$M$5,3,TRUE),
VLOOKUP(Z168,Charge!$N$2:$P$5,2,TRUE)+(Z168-VLOOKUP(Z168,Charge!$N$2:$P$5,1,TRUE))*VLOOKUP(Z168,Charge!$N$2:$P$5,3,TRUE)),
IF(AND(B168="G1",M168="DG"),IF(R168="20'",
VLOOKUP(Z168,Charge!$R$2:$T$5,2,TRUE)+(Z168-VLOOKUP(Z168,Charge!$R$2:$T$5,1,TRUE))*VLOOKUP(Z168,Charge!$R$2:$T$5,3,TRUE),
VLOOKUP(Z168,Charge!$U$2:$W$5,2,TRUE)+(Z168-VLOOKUP(Z168,Charge!$U$2:$W$5,1,TRUE))*VLOOKUP(Z168,Charge!$U$2:$W$5,3,TRUE)),
IF(AND(B168="G3",M168=""),IF(R168="20'",
VLOOKUP(Z168,Charge!$K$18:$M$21,2,TRUE)+(Z168-VLOOKUP(Z168,Charge!$K$18:$M$21,1,TRUE))*VLOOKUP(Z168,Charge!$K$18:$M$21,3,TRUE),
VLOOKUP(Z168,Charge!$N$18:$P$21,2,TRUE)+(Z168-VLOOKUP(Z168,Charge!$N$18:$P$21,1,TRUE))*VLOOKUP(Z168,Charge!$N$18:$P$21,3,TRUE)),
IF(AND(B168="G3",M168="DG"),IF(R168="20'",
VLOOKUP(Z168,Charge!$R$18:$T$21,2,TRUE)+(Z168-VLOOKUP(Z168,Charge!$R$18:$T$21,1,TRUE))*VLOOKUP(Z168,Charge!$R$18:$T$21,3,TRUE),
VLOOKUP(Z168,Charge!$U$18:$W$21,2,TRUE)+(Z168-VLOOKUP(Z168,Charge!$U$18:$W$21,1,TRUE))*VLOOKUP(Z168,Charge!$U$18:$W$21,3,TRUE)),
IF(AND(B168="G2",M168=""),IF(R168="20'",
VLOOKUP(Z168,Charge!$K$9:$M$12,2,TRUE)+(Z168-VLOOKUP(Z168,Charge!$K$9:$M$12,1,TRUE))*VLOOKUP(Z168,Charge!$K$9:$M$12,3,TRUE),
VLOOKUP(Z168,Charge!$N$9:$P$12,2,TRUE)+(Z168-VLOOKUP(Z168,Charge!$N$9:$P$12,1,TRUE))*VLOOKUP(Z168,Charge!$N$9:$P$12,3,TRUE)),
IF(AND(B168="G2",M168="DG"),IF(R168="20'",
VLOOKUP(Z168,Charge!$R$9:$T$12,2,TRUE)+(Z168-VLOOKUP(Z168,Charge!$R$9:$T$12,1,TRUE))*VLOOKUP(Z168,Charge!$R$9:$T$12,3,TRUE),
VLOOKUP(Z168,Charge!$U$9:$W$12,2,TRUE)+(Z168-VLOOKUP(Z168,Charge!$U$9:$W$12,1,TRUE))*VLOOKUP(Z168,Charge!$U$9:$W$12,3,TRUE)),IF(AND(B168="G4",M168=""),IF(R168="20'",Z168*Charge!$M$25,Z168*Charge!$P$25),IF(AND(B168="G4",M168="DG"),IF(R168="20'",Z168*Charge!$T$25,Z168*Charge!$W$25),0))))))))</f>
        <v>0</v>
      </c>
      <c r="AB168" s="53"/>
      <c r="AC168" s="53"/>
      <c r="AD168" s="56">
        <f>IF(M168="DG",3,IF(N168="RF",3,5))+IF(AND(LEFT(C168,3)="BKK",N168="RF",Q168="KTS"),1,0)+IF(Q168="KHS",1,0)</f>
        <v>5</v>
      </c>
      <c r="AE168" s="57">
        <f>(T168-V168)+1</f>
        <v>46324</v>
      </c>
      <c r="AF168" s="57">
        <f>IF(AB168&gt;IF((V168-W168)&gt;0,V168-W168,0),0,IF(AB168&lt;IF((V168-W168)&gt;0,V168-W168,0),IF((V168-W168)&gt;0,V168-W168,0)-AB168,IF((V168-W168)&gt;0,V168-W168,0)))</f>
        <v>0</v>
      </c>
      <c r="AG168" s="48">
        <f>IF(AND(M168=""),IF(R168="20'",
VLOOKUP(AF168,Charge!$K$31:$M$34,2,TRUE)+(AF168-VLOOKUP(AF168,Charge!$K$31:$M$34,1,TRUE))*VLOOKUP(AF168,Charge!$K$31:$M$34,3,TRUE),
VLOOKUP(AF168,Charge!$N$31:$P$34,2,TRUE)+(AF168-VLOOKUP(AF168,Charge!$N$31:$P$34,1,TRUE))*VLOOKUP(AF168,Charge!$N$31:$P$34,3,TRUE)),
IF(AND(M168="DG"),IF(R168="20'",
VLOOKUP(AF168,Charge!$R$31:$T$34,2,TRUE)+(AF168-VLOOKUP(AF168,Charge!$R$31:$T$34,1,TRUE))*VLOOKUP(AF168,Charge!$R$31:$T$34,3,TRUE),
VLOOKUP(AF168,Charge!$U$31:$W$34,2,TRUE)+(AF168-VLOOKUP(AF168,Charge!$U$31:$W$34,1,TRUE))*VLOOKUP(AF168,Charge!$U$31:$W$34,3,TRUE)),0))</f>
        <v>0</v>
      </c>
      <c r="AH168" s="60"/>
      <c r="AI168" s="60">
        <f>AA168-AH168</f>
        <v>0</v>
      </c>
      <c r="AJ168" s="61"/>
      <c r="AK168" s="55" t="str">
        <f>VLOOKUP(D168,'2.Bookinglist'!A:CT,40,FALSE)</f>
        <v>Arunphat W. (Aiw)</v>
      </c>
      <c r="AL168" s="56" t="str">
        <f>VLOOKUP(D168,'2.Bookinglist'!A:CW,101,FALSE)</f>
        <v>2026-10-22</v>
      </c>
      <c r="AM168" s="56" t="str">
        <f>VLOOKUP(D168,'2.Bookinglist'!A:BK,63,FALSE)</f>
        <v>BKK27</v>
      </c>
      <c r="AN168" s="55" t="str">
        <f>VLOOKUP(D168,'2.Bookinglist'!A:AZ,52,FALSE)</f>
        <v>Pickup : 2026-10-16, Return SRP : 2026-10-17 [PAPERLESS CODE 2829]
CLS TIME 24/10/26 @21.00 (1ST RETURN 17/10/26)</v>
      </c>
      <c r="AO168" s="55">
        <f>VLOOKUP(D168,'2.Bookinglist'!A:CY,103,FALSE)</f>
        <v>0</v>
      </c>
    </row>
    <row r="169" ht="12.95" customHeight="1" spans="1:41" x14ac:dyDescent="0.25">
      <c r="A169" s="3" t="s">
        <v>143</v>
      </c>
      <c r="B169" s="53" t="str">
        <f>IF(C169=Charge!$M$1,Charge!$J$1,IF(C169=Charge!$M$23,Charge!$J$23,IF(C169=Charge!$M$17,Charge!$J$17,IF(C169=Charge!$N$17,Charge!$J$17,Charge!$J$7))))</f>
        <v>G2</v>
      </c>
      <c r="C169" s="54" t="str">
        <f>VLOOKUP(A169,'1.Loading'!A:R,14,FALSE)</f>
        <v>LCH06</v>
      </c>
      <c r="D169" s="54" t="str">
        <f>VLOOKUP(A169,'1.Loading'!A:R,17,FALSE)</f>
        <v>HASLS22261000285</v>
      </c>
      <c r="E169" s="55" t="str">
        <f>VLOOKUP(D169,'2.Bookinglist'!A:CT,27,FALSE)</f>
        <v>AGC VINYTHAI PUBLIC COMPANY LIMITED</v>
      </c>
      <c r="F169" s="55" t="str">
        <f>VLOOKUP(D169,'2.Bookinglist'!A:CT,28,FALSE)</f>
        <v>AGC VINYTHAI PUBLIC COMPANY LIMITED</v>
      </c>
      <c r="G169" s="56">
        <f>VLOOKUP(D169,'2.Bookinglist'!A:E,5,FALSE)</f>
        <v>0</v>
      </c>
      <c r="H169" s="54" t="str">
        <f>VLOOKUP(D169,'2.Bookinglist'!A:CT,15,FALSE)</f>
        <v>THLCH</v>
      </c>
      <c r="I169" s="54" t="str">
        <f>VLOOKUP(D169,'2.Bookinglist'!A:CT,19,FALSE)</f>
        <v>CNSHA</v>
      </c>
      <c r="J169" s="54">
        <f>VLOOKUP(D169,'2.Bookinglist'!A:CT,26,FALSE)</f>
        <v>0</v>
      </c>
      <c r="K169" s="54" t="str">
        <f>VLOOKUP(A169,'1.Loading'!A:R,5,FALSE)</f>
        <v>45GP</v>
      </c>
      <c r="L169" s="56" t="str">
        <f>VLOOKUP(D169,'2.Bookinglist'!A:CT,85,FALSE)</f>
        <v>CY/CY</v>
      </c>
      <c r="M169" s="56" t="str">
        <f>IF(VLOOKUP(D169,'2.Bookinglist'!A:CT,43,FALSE)=0,"","DG")</f>
        <v/>
      </c>
      <c r="N169" s="56" t="str">
        <f>IF(RIGHT(K169,2)="RE","RF","")</f>
        <v/>
      </c>
      <c r="O169" s="54" t="str">
        <f>VLOOKUP(A169,'1.Loading'!A:R,3,FALSE)</f>
        <v>HMVY</v>
      </c>
      <c r="P169" s="54" t="str">
        <f>VLOOKUP(A169,'1.Loading'!A:R,4,FALSE)</f>
        <v>2609N</v>
      </c>
      <c r="Q169" s="54" t="str">
        <f>VLOOKUP(D169,'2.Bookinglist'!A:CT,12,FALSE)</f>
        <v>PCI2</v>
      </c>
      <c r="R169" s="56" t="str">
        <f>IF(LEFT(K169,2)="22","20'","40'")</f>
        <v>40'</v>
      </c>
      <c r="S169" s="38"/>
      <c r="T169" s="54" t="str">
        <f>VLOOKUP(A169,'1.Loading'!A:R,2,FALSE)</f>
        <v>2026-10-28</v>
      </c>
      <c r="U169" s="57">
        <f>T169-S169</f>
        <v>46323</v>
      </c>
      <c r="V169" s="58"/>
      <c r="W169" s="54" t="str">
        <f>VLOOKUP(A169,'3.GateMove'!A:D,4,FALSE)</f>
        <v>2026-10-17</v>
      </c>
      <c r="X169" s="57">
        <f>((T169-W169)+1)</f>
        <v>12</v>
      </c>
      <c r="Y169" s="59">
        <f>IF(AND(OR(C169="BKK01",C169="BKK04"),L169="CFS/CY"),0,IF(M169="DG",1,IF(LEFT(C169,3)="LCH",7,IF(C169="BKK02",5,3))))</f>
        <v>7</v>
      </c>
      <c r="Z169" s="57">
        <f>IF(IF(AND(AC169="TML",AB169&gt;0),((T169-W169)+1)-AB169,((T169-W169)+1)-Y169)&gt;0,IF(AND(AC169="TML",AB169&gt;0),((T169-W169)+1)-AB169,((T169-W169)+1)-Y169),0)</f>
        <v>5</v>
      </c>
      <c r="AA169" s="48">
        <f>IF(AND(B169="G1",M169=""),IF(R169="20'",
VLOOKUP(Z169,Charge!$K$2:$M$5,2,TRUE)+(Z169-VLOOKUP(Z169,Charge!$K$2:$M$5,1,TRUE))*VLOOKUP(Z169,Charge!$K$2:$M$5,3,TRUE),
VLOOKUP(Z169,Charge!$N$2:$P$5,2,TRUE)+(Z169-VLOOKUP(Z169,Charge!$N$2:$P$5,1,TRUE))*VLOOKUP(Z169,Charge!$N$2:$P$5,3,TRUE)),
IF(AND(B169="G1",M169="DG"),IF(R169="20'",
VLOOKUP(Z169,Charge!$R$2:$T$5,2,TRUE)+(Z169-VLOOKUP(Z169,Charge!$R$2:$T$5,1,TRUE))*VLOOKUP(Z169,Charge!$R$2:$T$5,3,TRUE),
VLOOKUP(Z169,Charge!$U$2:$W$5,2,TRUE)+(Z169-VLOOKUP(Z169,Charge!$U$2:$W$5,1,TRUE))*VLOOKUP(Z169,Charge!$U$2:$W$5,3,TRUE)),
IF(AND(B169="G3",M169=""),IF(R169="20'",
VLOOKUP(Z169,Charge!$K$18:$M$21,2,TRUE)+(Z169-VLOOKUP(Z169,Charge!$K$18:$M$21,1,TRUE))*VLOOKUP(Z169,Charge!$K$18:$M$21,3,TRUE),
VLOOKUP(Z169,Charge!$N$18:$P$21,2,TRUE)+(Z169-VLOOKUP(Z169,Charge!$N$18:$P$21,1,TRUE))*VLOOKUP(Z169,Charge!$N$18:$P$21,3,TRUE)),
IF(AND(B169="G3",M169="DG"),IF(R169="20'",
VLOOKUP(Z169,Charge!$R$18:$T$21,2,TRUE)+(Z169-VLOOKUP(Z169,Charge!$R$18:$T$21,1,TRUE))*VLOOKUP(Z169,Charge!$R$18:$T$21,3,TRUE),
VLOOKUP(Z169,Charge!$U$18:$W$21,2,TRUE)+(Z169-VLOOKUP(Z169,Charge!$U$18:$W$21,1,TRUE))*VLOOKUP(Z169,Charge!$U$18:$W$21,3,TRUE)),
IF(AND(B169="G2",M169=""),IF(R169="20'",
VLOOKUP(Z169,Charge!$K$9:$M$12,2,TRUE)+(Z169-VLOOKUP(Z169,Charge!$K$9:$M$12,1,TRUE))*VLOOKUP(Z169,Charge!$K$9:$M$12,3,TRUE),
VLOOKUP(Z169,Charge!$N$9:$P$12,2,TRUE)+(Z169-VLOOKUP(Z169,Charge!$N$9:$P$12,1,TRUE))*VLOOKUP(Z169,Charge!$N$9:$P$12,3,TRUE)),
IF(AND(B169="G2",M169="DG"),IF(R169="20'",
VLOOKUP(Z169,Charge!$R$9:$T$12,2,TRUE)+(Z169-VLOOKUP(Z169,Charge!$R$9:$T$12,1,TRUE))*VLOOKUP(Z169,Charge!$R$9:$T$12,3,TRUE),
VLOOKUP(Z169,Charge!$U$9:$W$12,2,TRUE)+(Z169-VLOOKUP(Z169,Charge!$U$9:$W$12,1,TRUE))*VLOOKUP(Z169,Charge!$U$9:$W$12,3,TRUE)),IF(AND(B169="G4",M169=""),IF(R169="20'",Z169*Charge!$M$25,Z169*Charge!$P$25),IF(AND(B169="G4",M169="DG"),IF(R169="20'",Z169*Charge!$T$25,Z169*Charge!$W$25),0))))))))</f>
        <v>1250</v>
      </c>
      <c r="AB169" s="53"/>
      <c r="AC169" s="53"/>
      <c r="AD169" s="56">
        <f>IF(M169="DG",3,IF(N169="RF",3,5))+IF(AND(LEFT(C169,3)="BKK",N169="RF",Q169="KTS"),1,0)+IF(Q169="KHS",1,0)</f>
        <v>5</v>
      </c>
      <c r="AE169" s="57">
        <f>(T169-V169)+1</f>
        <v>46324</v>
      </c>
      <c r="AF169" s="57">
        <f>IF(AB169&gt;IF((V169-W169)&gt;0,V169-W169,0),0,IF(AB169&lt;IF((V169-W169)&gt;0,V169-W169,0),IF((V169-W169)&gt;0,V169-W169,0)-AB169,IF((V169-W169)&gt;0,V169-W169,0)))</f>
        <v>0</v>
      </c>
      <c r="AG169" s="48">
        <f>IF(AND(M169=""),IF(R169="20'",
VLOOKUP(AF169,Charge!$K$31:$M$34,2,TRUE)+(AF169-VLOOKUP(AF169,Charge!$K$31:$M$34,1,TRUE))*VLOOKUP(AF169,Charge!$K$31:$M$34,3,TRUE),
VLOOKUP(AF169,Charge!$N$31:$P$34,2,TRUE)+(AF169-VLOOKUP(AF169,Charge!$N$31:$P$34,1,TRUE))*VLOOKUP(AF169,Charge!$N$31:$P$34,3,TRUE)),
IF(AND(M169="DG"),IF(R169="20'",
VLOOKUP(AF169,Charge!$R$31:$T$34,2,TRUE)+(AF169-VLOOKUP(AF169,Charge!$R$31:$T$34,1,TRUE))*VLOOKUP(AF169,Charge!$R$31:$T$34,3,TRUE),
VLOOKUP(AF169,Charge!$U$31:$W$34,2,TRUE)+(AF169-VLOOKUP(AF169,Charge!$U$31:$W$34,1,TRUE))*VLOOKUP(AF169,Charge!$U$31:$W$34,3,TRUE)),0))</f>
        <v>0</v>
      </c>
      <c r="AH169" s="60"/>
      <c r="AI169" s="60">
        <f>AA169-AH169</f>
        <v>1250</v>
      </c>
      <c r="AJ169" s="61"/>
      <c r="AK169" s="55" t="str">
        <f>VLOOKUP(D169,'2.Bookinglist'!A:CT,40,FALSE)</f>
        <v>Nannaapust Sukporntaweewat</v>
      </c>
      <c r="AL169" s="56" t="str">
        <f>VLOOKUP(D169,'2.Bookinglist'!A:CW,101,FALSE)</f>
        <v>2026-10-24</v>
      </c>
      <c r="AM169" s="56" t="str">
        <f>VLOOKUP(D169,'2.Bookinglist'!A:BK,63,FALSE)</f>
        <v>LCHY5</v>
      </c>
      <c r="AN169" s="55" t="str">
        <f>VLOOKUP(D169,'2.Bookinglist'!A:AZ,52,FALSE)</f>
        <v>Pickup : 2026-10-15, Return : 2026-10-16</v>
      </c>
      <c r="AO169" s="55">
        <f>VLOOKUP(D169,'2.Bookinglist'!A:CY,103,FALSE)</f>
        <v>0</v>
      </c>
    </row>
    <row r="170" ht="12.95" customHeight="1" spans="1:41" x14ac:dyDescent="0.25">
      <c r="A170" s="3" t="s">
        <v>211</v>
      </c>
      <c r="B170" s="53" t="str">
        <f>IF(C170=Charge!$M$1,Charge!$J$1,IF(C170=Charge!$M$23,Charge!$J$23,IF(C170=Charge!$M$17,Charge!$J$17,IF(C170=Charge!$N$17,Charge!$J$17,Charge!$J$7))))</f>
        <v>G2</v>
      </c>
      <c r="C170" s="54" t="str">
        <f>VLOOKUP(A170,'1.Loading'!A:R,14,FALSE)</f>
        <v>LCH06</v>
      </c>
      <c r="D170" s="54" t="str">
        <f>VLOOKUP(A170,'1.Loading'!A:R,17,FALSE)</f>
        <v>HASLS22260900442</v>
      </c>
      <c r="E170" s="55" t="str">
        <f>VLOOKUP(D170,'2.Bookinglist'!A:CT,27,FALSE)</f>
        <v>BARKLAYS LOGISTICS (THAILAND) CO., LTD.</v>
      </c>
      <c r="F170" s="55" t="str">
        <f>VLOOKUP(D170,'2.Bookinglist'!A:CT,28,FALSE)</f>
        <v>SHUN YI INTERNATIONAL TRADING CO., LTD.</v>
      </c>
      <c r="G170" s="56">
        <f>VLOOKUP(D170,'2.Bookinglist'!A:E,5,FALSE)</f>
        <v>0</v>
      </c>
      <c r="H170" s="54" t="str">
        <f>VLOOKUP(D170,'2.Bookinglist'!A:CT,15,FALSE)</f>
        <v>THLCH</v>
      </c>
      <c r="I170" s="54" t="str">
        <f>VLOOKUP(D170,'2.Bookinglist'!A:CT,19,FALSE)</f>
        <v>CNSHA</v>
      </c>
      <c r="J170" s="54">
        <f>VLOOKUP(D170,'2.Bookinglist'!A:CT,26,FALSE)</f>
        <v>0</v>
      </c>
      <c r="K170" s="54" t="str">
        <f>VLOOKUP(A170,'1.Loading'!A:R,5,FALSE)</f>
        <v>45GP</v>
      </c>
      <c r="L170" s="56" t="str">
        <f>VLOOKUP(D170,'2.Bookinglist'!A:CT,85,FALSE)</f>
        <v>CY/CY</v>
      </c>
      <c r="M170" s="56" t="str">
        <f>IF(VLOOKUP(D170,'2.Bookinglist'!A:CT,43,FALSE)=0,"","DG")</f>
        <v/>
      </c>
      <c r="N170" s="56" t="str">
        <f>IF(RIGHT(K170,2)="RE","RF","")</f>
        <v/>
      </c>
      <c r="O170" s="54" t="str">
        <f>VLOOKUP(A170,'1.Loading'!A:R,3,FALSE)</f>
        <v>HMVY</v>
      </c>
      <c r="P170" s="54" t="str">
        <f>VLOOKUP(A170,'1.Loading'!A:R,4,FALSE)</f>
        <v>2609N</v>
      </c>
      <c r="Q170" s="54" t="str">
        <f>VLOOKUP(D170,'2.Bookinglist'!A:CT,12,FALSE)</f>
        <v>PCI2</v>
      </c>
      <c r="R170" s="56" t="str">
        <f>IF(LEFT(K170,2)="22","20'","40'")</f>
        <v>40'</v>
      </c>
      <c r="S170" s="38"/>
      <c r="T170" s="54" t="str">
        <f>VLOOKUP(A170,'1.Loading'!A:R,2,FALSE)</f>
        <v>2026-10-28</v>
      </c>
      <c r="U170" s="57">
        <f>T170-S170</f>
        <v>46323</v>
      </c>
      <c r="V170" s="58"/>
      <c r="W170" s="54" t="str">
        <f>VLOOKUP(A170,'3.GateMove'!A:D,4,FALSE)</f>
        <v>2026-10-05</v>
      </c>
      <c r="X170" s="57">
        <f>((T170-W170)+1)</f>
        <v>24</v>
      </c>
      <c r="Y170" s="59">
        <f>IF(AND(OR(C170="BKK01",C170="BKK04"),L170="CFS/CY"),0,IF(M170="DG",1,IF(LEFT(C170,3)="LCH",7,IF(C170="BKK02",5,3))))</f>
        <v>7</v>
      </c>
      <c r="Z170" s="57">
        <f>IF(IF(AND(AC170="TML",AB170&gt;0),((T170-W170)+1)-AB170,((T170-W170)+1)-Y170)&gt;0,IF(AND(AC170="TML",AB170&gt;0),((T170-W170)+1)-AB170,((T170-W170)+1)-Y170),0)</f>
        <v>17</v>
      </c>
      <c r="AA170" s="48">
        <f>IF(AND(B170="G1",M170=""),IF(R170="20'",
VLOOKUP(Z170,Charge!$K$2:$M$5,2,TRUE)+(Z170-VLOOKUP(Z170,Charge!$K$2:$M$5,1,TRUE))*VLOOKUP(Z170,Charge!$K$2:$M$5,3,TRUE),
VLOOKUP(Z170,Charge!$N$2:$P$5,2,TRUE)+(Z170-VLOOKUP(Z170,Charge!$N$2:$P$5,1,TRUE))*VLOOKUP(Z170,Charge!$N$2:$P$5,3,TRUE)),
IF(AND(B170="G1",M170="DG"),IF(R170="20'",
VLOOKUP(Z170,Charge!$R$2:$T$5,2,TRUE)+(Z170-VLOOKUP(Z170,Charge!$R$2:$T$5,1,TRUE))*VLOOKUP(Z170,Charge!$R$2:$T$5,3,TRUE),
VLOOKUP(Z170,Charge!$U$2:$W$5,2,TRUE)+(Z170-VLOOKUP(Z170,Charge!$U$2:$W$5,1,TRUE))*VLOOKUP(Z170,Charge!$U$2:$W$5,3,TRUE)),
IF(AND(B170="G3",M170=""),IF(R170="20'",
VLOOKUP(Z170,Charge!$K$18:$M$21,2,TRUE)+(Z170-VLOOKUP(Z170,Charge!$K$18:$M$21,1,TRUE))*VLOOKUP(Z170,Charge!$K$18:$M$21,3,TRUE),
VLOOKUP(Z170,Charge!$N$18:$P$21,2,TRUE)+(Z170-VLOOKUP(Z170,Charge!$N$18:$P$21,1,TRUE))*VLOOKUP(Z170,Charge!$N$18:$P$21,3,TRUE)),
IF(AND(B170="G3",M170="DG"),IF(R170="20'",
VLOOKUP(Z170,Charge!$R$18:$T$21,2,TRUE)+(Z170-VLOOKUP(Z170,Charge!$R$18:$T$21,1,TRUE))*VLOOKUP(Z170,Charge!$R$18:$T$21,3,TRUE),
VLOOKUP(Z170,Charge!$U$18:$W$21,2,TRUE)+(Z170-VLOOKUP(Z170,Charge!$U$18:$W$21,1,TRUE))*VLOOKUP(Z170,Charge!$U$18:$W$21,3,TRUE)),
IF(AND(B170="G2",M170=""),IF(R170="20'",
VLOOKUP(Z170,Charge!$K$9:$M$12,2,TRUE)+(Z170-VLOOKUP(Z170,Charge!$K$9:$M$12,1,TRUE))*VLOOKUP(Z170,Charge!$K$9:$M$12,3,TRUE),
VLOOKUP(Z170,Charge!$N$9:$P$12,2,TRUE)+(Z170-VLOOKUP(Z170,Charge!$N$9:$P$12,1,TRUE))*VLOOKUP(Z170,Charge!$N$9:$P$12,3,TRUE)),
IF(AND(B170="G2",M170="DG"),IF(R170="20'",
VLOOKUP(Z170,Charge!$R$9:$T$12,2,TRUE)+(Z170-VLOOKUP(Z170,Charge!$R$9:$T$12,1,TRUE))*VLOOKUP(Z170,Charge!$R$9:$T$12,3,TRUE),
VLOOKUP(Z170,Charge!$U$9:$W$12,2,TRUE)+(Z170-VLOOKUP(Z170,Charge!$U$9:$W$12,1,TRUE))*VLOOKUP(Z170,Charge!$U$9:$W$12,3,TRUE)),IF(AND(B170="G4",M170=""),IF(R170="20'",Z170*Charge!$M$25,Z170*Charge!$P$25),IF(AND(B170="G4",M170="DG"),IF(R170="20'",Z170*Charge!$T$25,Z170*Charge!$W$25),0))))))))</f>
        <v>7650</v>
      </c>
      <c r="AB170" s="53"/>
      <c r="AC170" s="53"/>
      <c r="AD170" s="56">
        <f>IF(M170="DG",3,IF(N170="RF",3,5))+IF(AND(LEFT(C170,3)="BKK",N170="RF",Q170="KTS"),1,0)+IF(Q170="KHS",1,0)</f>
        <v>5</v>
      </c>
      <c r="AE170" s="57">
        <f>(T170-V170)+1</f>
        <v>46324</v>
      </c>
      <c r="AF170" s="57">
        <f>IF(AB170&gt;IF((V170-W170)&gt;0,V170-W170,0),0,IF(AB170&lt;IF((V170-W170)&gt;0,V170-W170,0),IF((V170-W170)&gt;0,V170-W170,0)-AB170,IF((V170-W170)&gt;0,V170-W170,0)))</f>
        <v>0</v>
      </c>
      <c r="AG170" s="48">
        <f>IF(AND(M170=""),IF(R170="20'",
VLOOKUP(AF170,Charge!$K$31:$M$34,2,TRUE)+(AF170-VLOOKUP(AF170,Charge!$K$31:$M$34,1,TRUE))*VLOOKUP(AF170,Charge!$K$31:$M$34,3,TRUE),
VLOOKUP(AF170,Charge!$N$31:$P$34,2,TRUE)+(AF170-VLOOKUP(AF170,Charge!$N$31:$P$34,1,TRUE))*VLOOKUP(AF170,Charge!$N$31:$P$34,3,TRUE)),
IF(AND(M170="DG"),IF(R170="20'",
VLOOKUP(AF170,Charge!$R$31:$T$34,2,TRUE)+(AF170-VLOOKUP(AF170,Charge!$R$31:$T$34,1,TRUE))*VLOOKUP(AF170,Charge!$R$31:$T$34,3,TRUE),
VLOOKUP(AF170,Charge!$U$31:$W$34,2,TRUE)+(AF170-VLOOKUP(AF170,Charge!$U$31:$W$34,1,TRUE))*VLOOKUP(AF170,Charge!$U$31:$W$34,3,TRUE)),0))</f>
        <v>0</v>
      </c>
      <c r="AH170" s="60"/>
      <c r="AI170" s="60">
        <f>AA170-AH170</f>
        <v>7650</v>
      </c>
      <c r="AJ170" s="61"/>
      <c r="AK170" s="55" t="str">
        <f>VLOOKUP(D170,'2.Bookinglist'!A:CT,40,FALSE)</f>
        <v>Nannaapust Sukporntaweewat</v>
      </c>
      <c r="AL170" s="56" t="str">
        <f>VLOOKUP(D170,'2.Bookinglist'!A:CW,101,FALSE)</f>
        <v>2026-10-22</v>
      </c>
      <c r="AM170" s="56" t="str">
        <f>VLOOKUP(D170,'2.Bookinglist'!A:BK,63,FALSE)</f>
        <v>LCHY5</v>
      </c>
      <c r="AN170" s="55" t="str">
        <f>VLOOKUP(D170,'2.Bookinglist'!A:AZ,52,FALSE)</f>
        <v>Pickup : 2026-10-02, Return : 2026-10-04 *1ST RETURN CNTR DD.08/10/2026*</v>
      </c>
      <c r="AO170" s="55" t="str">
        <f>VLOOKUP(D170,'2.Bookinglist'!A:CY,103,FALSE)</f>
        <v>ROLL OVER FROM PREVIOUS VSL SWRG 2609N BY ALLOCATION TEAM MS.TAN APPROVED COST IS UNDER HA DD.09/10</v>
      </c>
    </row>
    <row r="171" ht="12.95" customHeight="1" spans="1:41" x14ac:dyDescent="0.25">
      <c r="A171" s="3" t="s">
        <v>156</v>
      </c>
      <c r="B171" s="53" t="str">
        <f>IF(C171=Charge!$M$1,Charge!$J$1,IF(C171=Charge!$M$23,Charge!$J$23,IF(C171=Charge!$M$17,Charge!$J$17,IF(C171=Charge!$N$17,Charge!$J$17,Charge!$J$7))))</f>
        <v>G2</v>
      </c>
      <c r="C171" s="54" t="str">
        <f>VLOOKUP(A171,'1.Loading'!A:R,14,FALSE)</f>
        <v>LCH06</v>
      </c>
      <c r="D171" s="54" t="str">
        <f>VLOOKUP(A171,'1.Loading'!A:R,17,FALSE)</f>
        <v>HASLS22261000875</v>
      </c>
      <c r="E171" s="55" t="str">
        <f>VLOOKUP(D171,'2.Bookinglist'!A:CT,27,FALSE)</f>
        <v>SUN-OCEAN GLOBAL SUPPLY CHAIN CO., LTD.</v>
      </c>
      <c r="F171" s="55" t="str">
        <f>VLOOKUP(D171,'2.Bookinglist'!A:CT,28,FALSE)</f>
        <v>I.P. ONE COMPANY LIMITED</v>
      </c>
      <c r="G171" s="56" t="str">
        <f>VLOOKUP(D171,'2.Bookinglist'!A:E,5,FALSE)</f>
        <v>THSRP</v>
      </c>
      <c r="H171" s="54" t="str">
        <f>VLOOKUP(D171,'2.Bookinglist'!A:CT,15,FALSE)</f>
        <v>THLCH</v>
      </c>
      <c r="I171" s="54" t="str">
        <f>VLOOKUP(D171,'2.Bookinglist'!A:CT,19,FALSE)</f>
        <v>CNSHA</v>
      </c>
      <c r="J171" s="54">
        <f>VLOOKUP(D171,'2.Bookinglist'!A:CT,26,FALSE)</f>
        <v>0</v>
      </c>
      <c r="K171" s="54" t="str">
        <f>VLOOKUP(A171,'1.Loading'!A:R,5,FALSE)</f>
        <v>45GP</v>
      </c>
      <c r="L171" s="56" t="str">
        <f>VLOOKUP(D171,'2.Bookinglist'!A:CT,85,FALSE)</f>
        <v>CY/CY</v>
      </c>
      <c r="M171" s="56" t="str">
        <f>IF(VLOOKUP(D171,'2.Bookinglist'!A:CT,43,FALSE)=0,"","DG")</f>
        <v/>
      </c>
      <c r="N171" s="56" t="str">
        <f>IF(RIGHT(K171,2)="RE","RF","")</f>
        <v/>
      </c>
      <c r="O171" s="54" t="str">
        <f>VLOOKUP(A171,'1.Loading'!A:R,3,FALSE)</f>
        <v>HMVY</v>
      </c>
      <c r="P171" s="54" t="str">
        <f>VLOOKUP(A171,'1.Loading'!A:R,4,FALSE)</f>
        <v>2609N</v>
      </c>
      <c r="Q171" s="54" t="str">
        <f>VLOOKUP(D171,'2.Bookinglist'!A:CT,12,FALSE)</f>
        <v>PCI2</v>
      </c>
      <c r="R171" s="56" t="str">
        <f>IF(LEFT(K171,2)="22","20'","40'")</f>
        <v>40'</v>
      </c>
      <c r="S171" s="38"/>
      <c r="T171" s="54" t="str">
        <f>VLOOKUP(A171,'1.Loading'!A:R,2,FALSE)</f>
        <v>2026-10-28</v>
      </c>
      <c r="U171" s="57">
        <f>T171-S171</f>
        <v>46323</v>
      </c>
      <c r="V171" s="58"/>
      <c r="W171" s="54" t="str">
        <f>VLOOKUP(A171,'3.GateMove'!A:D,4,FALSE)</f>
        <v>2026-10-23</v>
      </c>
      <c r="X171" s="57">
        <f>((T171-W171)+1)</f>
        <v>6</v>
      </c>
      <c r="Y171" s="59">
        <f>IF(AND(OR(C171="BKK01",C171="BKK04"),L171="CFS/CY"),0,IF(M171="DG",1,IF(LEFT(C171,3)="LCH",7,IF(C171="BKK02",5,3))))</f>
        <v>7</v>
      </c>
      <c r="Z171" s="57">
        <f>IF(IF(AND(AC171="TML",AB171&gt;0),((T171-W171)+1)-AB171,((T171-W171)+1)-Y171)&gt;0,IF(AND(AC171="TML",AB171&gt;0),((T171-W171)+1)-AB171,((T171-W171)+1)-Y171),0)</f>
        <v>0</v>
      </c>
      <c r="AA171" s="48">
        <f>IF(AND(B171="G1",M171=""),IF(R171="20'",
VLOOKUP(Z171,Charge!$K$2:$M$5,2,TRUE)+(Z171-VLOOKUP(Z171,Charge!$K$2:$M$5,1,TRUE))*VLOOKUP(Z171,Charge!$K$2:$M$5,3,TRUE),
VLOOKUP(Z171,Charge!$N$2:$P$5,2,TRUE)+(Z171-VLOOKUP(Z171,Charge!$N$2:$P$5,1,TRUE))*VLOOKUP(Z171,Charge!$N$2:$P$5,3,TRUE)),
IF(AND(B171="G1",M171="DG"),IF(R171="20'",
VLOOKUP(Z171,Charge!$R$2:$T$5,2,TRUE)+(Z171-VLOOKUP(Z171,Charge!$R$2:$T$5,1,TRUE))*VLOOKUP(Z171,Charge!$R$2:$T$5,3,TRUE),
VLOOKUP(Z171,Charge!$U$2:$W$5,2,TRUE)+(Z171-VLOOKUP(Z171,Charge!$U$2:$W$5,1,TRUE))*VLOOKUP(Z171,Charge!$U$2:$W$5,3,TRUE)),
IF(AND(B171="G3",M171=""),IF(R171="20'",
VLOOKUP(Z171,Charge!$K$18:$M$21,2,TRUE)+(Z171-VLOOKUP(Z171,Charge!$K$18:$M$21,1,TRUE))*VLOOKUP(Z171,Charge!$K$18:$M$21,3,TRUE),
VLOOKUP(Z171,Charge!$N$18:$P$21,2,TRUE)+(Z171-VLOOKUP(Z171,Charge!$N$18:$P$21,1,TRUE))*VLOOKUP(Z171,Charge!$N$18:$P$21,3,TRUE)),
IF(AND(B171="G3",M171="DG"),IF(R171="20'",
VLOOKUP(Z171,Charge!$R$18:$T$21,2,TRUE)+(Z171-VLOOKUP(Z171,Charge!$R$18:$T$21,1,TRUE))*VLOOKUP(Z171,Charge!$R$18:$T$21,3,TRUE),
VLOOKUP(Z171,Charge!$U$18:$W$21,2,TRUE)+(Z171-VLOOKUP(Z171,Charge!$U$18:$W$21,1,TRUE))*VLOOKUP(Z171,Charge!$U$18:$W$21,3,TRUE)),
IF(AND(B171="G2",M171=""),IF(R171="20'",
VLOOKUP(Z171,Charge!$K$9:$M$12,2,TRUE)+(Z171-VLOOKUP(Z171,Charge!$K$9:$M$12,1,TRUE))*VLOOKUP(Z171,Charge!$K$9:$M$12,3,TRUE),
VLOOKUP(Z171,Charge!$N$9:$P$12,2,TRUE)+(Z171-VLOOKUP(Z171,Charge!$N$9:$P$12,1,TRUE))*VLOOKUP(Z171,Charge!$N$9:$P$12,3,TRUE)),
IF(AND(B171="G2",M171="DG"),IF(R171="20'",
VLOOKUP(Z171,Charge!$R$9:$T$12,2,TRUE)+(Z171-VLOOKUP(Z171,Charge!$R$9:$T$12,1,TRUE))*VLOOKUP(Z171,Charge!$R$9:$T$12,3,TRUE),
VLOOKUP(Z171,Charge!$U$9:$W$12,2,TRUE)+(Z171-VLOOKUP(Z171,Charge!$U$9:$W$12,1,TRUE))*VLOOKUP(Z171,Charge!$U$9:$W$12,3,TRUE)),IF(AND(B171="G4",M171=""),IF(R171="20'",Z171*Charge!$M$25,Z171*Charge!$P$25),IF(AND(B171="G4",M171="DG"),IF(R171="20'",Z171*Charge!$T$25,Z171*Charge!$W$25),0))))))))</f>
        <v>0</v>
      </c>
      <c r="AB171" s="53"/>
      <c r="AC171" s="53"/>
      <c r="AD171" s="56">
        <f>IF(M171="DG",3,IF(N171="RF",3,5))+IF(AND(LEFT(C171,3)="BKK",N171="RF",Q171="KTS"),1,0)+IF(Q171="KHS",1,0)</f>
        <v>5</v>
      </c>
      <c r="AE171" s="57">
        <f>(T171-V171)+1</f>
        <v>46324</v>
      </c>
      <c r="AF171" s="57">
        <f>IF(AB171&gt;IF((V171-W171)&gt;0,V171-W171,0),0,IF(AB171&lt;IF((V171-W171)&gt;0,V171-W171,0),IF((V171-W171)&gt;0,V171-W171,0)-AB171,IF((V171-W171)&gt;0,V171-W171,0)))</f>
        <v>0</v>
      </c>
      <c r="AG171" s="48">
        <f>IF(AND(M171=""),IF(R171="20'",
VLOOKUP(AF171,Charge!$K$31:$M$34,2,TRUE)+(AF171-VLOOKUP(AF171,Charge!$K$31:$M$34,1,TRUE))*VLOOKUP(AF171,Charge!$K$31:$M$34,3,TRUE),
VLOOKUP(AF171,Charge!$N$31:$P$34,2,TRUE)+(AF171-VLOOKUP(AF171,Charge!$N$31:$P$34,1,TRUE))*VLOOKUP(AF171,Charge!$N$31:$P$34,3,TRUE)),
IF(AND(M171="DG"),IF(R171="20'",
VLOOKUP(AF171,Charge!$R$31:$T$34,2,TRUE)+(AF171-VLOOKUP(AF171,Charge!$R$31:$T$34,1,TRUE))*VLOOKUP(AF171,Charge!$R$31:$T$34,3,TRUE),
VLOOKUP(AF171,Charge!$U$31:$W$34,2,TRUE)+(AF171-VLOOKUP(AF171,Charge!$U$31:$W$34,1,TRUE))*VLOOKUP(AF171,Charge!$U$31:$W$34,3,TRUE)),0))</f>
        <v>0</v>
      </c>
      <c r="AH171" s="60"/>
      <c r="AI171" s="60">
        <f>AA171-AH171</f>
        <v>0</v>
      </c>
      <c r="AJ171" s="61"/>
      <c r="AK171" s="55" t="str">
        <f>VLOOKUP(D171,'2.Bookinglist'!A:CT,40,FALSE)</f>
        <v>Arunphat W. (Aiw)</v>
      </c>
      <c r="AL171" s="56" t="str">
        <f>VLOOKUP(D171,'2.Bookinglist'!A:CW,101,FALSE)</f>
        <v>2026-10-22</v>
      </c>
      <c r="AM171" s="56" t="str">
        <f>VLOOKUP(D171,'2.Bookinglist'!A:BK,63,FALSE)</f>
        <v>BKK27</v>
      </c>
      <c r="AN171" s="55" t="str">
        <f>VLOOKUP(D171,'2.Bookinglist'!A:AZ,52,FALSE)</f>
        <v>Pickup : 2026-10-19, Return SRP : 2026-10-19 [PAPERLESS CODE 2829]
CLS TIME 24/10/26 @21.00 (1ST RETURN DATE 21/10/26)</v>
      </c>
      <c r="AO171" s="55">
        <f>VLOOKUP(D171,'2.Bookinglist'!A:CY,103,FALSE)</f>
        <v>0</v>
      </c>
    </row>
    <row r="172" ht="12.95" customHeight="1" spans="1:41" x14ac:dyDescent="0.25">
      <c r="A172" s="3" t="s">
        <v>224</v>
      </c>
      <c r="B172" s="53" t="str">
        <f>IF(C172=Charge!$M$1,Charge!$J$1,IF(C172=Charge!$M$23,Charge!$J$23,IF(C172=Charge!$M$17,Charge!$J$17,IF(C172=Charge!$N$17,Charge!$J$17,Charge!$J$7))))</f>
        <v>G2</v>
      </c>
      <c r="C172" s="54" t="str">
        <f>VLOOKUP(A172,'1.Loading'!A:R,14,FALSE)</f>
        <v>LCH06</v>
      </c>
      <c r="D172" s="54" t="str">
        <f>VLOOKUP(A172,'1.Loading'!A:R,17,FALSE)</f>
        <v>HASLS22261001024</v>
      </c>
      <c r="E172" s="55" t="str">
        <f>VLOOKUP(D172,'2.Bookinglist'!A:CT,27,FALSE)</f>
        <v>SUN-OCEAN GLOBAL SUPPLY CHAIN CO., LTD.</v>
      </c>
      <c r="F172" s="55" t="str">
        <f>VLOOKUP(D172,'2.Bookinglist'!A:CT,28,FALSE)</f>
        <v>I.P. ONE COMPANY LIMITED</v>
      </c>
      <c r="G172" s="56" t="str">
        <f>VLOOKUP(D172,'2.Bookinglist'!A:E,5,FALSE)</f>
        <v>THSRP</v>
      </c>
      <c r="H172" s="54" t="str">
        <f>VLOOKUP(D172,'2.Bookinglist'!A:CT,15,FALSE)</f>
        <v>THLCH</v>
      </c>
      <c r="I172" s="54" t="str">
        <f>VLOOKUP(D172,'2.Bookinglist'!A:CT,19,FALSE)</f>
        <v>CNSHA</v>
      </c>
      <c r="J172" s="54">
        <f>VLOOKUP(D172,'2.Bookinglist'!A:CT,26,FALSE)</f>
        <v>0</v>
      </c>
      <c r="K172" s="54" t="str">
        <f>VLOOKUP(A172,'1.Loading'!A:R,5,FALSE)</f>
        <v>45GP</v>
      </c>
      <c r="L172" s="56" t="str">
        <f>VLOOKUP(D172,'2.Bookinglist'!A:CT,85,FALSE)</f>
        <v>CY/CY</v>
      </c>
      <c r="M172" s="56" t="str">
        <f>IF(VLOOKUP(D172,'2.Bookinglist'!A:CT,43,FALSE)=0,"","DG")</f>
        <v/>
      </c>
      <c r="N172" s="56" t="str">
        <f>IF(RIGHT(K172,2)="RE","RF","")</f>
        <v/>
      </c>
      <c r="O172" s="54" t="str">
        <f>VLOOKUP(A172,'1.Loading'!A:R,3,FALSE)</f>
        <v>HMVY</v>
      </c>
      <c r="P172" s="54" t="str">
        <f>VLOOKUP(A172,'1.Loading'!A:R,4,FALSE)</f>
        <v>2609N</v>
      </c>
      <c r="Q172" s="54" t="str">
        <f>VLOOKUP(D172,'2.Bookinglist'!A:CT,12,FALSE)</f>
        <v>PCI2</v>
      </c>
      <c r="R172" s="56" t="str">
        <f>IF(LEFT(K172,2)="22","20'","40'")</f>
        <v>40'</v>
      </c>
      <c r="S172" s="38"/>
      <c r="T172" s="54" t="str">
        <f>VLOOKUP(A172,'1.Loading'!A:R,2,FALSE)</f>
        <v>2026-10-28</v>
      </c>
      <c r="U172" s="57">
        <f>T172-S172</f>
        <v>46323</v>
      </c>
      <c r="V172" s="58"/>
      <c r="W172" s="54" t="str">
        <f>VLOOKUP(A172,'3.GateMove'!A:D,4,FALSE)</f>
        <v>2026-10-23</v>
      </c>
      <c r="X172" s="57">
        <f>((T172-W172)+1)</f>
        <v>6</v>
      </c>
      <c r="Y172" s="59">
        <f>IF(AND(OR(C172="BKK01",C172="BKK04"),L172="CFS/CY"),0,IF(M172="DG",1,IF(LEFT(C172,3)="LCH",7,IF(C172="BKK02",5,3))))</f>
        <v>7</v>
      </c>
      <c r="Z172" s="57">
        <f>IF(IF(AND(AC172="TML",AB172&gt;0),((T172-W172)+1)-AB172,((T172-W172)+1)-Y172)&gt;0,IF(AND(AC172="TML",AB172&gt;0),((T172-W172)+1)-AB172,((T172-W172)+1)-Y172),0)</f>
        <v>0</v>
      </c>
      <c r="AA172" s="48">
        <f>IF(AND(B172="G1",M172=""),IF(R172="20'",
VLOOKUP(Z172,Charge!$K$2:$M$5,2,TRUE)+(Z172-VLOOKUP(Z172,Charge!$K$2:$M$5,1,TRUE))*VLOOKUP(Z172,Charge!$K$2:$M$5,3,TRUE),
VLOOKUP(Z172,Charge!$N$2:$P$5,2,TRUE)+(Z172-VLOOKUP(Z172,Charge!$N$2:$P$5,1,TRUE))*VLOOKUP(Z172,Charge!$N$2:$P$5,3,TRUE)),
IF(AND(B172="G1",M172="DG"),IF(R172="20'",
VLOOKUP(Z172,Charge!$R$2:$T$5,2,TRUE)+(Z172-VLOOKUP(Z172,Charge!$R$2:$T$5,1,TRUE))*VLOOKUP(Z172,Charge!$R$2:$T$5,3,TRUE),
VLOOKUP(Z172,Charge!$U$2:$W$5,2,TRUE)+(Z172-VLOOKUP(Z172,Charge!$U$2:$W$5,1,TRUE))*VLOOKUP(Z172,Charge!$U$2:$W$5,3,TRUE)),
IF(AND(B172="G3",M172=""),IF(R172="20'",
VLOOKUP(Z172,Charge!$K$18:$M$21,2,TRUE)+(Z172-VLOOKUP(Z172,Charge!$K$18:$M$21,1,TRUE))*VLOOKUP(Z172,Charge!$K$18:$M$21,3,TRUE),
VLOOKUP(Z172,Charge!$N$18:$P$21,2,TRUE)+(Z172-VLOOKUP(Z172,Charge!$N$18:$P$21,1,TRUE))*VLOOKUP(Z172,Charge!$N$18:$P$21,3,TRUE)),
IF(AND(B172="G3",M172="DG"),IF(R172="20'",
VLOOKUP(Z172,Charge!$R$18:$T$21,2,TRUE)+(Z172-VLOOKUP(Z172,Charge!$R$18:$T$21,1,TRUE))*VLOOKUP(Z172,Charge!$R$18:$T$21,3,TRUE),
VLOOKUP(Z172,Charge!$U$18:$W$21,2,TRUE)+(Z172-VLOOKUP(Z172,Charge!$U$18:$W$21,1,TRUE))*VLOOKUP(Z172,Charge!$U$18:$W$21,3,TRUE)),
IF(AND(B172="G2",M172=""),IF(R172="20'",
VLOOKUP(Z172,Charge!$K$9:$M$12,2,TRUE)+(Z172-VLOOKUP(Z172,Charge!$K$9:$M$12,1,TRUE))*VLOOKUP(Z172,Charge!$K$9:$M$12,3,TRUE),
VLOOKUP(Z172,Charge!$N$9:$P$12,2,TRUE)+(Z172-VLOOKUP(Z172,Charge!$N$9:$P$12,1,TRUE))*VLOOKUP(Z172,Charge!$N$9:$P$12,3,TRUE)),
IF(AND(B172="G2",M172="DG"),IF(R172="20'",
VLOOKUP(Z172,Charge!$R$9:$T$12,2,TRUE)+(Z172-VLOOKUP(Z172,Charge!$R$9:$T$12,1,TRUE))*VLOOKUP(Z172,Charge!$R$9:$T$12,3,TRUE),
VLOOKUP(Z172,Charge!$U$9:$W$12,2,TRUE)+(Z172-VLOOKUP(Z172,Charge!$U$9:$W$12,1,TRUE))*VLOOKUP(Z172,Charge!$U$9:$W$12,3,TRUE)),IF(AND(B172="G4",M172=""),IF(R172="20'",Z172*Charge!$M$25,Z172*Charge!$P$25),IF(AND(B172="G4",M172="DG"),IF(R172="20'",Z172*Charge!$T$25,Z172*Charge!$W$25),0))))))))</f>
        <v>0</v>
      </c>
      <c r="AB172" s="53"/>
      <c r="AC172" s="53"/>
      <c r="AD172" s="56">
        <f>IF(M172="DG",3,IF(N172="RF",3,5))+IF(AND(LEFT(C172,3)="BKK",N172="RF",Q172="KTS"),1,0)+IF(Q172="KHS",1,0)</f>
        <v>5</v>
      </c>
      <c r="AE172" s="57">
        <f>(T172-V172)+1</f>
        <v>46324</v>
      </c>
      <c r="AF172" s="57">
        <f>IF(AB172&gt;IF((V172-W172)&gt;0,V172-W172,0),0,IF(AB172&lt;IF((V172-W172)&gt;0,V172-W172,0),IF((V172-W172)&gt;0,V172-W172,0)-AB172,IF((V172-W172)&gt;0,V172-W172,0)))</f>
        <v>0</v>
      </c>
      <c r="AG172" s="48">
        <f>IF(AND(M172=""),IF(R172="20'",
VLOOKUP(AF172,Charge!$K$31:$M$34,2,TRUE)+(AF172-VLOOKUP(AF172,Charge!$K$31:$M$34,1,TRUE))*VLOOKUP(AF172,Charge!$K$31:$M$34,3,TRUE),
VLOOKUP(AF172,Charge!$N$31:$P$34,2,TRUE)+(AF172-VLOOKUP(AF172,Charge!$N$31:$P$34,1,TRUE))*VLOOKUP(AF172,Charge!$N$31:$P$34,3,TRUE)),
IF(AND(M172="DG"),IF(R172="20'",
VLOOKUP(AF172,Charge!$R$31:$T$34,2,TRUE)+(AF172-VLOOKUP(AF172,Charge!$R$31:$T$34,1,TRUE))*VLOOKUP(AF172,Charge!$R$31:$T$34,3,TRUE),
VLOOKUP(AF172,Charge!$U$31:$W$34,2,TRUE)+(AF172-VLOOKUP(AF172,Charge!$U$31:$W$34,1,TRUE))*VLOOKUP(AF172,Charge!$U$31:$W$34,3,TRUE)),0))</f>
        <v>0</v>
      </c>
      <c r="AH172" s="60"/>
      <c r="AI172" s="60">
        <f>AA172-AH172</f>
        <v>0</v>
      </c>
      <c r="AJ172" s="61"/>
      <c r="AK172" s="55" t="str">
        <f>VLOOKUP(D172,'2.Bookinglist'!A:CT,40,FALSE)</f>
        <v>Arunphat W. (Aiw)</v>
      </c>
      <c r="AL172" s="56" t="str">
        <f>VLOOKUP(D172,'2.Bookinglist'!A:CW,101,FALSE)</f>
        <v>2026-10-24</v>
      </c>
      <c r="AM172" s="56" t="str">
        <f>VLOOKUP(D172,'2.Bookinglist'!A:BK,63,FALSE)</f>
        <v>BKK27</v>
      </c>
      <c r="AN172" s="55" t="str">
        <f>VLOOKUP(D172,'2.Bookinglist'!A:AZ,52,FALSE)</f>
        <v>Pickup : 2026-10-19, Return SRP : 2026-10-20 [PAPERLESS CODE 2829]
CLS TIME 24/10/26 @21.00 (1ST RETURN DD.21/10/26)</v>
      </c>
      <c r="AO172" s="55">
        <f>VLOOKUP(D172,'2.Bookinglist'!A:CY,103,FALSE)</f>
        <v>0</v>
      </c>
    </row>
    <row r="173" ht="12.95" customHeight="1" spans="1:41" x14ac:dyDescent="0.25">
      <c r="A173" s="3" t="s">
        <v>122</v>
      </c>
      <c r="B173" s="53" t="str">
        <f>IF(C173=Charge!$M$1,Charge!$J$1,IF(C173=Charge!$M$23,Charge!$J$23,IF(C173=Charge!$M$17,Charge!$J$17,IF(C173=Charge!$N$17,Charge!$J$17,Charge!$J$7))))</f>
        <v>G2</v>
      </c>
      <c r="C173" s="54" t="str">
        <f>VLOOKUP(A173,'1.Loading'!A:R,14,FALSE)</f>
        <v>LCH06</v>
      </c>
      <c r="D173" s="54" t="str">
        <f>VLOOKUP(A173,'1.Loading'!A:R,17,FALSE)</f>
        <v>HASLS22260901902</v>
      </c>
      <c r="E173" s="55" t="str">
        <f>VLOOKUP(D173,'2.Bookinglist'!A:CT,27,FALSE)</f>
        <v>WHA GC LOGISTICS COMPANY LIMITED</v>
      </c>
      <c r="F173" s="55" t="str">
        <f>VLOOKUP(D173,'2.Bookinglist'!A:CT,28,FALSE)</f>
        <v>PTT GLOBAL CHEMICAL PUBLIC COMPANY LIMITED</v>
      </c>
      <c r="G173" s="56">
        <f>VLOOKUP(D173,'2.Bookinglist'!A:E,5,FALSE)</f>
        <v>0</v>
      </c>
      <c r="H173" s="54" t="str">
        <f>VLOOKUP(D173,'2.Bookinglist'!A:CT,15,FALSE)</f>
        <v>THLCH</v>
      </c>
      <c r="I173" s="54" t="str">
        <f>VLOOKUP(D173,'2.Bookinglist'!A:CT,19,FALSE)</f>
        <v>CNSHA</v>
      </c>
      <c r="J173" s="54">
        <f>VLOOKUP(D173,'2.Bookinglist'!A:CT,26,FALSE)</f>
        <v>0</v>
      </c>
      <c r="K173" s="54" t="str">
        <f>VLOOKUP(A173,'1.Loading'!A:R,5,FALSE)</f>
        <v>45GP</v>
      </c>
      <c r="L173" s="56" t="str">
        <f>VLOOKUP(D173,'2.Bookinglist'!A:CT,85,FALSE)</f>
        <v>CY/CY</v>
      </c>
      <c r="M173" s="56" t="str">
        <f>IF(VLOOKUP(D173,'2.Bookinglist'!A:CT,43,FALSE)=0,"","DG")</f>
        <v/>
      </c>
      <c r="N173" s="56" t="str">
        <f>IF(RIGHT(K173,2)="RE","RF","")</f>
        <v/>
      </c>
      <c r="O173" s="54" t="str">
        <f>VLOOKUP(A173,'1.Loading'!A:R,3,FALSE)</f>
        <v>HMVY</v>
      </c>
      <c r="P173" s="54" t="str">
        <f>VLOOKUP(A173,'1.Loading'!A:R,4,FALSE)</f>
        <v>2609N</v>
      </c>
      <c r="Q173" s="54" t="str">
        <f>VLOOKUP(D173,'2.Bookinglist'!A:CT,12,FALSE)</f>
        <v>PCI2</v>
      </c>
      <c r="R173" s="56" t="str">
        <f>IF(LEFT(K173,2)="22","20'","40'")</f>
        <v>40'</v>
      </c>
      <c r="S173" s="38"/>
      <c r="T173" s="54" t="str">
        <f>VLOOKUP(A173,'1.Loading'!A:R,2,FALSE)</f>
        <v>2026-10-28</v>
      </c>
      <c r="U173" s="57">
        <f>T173-S173</f>
        <v>46323</v>
      </c>
      <c r="V173" s="58"/>
      <c r="W173" s="54" t="str">
        <f>VLOOKUP(A173,'3.GateMove'!A:D,4,FALSE)</f>
        <v>2026-10-18</v>
      </c>
      <c r="X173" s="57">
        <f>((T173-W173)+1)</f>
        <v>11</v>
      </c>
      <c r="Y173" s="59">
        <f>IF(AND(OR(C173="BKK01",C173="BKK04"),L173="CFS/CY"),0,IF(M173="DG",1,IF(LEFT(C173,3)="LCH",7,IF(C173="BKK02",5,3))))</f>
        <v>7</v>
      </c>
      <c r="Z173" s="57">
        <f>IF(IF(AND(AC173="TML",AB173&gt;0),((T173-W173)+1)-AB173,((T173-W173)+1)-Y173)&gt;0,IF(AND(AC173="TML",AB173&gt;0),((T173-W173)+1)-AB173,((T173-W173)+1)-Y173),0)</f>
        <v>4</v>
      </c>
      <c r="AA173" s="48">
        <f>IF(AND(B173="G1",M173=""),IF(R173="20'",
VLOOKUP(Z173,Charge!$K$2:$M$5,2,TRUE)+(Z173-VLOOKUP(Z173,Charge!$K$2:$M$5,1,TRUE))*VLOOKUP(Z173,Charge!$K$2:$M$5,3,TRUE),
VLOOKUP(Z173,Charge!$N$2:$P$5,2,TRUE)+(Z173-VLOOKUP(Z173,Charge!$N$2:$P$5,1,TRUE))*VLOOKUP(Z173,Charge!$N$2:$P$5,3,TRUE)),
IF(AND(B173="G1",M173="DG"),IF(R173="20'",
VLOOKUP(Z173,Charge!$R$2:$T$5,2,TRUE)+(Z173-VLOOKUP(Z173,Charge!$R$2:$T$5,1,TRUE))*VLOOKUP(Z173,Charge!$R$2:$T$5,3,TRUE),
VLOOKUP(Z173,Charge!$U$2:$W$5,2,TRUE)+(Z173-VLOOKUP(Z173,Charge!$U$2:$W$5,1,TRUE))*VLOOKUP(Z173,Charge!$U$2:$W$5,3,TRUE)),
IF(AND(B173="G3",M173=""),IF(R173="20'",
VLOOKUP(Z173,Charge!$K$18:$M$21,2,TRUE)+(Z173-VLOOKUP(Z173,Charge!$K$18:$M$21,1,TRUE))*VLOOKUP(Z173,Charge!$K$18:$M$21,3,TRUE),
VLOOKUP(Z173,Charge!$N$18:$P$21,2,TRUE)+(Z173-VLOOKUP(Z173,Charge!$N$18:$P$21,1,TRUE))*VLOOKUP(Z173,Charge!$N$18:$P$21,3,TRUE)),
IF(AND(B173="G3",M173="DG"),IF(R173="20'",
VLOOKUP(Z173,Charge!$R$18:$T$21,2,TRUE)+(Z173-VLOOKUP(Z173,Charge!$R$18:$T$21,1,TRUE))*VLOOKUP(Z173,Charge!$R$18:$T$21,3,TRUE),
VLOOKUP(Z173,Charge!$U$18:$W$21,2,TRUE)+(Z173-VLOOKUP(Z173,Charge!$U$18:$W$21,1,TRUE))*VLOOKUP(Z173,Charge!$U$18:$W$21,3,TRUE)),
IF(AND(B173="G2",M173=""),IF(R173="20'",
VLOOKUP(Z173,Charge!$K$9:$M$12,2,TRUE)+(Z173-VLOOKUP(Z173,Charge!$K$9:$M$12,1,TRUE))*VLOOKUP(Z173,Charge!$K$9:$M$12,3,TRUE),
VLOOKUP(Z173,Charge!$N$9:$P$12,2,TRUE)+(Z173-VLOOKUP(Z173,Charge!$N$9:$P$12,1,TRUE))*VLOOKUP(Z173,Charge!$N$9:$P$12,3,TRUE)),
IF(AND(B173="G2",M173="DG"),IF(R173="20'",
VLOOKUP(Z173,Charge!$R$9:$T$12,2,TRUE)+(Z173-VLOOKUP(Z173,Charge!$R$9:$T$12,1,TRUE))*VLOOKUP(Z173,Charge!$R$9:$T$12,3,TRUE),
VLOOKUP(Z173,Charge!$U$9:$W$12,2,TRUE)+(Z173-VLOOKUP(Z173,Charge!$U$9:$W$12,1,TRUE))*VLOOKUP(Z173,Charge!$U$9:$W$12,3,TRUE)),IF(AND(B173="G4",M173=""),IF(R173="20'",Z173*Charge!$M$25,Z173*Charge!$P$25),IF(AND(B173="G4",M173="DG"),IF(R173="20'",Z173*Charge!$T$25,Z173*Charge!$W$25),0))))))))</f>
        <v>1000</v>
      </c>
      <c r="AB173" s="53"/>
      <c r="AC173" s="53"/>
      <c r="AD173" s="56">
        <f>IF(M173="DG",3,IF(N173="RF",3,5))+IF(AND(LEFT(C173,3)="BKK",N173="RF",Q173="KTS"),1,0)+IF(Q173="KHS",1,0)</f>
        <v>5</v>
      </c>
      <c r="AE173" s="57">
        <f>(T173-V173)+1</f>
        <v>46324</v>
      </c>
      <c r="AF173" s="57">
        <f>IF(AB173&gt;IF((V173-W173)&gt;0,V173-W173,0),0,IF(AB173&lt;IF((V173-W173)&gt;0,V173-W173,0),IF((V173-W173)&gt;0,V173-W173,0)-AB173,IF((V173-W173)&gt;0,V173-W173,0)))</f>
        <v>0</v>
      </c>
      <c r="AG173" s="48">
        <f>IF(AND(M173=""),IF(R173="20'",
VLOOKUP(AF173,Charge!$K$31:$M$34,2,TRUE)+(AF173-VLOOKUP(AF173,Charge!$K$31:$M$34,1,TRUE))*VLOOKUP(AF173,Charge!$K$31:$M$34,3,TRUE),
VLOOKUP(AF173,Charge!$N$31:$P$34,2,TRUE)+(AF173-VLOOKUP(AF173,Charge!$N$31:$P$34,1,TRUE))*VLOOKUP(AF173,Charge!$N$31:$P$34,3,TRUE)),
IF(AND(M173="DG"),IF(R173="20'",
VLOOKUP(AF173,Charge!$R$31:$T$34,2,TRUE)+(AF173-VLOOKUP(AF173,Charge!$R$31:$T$34,1,TRUE))*VLOOKUP(AF173,Charge!$R$31:$T$34,3,TRUE),
VLOOKUP(AF173,Charge!$U$31:$W$34,2,TRUE)+(AF173-VLOOKUP(AF173,Charge!$U$31:$W$34,1,TRUE))*VLOOKUP(AF173,Charge!$U$31:$W$34,3,TRUE)),0))</f>
        <v>0</v>
      </c>
      <c r="AH173" s="60"/>
      <c r="AI173" s="60">
        <f>AA173-AH173</f>
        <v>1000</v>
      </c>
      <c r="AJ173" s="61"/>
      <c r="AK173" s="55" t="str">
        <f>VLOOKUP(D173,'2.Bookinglist'!A:CT,40,FALSE)</f>
        <v>Dharaporn</v>
      </c>
      <c r="AL173" s="56" t="str">
        <f>VLOOKUP(D173,'2.Bookinglist'!A:CW,101,FALSE)</f>
        <v>2026-10-16</v>
      </c>
      <c r="AM173" s="56" t="str">
        <f>VLOOKUP(D173,'2.Bookinglist'!A:BK,63,FALSE)</f>
        <v>LCHY5</v>
      </c>
      <c r="AN173" s="55" t="str">
        <f>VLOOKUP(D173,'2.Bookinglist'!A:AZ,52,FALSE)</f>
        <v>CY-RTN 09-10/10/26 
*PLS CHECK OPEN GATE BEFORE RETURN CTNR*</v>
      </c>
      <c r="AO173" s="55">
        <f>VLOOKUP(D173,'2.Bookinglist'!A:CY,103,FALSE)</f>
        <v>0</v>
      </c>
    </row>
    <row r="174" ht="12.95" customHeight="1" spans="1:41" x14ac:dyDescent="0.25">
      <c r="A174" s="3" t="s">
        <v>123</v>
      </c>
      <c r="B174" s="53" t="str">
        <f>IF(C174=Charge!$M$1,Charge!$J$1,IF(C174=Charge!$M$23,Charge!$J$23,IF(C174=Charge!$M$17,Charge!$J$17,IF(C174=Charge!$N$17,Charge!$J$17,Charge!$J$7))))</f>
        <v>G2</v>
      </c>
      <c r="C174" s="54" t="str">
        <f>VLOOKUP(A174,'1.Loading'!A:R,14,FALSE)</f>
        <v>LCH06</v>
      </c>
      <c r="D174" s="54" t="str">
        <f>VLOOKUP(A174,'1.Loading'!A:R,17,FALSE)</f>
        <v>HASLS22260901683</v>
      </c>
      <c r="E174" s="55" t="str">
        <f>VLOOKUP(D174,'2.Bookinglist'!A:CT,27,FALSE)</f>
        <v>WHA GC LOGISTICS COMPANY LIMITED</v>
      </c>
      <c r="F174" s="55" t="str">
        <f>VLOOKUP(D174,'2.Bookinglist'!A:CT,28,FALSE)</f>
        <v>PTT GLOBAL CHEMICAL PUBLIC COMPANY LIMITED</v>
      </c>
      <c r="G174" s="56">
        <f>VLOOKUP(D174,'2.Bookinglist'!A:E,5,FALSE)</f>
        <v>0</v>
      </c>
      <c r="H174" s="54" t="str">
        <f>VLOOKUP(D174,'2.Bookinglist'!A:CT,15,FALSE)</f>
        <v>THLCH</v>
      </c>
      <c r="I174" s="54" t="str">
        <f>VLOOKUP(D174,'2.Bookinglist'!A:CT,19,FALSE)</f>
        <v>JPMYJ</v>
      </c>
      <c r="J174" s="54" t="str">
        <f>VLOOKUP(D174,'2.Bookinglist'!A:CT,26,FALSE)</f>
        <v>KRPUS</v>
      </c>
      <c r="K174" s="54" t="str">
        <f>VLOOKUP(A174,'1.Loading'!A:R,5,FALSE)</f>
        <v>45GP</v>
      </c>
      <c r="L174" s="56" t="str">
        <f>VLOOKUP(D174,'2.Bookinglist'!A:CT,85,FALSE)</f>
        <v>CY/CY</v>
      </c>
      <c r="M174" s="56" t="str">
        <f>IF(VLOOKUP(D174,'2.Bookinglist'!A:CT,43,FALSE)=0,"","DG")</f>
        <v/>
      </c>
      <c r="N174" s="56" t="str">
        <f>IF(RIGHT(K174,2)="RE","RF","")</f>
        <v/>
      </c>
      <c r="O174" s="54" t="str">
        <f>VLOOKUP(A174,'1.Loading'!A:R,3,FALSE)</f>
        <v>HMVY</v>
      </c>
      <c r="P174" s="54" t="str">
        <f>VLOOKUP(A174,'1.Loading'!A:R,4,FALSE)</f>
        <v>2609N</v>
      </c>
      <c r="Q174" s="54" t="str">
        <f>VLOOKUP(D174,'2.Bookinglist'!A:CT,12,FALSE)</f>
        <v>PCI2</v>
      </c>
      <c r="R174" s="56" t="str">
        <f>IF(LEFT(K174,2)="22","20'","40'")</f>
        <v>40'</v>
      </c>
      <c r="S174" s="38"/>
      <c r="T174" s="54" t="str">
        <f>VLOOKUP(A174,'1.Loading'!A:R,2,FALSE)</f>
        <v>2026-10-28</v>
      </c>
      <c r="U174" s="57">
        <f>T174-S174</f>
        <v>46323</v>
      </c>
      <c r="V174" s="58"/>
      <c r="W174" s="54" t="str">
        <f>VLOOKUP(A174,'3.GateMove'!A:D,4,FALSE)</f>
        <v>2026-10-18</v>
      </c>
      <c r="X174" s="57">
        <f>((T174-W174)+1)</f>
        <v>11</v>
      </c>
      <c r="Y174" s="59">
        <f>IF(AND(OR(C174="BKK01",C174="BKK04"),L174="CFS/CY"),0,IF(M174="DG",1,IF(LEFT(C174,3)="LCH",7,IF(C174="BKK02",5,3))))</f>
        <v>7</v>
      </c>
      <c r="Z174" s="57">
        <f>IF(IF(AND(AC174="TML",AB174&gt;0),((T174-W174)+1)-AB174,((T174-W174)+1)-Y174)&gt;0,IF(AND(AC174="TML",AB174&gt;0),((T174-W174)+1)-AB174,((T174-W174)+1)-Y174),0)</f>
        <v>4</v>
      </c>
      <c r="AA174" s="48">
        <f>IF(AND(B174="G1",M174=""),IF(R174="20'",
VLOOKUP(Z174,Charge!$K$2:$M$5,2,TRUE)+(Z174-VLOOKUP(Z174,Charge!$K$2:$M$5,1,TRUE))*VLOOKUP(Z174,Charge!$K$2:$M$5,3,TRUE),
VLOOKUP(Z174,Charge!$N$2:$P$5,2,TRUE)+(Z174-VLOOKUP(Z174,Charge!$N$2:$P$5,1,TRUE))*VLOOKUP(Z174,Charge!$N$2:$P$5,3,TRUE)),
IF(AND(B174="G1",M174="DG"),IF(R174="20'",
VLOOKUP(Z174,Charge!$R$2:$T$5,2,TRUE)+(Z174-VLOOKUP(Z174,Charge!$R$2:$T$5,1,TRUE))*VLOOKUP(Z174,Charge!$R$2:$T$5,3,TRUE),
VLOOKUP(Z174,Charge!$U$2:$W$5,2,TRUE)+(Z174-VLOOKUP(Z174,Charge!$U$2:$W$5,1,TRUE))*VLOOKUP(Z174,Charge!$U$2:$W$5,3,TRUE)),
IF(AND(B174="G3",M174=""),IF(R174="20'",
VLOOKUP(Z174,Charge!$K$18:$M$21,2,TRUE)+(Z174-VLOOKUP(Z174,Charge!$K$18:$M$21,1,TRUE))*VLOOKUP(Z174,Charge!$K$18:$M$21,3,TRUE),
VLOOKUP(Z174,Charge!$N$18:$P$21,2,TRUE)+(Z174-VLOOKUP(Z174,Charge!$N$18:$P$21,1,TRUE))*VLOOKUP(Z174,Charge!$N$18:$P$21,3,TRUE)),
IF(AND(B174="G3",M174="DG"),IF(R174="20'",
VLOOKUP(Z174,Charge!$R$18:$T$21,2,TRUE)+(Z174-VLOOKUP(Z174,Charge!$R$18:$T$21,1,TRUE))*VLOOKUP(Z174,Charge!$R$18:$T$21,3,TRUE),
VLOOKUP(Z174,Charge!$U$18:$W$21,2,TRUE)+(Z174-VLOOKUP(Z174,Charge!$U$18:$W$21,1,TRUE))*VLOOKUP(Z174,Charge!$U$18:$W$21,3,TRUE)),
IF(AND(B174="G2",M174=""),IF(R174="20'",
VLOOKUP(Z174,Charge!$K$9:$M$12,2,TRUE)+(Z174-VLOOKUP(Z174,Charge!$K$9:$M$12,1,TRUE))*VLOOKUP(Z174,Charge!$K$9:$M$12,3,TRUE),
VLOOKUP(Z174,Charge!$N$9:$P$12,2,TRUE)+(Z174-VLOOKUP(Z174,Charge!$N$9:$P$12,1,TRUE))*VLOOKUP(Z174,Charge!$N$9:$P$12,3,TRUE)),
IF(AND(B174="G2",M174="DG"),IF(R174="20'",
VLOOKUP(Z174,Charge!$R$9:$T$12,2,TRUE)+(Z174-VLOOKUP(Z174,Charge!$R$9:$T$12,1,TRUE))*VLOOKUP(Z174,Charge!$R$9:$T$12,3,TRUE),
VLOOKUP(Z174,Charge!$U$9:$W$12,2,TRUE)+(Z174-VLOOKUP(Z174,Charge!$U$9:$W$12,1,TRUE))*VLOOKUP(Z174,Charge!$U$9:$W$12,3,TRUE)),IF(AND(B174="G4",M174=""),IF(R174="20'",Z174*Charge!$M$25,Z174*Charge!$P$25),IF(AND(B174="G4",M174="DG"),IF(R174="20'",Z174*Charge!$T$25,Z174*Charge!$W$25),0))))))))</f>
        <v>1000</v>
      </c>
      <c r="AB174" s="53"/>
      <c r="AC174" s="53"/>
      <c r="AD174" s="56">
        <f>IF(M174="DG",3,IF(N174="RF",3,5))+IF(AND(LEFT(C174,3)="BKK",N174="RF",Q174="KTS"),1,0)+IF(Q174="KHS",1,0)</f>
        <v>5</v>
      </c>
      <c r="AE174" s="57">
        <f>(T174-V174)+1</f>
        <v>46324</v>
      </c>
      <c r="AF174" s="57">
        <f>IF(AB174&gt;IF((V174-W174)&gt;0,V174-W174,0),0,IF(AB174&lt;IF((V174-W174)&gt;0,V174-W174,0),IF((V174-W174)&gt;0,V174-W174,0)-AB174,IF((V174-W174)&gt;0,V174-W174,0)))</f>
        <v>0</v>
      </c>
      <c r="AG174" s="48">
        <f>IF(AND(M174=""),IF(R174="20'",
VLOOKUP(AF174,Charge!$K$31:$M$34,2,TRUE)+(AF174-VLOOKUP(AF174,Charge!$K$31:$M$34,1,TRUE))*VLOOKUP(AF174,Charge!$K$31:$M$34,3,TRUE),
VLOOKUP(AF174,Charge!$N$31:$P$34,2,TRUE)+(AF174-VLOOKUP(AF174,Charge!$N$31:$P$34,1,TRUE))*VLOOKUP(AF174,Charge!$N$31:$P$34,3,TRUE)),
IF(AND(M174="DG"),IF(R174="20'",
VLOOKUP(AF174,Charge!$R$31:$T$34,2,TRUE)+(AF174-VLOOKUP(AF174,Charge!$R$31:$T$34,1,TRUE))*VLOOKUP(AF174,Charge!$R$31:$T$34,3,TRUE),
VLOOKUP(AF174,Charge!$U$31:$W$34,2,TRUE)+(AF174-VLOOKUP(AF174,Charge!$U$31:$W$34,1,TRUE))*VLOOKUP(AF174,Charge!$U$31:$W$34,3,TRUE)),0))</f>
        <v>0</v>
      </c>
      <c r="AH174" s="60"/>
      <c r="AI174" s="60">
        <f>AA174-AH174</f>
        <v>1000</v>
      </c>
      <c r="AJ174" s="61"/>
      <c r="AK174" s="55" t="str">
        <f>VLOOKUP(D174,'2.Bookinglist'!A:CT,40,FALSE)</f>
        <v>Dharaporn</v>
      </c>
      <c r="AL174" s="56" t="str">
        <f>VLOOKUP(D174,'2.Bookinglist'!A:CW,101,FALSE)</f>
        <v>2026-10-14</v>
      </c>
      <c r="AM174" s="56" t="str">
        <f>VLOOKUP(D174,'2.Bookinglist'!A:BK,63,FALSE)</f>
        <v>LCHY5</v>
      </c>
      <c r="AN174" s="55" t="str">
        <f>VLOOKUP(D174,'2.Bookinglist'!A:AZ,52,FALSE)</f>
        <v>[FIX][FIX]CY-RTN 08-10/10/26</v>
      </c>
      <c r="AO174" s="55">
        <f>VLOOKUP(D174,'2.Bookinglist'!A:CY,103,FALSE)</f>
        <v>0</v>
      </c>
    </row>
    <row r="175" ht="12.95" customHeight="1" spans="1:41" x14ac:dyDescent="0.25">
      <c r="A175" s="3" t="s">
        <v>112</v>
      </c>
      <c r="B175" s="53" t="str">
        <f>IF(C175=Charge!$M$1,Charge!$J$1,IF(C175=Charge!$M$23,Charge!$J$23,IF(C175=Charge!$M$17,Charge!$J$17,IF(C175=Charge!$N$17,Charge!$J$17,Charge!$J$7))))</f>
        <v>G2</v>
      </c>
      <c r="C175" s="54" t="str">
        <f>VLOOKUP(A175,'1.Loading'!A:R,14,FALSE)</f>
        <v>LCH06</v>
      </c>
      <c r="D175" s="54" t="str">
        <f>VLOOKUP(A175,'1.Loading'!A:R,17,FALSE)</f>
        <v>HASLS22261001110</v>
      </c>
      <c r="E175" s="55" t="str">
        <f>VLOOKUP(D175,'2.Bookinglist'!A:CT,27,FALSE)</f>
        <v>MORRISON EXPRESS CORP (THAILAND)LTD.</v>
      </c>
      <c r="F175" s="55" t="str">
        <f>VLOOKUP(D175,'2.Bookinglist'!A:CT,28,FALSE)</f>
        <v>VILLEROY &amp; BOCH (THAILAND) CO., LTD.</v>
      </c>
      <c r="G175" s="56" t="str">
        <f>VLOOKUP(D175,'2.Bookinglist'!A:E,5,FALSE)</f>
        <v>THSRP</v>
      </c>
      <c r="H175" s="54" t="str">
        <f>VLOOKUP(D175,'2.Bookinglist'!A:CT,15,FALSE)</f>
        <v>THLCH</v>
      </c>
      <c r="I175" s="54" t="str">
        <f>VLOOKUP(D175,'2.Bookinglist'!A:CT,19,FALSE)</f>
        <v>CNSHA</v>
      </c>
      <c r="J175" s="54">
        <f>VLOOKUP(D175,'2.Bookinglist'!A:CT,26,FALSE)</f>
        <v>0</v>
      </c>
      <c r="K175" s="54" t="str">
        <f>VLOOKUP(A175,'1.Loading'!A:R,5,FALSE)</f>
        <v>45GP</v>
      </c>
      <c r="L175" s="56" t="str">
        <f>VLOOKUP(D175,'2.Bookinglist'!A:CT,85,FALSE)</f>
        <v>CY/CY</v>
      </c>
      <c r="M175" s="56" t="str">
        <f>IF(VLOOKUP(D175,'2.Bookinglist'!A:CT,43,FALSE)=0,"","DG")</f>
        <v/>
      </c>
      <c r="N175" s="56" t="str">
        <f>IF(RIGHT(K175,2)="RE","RF","")</f>
        <v/>
      </c>
      <c r="O175" s="54" t="str">
        <f>VLOOKUP(A175,'1.Loading'!A:R,3,FALSE)</f>
        <v>HMVY</v>
      </c>
      <c r="P175" s="54" t="str">
        <f>VLOOKUP(A175,'1.Loading'!A:R,4,FALSE)</f>
        <v>2609N</v>
      </c>
      <c r="Q175" s="54" t="str">
        <f>VLOOKUP(D175,'2.Bookinglist'!A:CT,12,FALSE)</f>
        <v>PCI2</v>
      </c>
      <c r="R175" s="56" t="str">
        <f>IF(LEFT(K175,2)="22","20'","40'")</f>
        <v>40'</v>
      </c>
      <c r="S175" s="38"/>
      <c r="T175" s="54" t="str">
        <f>VLOOKUP(A175,'1.Loading'!A:R,2,FALSE)</f>
        <v>2026-10-28</v>
      </c>
      <c r="U175" s="57">
        <f>T175-S175</f>
        <v>46323</v>
      </c>
      <c r="V175" s="58"/>
      <c r="W175" s="54" t="str">
        <f>VLOOKUP(A175,'3.GateMove'!A:D,4,FALSE)</f>
        <v>2026-10-23</v>
      </c>
      <c r="X175" s="57">
        <f>((T175-W175)+1)</f>
        <v>6</v>
      </c>
      <c r="Y175" s="59">
        <f>IF(AND(OR(C175="BKK01",C175="BKK04"),L175="CFS/CY"),0,IF(M175="DG",1,IF(LEFT(C175,3)="LCH",7,IF(C175="BKK02",5,3))))</f>
        <v>7</v>
      </c>
      <c r="Z175" s="57">
        <f>IF(IF(AND(AC175="TML",AB175&gt;0),((T175-W175)+1)-AB175,((T175-W175)+1)-Y175)&gt;0,IF(AND(AC175="TML",AB175&gt;0),((T175-W175)+1)-AB175,((T175-W175)+1)-Y175),0)</f>
        <v>0</v>
      </c>
      <c r="AA175" s="48">
        <f>IF(AND(B175="G1",M175=""),IF(R175="20'",
VLOOKUP(Z175,Charge!$K$2:$M$5,2,TRUE)+(Z175-VLOOKUP(Z175,Charge!$K$2:$M$5,1,TRUE))*VLOOKUP(Z175,Charge!$K$2:$M$5,3,TRUE),
VLOOKUP(Z175,Charge!$N$2:$P$5,2,TRUE)+(Z175-VLOOKUP(Z175,Charge!$N$2:$P$5,1,TRUE))*VLOOKUP(Z175,Charge!$N$2:$P$5,3,TRUE)),
IF(AND(B175="G1",M175="DG"),IF(R175="20'",
VLOOKUP(Z175,Charge!$R$2:$T$5,2,TRUE)+(Z175-VLOOKUP(Z175,Charge!$R$2:$T$5,1,TRUE))*VLOOKUP(Z175,Charge!$R$2:$T$5,3,TRUE),
VLOOKUP(Z175,Charge!$U$2:$W$5,2,TRUE)+(Z175-VLOOKUP(Z175,Charge!$U$2:$W$5,1,TRUE))*VLOOKUP(Z175,Charge!$U$2:$W$5,3,TRUE)),
IF(AND(B175="G3",M175=""),IF(R175="20'",
VLOOKUP(Z175,Charge!$K$18:$M$21,2,TRUE)+(Z175-VLOOKUP(Z175,Charge!$K$18:$M$21,1,TRUE))*VLOOKUP(Z175,Charge!$K$18:$M$21,3,TRUE),
VLOOKUP(Z175,Charge!$N$18:$P$21,2,TRUE)+(Z175-VLOOKUP(Z175,Charge!$N$18:$P$21,1,TRUE))*VLOOKUP(Z175,Charge!$N$18:$P$21,3,TRUE)),
IF(AND(B175="G3",M175="DG"),IF(R175="20'",
VLOOKUP(Z175,Charge!$R$18:$T$21,2,TRUE)+(Z175-VLOOKUP(Z175,Charge!$R$18:$T$21,1,TRUE))*VLOOKUP(Z175,Charge!$R$18:$T$21,3,TRUE),
VLOOKUP(Z175,Charge!$U$18:$W$21,2,TRUE)+(Z175-VLOOKUP(Z175,Charge!$U$18:$W$21,1,TRUE))*VLOOKUP(Z175,Charge!$U$18:$W$21,3,TRUE)),
IF(AND(B175="G2",M175=""),IF(R175="20'",
VLOOKUP(Z175,Charge!$K$9:$M$12,2,TRUE)+(Z175-VLOOKUP(Z175,Charge!$K$9:$M$12,1,TRUE))*VLOOKUP(Z175,Charge!$K$9:$M$12,3,TRUE),
VLOOKUP(Z175,Charge!$N$9:$P$12,2,TRUE)+(Z175-VLOOKUP(Z175,Charge!$N$9:$P$12,1,TRUE))*VLOOKUP(Z175,Charge!$N$9:$P$12,3,TRUE)),
IF(AND(B175="G2",M175="DG"),IF(R175="20'",
VLOOKUP(Z175,Charge!$R$9:$T$12,2,TRUE)+(Z175-VLOOKUP(Z175,Charge!$R$9:$T$12,1,TRUE))*VLOOKUP(Z175,Charge!$R$9:$T$12,3,TRUE),
VLOOKUP(Z175,Charge!$U$9:$W$12,2,TRUE)+(Z175-VLOOKUP(Z175,Charge!$U$9:$W$12,1,TRUE))*VLOOKUP(Z175,Charge!$U$9:$W$12,3,TRUE)),IF(AND(B175="G4",M175=""),IF(R175="20'",Z175*Charge!$M$25,Z175*Charge!$P$25),IF(AND(B175="G4",M175="DG"),IF(R175="20'",Z175*Charge!$T$25,Z175*Charge!$W$25),0))))))))</f>
        <v>0</v>
      </c>
      <c r="AB175" s="53"/>
      <c r="AC175" s="53"/>
      <c r="AD175" s="56">
        <f>IF(M175="DG",3,IF(N175="RF",3,5))+IF(AND(LEFT(C175,3)="BKK",N175="RF",Q175="KTS"),1,0)+IF(Q175="KHS",1,0)</f>
        <v>5</v>
      </c>
      <c r="AE175" s="57">
        <f>(T175-V175)+1</f>
        <v>46324</v>
      </c>
      <c r="AF175" s="57">
        <f>IF(AB175&gt;IF((V175-W175)&gt;0,V175-W175,0),0,IF(AB175&lt;IF((V175-W175)&gt;0,V175-W175,0),IF((V175-W175)&gt;0,V175-W175,0)-AB175,IF((V175-W175)&gt;0,V175-W175,0)))</f>
        <v>0</v>
      </c>
      <c r="AG175" s="48">
        <f>IF(AND(M175=""),IF(R175="20'",
VLOOKUP(AF175,Charge!$K$31:$M$34,2,TRUE)+(AF175-VLOOKUP(AF175,Charge!$K$31:$M$34,1,TRUE))*VLOOKUP(AF175,Charge!$K$31:$M$34,3,TRUE),
VLOOKUP(AF175,Charge!$N$31:$P$34,2,TRUE)+(AF175-VLOOKUP(AF175,Charge!$N$31:$P$34,1,TRUE))*VLOOKUP(AF175,Charge!$N$31:$P$34,3,TRUE)),
IF(AND(M175="DG"),IF(R175="20'",
VLOOKUP(AF175,Charge!$R$31:$T$34,2,TRUE)+(AF175-VLOOKUP(AF175,Charge!$R$31:$T$34,1,TRUE))*VLOOKUP(AF175,Charge!$R$31:$T$34,3,TRUE),
VLOOKUP(AF175,Charge!$U$31:$W$34,2,TRUE)+(AF175-VLOOKUP(AF175,Charge!$U$31:$W$34,1,TRUE))*VLOOKUP(AF175,Charge!$U$31:$W$34,3,TRUE)),0))</f>
        <v>0</v>
      </c>
      <c r="AH175" s="60"/>
      <c r="AI175" s="60">
        <f>AA175-AH175</f>
        <v>0</v>
      </c>
      <c r="AJ175" s="61"/>
      <c r="AK175" s="55" t="str">
        <f>VLOOKUP(D175,'2.Bookinglist'!A:CT,40,FALSE)</f>
        <v>Nannaapust Sukporntaweewat</v>
      </c>
      <c r="AL175" s="56" t="str">
        <f>VLOOKUP(D175,'2.Bookinglist'!A:CW,101,FALSE)</f>
        <v>2026-10-25</v>
      </c>
      <c r="AM175" s="56" t="str">
        <f>VLOOKUP(D175,'2.Bookinglist'!A:BK,63,FALSE)</f>
        <v>BKK27</v>
      </c>
      <c r="AN175" s="55" t="str">
        <f>VLOOKUP(D175,'2.Bookinglist'!A:AZ,52,FALSE)</f>
        <v>Pickup : 2026-10-17, Return SRP : 2026-10-19 [PAPERLESS CODE 2829]
CLS TIME 22/10/26 @23.59</v>
      </c>
      <c r="AO175" s="55">
        <f>VLOOKUP(D175,'2.Bookinglist'!A:CY,103,FALSE)</f>
        <v>0</v>
      </c>
    </row>
    <row r="176" ht="12.95" customHeight="1" spans="1:41" x14ac:dyDescent="0.25">
      <c r="A176" s="3" t="s">
        <v>172</v>
      </c>
      <c r="B176" s="53" t="str">
        <f>IF(C176=Charge!$M$1,Charge!$J$1,IF(C176=Charge!$M$23,Charge!$J$23,IF(C176=Charge!$M$17,Charge!$J$17,IF(C176=Charge!$N$17,Charge!$J$17,Charge!$J$7))))</f>
        <v>G2</v>
      </c>
      <c r="C176" s="54" t="str">
        <f>VLOOKUP(A176,'1.Loading'!A:R,14,FALSE)</f>
        <v>LCH06</v>
      </c>
      <c r="D176" s="54" t="str">
        <f>VLOOKUP(A176,'1.Loading'!A:R,17,FALSE)</f>
        <v>HASLS22261001467</v>
      </c>
      <c r="E176" s="55" t="str">
        <f>VLOOKUP(D176,'2.Bookinglist'!A:CT,27,FALSE)</f>
        <v>MANA GLOBAL LINK CO., LTD.</v>
      </c>
      <c r="F176" s="55" t="str">
        <f>VLOOKUP(D176,'2.Bookinglist'!A:CT,28,FALSE)</f>
        <v>FUZIN PLASTIC CO.,LTD.</v>
      </c>
      <c r="G176" s="56">
        <f>VLOOKUP(D176,'2.Bookinglist'!A:E,5,FALSE)</f>
        <v>0</v>
      </c>
      <c r="H176" s="54" t="str">
        <f>VLOOKUP(D176,'2.Bookinglist'!A:CT,15,FALSE)</f>
        <v>THLCH</v>
      </c>
      <c r="I176" s="54" t="str">
        <f>VLOOKUP(D176,'2.Bookinglist'!A:CT,19,FALSE)</f>
        <v>CNSHA</v>
      </c>
      <c r="J176" s="54">
        <f>VLOOKUP(D176,'2.Bookinglist'!A:CT,26,FALSE)</f>
        <v>0</v>
      </c>
      <c r="K176" s="54" t="str">
        <f>VLOOKUP(A176,'1.Loading'!A:R,5,FALSE)</f>
        <v>45GP</v>
      </c>
      <c r="L176" s="56" t="str">
        <f>VLOOKUP(D176,'2.Bookinglist'!A:CT,85,FALSE)</f>
        <v>CY/CY</v>
      </c>
      <c r="M176" s="56" t="str">
        <f>IF(VLOOKUP(D176,'2.Bookinglist'!A:CT,43,FALSE)=0,"","DG")</f>
        <v/>
      </c>
      <c r="N176" s="56" t="str">
        <f>IF(RIGHT(K176,2)="RE","RF","")</f>
        <v/>
      </c>
      <c r="O176" s="54" t="str">
        <f>VLOOKUP(A176,'1.Loading'!A:R,3,FALSE)</f>
        <v>HMVY</v>
      </c>
      <c r="P176" s="54" t="str">
        <f>VLOOKUP(A176,'1.Loading'!A:R,4,FALSE)</f>
        <v>2609N</v>
      </c>
      <c r="Q176" s="54" t="str">
        <f>VLOOKUP(D176,'2.Bookinglist'!A:CT,12,FALSE)</f>
        <v>PCI2</v>
      </c>
      <c r="R176" s="56" t="str">
        <f>IF(LEFT(K176,2)="22","20'","40'")</f>
        <v>40'</v>
      </c>
      <c r="S176" s="38"/>
      <c r="T176" s="54" t="str">
        <f>VLOOKUP(A176,'1.Loading'!A:R,2,FALSE)</f>
        <v>2026-10-28</v>
      </c>
      <c r="U176" s="57">
        <f>T176-S176</f>
        <v>46323</v>
      </c>
      <c r="V176" s="58"/>
      <c r="W176" s="54" t="str">
        <f>VLOOKUP(A176,'3.GateMove'!A:D,4,FALSE)</f>
        <v>2026-10-25</v>
      </c>
      <c r="X176" s="57">
        <f>((T176-W176)+1)</f>
        <v>4</v>
      </c>
      <c r="Y176" s="59">
        <f>IF(AND(OR(C176="BKK01",C176="BKK04"),L176="CFS/CY"),0,IF(M176="DG",1,IF(LEFT(C176,3)="LCH",7,IF(C176="BKK02",5,3))))</f>
        <v>7</v>
      </c>
      <c r="Z176" s="57">
        <f>IF(IF(AND(AC176="TML",AB176&gt;0),((T176-W176)+1)-AB176,((T176-W176)+1)-Y176)&gt;0,IF(AND(AC176="TML",AB176&gt;0),((T176-W176)+1)-AB176,((T176-W176)+1)-Y176),0)</f>
        <v>0</v>
      </c>
      <c r="AA176" s="48">
        <f>IF(AND(B176="G1",M176=""),IF(R176="20'",
VLOOKUP(Z176,Charge!$K$2:$M$5,2,TRUE)+(Z176-VLOOKUP(Z176,Charge!$K$2:$M$5,1,TRUE))*VLOOKUP(Z176,Charge!$K$2:$M$5,3,TRUE),
VLOOKUP(Z176,Charge!$N$2:$P$5,2,TRUE)+(Z176-VLOOKUP(Z176,Charge!$N$2:$P$5,1,TRUE))*VLOOKUP(Z176,Charge!$N$2:$P$5,3,TRUE)),
IF(AND(B176="G1",M176="DG"),IF(R176="20'",
VLOOKUP(Z176,Charge!$R$2:$T$5,2,TRUE)+(Z176-VLOOKUP(Z176,Charge!$R$2:$T$5,1,TRUE))*VLOOKUP(Z176,Charge!$R$2:$T$5,3,TRUE),
VLOOKUP(Z176,Charge!$U$2:$W$5,2,TRUE)+(Z176-VLOOKUP(Z176,Charge!$U$2:$W$5,1,TRUE))*VLOOKUP(Z176,Charge!$U$2:$W$5,3,TRUE)),
IF(AND(B176="G3",M176=""),IF(R176="20'",
VLOOKUP(Z176,Charge!$K$18:$M$21,2,TRUE)+(Z176-VLOOKUP(Z176,Charge!$K$18:$M$21,1,TRUE))*VLOOKUP(Z176,Charge!$K$18:$M$21,3,TRUE),
VLOOKUP(Z176,Charge!$N$18:$P$21,2,TRUE)+(Z176-VLOOKUP(Z176,Charge!$N$18:$P$21,1,TRUE))*VLOOKUP(Z176,Charge!$N$18:$P$21,3,TRUE)),
IF(AND(B176="G3",M176="DG"),IF(R176="20'",
VLOOKUP(Z176,Charge!$R$18:$T$21,2,TRUE)+(Z176-VLOOKUP(Z176,Charge!$R$18:$T$21,1,TRUE))*VLOOKUP(Z176,Charge!$R$18:$T$21,3,TRUE),
VLOOKUP(Z176,Charge!$U$18:$W$21,2,TRUE)+(Z176-VLOOKUP(Z176,Charge!$U$18:$W$21,1,TRUE))*VLOOKUP(Z176,Charge!$U$18:$W$21,3,TRUE)),
IF(AND(B176="G2",M176=""),IF(R176="20'",
VLOOKUP(Z176,Charge!$K$9:$M$12,2,TRUE)+(Z176-VLOOKUP(Z176,Charge!$K$9:$M$12,1,TRUE))*VLOOKUP(Z176,Charge!$K$9:$M$12,3,TRUE),
VLOOKUP(Z176,Charge!$N$9:$P$12,2,TRUE)+(Z176-VLOOKUP(Z176,Charge!$N$9:$P$12,1,TRUE))*VLOOKUP(Z176,Charge!$N$9:$P$12,3,TRUE)),
IF(AND(B176="G2",M176="DG"),IF(R176="20'",
VLOOKUP(Z176,Charge!$R$9:$T$12,2,TRUE)+(Z176-VLOOKUP(Z176,Charge!$R$9:$T$12,1,TRUE))*VLOOKUP(Z176,Charge!$R$9:$T$12,3,TRUE),
VLOOKUP(Z176,Charge!$U$9:$W$12,2,TRUE)+(Z176-VLOOKUP(Z176,Charge!$U$9:$W$12,1,TRUE))*VLOOKUP(Z176,Charge!$U$9:$W$12,3,TRUE)),IF(AND(B176="G4",M176=""),IF(R176="20'",Z176*Charge!$M$25,Z176*Charge!$P$25),IF(AND(B176="G4",M176="DG"),IF(R176="20'",Z176*Charge!$T$25,Z176*Charge!$W$25),0))))))))</f>
        <v>0</v>
      </c>
      <c r="AB176" s="53"/>
      <c r="AC176" s="53"/>
      <c r="AD176" s="56">
        <f>IF(M176="DG",3,IF(N176="RF",3,5))+IF(AND(LEFT(C176,3)="BKK",N176="RF",Q176="KTS"),1,0)+IF(Q176="KHS",1,0)</f>
        <v>5</v>
      </c>
      <c r="AE176" s="57">
        <f>(T176-V176)+1</f>
        <v>46324</v>
      </c>
      <c r="AF176" s="57">
        <f>IF(AB176&gt;IF((V176-W176)&gt;0,V176-W176,0),0,IF(AB176&lt;IF((V176-W176)&gt;0,V176-W176,0),IF((V176-W176)&gt;0,V176-W176,0)-AB176,IF((V176-W176)&gt;0,V176-W176,0)))</f>
        <v>0</v>
      </c>
      <c r="AG176" s="48">
        <f>IF(AND(M176=""),IF(R176="20'",
VLOOKUP(AF176,Charge!$K$31:$M$34,2,TRUE)+(AF176-VLOOKUP(AF176,Charge!$K$31:$M$34,1,TRUE))*VLOOKUP(AF176,Charge!$K$31:$M$34,3,TRUE),
VLOOKUP(AF176,Charge!$N$31:$P$34,2,TRUE)+(AF176-VLOOKUP(AF176,Charge!$N$31:$P$34,1,TRUE))*VLOOKUP(AF176,Charge!$N$31:$P$34,3,TRUE)),
IF(AND(M176="DG"),IF(R176="20'",
VLOOKUP(AF176,Charge!$R$31:$T$34,2,TRUE)+(AF176-VLOOKUP(AF176,Charge!$R$31:$T$34,1,TRUE))*VLOOKUP(AF176,Charge!$R$31:$T$34,3,TRUE),
VLOOKUP(AF176,Charge!$U$31:$W$34,2,TRUE)+(AF176-VLOOKUP(AF176,Charge!$U$31:$W$34,1,TRUE))*VLOOKUP(AF176,Charge!$U$31:$W$34,3,TRUE)),0))</f>
        <v>0</v>
      </c>
      <c r="AH176" s="60"/>
      <c r="AI176" s="60">
        <f>AA176-AH176</f>
        <v>0</v>
      </c>
      <c r="AJ176" s="61"/>
      <c r="AK176" s="55" t="str">
        <f>VLOOKUP(D176,'2.Bookinglist'!A:CT,40,FALSE)</f>
        <v>Nannaapust Sukporntaweewat</v>
      </c>
      <c r="AL176" s="56" t="str">
        <f>VLOOKUP(D176,'2.Bookinglist'!A:CW,101,FALSE)</f>
        <v>2026-10-28</v>
      </c>
      <c r="AM176" s="56" t="str">
        <f>VLOOKUP(D176,'2.Bookinglist'!A:BK,63,FALSE)</f>
        <v>LCHY5</v>
      </c>
      <c r="AN176" s="55" t="str">
        <f>VLOOKUP(D176,'2.Bookinglist'!A:AZ,52,FALSE)</f>
        <v>Pickup : 2026-10-21, Return : 2026-10-23*1ST RETURN CNTR DD.23/10/2026 WITHOUT RENT*
</v>
      </c>
      <c r="AO176" s="55" t="str">
        <f>VLOOKUP(D176,'2.Bookinglist'!A:CY,103,FALSE)</f>
        <v>ROLL OVER FROM PREVIOUS VSL HAB 2612N BY ALLOCATION TEAM MS.TAN APPROVED COST IS UNDER HA DD.26/10</v>
      </c>
    </row>
    <row r="177" ht="12.95" customHeight="1" spans="1:41" x14ac:dyDescent="0.25">
      <c r="A177" s="3" t="s">
        <v>144</v>
      </c>
      <c r="B177" s="53" t="str">
        <f>IF(C177=Charge!$M$1,Charge!$J$1,IF(C177=Charge!$M$23,Charge!$J$23,IF(C177=Charge!$M$17,Charge!$J$17,IF(C177=Charge!$N$17,Charge!$J$17,Charge!$J$7))))</f>
        <v>G2</v>
      </c>
      <c r="C177" s="54" t="str">
        <f>VLOOKUP(A177,'1.Loading'!A:R,14,FALSE)</f>
        <v>LCH06</v>
      </c>
      <c r="D177" s="54" t="str">
        <f>VLOOKUP(A177,'1.Loading'!A:R,17,FALSE)</f>
        <v>HASLS22261000285</v>
      </c>
      <c r="E177" s="55" t="str">
        <f>VLOOKUP(D177,'2.Bookinglist'!A:CT,27,FALSE)</f>
        <v>AGC VINYTHAI PUBLIC COMPANY LIMITED</v>
      </c>
      <c r="F177" s="55" t="str">
        <f>VLOOKUP(D177,'2.Bookinglist'!A:CT,28,FALSE)</f>
        <v>AGC VINYTHAI PUBLIC COMPANY LIMITED</v>
      </c>
      <c r="G177" s="56">
        <f>VLOOKUP(D177,'2.Bookinglist'!A:E,5,FALSE)</f>
        <v>0</v>
      </c>
      <c r="H177" s="54" t="str">
        <f>VLOOKUP(D177,'2.Bookinglist'!A:CT,15,FALSE)</f>
        <v>THLCH</v>
      </c>
      <c r="I177" s="54" t="str">
        <f>VLOOKUP(D177,'2.Bookinglist'!A:CT,19,FALSE)</f>
        <v>CNSHA</v>
      </c>
      <c r="J177" s="54">
        <f>VLOOKUP(D177,'2.Bookinglist'!A:CT,26,FALSE)</f>
        <v>0</v>
      </c>
      <c r="K177" s="54" t="str">
        <f>VLOOKUP(A177,'1.Loading'!A:R,5,FALSE)</f>
        <v>45GP</v>
      </c>
      <c r="L177" s="56" t="str">
        <f>VLOOKUP(D177,'2.Bookinglist'!A:CT,85,FALSE)</f>
        <v>CY/CY</v>
      </c>
      <c r="M177" s="56" t="str">
        <f>IF(VLOOKUP(D177,'2.Bookinglist'!A:CT,43,FALSE)=0,"","DG")</f>
        <v/>
      </c>
      <c r="N177" s="56" t="str">
        <f>IF(RIGHT(K177,2)="RE","RF","")</f>
        <v/>
      </c>
      <c r="O177" s="54" t="str">
        <f>VLOOKUP(A177,'1.Loading'!A:R,3,FALSE)</f>
        <v>HMVY</v>
      </c>
      <c r="P177" s="54" t="str">
        <f>VLOOKUP(A177,'1.Loading'!A:R,4,FALSE)</f>
        <v>2609N</v>
      </c>
      <c r="Q177" s="54" t="str">
        <f>VLOOKUP(D177,'2.Bookinglist'!A:CT,12,FALSE)</f>
        <v>PCI2</v>
      </c>
      <c r="R177" s="56" t="str">
        <f>IF(LEFT(K177,2)="22","20'","40'")</f>
        <v>40'</v>
      </c>
      <c r="S177" s="38"/>
      <c r="T177" s="54" t="str">
        <f>VLOOKUP(A177,'1.Loading'!A:R,2,FALSE)</f>
        <v>2026-10-28</v>
      </c>
      <c r="U177" s="57">
        <f>T177-S177</f>
        <v>46323</v>
      </c>
      <c r="V177" s="58"/>
      <c r="W177" s="54" t="str">
        <f>VLOOKUP(A177,'3.GateMove'!A:D,4,FALSE)</f>
        <v>2026-10-17</v>
      </c>
      <c r="X177" s="57">
        <f>((T177-W177)+1)</f>
        <v>12</v>
      </c>
      <c r="Y177" s="59">
        <f>IF(AND(OR(C177="BKK01",C177="BKK04"),L177="CFS/CY"),0,IF(M177="DG",1,IF(LEFT(C177,3)="LCH",7,IF(C177="BKK02",5,3))))</f>
        <v>7</v>
      </c>
      <c r="Z177" s="57">
        <f>IF(IF(AND(AC177="TML",AB177&gt;0),((T177-W177)+1)-AB177,((T177-W177)+1)-Y177)&gt;0,IF(AND(AC177="TML",AB177&gt;0),((T177-W177)+1)-AB177,((T177-W177)+1)-Y177),0)</f>
        <v>5</v>
      </c>
      <c r="AA177" s="48">
        <f>IF(AND(B177="G1",M177=""),IF(R177="20'",
VLOOKUP(Z177,Charge!$K$2:$M$5,2,TRUE)+(Z177-VLOOKUP(Z177,Charge!$K$2:$M$5,1,TRUE))*VLOOKUP(Z177,Charge!$K$2:$M$5,3,TRUE),
VLOOKUP(Z177,Charge!$N$2:$P$5,2,TRUE)+(Z177-VLOOKUP(Z177,Charge!$N$2:$P$5,1,TRUE))*VLOOKUP(Z177,Charge!$N$2:$P$5,3,TRUE)),
IF(AND(B177="G1",M177="DG"),IF(R177="20'",
VLOOKUP(Z177,Charge!$R$2:$T$5,2,TRUE)+(Z177-VLOOKUP(Z177,Charge!$R$2:$T$5,1,TRUE))*VLOOKUP(Z177,Charge!$R$2:$T$5,3,TRUE),
VLOOKUP(Z177,Charge!$U$2:$W$5,2,TRUE)+(Z177-VLOOKUP(Z177,Charge!$U$2:$W$5,1,TRUE))*VLOOKUP(Z177,Charge!$U$2:$W$5,3,TRUE)),
IF(AND(B177="G3",M177=""),IF(R177="20'",
VLOOKUP(Z177,Charge!$K$18:$M$21,2,TRUE)+(Z177-VLOOKUP(Z177,Charge!$K$18:$M$21,1,TRUE))*VLOOKUP(Z177,Charge!$K$18:$M$21,3,TRUE),
VLOOKUP(Z177,Charge!$N$18:$P$21,2,TRUE)+(Z177-VLOOKUP(Z177,Charge!$N$18:$P$21,1,TRUE))*VLOOKUP(Z177,Charge!$N$18:$P$21,3,TRUE)),
IF(AND(B177="G3",M177="DG"),IF(R177="20'",
VLOOKUP(Z177,Charge!$R$18:$T$21,2,TRUE)+(Z177-VLOOKUP(Z177,Charge!$R$18:$T$21,1,TRUE))*VLOOKUP(Z177,Charge!$R$18:$T$21,3,TRUE),
VLOOKUP(Z177,Charge!$U$18:$W$21,2,TRUE)+(Z177-VLOOKUP(Z177,Charge!$U$18:$W$21,1,TRUE))*VLOOKUP(Z177,Charge!$U$18:$W$21,3,TRUE)),
IF(AND(B177="G2",M177=""),IF(R177="20'",
VLOOKUP(Z177,Charge!$K$9:$M$12,2,TRUE)+(Z177-VLOOKUP(Z177,Charge!$K$9:$M$12,1,TRUE))*VLOOKUP(Z177,Charge!$K$9:$M$12,3,TRUE),
VLOOKUP(Z177,Charge!$N$9:$P$12,2,TRUE)+(Z177-VLOOKUP(Z177,Charge!$N$9:$P$12,1,TRUE))*VLOOKUP(Z177,Charge!$N$9:$P$12,3,TRUE)),
IF(AND(B177="G2",M177="DG"),IF(R177="20'",
VLOOKUP(Z177,Charge!$R$9:$T$12,2,TRUE)+(Z177-VLOOKUP(Z177,Charge!$R$9:$T$12,1,TRUE))*VLOOKUP(Z177,Charge!$R$9:$T$12,3,TRUE),
VLOOKUP(Z177,Charge!$U$9:$W$12,2,TRUE)+(Z177-VLOOKUP(Z177,Charge!$U$9:$W$12,1,TRUE))*VLOOKUP(Z177,Charge!$U$9:$W$12,3,TRUE)),IF(AND(B177="G4",M177=""),IF(R177="20'",Z177*Charge!$M$25,Z177*Charge!$P$25),IF(AND(B177="G4",M177="DG"),IF(R177="20'",Z177*Charge!$T$25,Z177*Charge!$W$25),0))))))))</f>
        <v>1250</v>
      </c>
      <c r="AB177" s="53"/>
      <c r="AC177" s="53"/>
      <c r="AD177" s="56">
        <f>IF(M177="DG",3,IF(N177="RF",3,5))+IF(AND(LEFT(C177,3)="BKK",N177="RF",Q177="KTS"),1,0)+IF(Q177="KHS",1,0)</f>
        <v>5</v>
      </c>
      <c r="AE177" s="57">
        <f>(T177-V177)+1</f>
        <v>46324</v>
      </c>
      <c r="AF177" s="57">
        <f>IF(AB177&gt;IF((V177-W177)&gt;0,V177-W177,0),0,IF(AB177&lt;IF((V177-W177)&gt;0,V177-W177,0),IF((V177-W177)&gt;0,V177-W177,0)-AB177,IF((V177-W177)&gt;0,V177-W177,0)))</f>
        <v>0</v>
      </c>
      <c r="AG177" s="48">
        <f>IF(AND(M177=""),IF(R177="20'",
VLOOKUP(AF177,Charge!$K$31:$M$34,2,TRUE)+(AF177-VLOOKUP(AF177,Charge!$K$31:$M$34,1,TRUE))*VLOOKUP(AF177,Charge!$K$31:$M$34,3,TRUE),
VLOOKUP(AF177,Charge!$N$31:$P$34,2,TRUE)+(AF177-VLOOKUP(AF177,Charge!$N$31:$P$34,1,TRUE))*VLOOKUP(AF177,Charge!$N$31:$P$34,3,TRUE)),
IF(AND(M177="DG"),IF(R177="20'",
VLOOKUP(AF177,Charge!$R$31:$T$34,2,TRUE)+(AF177-VLOOKUP(AF177,Charge!$R$31:$T$34,1,TRUE))*VLOOKUP(AF177,Charge!$R$31:$T$34,3,TRUE),
VLOOKUP(AF177,Charge!$U$31:$W$34,2,TRUE)+(AF177-VLOOKUP(AF177,Charge!$U$31:$W$34,1,TRUE))*VLOOKUP(AF177,Charge!$U$31:$W$34,3,TRUE)),0))</f>
        <v>0</v>
      </c>
      <c r="AH177" s="60"/>
      <c r="AI177" s="60">
        <f>AA177-AH177</f>
        <v>1250</v>
      </c>
      <c r="AJ177" s="61"/>
      <c r="AK177" s="55" t="str">
        <f>VLOOKUP(D177,'2.Bookinglist'!A:CT,40,FALSE)</f>
        <v>Nannaapust Sukporntaweewat</v>
      </c>
      <c r="AL177" s="56" t="str">
        <f>VLOOKUP(D177,'2.Bookinglist'!A:CW,101,FALSE)</f>
        <v>2026-10-24</v>
      </c>
      <c r="AM177" s="56" t="str">
        <f>VLOOKUP(D177,'2.Bookinglist'!A:BK,63,FALSE)</f>
        <v>LCHY5</v>
      </c>
      <c r="AN177" s="55" t="str">
        <f>VLOOKUP(D177,'2.Bookinglist'!A:AZ,52,FALSE)</f>
        <v>Pickup : 2026-10-15, Return : 2026-10-16</v>
      </c>
      <c r="AO177" s="55">
        <f>VLOOKUP(D177,'2.Bookinglist'!A:CY,103,FALSE)</f>
        <v>0</v>
      </c>
    </row>
    <row r="178" ht="12.95" customHeight="1" spans="1:41" x14ac:dyDescent="0.25">
      <c r="A178" s="3" t="s">
        <v>157</v>
      </c>
      <c r="B178" s="53" t="str">
        <f>IF(C178=Charge!$M$1,Charge!$J$1,IF(C178=Charge!$M$23,Charge!$J$23,IF(C178=Charge!$M$17,Charge!$J$17,IF(C178=Charge!$N$17,Charge!$J$17,Charge!$J$7))))</f>
        <v>G2</v>
      </c>
      <c r="C178" s="54" t="str">
        <f>VLOOKUP(A178,'1.Loading'!A:R,14,FALSE)</f>
        <v>LCH06</v>
      </c>
      <c r="D178" s="54" t="str">
        <f>VLOOKUP(A178,'1.Loading'!A:R,17,FALSE)</f>
        <v>HASLS22261000875</v>
      </c>
      <c r="E178" s="55" t="str">
        <f>VLOOKUP(D178,'2.Bookinglist'!A:CT,27,FALSE)</f>
        <v>SUN-OCEAN GLOBAL SUPPLY CHAIN CO., LTD.</v>
      </c>
      <c r="F178" s="55" t="str">
        <f>VLOOKUP(D178,'2.Bookinglist'!A:CT,28,FALSE)</f>
        <v>I.P. ONE COMPANY LIMITED</v>
      </c>
      <c r="G178" s="56" t="str">
        <f>VLOOKUP(D178,'2.Bookinglist'!A:E,5,FALSE)</f>
        <v>THSRP</v>
      </c>
      <c r="H178" s="54" t="str">
        <f>VLOOKUP(D178,'2.Bookinglist'!A:CT,15,FALSE)</f>
        <v>THLCH</v>
      </c>
      <c r="I178" s="54" t="str">
        <f>VLOOKUP(D178,'2.Bookinglist'!A:CT,19,FALSE)</f>
        <v>CNSHA</v>
      </c>
      <c r="J178" s="54">
        <f>VLOOKUP(D178,'2.Bookinglist'!A:CT,26,FALSE)</f>
        <v>0</v>
      </c>
      <c r="K178" s="54" t="str">
        <f>VLOOKUP(A178,'1.Loading'!A:R,5,FALSE)</f>
        <v>45GP</v>
      </c>
      <c r="L178" s="56" t="str">
        <f>VLOOKUP(D178,'2.Bookinglist'!A:CT,85,FALSE)</f>
        <v>CY/CY</v>
      </c>
      <c r="M178" s="56" t="str">
        <f>IF(VLOOKUP(D178,'2.Bookinglist'!A:CT,43,FALSE)=0,"","DG")</f>
        <v/>
      </c>
      <c r="N178" s="56" t="str">
        <f>IF(RIGHT(K178,2)="RE","RF","")</f>
        <v/>
      </c>
      <c r="O178" s="54" t="str">
        <f>VLOOKUP(A178,'1.Loading'!A:R,3,FALSE)</f>
        <v>HMVY</v>
      </c>
      <c r="P178" s="54" t="str">
        <f>VLOOKUP(A178,'1.Loading'!A:R,4,FALSE)</f>
        <v>2609N</v>
      </c>
      <c r="Q178" s="54" t="str">
        <f>VLOOKUP(D178,'2.Bookinglist'!A:CT,12,FALSE)</f>
        <v>PCI2</v>
      </c>
      <c r="R178" s="56" t="str">
        <f>IF(LEFT(K178,2)="22","20'","40'")</f>
        <v>40'</v>
      </c>
      <c r="S178" s="38"/>
      <c r="T178" s="54" t="str">
        <f>VLOOKUP(A178,'1.Loading'!A:R,2,FALSE)</f>
        <v>2026-10-28</v>
      </c>
      <c r="U178" s="57">
        <f>T178-S178</f>
        <v>46323</v>
      </c>
      <c r="V178" s="58"/>
      <c r="W178" s="54" t="str">
        <f>VLOOKUP(A178,'3.GateMove'!A:D,4,FALSE)</f>
        <v>2026-10-23</v>
      </c>
      <c r="X178" s="57">
        <f>((T178-W178)+1)</f>
        <v>6</v>
      </c>
      <c r="Y178" s="59">
        <f>IF(AND(OR(C178="BKK01",C178="BKK04"),L178="CFS/CY"),0,IF(M178="DG",1,IF(LEFT(C178,3)="LCH",7,IF(C178="BKK02",5,3))))</f>
        <v>7</v>
      </c>
      <c r="Z178" s="57">
        <f>IF(IF(AND(AC178="TML",AB178&gt;0),((T178-W178)+1)-AB178,((T178-W178)+1)-Y178)&gt;0,IF(AND(AC178="TML",AB178&gt;0),((T178-W178)+1)-AB178,((T178-W178)+1)-Y178),0)</f>
        <v>0</v>
      </c>
      <c r="AA178" s="48">
        <f>IF(AND(B178="G1",M178=""),IF(R178="20'",
VLOOKUP(Z178,Charge!$K$2:$M$5,2,TRUE)+(Z178-VLOOKUP(Z178,Charge!$K$2:$M$5,1,TRUE))*VLOOKUP(Z178,Charge!$K$2:$M$5,3,TRUE),
VLOOKUP(Z178,Charge!$N$2:$P$5,2,TRUE)+(Z178-VLOOKUP(Z178,Charge!$N$2:$P$5,1,TRUE))*VLOOKUP(Z178,Charge!$N$2:$P$5,3,TRUE)),
IF(AND(B178="G1",M178="DG"),IF(R178="20'",
VLOOKUP(Z178,Charge!$R$2:$T$5,2,TRUE)+(Z178-VLOOKUP(Z178,Charge!$R$2:$T$5,1,TRUE))*VLOOKUP(Z178,Charge!$R$2:$T$5,3,TRUE),
VLOOKUP(Z178,Charge!$U$2:$W$5,2,TRUE)+(Z178-VLOOKUP(Z178,Charge!$U$2:$W$5,1,TRUE))*VLOOKUP(Z178,Charge!$U$2:$W$5,3,TRUE)),
IF(AND(B178="G3",M178=""),IF(R178="20'",
VLOOKUP(Z178,Charge!$K$18:$M$21,2,TRUE)+(Z178-VLOOKUP(Z178,Charge!$K$18:$M$21,1,TRUE))*VLOOKUP(Z178,Charge!$K$18:$M$21,3,TRUE),
VLOOKUP(Z178,Charge!$N$18:$P$21,2,TRUE)+(Z178-VLOOKUP(Z178,Charge!$N$18:$P$21,1,TRUE))*VLOOKUP(Z178,Charge!$N$18:$P$21,3,TRUE)),
IF(AND(B178="G3",M178="DG"),IF(R178="20'",
VLOOKUP(Z178,Charge!$R$18:$T$21,2,TRUE)+(Z178-VLOOKUP(Z178,Charge!$R$18:$T$21,1,TRUE))*VLOOKUP(Z178,Charge!$R$18:$T$21,3,TRUE),
VLOOKUP(Z178,Charge!$U$18:$W$21,2,TRUE)+(Z178-VLOOKUP(Z178,Charge!$U$18:$W$21,1,TRUE))*VLOOKUP(Z178,Charge!$U$18:$W$21,3,TRUE)),
IF(AND(B178="G2",M178=""),IF(R178="20'",
VLOOKUP(Z178,Charge!$K$9:$M$12,2,TRUE)+(Z178-VLOOKUP(Z178,Charge!$K$9:$M$12,1,TRUE))*VLOOKUP(Z178,Charge!$K$9:$M$12,3,TRUE),
VLOOKUP(Z178,Charge!$N$9:$P$12,2,TRUE)+(Z178-VLOOKUP(Z178,Charge!$N$9:$P$12,1,TRUE))*VLOOKUP(Z178,Charge!$N$9:$P$12,3,TRUE)),
IF(AND(B178="G2",M178="DG"),IF(R178="20'",
VLOOKUP(Z178,Charge!$R$9:$T$12,2,TRUE)+(Z178-VLOOKUP(Z178,Charge!$R$9:$T$12,1,TRUE))*VLOOKUP(Z178,Charge!$R$9:$T$12,3,TRUE),
VLOOKUP(Z178,Charge!$U$9:$W$12,2,TRUE)+(Z178-VLOOKUP(Z178,Charge!$U$9:$W$12,1,TRUE))*VLOOKUP(Z178,Charge!$U$9:$W$12,3,TRUE)),IF(AND(B178="G4",M178=""),IF(R178="20'",Z178*Charge!$M$25,Z178*Charge!$P$25),IF(AND(B178="G4",M178="DG"),IF(R178="20'",Z178*Charge!$T$25,Z178*Charge!$W$25),0))))))))</f>
        <v>0</v>
      </c>
      <c r="AB178" s="53"/>
      <c r="AC178" s="53"/>
      <c r="AD178" s="56">
        <f>IF(M178="DG",3,IF(N178="RF",3,5))+IF(AND(LEFT(C178,3)="BKK",N178="RF",Q178="KTS"),1,0)+IF(Q178="KHS",1,0)</f>
        <v>5</v>
      </c>
      <c r="AE178" s="57">
        <f>(T178-V178)+1</f>
        <v>46324</v>
      </c>
      <c r="AF178" s="57">
        <f>IF(AB178&gt;IF((V178-W178)&gt;0,V178-W178,0),0,IF(AB178&lt;IF((V178-W178)&gt;0,V178-W178,0),IF((V178-W178)&gt;0,V178-W178,0)-AB178,IF((V178-W178)&gt;0,V178-W178,0)))</f>
        <v>0</v>
      </c>
      <c r="AG178" s="48">
        <f>IF(AND(M178=""),IF(R178="20'",
VLOOKUP(AF178,Charge!$K$31:$M$34,2,TRUE)+(AF178-VLOOKUP(AF178,Charge!$K$31:$M$34,1,TRUE))*VLOOKUP(AF178,Charge!$K$31:$M$34,3,TRUE),
VLOOKUP(AF178,Charge!$N$31:$P$34,2,TRUE)+(AF178-VLOOKUP(AF178,Charge!$N$31:$P$34,1,TRUE))*VLOOKUP(AF178,Charge!$N$31:$P$34,3,TRUE)),
IF(AND(M178="DG"),IF(R178="20'",
VLOOKUP(AF178,Charge!$R$31:$T$34,2,TRUE)+(AF178-VLOOKUP(AF178,Charge!$R$31:$T$34,1,TRUE))*VLOOKUP(AF178,Charge!$R$31:$T$34,3,TRUE),
VLOOKUP(AF178,Charge!$U$31:$W$34,2,TRUE)+(AF178-VLOOKUP(AF178,Charge!$U$31:$W$34,1,TRUE))*VLOOKUP(AF178,Charge!$U$31:$W$34,3,TRUE)),0))</f>
        <v>0</v>
      </c>
      <c r="AH178" s="60"/>
      <c r="AI178" s="60">
        <f>AA178-AH178</f>
        <v>0</v>
      </c>
      <c r="AJ178" s="61"/>
      <c r="AK178" s="55" t="str">
        <f>VLOOKUP(D178,'2.Bookinglist'!A:CT,40,FALSE)</f>
        <v>Arunphat W. (Aiw)</v>
      </c>
      <c r="AL178" s="56" t="str">
        <f>VLOOKUP(D178,'2.Bookinglist'!A:CW,101,FALSE)</f>
        <v>2026-10-22</v>
      </c>
      <c r="AM178" s="56" t="str">
        <f>VLOOKUP(D178,'2.Bookinglist'!A:BK,63,FALSE)</f>
        <v>BKK27</v>
      </c>
      <c r="AN178" s="55" t="str">
        <f>VLOOKUP(D178,'2.Bookinglist'!A:AZ,52,FALSE)</f>
        <v>Pickup : 2026-10-19, Return SRP : 2026-10-19 [PAPERLESS CODE 2829]
CLS TIME 24/10/26 @21.00 (1ST RETURN DATE 21/10/26)</v>
      </c>
      <c r="AO178" s="55">
        <f>VLOOKUP(D178,'2.Bookinglist'!A:CY,103,FALSE)</f>
        <v>0</v>
      </c>
    </row>
    <row r="179" ht="12.95" customHeight="1" spans="1:41" x14ac:dyDescent="0.25">
      <c r="A179" s="3" t="s">
        <v>212</v>
      </c>
      <c r="B179" s="53" t="str">
        <f>IF(C179=Charge!$M$1,Charge!$J$1,IF(C179=Charge!$M$23,Charge!$J$23,IF(C179=Charge!$M$17,Charge!$J$17,IF(C179=Charge!$N$17,Charge!$J$17,Charge!$J$7))))</f>
        <v>G2</v>
      </c>
      <c r="C179" s="54" t="str">
        <f>VLOOKUP(A179,'1.Loading'!A:R,14,FALSE)</f>
        <v>LCH06</v>
      </c>
      <c r="D179" s="54" t="str">
        <f>VLOOKUP(A179,'1.Loading'!A:R,17,FALSE)</f>
        <v>HASLS22260900442</v>
      </c>
      <c r="E179" s="55" t="str">
        <f>VLOOKUP(D179,'2.Bookinglist'!A:CT,27,FALSE)</f>
        <v>BARKLAYS LOGISTICS (THAILAND) CO., LTD.</v>
      </c>
      <c r="F179" s="55" t="str">
        <f>VLOOKUP(D179,'2.Bookinglist'!A:CT,28,FALSE)</f>
        <v>SHUN YI INTERNATIONAL TRADING CO., LTD.</v>
      </c>
      <c r="G179" s="56">
        <f>VLOOKUP(D179,'2.Bookinglist'!A:E,5,FALSE)</f>
        <v>0</v>
      </c>
      <c r="H179" s="54" t="str">
        <f>VLOOKUP(D179,'2.Bookinglist'!A:CT,15,FALSE)</f>
        <v>THLCH</v>
      </c>
      <c r="I179" s="54" t="str">
        <f>VLOOKUP(D179,'2.Bookinglist'!A:CT,19,FALSE)</f>
        <v>CNSHA</v>
      </c>
      <c r="J179" s="54">
        <f>VLOOKUP(D179,'2.Bookinglist'!A:CT,26,FALSE)</f>
        <v>0</v>
      </c>
      <c r="K179" s="54" t="str">
        <f>VLOOKUP(A179,'1.Loading'!A:R,5,FALSE)</f>
        <v>45GP</v>
      </c>
      <c r="L179" s="56" t="str">
        <f>VLOOKUP(D179,'2.Bookinglist'!A:CT,85,FALSE)</f>
        <v>CY/CY</v>
      </c>
      <c r="M179" s="56" t="str">
        <f>IF(VLOOKUP(D179,'2.Bookinglist'!A:CT,43,FALSE)=0,"","DG")</f>
        <v/>
      </c>
      <c r="N179" s="56" t="str">
        <f>IF(RIGHT(K179,2)="RE","RF","")</f>
        <v/>
      </c>
      <c r="O179" s="54" t="str">
        <f>VLOOKUP(A179,'1.Loading'!A:R,3,FALSE)</f>
        <v>HMVY</v>
      </c>
      <c r="P179" s="54" t="str">
        <f>VLOOKUP(A179,'1.Loading'!A:R,4,FALSE)</f>
        <v>2609N</v>
      </c>
      <c r="Q179" s="54" t="str">
        <f>VLOOKUP(D179,'2.Bookinglist'!A:CT,12,FALSE)</f>
        <v>PCI2</v>
      </c>
      <c r="R179" s="56" t="str">
        <f>IF(LEFT(K179,2)="22","20'","40'")</f>
        <v>40'</v>
      </c>
      <c r="S179" s="38"/>
      <c r="T179" s="54" t="str">
        <f>VLOOKUP(A179,'1.Loading'!A:R,2,FALSE)</f>
        <v>2026-10-28</v>
      </c>
      <c r="U179" s="57">
        <f>T179-S179</f>
        <v>46323</v>
      </c>
      <c r="V179" s="58"/>
      <c r="W179" s="54" t="str">
        <f>VLOOKUP(A179,'3.GateMove'!A:D,4,FALSE)</f>
        <v>2026-10-04</v>
      </c>
      <c r="X179" s="57">
        <f>((T179-W179)+1)</f>
        <v>25</v>
      </c>
      <c r="Y179" s="59">
        <f>IF(AND(OR(C179="BKK01",C179="BKK04"),L179="CFS/CY"),0,IF(M179="DG",1,IF(LEFT(C179,3)="LCH",7,IF(C179="BKK02",5,3))))</f>
        <v>7</v>
      </c>
      <c r="Z179" s="57">
        <f>IF(IF(AND(AC179="TML",AB179&gt;0),((T179-W179)+1)-AB179,((T179-W179)+1)-Y179)&gt;0,IF(AND(AC179="TML",AB179&gt;0),((T179-W179)+1)-AB179,((T179-W179)+1)-Y179),0)</f>
        <v>18</v>
      </c>
      <c r="AA179" s="48">
        <f>IF(AND(B179="G1",M179=""),IF(R179="20'",
VLOOKUP(Z179,Charge!$K$2:$M$5,2,TRUE)+(Z179-VLOOKUP(Z179,Charge!$K$2:$M$5,1,TRUE))*VLOOKUP(Z179,Charge!$K$2:$M$5,3,TRUE),
VLOOKUP(Z179,Charge!$N$2:$P$5,2,TRUE)+(Z179-VLOOKUP(Z179,Charge!$N$2:$P$5,1,TRUE))*VLOOKUP(Z179,Charge!$N$2:$P$5,3,TRUE)),
IF(AND(B179="G1",M179="DG"),IF(R179="20'",
VLOOKUP(Z179,Charge!$R$2:$T$5,2,TRUE)+(Z179-VLOOKUP(Z179,Charge!$R$2:$T$5,1,TRUE))*VLOOKUP(Z179,Charge!$R$2:$T$5,3,TRUE),
VLOOKUP(Z179,Charge!$U$2:$W$5,2,TRUE)+(Z179-VLOOKUP(Z179,Charge!$U$2:$W$5,1,TRUE))*VLOOKUP(Z179,Charge!$U$2:$W$5,3,TRUE)),
IF(AND(B179="G3",M179=""),IF(R179="20'",
VLOOKUP(Z179,Charge!$K$18:$M$21,2,TRUE)+(Z179-VLOOKUP(Z179,Charge!$K$18:$M$21,1,TRUE))*VLOOKUP(Z179,Charge!$K$18:$M$21,3,TRUE),
VLOOKUP(Z179,Charge!$N$18:$P$21,2,TRUE)+(Z179-VLOOKUP(Z179,Charge!$N$18:$P$21,1,TRUE))*VLOOKUP(Z179,Charge!$N$18:$P$21,3,TRUE)),
IF(AND(B179="G3",M179="DG"),IF(R179="20'",
VLOOKUP(Z179,Charge!$R$18:$T$21,2,TRUE)+(Z179-VLOOKUP(Z179,Charge!$R$18:$T$21,1,TRUE))*VLOOKUP(Z179,Charge!$R$18:$T$21,3,TRUE),
VLOOKUP(Z179,Charge!$U$18:$W$21,2,TRUE)+(Z179-VLOOKUP(Z179,Charge!$U$18:$W$21,1,TRUE))*VLOOKUP(Z179,Charge!$U$18:$W$21,3,TRUE)),
IF(AND(B179="G2",M179=""),IF(R179="20'",
VLOOKUP(Z179,Charge!$K$9:$M$12,2,TRUE)+(Z179-VLOOKUP(Z179,Charge!$K$9:$M$12,1,TRUE))*VLOOKUP(Z179,Charge!$K$9:$M$12,3,TRUE),
VLOOKUP(Z179,Charge!$N$9:$P$12,2,TRUE)+(Z179-VLOOKUP(Z179,Charge!$N$9:$P$12,1,TRUE))*VLOOKUP(Z179,Charge!$N$9:$P$12,3,TRUE)),
IF(AND(B179="G2",M179="DG"),IF(R179="20'",
VLOOKUP(Z179,Charge!$R$9:$T$12,2,TRUE)+(Z179-VLOOKUP(Z179,Charge!$R$9:$T$12,1,TRUE))*VLOOKUP(Z179,Charge!$R$9:$T$12,3,TRUE),
VLOOKUP(Z179,Charge!$U$9:$W$12,2,TRUE)+(Z179-VLOOKUP(Z179,Charge!$U$9:$W$12,1,TRUE))*VLOOKUP(Z179,Charge!$U$9:$W$12,3,TRUE)),IF(AND(B179="G4",M179=""),IF(R179="20'",Z179*Charge!$M$25,Z179*Charge!$P$25),IF(AND(B179="G4",M179="DG"),IF(R179="20'",Z179*Charge!$T$25,Z179*Charge!$W$25),0))))))))</f>
        <v>8450</v>
      </c>
      <c r="AB179" s="53"/>
      <c r="AC179" s="53"/>
      <c r="AD179" s="56">
        <f>IF(M179="DG",3,IF(N179="RF",3,5))+IF(AND(LEFT(C179,3)="BKK",N179="RF",Q179="KTS"),1,0)+IF(Q179="KHS",1,0)</f>
        <v>5</v>
      </c>
      <c r="AE179" s="57">
        <f>(T179-V179)+1</f>
        <v>46324</v>
      </c>
      <c r="AF179" s="57">
        <f>IF(AB179&gt;IF((V179-W179)&gt;0,V179-W179,0),0,IF(AB179&lt;IF((V179-W179)&gt;0,V179-W179,0),IF((V179-W179)&gt;0,V179-W179,0)-AB179,IF((V179-W179)&gt;0,V179-W179,0)))</f>
        <v>0</v>
      </c>
      <c r="AG179" s="48">
        <f>IF(AND(M179=""),IF(R179="20'",
VLOOKUP(AF179,Charge!$K$31:$M$34,2,TRUE)+(AF179-VLOOKUP(AF179,Charge!$K$31:$M$34,1,TRUE))*VLOOKUP(AF179,Charge!$K$31:$M$34,3,TRUE),
VLOOKUP(AF179,Charge!$N$31:$P$34,2,TRUE)+(AF179-VLOOKUP(AF179,Charge!$N$31:$P$34,1,TRUE))*VLOOKUP(AF179,Charge!$N$31:$P$34,3,TRUE)),
IF(AND(M179="DG"),IF(R179="20'",
VLOOKUP(AF179,Charge!$R$31:$T$34,2,TRUE)+(AF179-VLOOKUP(AF179,Charge!$R$31:$T$34,1,TRUE))*VLOOKUP(AF179,Charge!$R$31:$T$34,3,TRUE),
VLOOKUP(AF179,Charge!$U$31:$W$34,2,TRUE)+(AF179-VLOOKUP(AF179,Charge!$U$31:$W$34,1,TRUE))*VLOOKUP(AF179,Charge!$U$31:$W$34,3,TRUE)),0))</f>
        <v>0</v>
      </c>
      <c r="AH179" s="60"/>
      <c r="AI179" s="60">
        <f>AA179-AH179</f>
        <v>8450</v>
      </c>
      <c r="AJ179" s="61"/>
      <c r="AK179" s="55" t="str">
        <f>VLOOKUP(D179,'2.Bookinglist'!A:CT,40,FALSE)</f>
        <v>Nannaapust Sukporntaweewat</v>
      </c>
      <c r="AL179" s="56" t="str">
        <f>VLOOKUP(D179,'2.Bookinglist'!A:CW,101,FALSE)</f>
        <v>2026-10-22</v>
      </c>
      <c r="AM179" s="56" t="str">
        <f>VLOOKUP(D179,'2.Bookinglist'!A:BK,63,FALSE)</f>
        <v>LCHY5</v>
      </c>
      <c r="AN179" s="55" t="str">
        <f>VLOOKUP(D179,'2.Bookinglist'!A:AZ,52,FALSE)</f>
        <v>Pickup : 2026-10-02, Return : 2026-10-04 *1ST RETURN CNTR DD.08/10/2026*</v>
      </c>
      <c r="AO179" s="55" t="str">
        <f>VLOOKUP(D179,'2.Bookinglist'!A:CY,103,FALSE)</f>
        <v>ROLL OVER FROM PREVIOUS VSL SWRG 2609N BY ALLOCATION TEAM MS.TAN APPROVED COST IS UNDER HA DD.09/10</v>
      </c>
    </row>
    <row r="180" ht="12.95" customHeight="1" spans="1:41" x14ac:dyDescent="0.25">
      <c r="A180" s="3" t="s">
        <v>213</v>
      </c>
      <c r="B180" s="53" t="str">
        <f>IF(C180=Charge!$M$1,Charge!$J$1,IF(C180=Charge!$M$23,Charge!$J$23,IF(C180=Charge!$M$17,Charge!$J$17,IF(C180=Charge!$N$17,Charge!$J$17,Charge!$J$7))))</f>
        <v>G2</v>
      </c>
      <c r="C180" s="54" t="str">
        <f>VLOOKUP(A180,'1.Loading'!A:R,14,FALSE)</f>
        <v>LCH06</v>
      </c>
      <c r="D180" s="54" t="str">
        <f>VLOOKUP(A180,'1.Loading'!A:R,17,FALSE)</f>
        <v>HASLS22260900442</v>
      </c>
      <c r="E180" s="55" t="str">
        <f>VLOOKUP(D180,'2.Bookinglist'!A:CT,27,FALSE)</f>
        <v>BARKLAYS LOGISTICS (THAILAND) CO., LTD.</v>
      </c>
      <c r="F180" s="55" t="str">
        <f>VLOOKUP(D180,'2.Bookinglist'!A:CT,28,FALSE)</f>
        <v>SHUN YI INTERNATIONAL TRADING CO., LTD.</v>
      </c>
      <c r="G180" s="56">
        <f>VLOOKUP(D180,'2.Bookinglist'!A:E,5,FALSE)</f>
        <v>0</v>
      </c>
      <c r="H180" s="54" t="str">
        <f>VLOOKUP(D180,'2.Bookinglist'!A:CT,15,FALSE)</f>
        <v>THLCH</v>
      </c>
      <c r="I180" s="54" t="str">
        <f>VLOOKUP(D180,'2.Bookinglist'!A:CT,19,FALSE)</f>
        <v>CNSHA</v>
      </c>
      <c r="J180" s="54">
        <f>VLOOKUP(D180,'2.Bookinglist'!A:CT,26,FALSE)</f>
        <v>0</v>
      </c>
      <c r="K180" s="54" t="str">
        <f>VLOOKUP(A180,'1.Loading'!A:R,5,FALSE)</f>
        <v>45GP</v>
      </c>
      <c r="L180" s="56" t="str">
        <f>VLOOKUP(D180,'2.Bookinglist'!A:CT,85,FALSE)</f>
        <v>CY/CY</v>
      </c>
      <c r="M180" s="56" t="str">
        <f>IF(VLOOKUP(D180,'2.Bookinglist'!A:CT,43,FALSE)=0,"","DG")</f>
        <v/>
      </c>
      <c r="N180" s="56" t="str">
        <f>IF(RIGHT(K180,2)="RE","RF","")</f>
        <v/>
      </c>
      <c r="O180" s="54" t="str">
        <f>VLOOKUP(A180,'1.Loading'!A:R,3,FALSE)</f>
        <v>HMVY</v>
      </c>
      <c r="P180" s="54" t="str">
        <f>VLOOKUP(A180,'1.Loading'!A:R,4,FALSE)</f>
        <v>2609N</v>
      </c>
      <c r="Q180" s="54" t="str">
        <f>VLOOKUP(D180,'2.Bookinglist'!A:CT,12,FALSE)</f>
        <v>PCI2</v>
      </c>
      <c r="R180" s="56" t="str">
        <f>IF(LEFT(K180,2)="22","20'","40'")</f>
        <v>40'</v>
      </c>
      <c r="S180" s="38"/>
      <c r="T180" s="54" t="str">
        <f>VLOOKUP(A180,'1.Loading'!A:R,2,FALSE)</f>
        <v>2026-10-28</v>
      </c>
      <c r="U180" s="57">
        <f>T180-S180</f>
        <v>46323</v>
      </c>
      <c r="V180" s="58"/>
      <c r="W180" s="54" t="str">
        <f>VLOOKUP(A180,'3.GateMove'!A:D,4,FALSE)</f>
        <v>2026-10-04</v>
      </c>
      <c r="X180" s="57">
        <f>((T180-W180)+1)</f>
        <v>25</v>
      </c>
      <c r="Y180" s="59">
        <f>IF(AND(OR(C180="BKK01",C180="BKK04"),L180="CFS/CY"),0,IF(M180="DG",1,IF(LEFT(C180,3)="LCH",7,IF(C180="BKK02",5,3))))</f>
        <v>7</v>
      </c>
      <c r="Z180" s="57">
        <f>IF(IF(AND(AC180="TML",AB180&gt;0),((T180-W180)+1)-AB180,((T180-W180)+1)-Y180)&gt;0,IF(AND(AC180="TML",AB180&gt;0),((T180-W180)+1)-AB180,((T180-W180)+1)-Y180),0)</f>
        <v>18</v>
      </c>
      <c r="AA180" s="48">
        <f>IF(AND(B180="G1",M180=""),IF(R180="20'",
VLOOKUP(Z180,Charge!$K$2:$M$5,2,TRUE)+(Z180-VLOOKUP(Z180,Charge!$K$2:$M$5,1,TRUE))*VLOOKUP(Z180,Charge!$K$2:$M$5,3,TRUE),
VLOOKUP(Z180,Charge!$N$2:$P$5,2,TRUE)+(Z180-VLOOKUP(Z180,Charge!$N$2:$P$5,1,TRUE))*VLOOKUP(Z180,Charge!$N$2:$P$5,3,TRUE)),
IF(AND(B180="G1",M180="DG"),IF(R180="20'",
VLOOKUP(Z180,Charge!$R$2:$T$5,2,TRUE)+(Z180-VLOOKUP(Z180,Charge!$R$2:$T$5,1,TRUE))*VLOOKUP(Z180,Charge!$R$2:$T$5,3,TRUE),
VLOOKUP(Z180,Charge!$U$2:$W$5,2,TRUE)+(Z180-VLOOKUP(Z180,Charge!$U$2:$W$5,1,TRUE))*VLOOKUP(Z180,Charge!$U$2:$W$5,3,TRUE)),
IF(AND(B180="G3",M180=""),IF(R180="20'",
VLOOKUP(Z180,Charge!$K$18:$M$21,2,TRUE)+(Z180-VLOOKUP(Z180,Charge!$K$18:$M$21,1,TRUE))*VLOOKUP(Z180,Charge!$K$18:$M$21,3,TRUE),
VLOOKUP(Z180,Charge!$N$18:$P$21,2,TRUE)+(Z180-VLOOKUP(Z180,Charge!$N$18:$P$21,1,TRUE))*VLOOKUP(Z180,Charge!$N$18:$P$21,3,TRUE)),
IF(AND(B180="G3",M180="DG"),IF(R180="20'",
VLOOKUP(Z180,Charge!$R$18:$T$21,2,TRUE)+(Z180-VLOOKUP(Z180,Charge!$R$18:$T$21,1,TRUE))*VLOOKUP(Z180,Charge!$R$18:$T$21,3,TRUE),
VLOOKUP(Z180,Charge!$U$18:$W$21,2,TRUE)+(Z180-VLOOKUP(Z180,Charge!$U$18:$W$21,1,TRUE))*VLOOKUP(Z180,Charge!$U$18:$W$21,3,TRUE)),
IF(AND(B180="G2",M180=""),IF(R180="20'",
VLOOKUP(Z180,Charge!$K$9:$M$12,2,TRUE)+(Z180-VLOOKUP(Z180,Charge!$K$9:$M$12,1,TRUE))*VLOOKUP(Z180,Charge!$K$9:$M$12,3,TRUE),
VLOOKUP(Z180,Charge!$N$9:$P$12,2,TRUE)+(Z180-VLOOKUP(Z180,Charge!$N$9:$P$12,1,TRUE))*VLOOKUP(Z180,Charge!$N$9:$P$12,3,TRUE)),
IF(AND(B180="G2",M180="DG"),IF(R180="20'",
VLOOKUP(Z180,Charge!$R$9:$T$12,2,TRUE)+(Z180-VLOOKUP(Z180,Charge!$R$9:$T$12,1,TRUE))*VLOOKUP(Z180,Charge!$R$9:$T$12,3,TRUE),
VLOOKUP(Z180,Charge!$U$9:$W$12,2,TRUE)+(Z180-VLOOKUP(Z180,Charge!$U$9:$W$12,1,TRUE))*VLOOKUP(Z180,Charge!$U$9:$W$12,3,TRUE)),IF(AND(B180="G4",M180=""),IF(R180="20'",Z180*Charge!$M$25,Z180*Charge!$P$25),IF(AND(B180="G4",M180="DG"),IF(R180="20'",Z180*Charge!$T$25,Z180*Charge!$W$25),0))))))))</f>
        <v>8450</v>
      </c>
      <c r="AB180" s="53"/>
      <c r="AC180" s="53"/>
      <c r="AD180" s="56">
        <f>IF(M180="DG",3,IF(N180="RF",3,5))+IF(AND(LEFT(C180,3)="BKK",N180="RF",Q180="KTS"),1,0)+IF(Q180="KHS",1,0)</f>
        <v>5</v>
      </c>
      <c r="AE180" s="57">
        <f>(T180-V180)+1</f>
        <v>46324</v>
      </c>
      <c r="AF180" s="57">
        <f>IF(AB180&gt;IF((V180-W180)&gt;0,V180-W180,0),0,IF(AB180&lt;IF((V180-W180)&gt;0,V180-W180,0),IF((V180-W180)&gt;0,V180-W180,0)-AB180,IF((V180-W180)&gt;0,V180-W180,0)))</f>
        <v>0</v>
      </c>
      <c r="AG180" s="48">
        <f>IF(AND(M180=""),IF(R180="20'",
VLOOKUP(AF180,Charge!$K$31:$M$34,2,TRUE)+(AF180-VLOOKUP(AF180,Charge!$K$31:$M$34,1,TRUE))*VLOOKUP(AF180,Charge!$K$31:$M$34,3,TRUE),
VLOOKUP(AF180,Charge!$N$31:$P$34,2,TRUE)+(AF180-VLOOKUP(AF180,Charge!$N$31:$P$34,1,TRUE))*VLOOKUP(AF180,Charge!$N$31:$P$34,3,TRUE)),
IF(AND(M180="DG"),IF(R180="20'",
VLOOKUP(AF180,Charge!$R$31:$T$34,2,TRUE)+(AF180-VLOOKUP(AF180,Charge!$R$31:$T$34,1,TRUE))*VLOOKUP(AF180,Charge!$R$31:$T$34,3,TRUE),
VLOOKUP(AF180,Charge!$U$31:$W$34,2,TRUE)+(AF180-VLOOKUP(AF180,Charge!$U$31:$W$34,1,TRUE))*VLOOKUP(AF180,Charge!$U$31:$W$34,3,TRUE)),0))</f>
        <v>0</v>
      </c>
      <c r="AH180" s="60"/>
      <c r="AI180" s="60">
        <f>AA180-AH180</f>
        <v>8450</v>
      </c>
      <c r="AJ180" s="61"/>
      <c r="AK180" s="55" t="str">
        <f>VLOOKUP(D180,'2.Bookinglist'!A:CT,40,FALSE)</f>
        <v>Nannaapust Sukporntaweewat</v>
      </c>
      <c r="AL180" s="56" t="str">
        <f>VLOOKUP(D180,'2.Bookinglist'!A:CW,101,FALSE)</f>
        <v>2026-10-22</v>
      </c>
      <c r="AM180" s="56" t="str">
        <f>VLOOKUP(D180,'2.Bookinglist'!A:BK,63,FALSE)</f>
        <v>LCHY5</v>
      </c>
      <c r="AN180" s="55" t="str">
        <f>VLOOKUP(D180,'2.Bookinglist'!A:AZ,52,FALSE)</f>
        <v>Pickup : 2026-10-02, Return : 2026-10-04 *1ST RETURN CNTR DD.08/10/2026*</v>
      </c>
      <c r="AO180" s="55" t="str">
        <f>VLOOKUP(D180,'2.Bookinglist'!A:CY,103,FALSE)</f>
        <v>ROLL OVER FROM PREVIOUS VSL SWRG 2609N BY ALLOCATION TEAM MS.TAN APPROVED COST IS UNDER HA DD.09/10</v>
      </c>
    </row>
    <row r="181" ht="12.95" customHeight="1" spans="1:41" x14ac:dyDescent="0.25">
      <c r="A181" s="3" t="s">
        <v>242</v>
      </c>
      <c r="B181" s="53" t="str">
        <f>IF(C181=Charge!$M$1,Charge!$J$1,IF(C181=Charge!$M$23,Charge!$J$23,IF(C181=Charge!$M$17,Charge!$J$17,IF(C181=Charge!$N$17,Charge!$J$17,Charge!$J$7))))</f>
        <v>G2</v>
      </c>
      <c r="C181" s="54" t="str">
        <f>VLOOKUP(A181,'1.Loading'!A:R,14,FALSE)</f>
        <v>LCH06</v>
      </c>
      <c r="D181" s="54" t="str">
        <f>VLOOKUP(A181,'1.Loading'!A:R,17,FALSE)</f>
        <v>HASLS22261000876</v>
      </c>
      <c r="E181" s="55" t="str">
        <f>VLOOKUP(D181,'2.Bookinglist'!A:CT,27,FALSE)</f>
        <v>SUN-OCEAN GLOBAL SUPPLY CHAIN CO., LTD.</v>
      </c>
      <c r="F181" s="55" t="str">
        <f>VLOOKUP(D181,'2.Bookinglist'!A:CT,28,FALSE)</f>
        <v>I.P. ONE COMPANY LIMITED</v>
      </c>
      <c r="G181" s="56" t="str">
        <f>VLOOKUP(D181,'2.Bookinglist'!A:E,5,FALSE)</f>
        <v>THSRP</v>
      </c>
      <c r="H181" s="54" t="str">
        <f>VLOOKUP(D181,'2.Bookinglist'!A:CT,15,FALSE)</f>
        <v>THLCH</v>
      </c>
      <c r="I181" s="54" t="str">
        <f>VLOOKUP(D181,'2.Bookinglist'!A:CT,19,FALSE)</f>
        <v>CNSHA</v>
      </c>
      <c r="J181" s="54">
        <f>VLOOKUP(D181,'2.Bookinglist'!A:CT,26,FALSE)</f>
        <v>0</v>
      </c>
      <c r="K181" s="54" t="str">
        <f>VLOOKUP(A181,'1.Loading'!A:R,5,FALSE)</f>
        <v>45GP</v>
      </c>
      <c r="L181" s="56" t="str">
        <f>VLOOKUP(D181,'2.Bookinglist'!A:CT,85,FALSE)</f>
        <v>CY/CY</v>
      </c>
      <c r="M181" s="56" t="str">
        <f>IF(VLOOKUP(D181,'2.Bookinglist'!A:CT,43,FALSE)=0,"","DG")</f>
        <v/>
      </c>
      <c r="N181" s="56" t="str">
        <f>IF(RIGHT(K181,2)="RE","RF","")</f>
        <v/>
      </c>
      <c r="O181" s="54" t="str">
        <f>VLOOKUP(A181,'1.Loading'!A:R,3,FALSE)</f>
        <v>HMVY</v>
      </c>
      <c r="P181" s="54" t="str">
        <f>VLOOKUP(A181,'1.Loading'!A:R,4,FALSE)</f>
        <v>2609N</v>
      </c>
      <c r="Q181" s="54" t="str">
        <f>VLOOKUP(D181,'2.Bookinglist'!A:CT,12,FALSE)</f>
        <v>PCI2</v>
      </c>
      <c r="R181" s="56" t="str">
        <f>IF(LEFT(K181,2)="22","20'","40'")</f>
        <v>40'</v>
      </c>
      <c r="S181" s="38"/>
      <c r="T181" s="54" t="str">
        <f>VLOOKUP(A181,'1.Loading'!A:R,2,FALSE)</f>
        <v>2026-10-28</v>
      </c>
      <c r="U181" s="57">
        <f>T181-S181</f>
        <v>46323</v>
      </c>
      <c r="V181" s="58"/>
      <c r="W181" s="54" t="str">
        <f>VLOOKUP(A181,'3.GateMove'!A:D,4,FALSE)</f>
        <v>2026-10-23</v>
      </c>
      <c r="X181" s="57">
        <f>((T181-W181)+1)</f>
        <v>6</v>
      </c>
      <c r="Y181" s="59">
        <f>IF(AND(OR(C181="BKK01",C181="BKK04"),L181="CFS/CY"),0,IF(M181="DG",1,IF(LEFT(C181,3)="LCH",7,IF(C181="BKK02",5,3))))</f>
        <v>7</v>
      </c>
      <c r="Z181" s="57">
        <f>IF(IF(AND(AC181="TML",AB181&gt;0),((T181-W181)+1)-AB181,((T181-W181)+1)-Y181)&gt;0,IF(AND(AC181="TML",AB181&gt;0),((T181-W181)+1)-AB181,((T181-W181)+1)-Y181),0)</f>
        <v>0</v>
      </c>
      <c r="AA181" s="48">
        <f>IF(AND(B181="G1",M181=""),IF(R181="20'",
VLOOKUP(Z181,Charge!$K$2:$M$5,2,TRUE)+(Z181-VLOOKUP(Z181,Charge!$K$2:$M$5,1,TRUE))*VLOOKUP(Z181,Charge!$K$2:$M$5,3,TRUE),
VLOOKUP(Z181,Charge!$N$2:$P$5,2,TRUE)+(Z181-VLOOKUP(Z181,Charge!$N$2:$P$5,1,TRUE))*VLOOKUP(Z181,Charge!$N$2:$P$5,3,TRUE)),
IF(AND(B181="G1",M181="DG"),IF(R181="20'",
VLOOKUP(Z181,Charge!$R$2:$T$5,2,TRUE)+(Z181-VLOOKUP(Z181,Charge!$R$2:$T$5,1,TRUE))*VLOOKUP(Z181,Charge!$R$2:$T$5,3,TRUE),
VLOOKUP(Z181,Charge!$U$2:$W$5,2,TRUE)+(Z181-VLOOKUP(Z181,Charge!$U$2:$W$5,1,TRUE))*VLOOKUP(Z181,Charge!$U$2:$W$5,3,TRUE)),
IF(AND(B181="G3",M181=""),IF(R181="20'",
VLOOKUP(Z181,Charge!$K$18:$M$21,2,TRUE)+(Z181-VLOOKUP(Z181,Charge!$K$18:$M$21,1,TRUE))*VLOOKUP(Z181,Charge!$K$18:$M$21,3,TRUE),
VLOOKUP(Z181,Charge!$N$18:$P$21,2,TRUE)+(Z181-VLOOKUP(Z181,Charge!$N$18:$P$21,1,TRUE))*VLOOKUP(Z181,Charge!$N$18:$P$21,3,TRUE)),
IF(AND(B181="G3",M181="DG"),IF(R181="20'",
VLOOKUP(Z181,Charge!$R$18:$T$21,2,TRUE)+(Z181-VLOOKUP(Z181,Charge!$R$18:$T$21,1,TRUE))*VLOOKUP(Z181,Charge!$R$18:$T$21,3,TRUE),
VLOOKUP(Z181,Charge!$U$18:$W$21,2,TRUE)+(Z181-VLOOKUP(Z181,Charge!$U$18:$W$21,1,TRUE))*VLOOKUP(Z181,Charge!$U$18:$W$21,3,TRUE)),
IF(AND(B181="G2",M181=""),IF(R181="20'",
VLOOKUP(Z181,Charge!$K$9:$M$12,2,TRUE)+(Z181-VLOOKUP(Z181,Charge!$K$9:$M$12,1,TRUE))*VLOOKUP(Z181,Charge!$K$9:$M$12,3,TRUE),
VLOOKUP(Z181,Charge!$N$9:$P$12,2,TRUE)+(Z181-VLOOKUP(Z181,Charge!$N$9:$P$12,1,TRUE))*VLOOKUP(Z181,Charge!$N$9:$P$12,3,TRUE)),
IF(AND(B181="G2",M181="DG"),IF(R181="20'",
VLOOKUP(Z181,Charge!$R$9:$T$12,2,TRUE)+(Z181-VLOOKUP(Z181,Charge!$R$9:$T$12,1,TRUE))*VLOOKUP(Z181,Charge!$R$9:$T$12,3,TRUE),
VLOOKUP(Z181,Charge!$U$9:$W$12,2,TRUE)+(Z181-VLOOKUP(Z181,Charge!$U$9:$W$12,1,TRUE))*VLOOKUP(Z181,Charge!$U$9:$W$12,3,TRUE)),IF(AND(B181="G4",M181=""),IF(R181="20'",Z181*Charge!$M$25,Z181*Charge!$P$25),IF(AND(B181="G4",M181="DG"),IF(R181="20'",Z181*Charge!$T$25,Z181*Charge!$W$25),0))))))))</f>
        <v>0</v>
      </c>
      <c r="AB181" s="53"/>
      <c r="AC181" s="53"/>
      <c r="AD181" s="56">
        <f>IF(M181="DG",3,IF(N181="RF",3,5))+IF(AND(LEFT(C181,3)="BKK",N181="RF",Q181="KTS"),1,0)+IF(Q181="KHS",1,0)</f>
        <v>5</v>
      </c>
      <c r="AE181" s="57">
        <f>(T181-V181)+1</f>
        <v>46324</v>
      </c>
      <c r="AF181" s="57">
        <f>IF(AB181&gt;IF((V181-W181)&gt;0,V181-W181,0),0,IF(AB181&lt;IF((V181-W181)&gt;0,V181-W181,0),IF((V181-W181)&gt;0,V181-W181,0)-AB181,IF((V181-W181)&gt;0,V181-W181,0)))</f>
        <v>0</v>
      </c>
      <c r="AG181" s="48">
        <f>IF(AND(M181=""),IF(R181="20'",
VLOOKUP(AF181,Charge!$K$31:$M$34,2,TRUE)+(AF181-VLOOKUP(AF181,Charge!$K$31:$M$34,1,TRUE))*VLOOKUP(AF181,Charge!$K$31:$M$34,3,TRUE),
VLOOKUP(AF181,Charge!$N$31:$P$34,2,TRUE)+(AF181-VLOOKUP(AF181,Charge!$N$31:$P$34,1,TRUE))*VLOOKUP(AF181,Charge!$N$31:$P$34,3,TRUE)),
IF(AND(M181="DG"),IF(R181="20'",
VLOOKUP(AF181,Charge!$R$31:$T$34,2,TRUE)+(AF181-VLOOKUP(AF181,Charge!$R$31:$T$34,1,TRUE))*VLOOKUP(AF181,Charge!$R$31:$T$34,3,TRUE),
VLOOKUP(AF181,Charge!$U$31:$W$34,2,TRUE)+(AF181-VLOOKUP(AF181,Charge!$U$31:$W$34,1,TRUE))*VLOOKUP(AF181,Charge!$U$31:$W$34,3,TRUE)),0))</f>
        <v>0</v>
      </c>
      <c r="AH181" s="60"/>
      <c r="AI181" s="60">
        <f>AA181-AH181</f>
        <v>0</v>
      </c>
      <c r="AJ181" s="61"/>
      <c r="AK181" s="55" t="str">
        <f>VLOOKUP(D181,'2.Bookinglist'!A:CT,40,FALSE)</f>
        <v>Arunphat W. (Aiw)</v>
      </c>
      <c r="AL181" s="56" t="str">
        <f>VLOOKUP(D181,'2.Bookinglist'!A:CW,101,FALSE)</f>
        <v>2026-10-22</v>
      </c>
      <c r="AM181" s="56" t="str">
        <f>VLOOKUP(D181,'2.Bookinglist'!A:BK,63,FALSE)</f>
        <v>BKK27</v>
      </c>
      <c r="AN181" s="55" t="str">
        <f>VLOOKUP(D181,'2.Bookinglist'!A:AZ,52,FALSE)</f>
        <v>Pickup : 2026-10-16, Return SRP : 2026-10-17 [PAPERLESS CODE 2829]
CLS TIME 24/10/26 @21.00 (1ST RETURN 17/10/26)</v>
      </c>
      <c r="AO181" s="55">
        <f>VLOOKUP(D181,'2.Bookinglist'!A:CY,103,FALSE)</f>
        <v>0</v>
      </c>
    </row>
    <row r="182" ht="12.95" customHeight="1" spans="1:41" x14ac:dyDescent="0.25">
      <c r="A182" s="3" t="s">
        <v>214</v>
      </c>
      <c r="B182" s="53" t="str">
        <f>IF(C182=Charge!$M$1,Charge!$J$1,IF(C182=Charge!$M$23,Charge!$J$23,IF(C182=Charge!$M$17,Charge!$J$17,IF(C182=Charge!$N$17,Charge!$J$17,Charge!$J$7))))</f>
        <v>G2</v>
      </c>
      <c r="C182" s="54" t="str">
        <f>VLOOKUP(A182,'1.Loading'!A:R,14,FALSE)</f>
        <v>LCH06</v>
      </c>
      <c r="D182" s="54" t="str">
        <f>VLOOKUP(A182,'1.Loading'!A:R,17,FALSE)</f>
        <v>HASLS22260900442</v>
      </c>
      <c r="E182" s="55" t="str">
        <f>VLOOKUP(D182,'2.Bookinglist'!A:CT,27,FALSE)</f>
        <v>BARKLAYS LOGISTICS (THAILAND) CO., LTD.</v>
      </c>
      <c r="F182" s="55" t="str">
        <f>VLOOKUP(D182,'2.Bookinglist'!A:CT,28,FALSE)</f>
        <v>SHUN YI INTERNATIONAL TRADING CO., LTD.</v>
      </c>
      <c r="G182" s="56">
        <f>VLOOKUP(D182,'2.Bookinglist'!A:E,5,FALSE)</f>
        <v>0</v>
      </c>
      <c r="H182" s="54" t="str">
        <f>VLOOKUP(D182,'2.Bookinglist'!A:CT,15,FALSE)</f>
        <v>THLCH</v>
      </c>
      <c r="I182" s="54" t="str">
        <f>VLOOKUP(D182,'2.Bookinglist'!A:CT,19,FALSE)</f>
        <v>CNSHA</v>
      </c>
      <c r="J182" s="54">
        <f>VLOOKUP(D182,'2.Bookinglist'!A:CT,26,FALSE)</f>
        <v>0</v>
      </c>
      <c r="K182" s="54" t="str">
        <f>VLOOKUP(A182,'1.Loading'!A:R,5,FALSE)</f>
        <v>45GP</v>
      </c>
      <c r="L182" s="56" t="str">
        <f>VLOOKUP(D182,'2.Bookinglist'!A:CT,85,FALSE)</f>
        <v>CY/CY</v>
      </c>
      <c r="M182" s="56" t="str">
        <f>IF(VLOOKUP(D182,'2.Bookinglist'!A:CT,43,FALSE)=0,"","DG")</f>
        <v/>
      </c>
      <c r="N182" s="56" t="str">
        <f>IF(RIGHT(K182,2)="RE","RF","")</f>
        <v/>
      </c>
      <c r="O182" s="54" t="str">
        <f>VLOOKUP(A182,'1.Loading'!A:R,3,FALSE)</f>
        <v>HMVY</v>
      </c>
      <c r="P182" s="54" t="str">
        <f>VLOOKUP(A182,'1.Loading'!A:R,4,FALSE)</f>
        <v>2609N</v>
      </c>
      <c r="Q182" s="54" t="str">
        <f>VLOOKUP(D182,'2.Bookinglist'!A:CT,12,FALSE)</f>
        <v>PCI2</v>
      </c>
      <c r="R182" s="56" t="str">
        <f>IF(LEFT(K182,2)="22","20'","40'")</f>
        <v>40'</v>
      </c>
      <c r="S182" s="38"/>
      <c r="T182" s="54" t="str">
        <f>VLOOKUP(A182,'1.Loading'!A:R,2,FALSE)</f>
        <v>2026-10-28</v>
      </c>
      <c r="U182" s="57">
        <f>T182-S182</f>
        <v>46323</v>
      </c>
      <c r="V182" s="58"/>
      <c r="W182" s="54" t="str">
        <f>VLOOKUP(A182,'3.GateMove'!A:D,4,FALSE)</f>
        <v>2026-10-04</v>
      </c>
      <c r="X182" s="57">
        <f>((T182-W182)+1)</f>
        <v>25</v>
      </c>
      <c r="Y182" s="59">
        <f>IF(AND(OR(C182="BKK01",C182="BKK04"),L182="CFS/CY"),0,IF(M182="DG",1,IF(LEFT(C182,3)="LCH",7,IF(C182="BKK02",5,3))))</f>
        <v>7</v>
      </c>
      <c r="Z182" s="57">
        <f>IF(IF(AND(AC182="TML",AB182&gt;0),((T182-W182)+1)-AB182,((T182-W182)+1)-Y182)&gt;0,IF(AND(AC182="TML",AB182&gt;0),((T182-W182)+1)-AB182,((T182-W182)+1)-Y182),0)</f>
        <v>18</v>
      </c>
      <c r="AA182" s="48">
        <f>IF(AND(B182="G1",M182=""),IF(R182="20'",
VLOOKUP(Z182,Charge!$K$2:$M$5,2,TRUE)+(Z182-VLOOKUP(Z182,Charge!$K$2:$M$5,1,TRUE))*VLOOKUP(Z182,Charge!$K$2:$M$5,3,TRUE),
VLOOKUP(Z182,Charge!$N$2:$P$5,2,TRUE)+(Z182-VLOOKUP(Z182,Charge!$N$2:$P$5,1,TRUE))*VLOOKUP(Z182,Charge!$N$2:$P$5,3,TRUE)),
IF(AND(B182="G1",M182="DG"),IF(R182="20'",
VLOOKUP(Z182,Charge!$R$2:$T$5,2,TRUE)+(Z182-VLOOKUP(Z182,Charge!$R$2:$T$5,1,TRUE))*VLOOKUP(Z182,Charge!$R$2:$T$5,3,TRUE),
VLOOKUP(Z182,Charge!$U$2:$W$5,2,TRUE)+(Z182-VLOOKUP(Z182,Charge!$U$2:$W$5,1,TRUE))*VLOOKUP(Z182,Charge!$U$2:$W$5,3,TRUE)),
IF(AND(B182="G3",M182=""),IF(R182="20'",
VLOOKUP(Z182,Charge!$K$18:$M$21,2,TRUE)+(Z182-VLOOKUP(Z182,Charge!$K$18:$M$21,1,TRUE))*VLOOKUP(Z182,Charge!$K$18:$M$21,3,TRUE),
VLOOKUP(Z182,Charge!$N$18:$P$21,2,TRUE)+(Z182-VLOOKUP(Z182,Charge!$N$18:$P$21,1,TRUE))*VLOOKUP(Z182,Charge!$N$18:$P$21,3,TRUE)),
IF(AND(B182="G3",M182="DG"),IF(R182="20'",
VLOOKUP(Z182,Charge!$R$18:$T$21,2,TRUE)+(Z182-VLOOKUP(Z182,Charge!$R$18:$T$21,1,TRUE))*VLOOKUP(Z182,Charge!$R$18:$T$21,3,TRUE),
VLOOKUP(Z182,Charge!$U$18:$W$21,2,TRUE)+(Z182-VLOOKUP(Z182,Charge!$U$18:$W$21,1,TRUE))*VLOOKUP(Z182,Charge!$U$18:$W$21,3,TRUE)),
IF(AND(B182="G2",M182=""),IF(R182="20'",
VLOOKUP(Z182,Charge!$K$9:$M$12,2,TRUE)+(Z182-VLOOKUP(Z182,Charge!$K$9:$M$12,1,TRUE))*VLOOKUP(Z182,Charge!$K$9:$M$12,3,TRUE),
VLOOKUP(Z182,Charge!$N$9:$P$12,2,TRUE)+(Z182-VLOOKUP(Z182,Charge!$N$9:$P$12,1,TRUE))*VLOOKUP(Z182,Charge!$N$9:$P$12,3,TRUE)),
IF(AND(B182="G2",M182="DG"),IF(R182="20'",
VLOOKUP(Z182,Charge!$R$9:$T$12,2,TRUE)+(Z182-VLOOKUP(Z182,Charge!$R$9:$T$12,1,TRUE))*VLOOKUP(Z182,Charge!$R$9:$T$12,3,TRUE),
VLOOKUP(Z182,Charge!$U$9:$W$12,2,TRUE)+(Z182-VLOOKUP(Z182,Charge!$U$9:$W$12,1,TRUE))*VLOOKUP(Z182,Charge!$U$9:$W$12,3,TRUE)),IF(AND(B182="G4",M182=""),IF(R182="20'",Z182*Charge!$M$25,Z182*Charge!$P$25),IF(AND(B182="G4",M182="DG"),IF(R182="20'",Z182*Charge!$T$25,Z182*Charge!$W$25),0))))))))</f>
        <v>8450</v>
      </c>
      <c r="AB182" s="53"/>
      <c r="AC182" s="53"/>
      <c r="AD182" s="56">
        <f>IF(M182="DG",3,IF(N182="RF",3,5))+IF(AND(LEFT(C182,3)="BKK",N182="RF",Q182="KTS"),1,0)+IF(Q182="KHS",1,0)</f>
        <v>5</v>
      </c>
      <c r="AE182" s="57">
        <f>(T182-V182)+1</f>
        <v>46324</v>
      </c>
      <c r="AF182" s="57">
        <f>IF(AB182&gt;IF((V182-W182)&gt;0,V182-W182,0),0,IF(AB182&lt;IF((V182-W182)&gt;0,V182-W182,0),IF((V182-W182)&gt;0,V182-W182,0)-AB182,IF((V182-W182)&gt;0,V182-W182,0)))</f>
        <v>0</v>
      </c>
      <c r="AG182" s="48">
        <f>IF(AND(M182=""),IF(R182="20'",
VLOOKUP(AF182,Charge!$K$31:$M$34,2,TRUE)+(AF182-VLOOKUP(AF182,Charge!$K$31:$M$34,1,TRUE))*VLOOKUP(AF182,Charge!$K$31:$M$34,3,TRUE),
VLOOKUP(AF182,Charge!$N$31:$P$34,2,TRUE)+(AF182-VLOOKUP(AF182,Charge!$N$31:$P$34,1,TRUE))*VLOOKUP(AF182,Charge!$N$31:$P$34,3,TRUE)),
IF(AND(M182="DG"),IF(R182="20'",
VLOOKUP(AF182,Charge!$R$31:$T$34,2,TRUE)+(AF182-VLOOKUP(AF182,Charge!$R$31:$T$34,1,TRUE))*VLOOKUP(AF182,Charge!$R$31:$T$34,3,TRUE),
VLOOKUP(AF182,Charge!$U$31:$W$34,2,TRUE)+(AF182-VLOOKUP(AF182,Charge!$U$31:$W$34,1,TRUE))*VLOOKUP(AF182,Charge!$U$31:$W$34,3,TRUE)),0))</f>
        <v>0</v>
      </c>
      <c r="AH182" s="60"/>
      <c r="AI182" s="60">
        <f>AA182-AH182</f>
        <v>8450</v>
      </c>
      <c r="AJ182" s="61"/>
      <c r="AK182" s="55" t="str">
        <f>VLOOKUP(D182,'2.Bookinglist'!A:CT,40,FALSE)</f>
        <v>Nannaapust Sukporntaweewat</v>
      </c>
      <c r="AL182" s="56" t="str">
        <f>VLOOKUP(D182,'2.Bookinglist'!A:CW,101,FALSE)</f>
        <v>2026-10-22</v>
      </c>
      <c r="AM182" s="56" t="str">
        <f>VLOOKUP(D182,'2.Bookinglist'!A:BK,63,FALSE)</f>
        <v>LCHY5</v>
      </c>
      <c r="AN182" s="55" t="str">
        <f>VLOOKUP(D182,'2.Bookinglist'!A:AZ,52,FALSE)</f>
        <v>Pickup : 2026-10-02, Return : 2026-10-04 *1ST RETURN CNTR DD.08/10/2026*</v>
      </c>
      <c r="AO182" s="55" t="str">
        <f>VLOOKUP(D182,'2.Bookinglist'!A:CY,103,FALSE)</f>
        <v>ROLL OVER FROM PREVIOUS VSL SWRG 2609N BY ALLOCATION TEAM MS.TAN APPROVED COST IS UNDER HA DD.09/10</v>
      </c>
    </row>
    <row r="183" ht="12.95" customHeight="1" spans="1:41" x14ac:dyDescent="0.25">
      <c r="A183" s="3" t="s">
        <v>171</v>
      </c>
      <c r="B183" s="53" t="str">
        <f>IF(C183=Charge!$M$1,Charge!$J$1,IF(C183=Charge!$M$23,Charge!$J$23,IF(C183=Charge!$M$17,Charge!$J$17,IF(C183=Charge!$N$17,Charge!$J$17,Charge!$J$7))))</f>
        <v>G2</v>
      </c>
      <c r="C183" s="54" t="str">
        <f>VLOOKUP(A183,'1.Loading'!A:R,14,FALSE)</f>
        <v>LCH06</v>
      </c>
      <c r="D183" s="54" t="str">
        <f>VLOOKUP(A183,'1.Loading'!A:R,17,FALSE)</f>
        <v>HASLS22261000715</v>
      </c>
      <c r="E183" s="55" t="str">
        <f>VLOOKUP(D183,'2.Bookinglist'!A:CT,27,FALSE)</f>
        <v>MANA GLOBAL LINK CO., LTD.</v>
      </c>
      <c r="F183" s="55" t="str">
        <f>VLOOKUP(D183,'2.Bookinglist'!A:CT,28,FALSE)</f>
        <v>THAI FOENG INTERNATIONAL CO., LTD.</v>
      </c>
      <c r="G183" s="56" t="str">
        <f>VLOOKUP(D183,'2.Bookinglist'!A:E,5,FALSE)</f>
        <v>THSRP</v>
      </c>
      <c r="H183" s="54" t="str">
        <f>VLOOKUP(D183,'2.Bookinglist'!A:CT,15,FALSE)</f>
        <v>THLCH</v>
      </c>
      <c r="I183" s="54" t="str">
        <f>VLOOKUP(D183,'2.Bookinglist'!A:CT,19,FALSE)</f>
        <v>CNSHA</v>
      </c>
      <c r="J183" s="54">
        <f>VLOOKUP(D183,'2.Bookinglist'!A:CT,26,FALSE)</f>
        <v>0</v>
      </c>
      <c r="K183" s="54" t="str">
        <f>VLOOKUP(A183,'1.Loading'!A:R,5,FALSE)</f>
        <v>45GP</v>
      </c>
      <c r="L183" s="56" t="str">
        <f>VLOOKUP(D183,'2.Bookinglist'!A:CT,85,FALSE)</f>
        <v>CY/CY</v>
      </c>
      <c r="M183" s="56" t="str">
        <f>IF(VLOOKUP(D183,'2.Bookinglist'!A:CT,43,FALSE)=0,"","DG")</f>
        <v/>
      </c>
      <c r="N183" s="56" t="str">
        <f>IF(RIGHT(K183,2)="RE","RF","")</f>
        <v/>
      </c>
      <c r="O183" s="54" t="str">
        <f>VLOOKUP(A183,'1.Loading'!A:R,3,FALSE)</f>
        <v>HMVY</v>
      </c>
      <c r="P183" s="54" t="str">
        <f>VLOOKUP(A183,'1.Loading'!A:R,4,FALSE)</f>
        <v>2609N</v>
      </c>
      <c r="Q183" s="54" t="str">
        <f>VLOOKUP(D183,'2.Bookinglist'!A:CT,12,FALSE)</f>
        <v>PCI2</v>
      </c>
      <c r="R183" s="56" t="str">
        <f>IF(LEFT(K183,2)="22","20'","40'")</f>
        <v>40'</v>
      </c>
      <c r="S183" s="38"/>
      <c r="T183" s="54" t="str">
        <f>VLOOKUP(A183,'1.Loading'!A:R,2,FALSE)</f>
        <v>2026-10-28</v>
      </c>
      <c r="U183" s="57">
        <f>T183-S183</f>
        <v>46323</v>
      </c>
      <c r="V183" s="58"/>
      <c r="W183" s="54" t="str">
        <f>VLOOKUP(A183,'3.GateMove'!A:D,4,FALSE)</f>
        <v>2026-10-23</v>
      </c>
      <c r="X183" s="57">
        <f>((T183-W183)+1)</f>
        <v>6</v>
      </c>
      <c r="Y183" s="59">
        <f>IF(AND(OR(C183="BKK01",C183="BKK04"),L183="CFS/CY"),0,IF(M183="DG",1,IF(LEFT(C183,3)="LCH",7,IF(C183="BKK02",5,3))))</f>
        <v>7</v>
      </c>
      <c r="Z183" s="57">
        <f>IF(IF(AND(AC183="TML",AB183&gt;0),((T183-W183)+1)-AB183,((T183-W183)+1)-Y183)&gt;0,IF(AND(AC183="TML",AB183&gt;0),((T183-W183)+1)-AB183,((T183-W183)+1)-Y183),0)</f>
        <v>0</v>
      </c>
      <c r="AA183" s="48">
        <f>IF(AND(B183="G1",M183=""),IF(R183="20'",
VLOOKUP(Z183,Charge!$K$2:$M$5,2,TRUE)+(Z183-VLOOKUP(Z183,Charge!$K$2:$M$5,1,TRUE))*VLOOKUP(Z183,Charge!$K$2:$M$5,3,TRUE),
VLOOKUP(Z183,Charge!$N$2:$P$5,2,TRUE)+(Z183-VLOOKUP(Z183,Charge!$N$2:$P$5,1,TRUE))*VLOOKUP(Z183,Charge!$N$2:$P$5,3,TRUE)),
IF(AND(B183="G1",M183="DG"),IF(R183="20'",
VLOOKUP(Z183,Charge!$R$2:$T$5,2,TRUE)+(Z183-VLOOKUP(Z183,Charge!$R$2:$T$5,1,TRUE))*VLOOKUP(Z183,Charge!$R$2:$T$5,3,TRUE),
VLOOKUP(Z183,Charge!$U$2:$W$5,2,TRUE)+(Z183-VLOOKUP(Z183,Charge!$U$2:$W$5,1,TRUE))*VLOOKUP(Z183,Charge!$U$2:$W$5,3,TRUE)),
IF(AND(B183="G3",M183=""),IF(R183="20'",
VLOOKUP(Z183,Charge!$K$18:$M$21,2,TRUE)+(Z183-VLOOKUP(Z183,Charge!$K$18:$M$21,1,TRUE))*VLOOKUP(Z183,Charge!$K$18:$M$21,3,TRUE),
VLOOKUP(Z183,Charge!$N$18:$P$21,2,TRUE)+(Z183-VLOOKUP(Z183,Charge!$N$18:$P$21,1,TRUE))*VLOOKUP(Z183,Charge!$N$18:$P$21,3,TRUE)),
IF(AND(B183="G3",M183="DG"),IF(R183="20'",
VLOOKUP(Z183,Charge!$R$18:$T$21,2,TRUE)+(Z183-VLOOKUP(Z183,Charge!$R$18:$T$21,1,TRUE))*VLOOKUP(Z183,Charge!$R$18:$T$21,3,TRUE),
VLOOKUP(Z183,Charge!$U$18:$W$21,2,TRUE)+(Z183-VLOOKUP(Z183,Charge!$U$18:$W$21,1,TRUE))*VLOOKUP(Z183,Charge!$U$18:$W$21,3,TRUE)),
IF(AND(B183="G2",M183=""),IF(R183="20'",
VLOOKUP(Z183,Charge!$K$9:$M$12,2,TRUE)+(Z183-VLOOKUP(Z183,Charge!$K$9:$M$12,1,TRUE))*VLOOKUP(Z183,Charge!$K$9:$M$12,3,TRUE),
VLOOKUP(Z183,Charge!$N$9:$P$12,2,TRUE)+(Z183-VLOOKUP(Z183,Charge!$N$9:$P$12,1,TRUE))*VLOOKUP(Z183,Charge!$N$9:$P$12,3,TRUE)),
IF(AND(B183="G2",M183="DG"),IF(R183="20'",
VLOOKUP(Z183,Charge!$R$9:$T$12,2,TRUE)+(Z183-VLOOKUP(Z183,Charge!$R$9:$T$12,1,TRUE))*VLOOKUP(Z183,Charge!$R$9:$T$12,3,TRUE),
VLOOKUP(Z183,Charge!$U$9:$W$12,2,TRUE)+(Z183-VLOOKUP(Z183,Charge!$U$9:$W$12,1,TRUE))*VLOOKUP(Z183,Charge!$U$9:$W$12,3,TRUE)),IF(AND(B183="G4",M183=""),IF(R183="20'",Z183*Charge!$M$25,Z183*Charge!$P$25),IF(AND(B183="G4",M183="DG"),IF(R183="20'",Z183*Charge!$T$25,Z183*Charge!$W$25),0))))))))</f>
        <v>0</v>
      </c>
      <c r="AB183" s="53"/>
      <c r="AC183" s="53"/>
      <c r="AD183" s="56">
        <f>IF(M183="DG",3,IF(N183="RF",3,5))+IF(AND(LEFT(C183,3)="BKK",N183="RF",Q183="KTS"),1,0)+IF(Q183="KHS",1,0)</f>
        <v>5</v>
      </c>
      <c r="AE183" s="57">
        <f>(T183-V183)+1</f>
        <v>46324</v>
      </c>
      <c r="AF183" s="57">
        <f>IF(AB183&gt;IF((V183-W183)&gt;0,V183-W183,0),0,IF(AB183&lt;IF((V183-W183)&gt;0,V183-W183,0),IF((V183-W183)&gt;0,V183-W183,0)-AB183,IF((V183-W183)&gt;0,V183-W183,0)))</f>
        <v>0</v>
      </c>
      <c r="AG183" s="48">
        <f>IF(AND(M183=""),IF(R183="20'",
VLOOKUP(AF183,Charge!$K$31:$M$34,2,TRUE)+(AF183-VLOOKUP(AF183,Charge!$K$31:$M$34,1,TRUE))*VLOOKUP(AF183,Charge!$K$31:$M$34,3,TRUE),
VLOOKUP(AF183,Charge!$N$31:$P$34,2,TRUE)+(AF183-VLOOKUP(AF183,Charge!$N$31:$P$34,1,TRUE))*VLOOKUP(AF183,Charge!$N$31:$P$34,3,TRUE)),
IF(AND(M183="DG"),IF(R183="20'",
VLOOKUP(AF183,Charge!$R$31:$T$34,2,TRUE)+(AF183-VLOOKUP(AF183,Charge!$R$31:$T$34,1,TRUE))*VLOOKUP(AF183,Charge!$R$31:$T$34,3,TRUE),
VLOOKUP(AF183,Charge!$U$31:$W$34,2,TRUE)+(AF183-VLOOKUP(AF183,Charge!$U$31:$W$34,1,TRUE))*VLOOKUP(AF183,Charge!$U$31:$W$34,3,TRUE)),0))</f>
        <v>0</v>
      </c>
      <c r="AH183" s="60"/>
      <c r="AI183" s="60">
        <f>AA183-AH183</f>
        <v>0</v>
      </c>
      <c r="AJ183" s="61"/>
      <c r="AK183" s="55" t="str">
        <f>VLOOKUP(D183,'2.Bookinglist'!A:CT,40,FALSE)</f>
        <v>Nannaapust Sukporntaweewat</v>
      </c>
      <c r="AL183" s="56" t="str">
        <f>VLOOKUP(D183,'2.Bookinglist'!A:CW,101,FALSE)</f>
        <v>2026-10-22</v>
      </c>
      <c r="AM183" s="56" t="str">
        <f>VLOOKUP(D183,'2.Bookinglist'!A:BK,63,FALSE)</f>
        <v>BKK27</v>
      </c>
      <c r="AN183" s="55" t="str">
        <f>VLOOKUP(D183,'2.Bookinglist'!A:AZ,52,FALSE)</f>
        <v>Pickup : 2026-10-12, Return : 2026-10-14 [PAPERLESS CODE : 2829]
 CLS TIME 19/10 @12.00 [1ST RTN 16/10 W/O RENT] 
 </v>
      </c>
      <c r="AO183" s="55">
        <f>VLOOKUP(D183,'2.Bookinglist'!A:CY,103,FALSE)</f>
        <v>0</v>
      </c>
    </row>
    <row r="184" ht="12.95" customHeight="1" spans="1:41" x14ac:dyDescent="0.25">
      <c r="A184" s="3" t="s">
        <v>215</v>
      </c>
      <c r="B184" s="53" t="str">
        <f>IF(C184=Charge!$M$1,Charge!$J$1,IF(C184=Charge!$M$23,Charge!$J$23,IF(C184=Charge!$M$17,Charge!$J$17,IF(C184=Charge!$N$17,Charge!$J$17,Charge!$J$7))))</f>
        <v>G2</v>
      </c>
      <c r="C184" s="54" t="str">
        <f>VLOOKUP(A184,'1.Loading'!A:R,14,FALSE)</f>
        <v>LCH06</v>
      </c>
      <c r="D184" s="54" t="str">
        <f>VLOOKUP(A184,'1.Loading'!A:R,17,FALSE)</f>
        <v>HASLS22260900442</v>
      </c>
      <c r="E184" s="55" t="str">
        <f>VLOOKUP(D184,'2.Bookinglist'!A:CT,27,FALSE)</f>
        <v>BARKLAYS LOGISTICS (THAILAND) CO., LTD.</v>
      </c>
      <c r="F184" s="55" t="str">
        <f>VLOOKUP(D184,'2.Bookinglist'!A:CT,28,FALSE)</f>
        <v>SHUN YI INTERNATIONAL TRADING CO., LTD.</v>
      </c>
      <c r="G184" s="56">
        <f>VLOOKUP(D184,'2.Bookinglist'!A:E,5,FALSE)</f>
        <v>0</v>
      </c>
      <c r="H184" s="54" t="str">
        <f>VLOOKUP(D184,'2.Bookinglist'!A:CT,15,FALSE)</f>
        <v>THLCH</v>
      </c>
      <c r="I184" s="54" t="str">
        <f>VLOOKUP(D184,'2.Bookinglist'!A:CT,19,FALSE)</f>
        <v>CNSHA</v>
      </c>
      <c r="J184" s="54">
        <f>VLOOKUP(D184,'2.Bookinglist'!A:CT,26,FALSE)</f>
        <v>0</v>
      </c>
      <c r="K184" s="54" t="str">
        <f>VLOOKUP(A184,'1.Loading'!A:R,5,FALSE)</f>
        <v>45GP</v>
      </c>
      <c r="L184" s="56" t="str">
        <f>VLOOKUP(D184,'2.Bookinglist'!A:CT,85,FALSE)</f>
        <v>CY/CY</v>
      </c>
      <c r="M184" s="56" t="str">
        <f>IF(VLOOKUP(D184,'2.Bookinglist'!A:CT,43,FALSE)=0,"","DG")</f>
        <v/>
      </c>
      <c r="N184" s="56" t="str">
        <f>IF(RIGHT(K184,2)="RE","RF","")</f>
        <v/>
      </c>
      <c r="O184" s="54" t="str">
        <f>VLOOKUP(A184,'1.Loading'!A:R,3,FALSE)</f>
        <v>HMVY</v>
      </c>
      <c r="P184" s="54" t="str">
        <f>VLOOKUP(A184,'1.Loading'!A:R,4,FALSE)</f>
        <v>2609N</v>
      </c>
      <c r="Q184" s="54" t="str">
        <f>VLOOKUP(D184,'2.Bookinglist'!A:CT,12,FALSE)</f>
        <v>PCI2</v>
      </c>
      <c r="R184" s="56" t="str">
        <f>IF(LEFT(K184,2)="22","20'","40'")</f>
        <v>40'</v>
      </c>
      <c r="S184" s="38"/>
      <c r="T184" s="54" t="str">
        <f>VLOOKUP(A184,'1.Loading'!A:R,2,FALSE)</f>
        <v>2026-10-28</v>
      </c>
      <c r="U184" s="57">
        <f>T184-S184</f>
        <v>46323</v>
      </c>
      <c r="V184" s="58"/>
      <c r="W184" s="54" t="str">
        <f>VLOOKUP(A184,'3.GateMove'!A:D,4,FALSE)</f>
        <v>2026-10-04</v>
      </c>
      <c r="X184" s="57">
        <f>((T184-W184)+1)</f>
        <v>25</v>
      </c>
      <c r="Y184" s="59">
        <f>IF(AND(OR(C184="BKK01",C184="BKK04"),L184="CFS/CY"),0,IF(M184="DG",1,IF(LEFT(C184,3)="LCH",7,IF(C184="BKK02",5,3))))</f>
        <v>7</v>
      </c>
      <c r="Z184" s="57">
        <f>IF(IF(AND(AC184="TML",AB184&gt;0),((T184-W184)+1)-AB184,((T184-W184)+1)-Y184)&gt;0,IF(AND(AC184="TML",AB184&gt;0),((T184-W184)+1)-AB184,((T184-W184)+1)-Y184),0)</f>
        <v>18</v>
      </c>
      <c r="AA184" s="48">
        <f>IF(AND(B184="G1",M184=""),IF(R184="20'",
VLOOKUP(Z184,Charge!$K$2:$M$5,2,TRUE)+(Z184-VLOOKUP(Z184,Charge!$K$2:$M$5,1,TRUE))*VLOOKUP(Z184,Charge!$K$2:$M$5,3,TRUE),
VLOOKUP(Z184,Charge!$N$2:$P$5,2,TRUE)+(Z184-VLOOKUP(Z184,Charge!$N$2:$P$5,1,TRUE))*VLOOKUP(Z184,Charge!$N$2:$P$5,3,TRUE)),
IF(AND(B184="G1",M184="DG"),IF(R184="20'",
VLOOKUP(Z184,Charge!$R$2:$T$5,2,TRUE)+(Z184-VLOOKUP(Z184,Charge!$R$2:$T$5,1,TRUE))*VLOOKUP(Z184,Charge!$R$2:$T$5,3,TRUE),
VLOOKUP(Z184,Charge!$U$2:$W$5,2,TRUE)+(Z184-VLOOKUP(Z184,Charge!$U$2:$W$5,1,TRUE))*VLOOKUP(Z184,Charge!$U$2:$W$5,3,TRUE)),
IF(AND(B184="G3",M184=""),IF(R184="20'",
VLOOKUP(Z184,Charge!$K$18:$M$21,2,TRUE)+(Z184-VLOOKUP(Z184,Charge!$K$18:$M$21,1,TRUE))*VLOOKUP(Z184,Charge!$K$18:$M$21,3,TRUE),
VLOOKUP(Z184,Charge!$N$18:$P$21,2,TRUE)+(Z184-VLOOKUP(Z184,Charge!$N$18:$P$21,1,TRUE))*VLOOKUP(Z184,Charge!$N$18:$P$21,3,TRUE)),
IF(AND(B184="G3",M184="DG"),IF(R184="20'",
VLOOKUP(Z184,Charge!$R$18:$T$21,2,TRUE)+(Z184-VLOOKUP(Z184,Charge!$R$18:$T$21,1,TRUE))*VLOOKUP(Z184,Charge!$R$18:$T$21,3,TRUE),
VLOOKUP(Z184,Charge!$U$18:$W$21,2,TRUE)+(Z184-VLOOKUP(Z184,Charge!$U$18:$W$21,1,TRUE))*VLOOKUP(Z184,Charge!$U$18:$W$21,3,TRUE)),
IF(AND(B184="G2",M184=""),IF(R184="20'",
VLOOKUP(Z184,Charge!$K$9:$M$12,2,TRUE)+(Z184-VLOOKUP(Z184,Charge!$K$9:$M$12,1,TRUE))*VLOOKUP(Z184,Charge!$K$9:$M$12,3,TRUE),
VLOOKUP(Z184,Charge!$N$9:$P$12,2,TRUE)+(Z184-VLOOKUP(Z184,Charge!$N$9:$P$12,1,TRUE))*VLOOKUP(Z184,Charge!$N$9:$P$12,3,TRUE)),
IF(AND(B184="G2",M184="DG"),IF(R184="20'",
VLOOKUP(Z184,Charge!$R$9:$T$12,2,TRUE)+(Z184-VLOOKUP(Z184,Charge!$R$9:$T$12,1,TRUE))*VLOOKUP(Z184,Charge!$R$9:$T$12,3,TRUE),
VLOOKUP(Z184,Charge!$U$9:$W$12,2,TRUE)+(Z184-VLOOKUP(Z184,Charge!$U$9:$W$12,1,TRUE))*VLOOKUP(Z184,Charge!$U$9:$W$12,3,TRUE)),IF(AND(B184="G4",M184=""),IF(R184="20'",Z184*Charge!$M$25,Z184*Charge!$P$25),IF(AND(B184="G4",M184="DG"),IF(R184="20'",Z184*Charge!$T$25,Z184*Charge!$W$25),0))))))))</f>
        <v>8450</v>
      </c>
      <c r="AB184" s="53"/>
      <c r="AC184" s="53"/>
      <c r="AD184" s="56">
        <f>IF(M184="DG",3,IF(N184="RF",3,5))+IF(AND(LEFT(C184,3)="BKK",N184="RF",Q184="KTS"),1,0)+IF(Q184="KHS",1,0)</f>
        <v>5</v>
      </c>
      <c r="AE184" s="57">
        <f>(T184-V184)+1</f>
        <v>46324</v>
      </c>
      <c r="AF184" s="57">
        <f>IF(AB184&gt;IF((V184-W184)&gt;0,V184-W184,0),0,IF(AB184&lt;IF((V184-W184)&gt;0,V184-W184,0),IF((V184-W184)&gt;0,V184-W184,0)-AB184,IF((V184-W184)&gt;0,V184-W184,0)))</f>
        <v>0</v>
      </c>
      <c r="AG184" s="48">
        <f>IF(AND(M184=""),IF(R184="20'",
VLOOKUP(AF184,Charge!$K$31:$M$34,2,TRUE)+(AF184-VLOOKUP(AF184,Charge!$K$31:$M$34,1,TRUE))*VLOOKUP(AF184,Charge!$K$31:$M$34,3,TRUE),
VLOOKUP(AF184,Charge!$N$31:$P$34,2,TRUE)+(AF184-VLOOKUP(AF184,Charge!$N$31:$P$34,1,TRUE))*VLOOKUP(AF184,Charge!$N$31:$P$34,3,TRUE)),
IF(AND(M184="DG"),IF(R184="20'",
VLOOKUP(AF184,Charge!$R$31:$T$34,2,TRUE)+(AF184-VLOOKUP(AF184,Charge!$R$31:$T$34,1,TRUE))*VLOOKUP(AF184,Charge!$R$31:$T$34,3,TRUE),
VLOOKUP(AF184,Charge!$U$31:$W$34,2,TRUE)+(AF184-VLOOKUP(AF184,Charge!$U$31:$W$34,1,TRUE))*VLOOKUP(AF184,Charge!$U$31:$W$34,3,TRUE)),0))</f>
        <v>0</v>
      </c>
      <c r="AH184" s="60"/>
      <c r="AI184" s="60">
        <f>AA184-AH184</f>
        <v>8450</v>
      </c>
      <c r="AJ184" s="61"/>
      <c r="AK184" s="55" t="str">
        <f>VLOOKUP(D184,'2.Bookinglist'!A:CT,40,FALSE)</f>
        <v>Nannaapust Sukporntaweewat</v>
      </c>
      <c r="AL184" s="56" t="str">
        <f>VLOOKUP(D184,'2.Bookinglist'!A:CW,101,FALSE)</f>
        <v>2026-10-22</v>
      </c>
      <c r="AM184" s="56" t="str">
        <f>VLOOKUP(D184,'2.Bookinglist'!A:BK,63,FALSE)</f>
        <v>LCHY5</v>
      </c>
      <c r="AN184" s="55" t="str">
        <f>VLOOKUP(D184,'2.Bookinglist'!A:AZ,52,FALSE)</f>
        <v>Pickup : 2026-10-02, Return : 2026-10-04 *1ST RETURN CNTR DD.08/10/2026*</v>
      </c>
      <c r="AO184" s="55" t="str">
        <f>VLOOKUP(D184,'2.Bookinglist'!A:CY,103,FALSE)</f>
        <v>ROLL OVER FROM PREVIOUS VSL SWRG 2609N BY ALLOCATION TEAM MS.TAN APPROVED COST IS UNDER HA DD.09/10</v>
      </c>
    </row>
    <row r="185" ht="12.95" customHeight="1" spans="1:41" x14ac:dyDescent="0.25">
      <c r="A185" s="3" t="s">
        <v>199</v>
      </c>
      <c r="B185" s="53" t="str">
        <f>IF(C185=Charge!$M$1,Charge!$J$1,IF(C185=Charge!$M$23,Charge!$J$23,IF(C185=Charge!$M$17,Charge!$J$17,IF(C185=Charge!$N$17,Charge!$J$17,Charge!$J$7))))</f>
        <v>G2</v>
      </c>
      <c r="C185" s="54" t="str">
        <f>VLOOKUP(A185,'1.Loading'!A:R,14,FALSE)</f>
        <v>LCH06</v>
      </c>
      <c r="D185" s="54" t="str">
        <f>VLOOKUP(A185,'1.Loading'!A:R,17,FALSE)</f>
        <v>HASLS22261001079</v>
      </c>
      <c r="E185" s="55" t="str">
        <f>VLOOKUP(D185,'2.Bookinglist'!A:CT,27,FALSE)</f>
        <v>CARGO NETWORK DELIVERY (THAILAND) CO., LTD.</v>
      </c>
      <c r="F185" s="55" t="str">
        <f>VLOOKUP(D185,'2.Bookinglist'!A:CT,28,FALSE)</f>
        <v>DOCKWEILER ASIA CO., LTD.</v>
      </c>
      <c r="G185" s="56" t="str">
        <f>VLOOKUP(D185,'2.Bookinglist'!A:E,5,FALSE)</f>
        <v>THSRP</v>
      </c>
      <c r="H185" s="54" t="str">
        <f>VLOOKUP(D185,'2.Bookinglist'!A:CT,15,FALSE)</f>
        <v>THLCH</v>
      </c>
      <c r="I185" s="54" t="str">
        <f>VLOOKUP(D185,'2.Bookinglist'!A:CT,19,FALSE)</f>
        <v>CNSHA</v>
      </c>
      <c r="J185" s="54">
        <f>VLOOKUP(D185,'2.Bookinglist'!A:CT,26,FALSE)</f>
        <v>0</v>
      </c>
      <c r="K185" s="54" t="str">
        <f>VLOOKUP(A185,'1.Loading'!A:R,5,FALSE)</f>
        <v>45GP</v>
      </c>
      <c r="L185" s="56" t="str">
        <f>VLOOKUP(D185,'2.Bookinglist'!A:CT,85,FALSE)</f>
        <v>CY/CY</v>
      </c>
      <c r="M185" s="56" t="str">
        <f>IF(VLOOKUP(D185,'2.Bookinglist'!A:CT,43,FALSE)=0,"","DG")</f>
        <v/>
      </c>
      <c r="N185" s="56" t="str">
        <f>IF(RIGHT(K185,2)="RE","RF","")</f>
        <v/>
      </c>
      <c r="O185" s="54" t="str">
        <f>VLOOKUP(A185,'1.Loading'!A:R,3,FALSE)</f>
        <v>HMVY</v>
      </c>
      <c r="P185" s="54" t="str">
        <f>VLOOKUP(A185,'1.Loading'!A:R,4,FALSE)</f>
        <v>2609N</v>
      </c>
      <c r="Q185" s="54" t="str">
        <f>VLOOKUP(D185,'2.Bookinglist'!A:CT,12,FALSE)</f>
        <v>PCI2</v>
      </c>
      <c r="R185" s="56" t="str">
        <f>IF(LEFT(K185,2)="22","20'","40'")</f>
        <v>40'</v>
      </c>
      <c r="S185" s="38"/>
      <c r="T185" s="54" t="str">
        <f>VLOOKUP(A185,'1.Loading'!A:R,2,FALSE)</f>
        <v>2026-10-28</v>
      </c>
      <c r="U185" s="57">
        <f>T185-S185</f>
        <v>46323</v>
      </c>
      <c r="V185" s="58"/>
      <c r="W185" s="54" t="str">
        <f>VLOOKUP(A185,'3.GateMove'!A:D,4,FALSE)</f>
        <v>2026-10-24</v>
      </c>
      <c r="X185" s="57">
        <f>((T185-W185)+1)</f>
        <v>5</v>
      </c>
      <c r="Y185" s="59">
        <f>IF(AND(OR(C185="BKK01",C185="BKK04"),L185="CFS/CY"),0,IF(M185="DG",1,IF(LEFT(C185,3)="LCH",7,IF(C185="BKK02",5,3))))</f>
        <v>7</v>
      </c>
      <c r="Z185" s="57">
        <f>IF(IF(AND(AC185="TML",AB185&gt;0),((T185-W185)+1)-AB185,((T185-W185)+1)-Y185)&gt;0,IF(AND(AC185="TML",AB185&gt;0),((T185-W185)+1)-AB185,((T185-W185)+1)-Y185),0)</f>
        <v>0</v>
      </c>
      <c r="AA185" s="48">
        <f>IF(AND(B185="G1",M185=""),IF(R185="20'",
VLOOKUP(Z185,Charge!$K$2:$M$5,2,TRUE)+(Z185-VLOOKUP(Z185,Charge!$K$2:$M$5,1,TRUE))*VLOOKUP(Z185,Charge!$K$2:$M$5,3,TRUE),
VLOOKUP(Z185,Charge!$N$2:$P$5,2,TRUE)+(Z185-VLOOKUP(Z185,Charge!$N$2:$P$5,1,TRUE))*VLOOKUP(Z185,Charge!$N$2:$P$5,3,TRUE)),
IF(AND(B185="G1",M185="DG"),IF(R185="20'",
VLOOKUP(Z185,Charge!$R$2:$T$5,2,TRUE)+(Z185-VLOOKUP(Z185,Charge!$R$2:$T$5,1,TRUE))*VLOOKUP(Z185,Charge!$R$2:$T$5,3,TRUE),
VLOOKUP(Z185,Charge!$U$2:$W$5,2,TRUE)+(Z185-VLOOKUP(Z185,Charge!$U$2:$W$5,1,TRUE))*VLOOKUP(Z185,Charge!$U$2:$W$5,3,TRUE)),
IF(AND(B185="G3",M185=""),IF(R185="20'",
VLOOKUP(Z185,Charge!$K$18:$M$21,2,TRUE)+(Z185-VLOOKUP(Z185,Charge!$K$18:$M$21,1,TRUE))*VLOOKUP(Z185,Charge!$K$18:$M$21,3,TRUE),
VLOOKUP(Z185,Charge!$N$18:$P$21,2,TRUE)+(Z185-VLOOKUP(Z185,Charge!$N$18:$P$21,1,TRUE))*VLOOKUP(Z185,Charge!$N$18:$P$21,3,TRUE)),
IF(AND(B185="G3",M185="DG"),IF(R185="20'",
VLOOKUP(Z185,Charge!$R$18:$T$21,2,TRUE)+(Z185-VLOOKUP(Z185,Charge!$R$18:$T$21,1,TRUE))*VLOOKUP(Z185,Charge!$R$18:$T$21,3,TRUE),
VLOOKUP(Z185,Charge!$U$18:$W$21,2,TRUE)+(Z185-VLOOKUP(Z185,Charge!$U$18:$W$21,1,TRUE))*VLOOKUP(Z185,Charge!$U$18:$W$21,3,TRUE)),
IF(AND(B185="G2",M185=""),IF(R185="20'",
VLOOKUP(Z185,Charge!$K$9:$M$12,2,TRUE)+(Z185-VLOOKUP(Z185,Charge!$K$9:$M$12,1,TRUE))*VLOOKUP(Z185,Charge!$K$9:$M$12,3,TRUE),
VLOOKUP(Z185,Charge!$N$9:$P$12,2,TRUE)+(Z185-VLOOKUP(Z185,Charge!$N$9:$P$12,1,TRUE))*VLOOKUP(Z185,Charge!$N$9:$P$12,3,TRUE)),
IF(AND(B185="G2",M185="DG"),IF(R185="20'",
VLOOKUP(Z185,Charge!$R$9:$T$12,2,TRUE)+(Z185-VLOOKUP(Z185,Charge!$R$9:$T$12,1,TRUE))*VLOOKUP(Z185,Charge!$R$9:$T$12,3,TRUE),
VLOOKUP(Z185,Charge!$U$9:$W$12,2,TRUE)+(Z185-VLOOKUP(Z185,Charge!$U$9:$W$12,1,TRUE))*VLOOKUP(Z185,Charge!$U$9:$W$12,3,TRUE)),IF(AND(B185="G4",M185=""),IF(R185="20'",Z185*Charge!$M$25,Z185*Charge!$P$25),IF(AND(B185="G4",M185="DG"),IF(R185="20'",Z185*Charge!$T$25,Z185*Charge!$W$25),0))))))))</f>
        <v>0</v>
      </c>
      <c r="AB185" s="53"/>
      <c r="AC185" s="53"/>
      <c r="AD185" s="56">
        <f>IF(M185="DG",3,IF(N185="RF",3,5))+IF(AND(LEFT(C185,3)="BKK",N185="RF",Q185="KTS"),1,0)+IF(Q185="KHS",1,0)</f>
        <v>5</v>
      </c>
      <c r="AE185" s="57">
        <f>(T185-V185)+1</f>
        <v>46324</v>
      </c>
      <c r="AF185" s="57">
        <f>IF(AB185&gt;IF((V185-W185)&gt;0,V185-W185,0),0,IF(AB185&lt;IF((V185-W185)&gt;0,V185-W185,0),IF((V185-W185)&gt;0,V185-W185,0)-AB185,IF((V185-W185)&gt;0,V185-W185,0)))</f>
        <v>0</v>
      </c>
      <c r="AG185" s="48">
        <f>IF(AND(M185=""),IF(R185="20'",
VLOOKUP(AF185,Charge!$K$31:$M$34,2,TRUE)+(AF185-VLOOKUP(AF185,Charge!$K$31:$M$34,1,TRUE))*VLOOKUP(AF185,Charge!$K$31:$M$34,3,TRUE),
VLOOKUP(AF185,Charge!$N$31:$P$34,2,TRUE)+(AF185-VLOOKUP(AF185,Charge!$N$31:$P$34,1,TRUE))*VLOOKUP(AF185,Charge!$N$31:$P$34,3,TRUE)),
IF(AND(M185="DG"),IF(R185="20'",
VLOOKUP(AF185,Charge!$R$31:$T$34,2,TRUE)+(AF185-VLOOKUP(AF185,Charge!$R$31:$T$34,1,TRUE))*VLOOKUP(AF185,Charge!$R$31:$T$34,3,TRUE),
VLOOKUP(AF185,Charge!$U$31:$W$34,2,TRUE)+(AF185-VLOOKUP(AF185,Charge!$U$31:$W$34,1,TRUE))*VLOOKUP(AF185,Charge!$U$31:$W$34,3,TRUE)),0))</f>
        <v>0</v>
      </c>
      <c r="AH185" s="60"/>
      <c r="AI185" s="60">
        <f>AA185-AH185</f>
        <v>0</v>
      </c>
      <c r="AJ185" s="61"/>
      <c r="AK185" s="55" t="str">
        <f>VLOOKUP(D185,'2.Bookinglist'!A:CT,40,FALSE)</f>
        <v>Nustsireerach</v>
      </c>
      <c r="AL185" s="56" t="str">
        <f>VLOOKUP(D185,'2.Bookinglist'!A:CW,101,FALSE)</f>
        <v>2026-10-27</v>
      </c>
      <c r="AM185" s="56" t="str">
        <f>VLOOKUP(D185,'2.Bookinglist'!A:BK,63,FALSE)</f>
        <v>BKK27</v>
      </c>
      <c r="AN185" s="55" t="str">
        <f>VLOOKUP(D185,'2.Bookinglist'!A:AZ,52,FALSE)</f>
        <v>Pickup : 2026-10-20, Return SRP : 2026-10-21 [PAPERLESS CODE 2829]
CLS TIME 24/10/26 @18.00 (1ST RTN DD: 21/10/26 WO/RENT)</v>
      </c>
      <c r="AO185" s="55">
        <f>VLOOKUP(D185,'2.Bookinglist'!A:CY,103,FALSE)</f>
        <v>0</v>
      </c>
    </row>
    <row r="186" ht="12.95" customHeight="1" spans="1:41" x14ac:dyDescent="0.25">
      <c r="A186" s="3" t="s">
        <v>124</v>
      </c>
      <c r="B186" s="53" t="str">
        <f>IF(C186=Charge!$M$1,Charge!$J$1,IF(C186=Charge!$M$23,Charge!$J$23,IF(C186=Charge!$M$17,Charge!$J$17,IF(C186=Charge!$N$17,Charge!$J$17,Charge!$J$7))))</f>
        <v>G2</v>
      </c>
      <c r="C186" s="54" t="str">
        <f>VLOOKUP(A186,'1.Loading'!A:R,14,FALSE)</f>
        <v>LCH06</v>
      </c>
      <c r="D186" s="54" t="str">
        <f>VLOOKUP(A186,'1.Loading'!A:R,17,FALSE)</f>
        <v>HASLS22261001671</v>
      </c>
      <c r="E186" s="55" t="str">
        <f>VLOOKUP(D186,'2.Bookinglist'!A:CT,27,FALSE)</f>
        <v>V SMART NETWORK CO., LTD.</v>
      </c>
      <c r="F186" s="55" t="str">
        <f>VLOOKUP(D186,'2.Bookinglist'!A:CT,28,FALSE)</f>
        <v>ZIEHL-ABEGG (THAILAND) LTD.</v>
      </c>
      <c r="G186" s="56">
        <f>VLOOKUP(D186,'2.Bookinglist'!A:E,5,FALSE)</f>
        <v>0</v>
      </c>
      <c r="H186" s="54" t="str">
        <f>VLOOKUP(D186,'2.Bookinglist'!A:CT,15,FALSE)</f>
        <v>THLCH</v>
      </c>
      <c r="I186" s="54" t="str">
        <f>VLOOKUP(D186,'2.Bookinglist'!A:CT,19,FALSE)</f>
        <v>CNSHA</v>
      </c>
      <c r="J186" s="54">
        <f>VLOOKUP(D186,'2.Bookinglist'!A:CT,26,FALSE)</f>
        <v>0</v>
      </c>
      <c r="K186" s="54" t="str">
        <f>VLOOKUP(A186,'1.Loading'!A:R,5,FALSE)</f>
        <v>45GP</v>
      </c>
      <c r="L186" s="56" t="str">
        <f>VLOOKUP(D186,'2.Bookinglist'!A:CT,85,FALSE)</f>
        <v>CY/CY</v>
      </c>
      <c r="M186" s="56" t="str">
        <f>IF(VLOOKUP(D186,'2.Bookinglist'!A:CT,43,FALSE)=0,"","DG")</f>
        <v/>
      </c>
      <c r="N186" s="56" t="str">
        <f>IF(RIGHT(K186,2)="RE","RF","")</f>
        <v/>
      </c>
      <c r="O186" s="54" t="str">
        <f>VLOOKUP(A186,'1.Loading'!A:R,3,FALSE)</f>
        <v>HMVY</v>
      </c>
      <c r="P186" s="54" t="str">
        <f>VLOOKUP(A186,'1.Loading'!A:R,4,FALSE)</f>
        <v>2609N</v>
      </c>
      <c r="Q186" s="54" t="str">
        <f>VLOOKUP(D186,'2.Bookinglist'!A:CT,12,FALSE)</f>
        <v>PCI2</v>
      </c>
      <c r="R186" s="56" t="str">
        <f>IF(LEFT(K186,2)="22","20'","40'")</f>
        <v>40'</v>
      </c>
      <c r="S186" s="38"/>
      <c r="T186" s="54" t="str">
        <f>VLOOKUP(A186,'1.Loading'!A:R,2,FALSE)</f>
        <v>2026-10-28</v>
      </c>
      <c r="U186" s="57">
        <f>T186-S186</f>
        <v>46323</v>
      </c>
      <c r="V186" s="58"/>
      <c r="W186" s="54" t="str">
        <f>VLOOKUP(A186,'3.GateMove'!A:D,4,FALSE)</f>
        <v>2026-10-26</v>
      </c>
      <c r="X186" s="57">
        <f>((T186-W186)+1)</f>
        <v>3</v>
      </c>
      <c r="Y186" s="59">
        <f>IF(AND(OR(C186="BKK01",C186="BKK04"),L186="CFS/CY"),0,IF(M186="DG",1,IF(LEFT(C186,3)="LCH",7,IF(C186="BKK02",5,3))))</f>
        <v>7</v>
      </c>
      <c r="Z186" s="57">
        <f>IF(IF(AND(AC186="TML",AB186&gt;0),((T186-W186)+1)-AB186,((T186-W186)+1)-Y186)&gt;0,IF(AND(AC186="TML",AB186&gt;0),((T186-W186)+1)-AB186,((T186-W186)+1)-Y186),0)</f>
        <v>0</v>
      </c>
      <c r="AA186" s="48">
        <f>IF(AND(B186="G1",M186=""),IF(R186="20'",
VLOOKUP(Z186,Charge!$K$2:$M$5,2,TRUE)+(Z186-VLOOKUP(Z186,Charge!$K$2:$M$5,1,TRUE))*VLOOKUP(Z186,Charge!$K$2:$M$5,3,TRUE),
VLOOKUP(Z186,Charge!$N$2:$P$5,2,TRUE)+(Z186-VLOOKUP(Z186,Charge!$N$2:$P$5,1,TRUE))*VLOOKUP(Z186,Charge!$N$2:$P$5,3,TRUE)),
IF(AND(B186="G1",M186="DG"),IF(R186="20'",
VLOOKUP(Z186,Charge!$R$2:$T$5,2,TRUE)+(Z186-VLOOKUP(Z186,Charge!$R$2:$T$5,1,TRUE))*VLOOKUP(Z186,Charge!$R$2:$T$5,3,TRUE),
VLOOKUP(Z186,Charge!$U$2:$W$5,2,TRUE)+(Z186-VLOOKUP(Z186,Charge!$U$2:$W$5,1,TRUE))*VLOOKUP(Z186,Charge!$U$2:$W$5,3,TRUE)),
IF(AND(B186="G3",M186=""),IF(R186="20'",
VLOOKUP(Z186,Charge!$K$18:$M$21,2,TRUE)+(Z186-VLOOKUP(Z186,Charge!$K$18:$M$21,1,TRUE))*VLOOKUP(Z186,Charge!$K$18:$M$21,3,TRUE),
VLOOKUP(Z186,Charge!$N$18:$P$21,2,TRUE)+(Z186-VLOOKUP(Z186,Charge!$N$18:$P$21,1,TRUE))*VLOOKUP(Z186,Charge!$N$18:$P$21,3,TRUE)),
IF(AND(B186="G3",M186="DG"),IF(R186="20'",
VLOOKUP(Z186,Charge!$R$18:$T$21,2,TRUE)+(Z186-VLOOKUP(Z186,Charge!$R$18:$T$21,1,TRUE))*VLOOKUP(Z186,Charge!$R$18:$T$21,3,TRUE),
VLOOKUP(Z186,Charge!$U$18:$W$21,2,TRUE)+(Z186-VLOOKUP(Z186,Charge!$U$18:$W$21,1,TRUE))*VLOOKUP(Z186,Charge!$U$18:$W$21,3,TRUE)),
IF(AND(B186="G2",M186=""),IF(R186="20'",
VLOOKUP(Z186,Charge!$K$9:$M$12,2,TRUE)+(Z186-VLOOKUP(Z186,Charge!$K$9:$M$12,1,TRUE))*VLOOKUP(Z186,Charge!$K$9:$M$12,3,TRUE),
VLOOKUP(Z186,Charge!$N$9:$P$12,2,TRUE)+(Z186-VLOOKUP(Z186,Charge!$N$9:$P$12,1,TRUE))*VLOOKUP(Z186,Charge!$N$9:$P$12,3,TRUE)),
IF(AND(B186="G2",M186="DG"),IF(R186="20'",
VLOOKUP(Z186,Charge!$R$9:$T$12,2,TRUE)+(Z186-VLOOKUP(Z186,Charge!$R$9:$T$12,1,TRUE))*VLOOKUP(Z186,Charge!$R$9:$T$12,3,TRUE),
VLOOKUP(Z186,Charge!$U$9:$W$12,2,TRUE)+(Z186-VLOOKUP(Z186,Charge!$U$9:$W$12,1,TRUE))*VLOOKUP(Z186,Charge!$U$9:$W$12,3,TRUE)),IF(AND(B186="G4",M186=""),IF(R186="20'",Z186*Charge!$M$25,Z186*Charge!$P$25),IF(AND(B186="G4",M186="DG"),IF(R186="20'",Z186*Charge!$T$25,Z186*Charge!$W$25),0))))))))</f>
        <v>0</v>
      </c>
      <c r="AB186" s="53"/>
      <c r="AC186" s="53"/>
      <c r="AD186" s="56">
        <f>IF(M186="DG",3,IF(N186="RF",3,5))+IF(AND(LEFT(C186,3)="BKK",N186="RF",Q186="KTS"),1,0)+IF(Q186="KHS",1,0)</f>
        <v>5</v>
      </c>
      <c r="AE186" s="57">
        <f>(T186-V186)+1</f>
        <v>46324</v>
      </c>
      <c r="AF186" s="57">
        <f>IF(AB186&gt;IF((V186-W186)&gt;0,V186-W186,0),0,IF(AB186&lt;IF((V186-W186)&gt;0,V186-W186,0),IF((V186-W186)&gt;0,V186-W186,0)-AB186,IF((V186-W186)&gt;0,V186-W186,0)))</f>
        <v>0</v>
      </c>
      <c r="AG186" s="48">
        <f>IF(AND(M186=""),IF(R186="20'",
VLOOKUP(AF186,Charge!$K$31:$M$34,2,TRUE)+(AF186-VLOOKUP(AF186,Charge!$K$31:$M$34,1,TRUE))*VLOOKUP(AF186,Charge!$K$31:$M$34,3,TRUE),
VLOOKUP(AF186,Charge!$N$31:$P$34,2,TRUE)+(AF186-VLOOKUP(AF186,Charge!$N$31:$P$34,1,TRUE))*VLOOKUP(AF186,Charge!$N$31:$P$34,3,TRUE)),
IF(AND(M186="DG"),IF(R186="20'",
VLOOKUP(AF186,Charge!$R$31:$T$34,2,TRUE)+(AF186-VLOOKUP(AF186,Charge!$R$31:$T$34,1,TRUE))*VLOOKUP(AF186,Charge!$R$31:$T$34,3,TRUE),
VLOOKUP(AF186,Charge!$U$31:$W$34,2,TRUE)+(AF186-VLOOKUP(AF186,Charge!$U$31:$W$34,1,TRUE))*VLOOKUP(AF186,Charge!$U$31:$W$34,3,TRUE)),0))</f>
        <v>0</v>
      </c>
      <c r="AH186" s="60"/>
      <c r="AI186" s="60">
        <f>AA186-AH186</f>
        <v>0</v>
      </c>
      <c r="AJ186" s="61"/>
      <c r="AK186" s="55" t="str">
        <f>VLOOKUP(D186,'2.Bookinglist'!A:CT,40,FALSE)</f>
        <v>Nannaapust Sukporntaweewat</v>
      </c>
      <c r="AL186" s="56" t="str">
        <f>VLOOKUP(D186,'2.Bookinglist'!A:CW,101,FALSE)</f>
        <v>2026-10-28</v>
      </c>
      <c r="AM186" s="56" t="str">
        <f>VLOOKUP(D186,'2.Bookinglist'!A:BK,63,FALSE)</f>
        <v>LCHY5</v>
      </c>
      <c r="AN186" s="55" t="str">
        <f>VLOOKUP(D186,'2.Bookinglist'!A:AZ,52,FALSE)</f>
        <v>Pickup : 2026-10-26, Return : 2026-10-26</v>
      </c>
      <c r="AO186" s="55" t="str">
        <f>VLOOKUP(D186,'2.Bookinglist'!A:CY,103,FALSE)</f>
        <v>ROLL OVER FROM PREVIOUS VSL HAB 2612N BY ALLOCATION TEAM MS.TAN APPROVED COST IS UNDER HA DD.26/10</v>
      </c>
    </row>
    <row r="187" ht="12.95" customHeight="1" spans="1:41" x14ac:dyDescent="0.25">
      <c r="A187" s="3" t="s">
        <v>145</v>
      </c>
      <c r="B187" s="53" t="str">
        <f>IF(C187=Charge!$M$1,Charge!$J$1,IF(C187=Charge!$M$23,Charge!$J$23,IF(C187=Charge!$M$17,Charge!$J$17,IF(C187=Charge!$N$17,Charge!$J$17,Charge!$J$7))))</f>
        <v>G2</v>
      </c>
      <c r="C187" s="54" t="str">
        <f>VLOOKUP(A187,'1.Loading'!A:R,14,FALSE)</f>
        <v>LCH06</v>
      </c>
      <c r="D187" s="54" t="str">
        <f>VLOOKUP(A187,'1.Loading'!A:R,17,FALSE)</f>
        <v>HASLS22261000285</v>
      </c>
      <c r="E187" s="55" t="str">
        <f>VLOOKUP(D187,'2.Bookinglist'!A:CT,27,FALSE)</f>
        <v>AGC VINYTHAI PUBLIC COMPANY LIMITED</v>
      </c>
      <c r="F187" s="55" t="str">
        <f>VLOOKUP(D187,'2.Bookinglist'!A:CT,28,FALSE)</f>
        <v>AGC VINYTHAI PUBLIC COMPANY LIMITED</v>
      </c>
      <c r="G187" s="56">
        <f>VLOOKUP(D187,'2.Bookinglist'!A:E,5,FALSE)</f>
        <v>0</v>
      </c>
      <c r="H187" s="54" t="str">
        <f>VLOOKUP(D187,'2.Bookinglist'!A:CT,15,FALSE)</f>
        <v>THLCH</v>
      </c>
      <c r="I187" s="54" t="str">
        <f>VLOOKUP(D187,'2.Bookinglist'!A:CT,19,FALSE)</f>
        <v>CNSHA</v>
      </c>
      <c r="J187" s="54">
        <f>VLOOKUP(D187,'2.Bookinglist'!A:CT,26,FALSE)</f>
        <v>0</v>
      </c>
      <c r="K187" s="54" t="str">
        <f>VLOOKUP(A187,'1.Loading'!A:R,5,FALSE)</f>
        <v>45GP</v>
      </c>
      <c r="L187" s="56" t="str">
        <f>VLOOKUP(D187,'2.Bookinglist'!A:CT,85,FALSE)</f>
        <v>CY/CY</v>
      </c>
      <c r="M187" s="56" t="str">
        <f>IF(VLOOKUP(D187,'2.Bookinglist'!A:CT,43,FALSE)=0,"","DG")</f>
        <v/>
      </c>
      <c r="N187" s="56" t="str">
        <f>IF(RIGHT(K187,2)="RE","RF","")</f>
        <v/>
      </c>
      <c r="O187" s="54" t="str">
        <f>VLOOKUP(A187,'1.Loading'!A:R,3,FALSE)</f>
        <v>HMVY</v>
      </c>
      <c r="P187" s="54" t="str">
        <f>VLOOKUP(A187,'1.Loading'!A:R,4,FALSE)</f>
        <v>2609N</v>
      </c>
      <c r="Q187" s="54" t="str">
        <f>VLOOKUP(D187,'2.Bookinglist'!A:CT,12,FALSE)</f>
        <v>PCI2</v>
      </c>
      <c r="R187" s="56" t="str">
        <f>IF(LEFT(K187,2)="22","20'","40'")</f>
        <v>40'</v>
      </c>
      <c r="S187" s="38"/>
      <c r="T187" s="54" t="str">
        <f>VLOOKUP(A187,'1.Loading'!A:R,2,FALSE)</f>
        <v>2026-10-28</v>
      </c>
      <c r="U187" s="57">
        <f>T187-S187</f>
        <v>46323</v>
      </c>
      <c r="V187" s="58"/>
      <c r="W187" s="54" t="str">
        <f>VLOOKUP(A187,'3.GateMove'!A:D,4,FALSE)</f>
        <v>2026-10-20</v>
      </c>
      <c r="X187" s="57">
        <f>((T187-W187)+1)</f>
        <v>9</v>
      </c>
      <c r="Y187" s="59">
        <f>IF(AND(OR(C187="BKK01",C187="BKK04"),L187="CFS/CY"),0,IF(M187="DG",1,IF(LEFT(C187,3)="LCH",7,IF(C187="BKK02",5,3))))</f>
        <v>7</v>
      </c>
      <c r="Z187" s="57">
        <f>IF(IF(AND(AC187="TML",AB187&gt;0),((T187-W187)+1)-AB187,((T187-W187)+1)-Y187)&gt;0,IF(AND(AC187="TML",AB187&gt;0),((T187-W187)+1)-AB187,((T187-W187)+1)-Y187),0)</f>
        <v>2</v>
      </c>
      <c r="AA187" s="48">
        <f>IF(AND(B187="G1",M187=""),IF(R187="20'",
VLOOKUP(Z187,Charge!$K$2:$M$5,2,TRUE)+(Z187-VLOOKUP(Z187,Charge!$K$2:$M$5,1,TRUE))*VLOOKUP(Z187,Charge!$K$2:$M$5,3,TRUE),
VLOOKUP(Z187,Charge!$N$2:$P$5,2,TRUE)+(Z187-VLOOKUP(Z187,Charge!$N$2:$P$5,1,TRUE))*VLOOKUP(Z187,Charge!$N$2:$P$5,3,TRUE)),
IF(AND(B187="G1",M187="DG"),IF(R187="20'",
VLOOKUP(Z187,Charge!$R$2:$T$5,2,TRUE)+(Z187-VLOOKUP(Z187,Charge!$R$2:$T$5,1,TRUE))*VLOOKUP(Z187,Charge!$R$2:$T$5,3,TRUE),
VLOOKUP(Z187,Charge!$U$2:$W$5,2,TRUE)+(Z187-VLOOKUP(Z187,Charge!$U$2:$W$5,1,TRUE))*VLOOKUP(Z187,Charge!$U$2:$W$5,3,TRUE)),
IF(AND(B187="G3",M187=""),IF(R187="20'",
VLOOKUP(Z187,Charge!$K$18:$M$21,2,TRUE)+(Z187-VLOOKUP(Z187,Charge!$K$18:$M$21,1,TRUE))*VLOOKUP(Z187,Charge!$K$18:$M$21,3,TRUE),
VLOOKUP(Z187,Charge!$N$18:$P$21,2,TRUE)+(Z187-VLOOKUP(Z187,Charge!$N$18:$P$21,1,TRUE))*VLOOKUP(Z187,Charge!$N$18:$P$21,3,TRUE)),
IF(AND(B187="G3",M187="DG"),IF(R187="20'",
VLOOKUP(Z187,Charge!$R$18:$T$21,2,TRUE)+(Z187-VLOOKUP(Z187,Charge!$R$18:$T$21,1,TRUE))*VLOOKUP(Z187,Charge!$R$18:$T$21,3,TRUE),
VLOOKUP(Z187,Charge!$U$18:$W$21,2,TRUE)+(Z187-VLOOKUP(Z187,Charge!$U$18:$W$21,1,TRUE))*VLOOKUP(Z187,Charge!$U$18:$W$21,3,TRUE)),
IF(AND(B187="G2",M187=""),IF(R187="20'",
VLOOKUP(Z187,Charge!$K$9:$M$12,2,TRUE)+(Z187-VLOOKUP(Z187,Charge!$K$9:$M$12,1,TRUE))*VLOOKUP(Z187,Charge!$K$9:$M$12,3,TRUE),
VLOOKUP(Z187,Charge!$N$9:$P$12,2,TRUE)+(Z187-VLOOKUP(Z187,Charge!$N$9:$P$12,1,TRUE))*VLOOKUP(Z187,Charge!$N$9:$P$12,3,TRUE)),
IF(AND(B187="G2",M187="DG"),IF(R187="20'",
VLOOKUP(Z187,Charge!$R$9:$T$12,2,TRUE)+(Z187-VLOOKUP(Z187,Charge!$R$9:$T$12,1,TRUE))*VLOOKUP(Z187,Charge!$R$9:$T$12,3,TRUE),
VLOOKUP(Z187,Charge!$U$9:$W$12,2,TRUE)+(Z187-VLOOKUP(Z187,Charge!$U$9:$W$12,1,TRUE))*VLOOKUP(Z187,Charge!$U$9:$W$12,3,TRUE)),IF(AND(B187="G4",M187=""),IF(R187="20'",Z187*Charge!$M$25,Z187*Charge!$P$25),IF(AND(B187="G4",M187="DG"),IF(R187="20'",Z187*Charge!$T$25,Z187*Charge!$W$25),0))))))))</f>
        <v>500</v>
      </c>
      <c r="AB187" s="53"/>
      <c r="AC187" s="53"/>
      <c r="AD187" s="56">
        <f>IF(M187="DG",3,IF(N187="RF",3,5))+IF(AND(LEFT(C187,3)="BKK",N187="RF",Q187="KTS"),1,0)+IF(Q187="KHS",1,0)</f>
        <v>5</v>
      </c>
      <c r="AE187" s="57">
        <f>(T187-V187)+1</f>
        <v>46324</v>
      </c>
      <c r="AF187" s="57">
        <f>IF(AB187&gt;IF((V187-W187)&gt;0,V187-W187,0),0,IF(AB187&lt;IF((V187-W187)&gt;0,V187-W187,0),IF((V187-W187)&gt;0,V187-W187,0)-AB187,IF((V187-W187)&gt;0,V187-W187,0)))</f>
        <v>0</v>
      </c>
      <c r="AG187" s="48">
        <f>IF(AND(M187=""),IF(R187="20'",
VLOOKUP(AF187,Charge!$K$31:$M$34,2,TRUE)+(AF187-VLOOKUP(AF187,Charge!$K$31:$M$34,1,TRUE))*VLOOKUP(AF187,Charge!$K$31:$M$34,3,TRUE),
VLOOKUP(AF187,Charge!$N$31:$P$34,2,TRUE)+(AF187-VLOOKUP(AF187,Charge!$N$31:$P$34,1,TRUE))*VLOOKUP(AF187,Charge!$N$31:$P$34,3,TRUE)),
IF(AND(M187="DG"),IF(R187="20'",
VLOOKUP(AF187,Charge!$R$31:$T$34,2,TRUE)+(AF187-VLOOKUP(AF187,Charge!$R$31:$T$34,1,TRUE))*VLOOKUP(AF187,Charge!$R$31:$T$34,3,TRUE),
VLOOKUP(AF187,Charge!$U$31:$W$34,2,TRUE)+(AF187-VLOOKUP(AF187,Charge!$U$31:$W$34,1,TRUE))*VLOOKUP(AF187,Charge!$U$31:$W$34,3,TRUE)),0))</f>
        <v>0</v>
      </c>
      <c r="AH187" s="60"/>
      <c r="AI187" s="60">
        <f>AA187-AH187</f>
        <v>500</v>
      </c>
      <c r="AJ187" s="61"/>
      <c r="AK187" s="55" t="str">
        <f>VLOOKUP(D187,'2.Bookinglist'!A:CT,40,FALSE)</f>
        <v>Nannaapust Sukporntaweewat</v>
      </c>
      <c r="AL187" s="56" t="str">
        <f>VLOOKUP(D187,'2.Bookinglist'!A:CW,101,FALSE)</f>
        <v>2026-10-24</v>
      </c>
      <c r="AM187" s="56" t="str">
        <f>VLOOKUP(D187,'2.Bookinglist'!A:BK,63,FALSE)</f>
        <v>LCHY5</v>
      </c>
      <c r="AN187" s="55" t="str">
        <f>VLOOKUP(D187,'2.Bookinglist'!A:AZ,52,FALSE)</f>
        <v>Pickup : 2026-10-15, Return : 2026-10-16</v>
      </c>
      <c r="AO187" s="55">
        <f>VLOOKUP(D187,'2.Bookinglist'!A:CY,103,FALSE)</f>
        <v>0</v>
      </c>
    </row>
    <row r="188" ht="12.95" customHeight="1" spans="1:41" x14ac:dyDescent="0.25">
      <c r="A188" s="3" t="s">
        <v>262</v>
      </c>
      <c r="B188" s="53" t="str">
        <f>IF(C188=Charge!$M$1,Charge!$J$1,IF(C188=Charge!$M$23,Charge!$J$23,IF(C188=Charge!$M$17,Charge!$J$17,IF(C188=Charge!$N$17,Charge!$J$17,Charge!$J$7))))</f>
        <v>G2</v>
      </c>
      <c r="C188" s="54" t="str">
        <f>VLOOKUP(A188,'1.Loading'!A:R,14,FALSE)</f>
        <v>LCH06</v>
      </c>
      <c r="D188" s="54" t="str">
        <f>VLOOKUP(A188,'1.Loading'!A:R,17,FALSE)</f>
        <v>HASLS22260901311</v>
      </c>
      <c r="E188" s="55" t="str">
        <f>VLOOKUP(D188,'2.Bookinglist'!A:CT,27,FALSE)</f>
        <v>WHA GC LOGISTICS COMPANY LIMITED</v>
      </c>
      <c r="F188" s="55" t="str">
        <f>VLOOKUP(D188,'2.Bookinglist'!A:CT,28,FALSE)</f>
        <v>PTT GLOBAL CHEMICAL PUBLIC COMPANY LIMITED</v>
      </c>
      <c r="G188" s="56">
        <f>VLOOKUP(D188,'2.Bookinglist'!A:E,5,FALSE)</f>
        <v>0</v>
      </c>
      <c r="H188" s="54" t="str">
        <f>VLOOKUP(D188,'2.Bookinglist'!A:CT,15,FALSE)</f>
        <v>THLCH</v>
      </c>
      <c r="I188" s="54" t="str">
        <f>VLOOKUP(D188,'2.Bookinglist'!A:CT,19,FALSE)</f>
        <v>CNSHA</v>
      </c>
      <c r="J188" s="54">
        <f>VLOOKUP(D188,'2.Bookinglist'!A:CT,26,FALSE)</f>
        <v>0</v>
      </c>
      <c r="K188" s="54" t="str">
        <f>VLOOKUP(A188,'1.Loading'!A:R,5,FALSE)</f>
        <v>45GP</v>
      </c>
      <c r="L188" s="56" t="str">
        <f>VLOOKUP(D188,'2.Bookinglist'!A:CT,85,FALSE)</f>
        <v>CY/CY</v>
      </c>
      <c r="M188" s="56" t="str">
        <f>IF(VLOOKUP(D188,'2.Bookinglist'!A:CT,43,FALSE)=0,"","DG")</f>
        <v/>
      </c>
      <c r="N188" s="56" t="str">
        <f>IF(RIGHT(K188,2)="RE","RF","")</f>
        <v/>
      </c>
      <c r="O188" s="54" t="str">
        <f>VLOOKUP(A188,'1.Loading'!A:R,3,FALSE)</f>
        <v>HMVY</v>
      </c>
      <c r="P188" s="54" t="str">
        <f>VLOOKUP(A188,'1.Loading'!A:R,4,FALSE)</f>
        <v>2609N</v>
      </c>
      <c r="Q188" s="54" t="str">
        <f>VLOOKUP(D188,'2.Bookinglist'!A:CT,12,FALSE)</f>
        <v>PCI2</v>
      </c>
      <c r="R188" s="56" t="str">
        <f>IF(LEFT(K188,2)="22","20'","40'")</f>
        <v>40'</v>
      </c>
      <c r="S188" s="38"/>
      <c r="T188" s="54" t="str">
        <f>VLOOKUP(A188,'1.Loading'!A:R,2,FALSE)</f>
        <v>2026-10-28</v>
      </c>
      <c r="U188" s="57">
        <f>T188-S188</f>
        <v>46323</v>
      </c>
      <c r="V188" s="58"/>
      <c r="W188" s="54" t="str">
        <f>VLOOKUP(A188,'3.GateMove'!A:D,4,FALSE)</f>
        <v>2026-10-25</v>
      </c>
      <c r="X188" s="57">
        <f>((T188-W188)+1)</f>
        <v>4</v>
      </c>
      <c r="Y188" s="59">
        <f>IF(AND(OR(C188="BKK01",C188="BKK04"),L188="CFS/CY"),0,IF(M188="DG",1,IF(LEFT(C188,3)="LCH",7,IF(C188="BKK02",5,3))))</f>
        <v>7</v>
      </c>
      <c r="Z188" s="57">
        <f>IF(IF(AND(AC188="TML",AB188&gt;0),((T188-W188)+1)-AB188,((T188-W188)+1)-Y188)&gt;0,IF(AND(AC188="TML",AB188&gt;0),((T188-W188)+1)-AB188,((T188-W188)+1)-Y188),0)</f>
        <v>0</v>
      </c>
      <c r="AA188" s="48">
        <f>IF(AND(B188="G1",M188=""),IF(R188="20'",
VLOOKUP(Z188,Charge!$K$2:$M$5,2,TRUE)+(Z188-VLOOKUP(Z188,Charge!$K$2:$M$5,1,TRUE))*VLOOKUP(Z188,Charge!$K$2:$M$5,3,TRUE),
VLOOKUP(Z188,Charge!$N$2:$P$5,2,TRUE)+(Z188-VLOOKUP(Z188,Charge!$N$2:$P$5,1,TRUE))*VLOOKUP(Z188,Charge!$N$2:$P$5,3,TRUE)),
IF(AND(B188="G1",M188="DG"),IF(R188="20'",
VLOOKUP(Z188,Charge!$R$2:$T$5,2,TRUE)+(Z188-VLOOKUP(Z188,Charge!$R$2:$T$5,1,TRUE))*VLOOKUP(Z188,Charge!$R$2:$T$5,3,TRUE),
VLOOKUP(Z188,Charge!$U$2:$W$5,2,TRUE)+(Z188-VLOOKUP(Z188,Charge!$U$2:$W$5,1,TRUE))*VLOOKUP(Z188,Charge!$U$2:$W$5,3,TRUE)),
IF(AND(B188="G3",M188=""),IF(R188="20'",
VLOOKUP(Z188,Charge!$K$18:$M$21,2,TRUE)+(Z188-VLOOKUP(Z188,Charge!$K$18:$M$21,1,TRUE))*VLOOKUP(Z188,Charge!$K$18:$M$21,3,TRUE),
VLOOKUP(Z188,Charge!$N$18:$P$21,2,TRUE)+(Z188-VLOOKUP(Z188,Charge!$N$18:$P$21,1,TRUE))*VLOOKUP(Z188,Charge!$N$18:$P$21,3,TRUE)),
IF(AND(B188="G3",M188="DG"),IF(R188="20'",
VLOOKUP(Z188,Charge!$R$18:$T$21,2,TRUE)+(Z188-VLOOKUP(Z188,Charge!$R$18:$T$21,1,TRUE))*VLOOKUP(Z188,Charge!$R$18:$T$21,3,TRUE),
VLOOKUP(Z188,Charge!$U$18:$W$21,2,TRUE)+(Z188-VLOOKUP(Z188,Charge!$U$18:$W$21,1,TRUE))*VLOOKUP(Z188,Charge!$U$18:$W$21,3,TRUE)),
IF(AND(B188="G2",M188=""),IF(R188="20'",
VLOOKUP(Z188,Charge!$K$9:$M$12,2,TRUE)+(Z188-VLOOKUP(Z188,Charge!$K$9:$M$12,1,TRUE))*VLOOKUP(Z188,Charge!$K$9:$M$12,3,TRUE),
VLOOKUP(Z188,Charge!$N$9:$P$12,2,TRUE)+(Z188-VLOOKUP(Z188,Charge!$N$9:$P$12,1,TRUE))*VLOOKUP(Z188,Charge!$N$9:$P$12,3,TRUE)),
IF(AND(B188="G2",M188="DG"),IF(R188="20'",
VLOOKUP(Z188,Charge!$R$9:$T$12,2,TRUE)+(Z188-VLOOKUP(Z188,Charge!$R$9:$T$12,1,TRUE))*VLOOKUP(Z188,Charge!$R$9:$T$12,3,TRUE),
VLOOKUP(Z188,Charge!$U$9:$W$12,2,TRUE)+(Z188-VLOOKUP(Z188,Charge!$U$9:$W$12,1,TRUE))*VLOOKUP(Z188,Charge!$U$9:$W$12,3,TRUE)),IF(AND(B188="G4",M188=""),IF(R188="20'",Z188*Charge!$M$25,Z188*Charge!$P$25),IF(AND(B188="G4",M188="DG"),IF(R188="20'",Z188*Charge!$T$25,Z188*Charge!$W$25),0))))))))</f>
        <v>0</v>
      </c>
      <c r="AB188" s="53"/>
      <c r="AC188" s="53"/>
      <c r="AD188" s="56">
        <f>IF(M188="DG",3,IF(N188="RF",3,5))+IF(AND(LEFT(C188,3)="BKK",N188="RF",Q188="KTS"),1,0)+IF(Q188="KHS",1,0)</f>
        <v>5</v>
      </c>
      <c r="AE188" s="57">
        <f>(T188-V188)+1</f>
        <v>46324</v>
      </c>
      <c r="AF188" s="57">
        <f>IF(AB188&gt;IF((V188-W188)&gt;0,V188-W188,0),0,IF(AB188&lt;IF((V188-W188)&gt;0,V188-W188,0),IF((V188-W188)&gt;0,V188-W188,0)-AB188,IF((V188-W188)&gt;0,V188-W188,0)))</f>
        <v>0</v>
      </c>
      <c r="AG188" s="48">
        <f>IF(AND(M188=""),IF(R188="20'",
VLOOKUP(AF188,Charge!$K$31:$M$34,2,TRUE)+(AF188-VLOOKUP(AF188,Charge!$K$31:$M$34,1,TRUE))*VLOOKUP(AF188,Charge!$K$31:$M$34,3,TRUE),
VLOOKUP(AF188,Charge!$N$31:$P$34,2,TRUE)+(AF188-VLOOKUP(AF188,Charge!$N$31:$P$34,1,TRUE))*VLOOKUP(AF188,Charge!$N$31:$P$34,3,TRUE)),
IF(AND(M188="DG"),IF(R188="20'",
VLOOKUP(AF188,Charge!$R$31:$T$34,2,TRUE)+(AF188-VLOOKUP(AF188,Charge!$R$31:$T$34,1,TRUE))*VLOOKUP(AF188,Charge!$R$31:$T$34,3,TRUE),
VLOOKUP(AF188,Charge!$U$31:$W$34,2,TRUE)+(AF188-VLOOKUP(AF188,Charge!$U$31:$W$34,1,TRUE))*VLOOKUP(AF188,Charge!$U$31:$W$34,3,TRUE)),0))</f>
        <v>0</v>
      </c>
      <c r="AH188" s="60"/>
      <c r="AI188" s="60">
        <f>AA188-AH188</f>
        <v>0</v>
      </c>
      <c r="AJ188" s="61"/>
      <c r="AK188" s="55" t="str">
        <f>VLOOKUP(D188,'2.Bookinglist'!A:CT,40,FALSE)</f>
        <v>Dharaporn</v>
      </c>
      <c r="AL188" s="56" t="str">
        <f>VLOOKUP(D188,'2.Bookinglist'!A:CW,101,FALSE)</f>
        <v>2026-10-28</v>
      </c>
      <c r="AM188" s="56" t="str">
        <f>VLOOKUP(D188,'2.Bookinglist'!A:BK,63,FALSE)</f>
        <v>LCHY5</v>
      </c>
      <c r="AN188" s="55" t="str">
        <f>VLOOKUP(D188,'2.Bookinglist'!A:AZ,52,FALSE)</f>
        <v>CY-RTN: 20-23/10/2026  (1ST RETURN 22/10/26)</v>
      </c>
      <c r="AO188" s="55" t="str">
        <f>VLOOKUP(D188,'2.Bookinglist'!A:CY,103,FALSE)</f>
        <v>ROLL OVER FORM PREIVOUS VSL HAB 2612N BY ALLOCATION TEAM MS.TAN APPROVED COST IS UNDER HA DD.26/10</v>
      </c>
    </row>
    <row r="189" ht="12.95" customHeight="1" spans="1:41" x14ac:dyDescent="0.25">
      <c r="A189" s="3" t="s">
        <v>164</v>
      </c>
      <c r="B189" s="53" t="str">
        <f>IF(C189=Charge!$M$1,Charge!$J$1,IF(C189=Charge!$M$23,Charge!$J$23,IF(C189=Charge!$M$17,Charge!$J$17,IF(C189=Charge!$N$17,Charge!$J$17,Charge!$J$7))))</f>
        <v>G2</v>
      </c>
      <c r="C189" s="54" t="str">
        <f>VLOOKUP(A189,'1.Loading'!A:R,14,FALSE)</f>
        <v>LCH06</v>
      </c>
      <c r="D189" s="54" t="str">
        <f>VLOOKUP(A189,'1.Loading'!A:R,17,FALSE)</f>
        <v>HASLS22260902721</v>
      </c>
      <c r="E189" s="55" t="str">
        <f>VLOOKUP(D189,'2.Bookinglist'!A:CT,27,FALSE)</f>
        <v>MANA GLOBAL LINK CO., LTD.</v>
      </c>
      <c r="F189" s="55" t="str">
        <f>VLOOKUP(D189,'2.Bookinglist'!A:CT,28,FALSE)</f>
        <v>THAI FOENG INTERNATIONAL CO., LTD.</v>
      </c>
      <c r="G189" s="56" t="str">
        <f>VLOOKUP(D189,'2.Bookinglist'!A:E,5,FALSE)</f>
        <v>THSRP</v>
      </c>
      <c r="H189" s="54" t="str">
        <f>VLOOKUP(D189,'2.Bookinglist'!A:CT,15,FALSE)</f>
        <v>THLCH</v>
      </c>
      <c r="I189" s="54" t="str">
        <f>VLOOKUP(D189,'2.Bookinglist'!A:CT,19,FALSE)</f>
        <v>CNSHA</v>
      </c>
      <c r="J189" s="54">
        <f>VLOOKUP(D189,'2.Bookinglist'!A:CT,26,FALSE)</f>
        <v>0</v>
      </c>
      <c r="K189" s="54" t="str">
        <f>VLOOKUP(A189,'1.Loading'!A:R,5,FALSE)</f>
        <v>45GP</v>
      </c>
      <c r="L189" s="56" t="str">
        <f>VLOOKUP(D189,'2.Bookinglist'!A:CT,85,FALSE)</f>
        <v>CY/CY</v>
      </c>
      <c r="M189" s="56" t="str">
        <f>IF(VLOOKUP(D189,'2.Bookinglist'!A:CT,43,FALSE)=0,"","DG")</f>
        <v/>
      </c>
      <c r="N189" s="56" t="str">
        <f>IF(RIGHT(K189,2)="RE","RF","")</f>
        <v/>
      </c>
      <c r="O189" s="54" t="str">
        <f>VLOOKUP(A189,'1.Loading'!A:R,3,FALSE)</f>
        <v>HMVY</v>
      </c>
      <c r="P189" s="54" t="str">
        <f>VLOOKUP(A189,'1.Loading'!A:R,4,FALSE)</f>
        <v>2609N</v>
      </c>
      <c r="Q189" s="54" t="str">
        <f>VLOOKUP(D189,'2.Bookinglist'!A:CT,12,FALSE)</f>
        <v>PCI2</v>
      </c>
      <c r="R189" s="56" t="str">
        <f>IF(LEFT(K189,2)="22","20'","40'")</f>
        <v>40'</v>
      </c>
      <c r="S189" s="38"/>
      <c r="T189" s="54" t="str">
        <f>VLOOKUP(A189,'1.Loading'!A:R,2,FALSE)</f>
        <v>2026-10-28</v>
      </c>
      <c r="U189" s="57">
        <f>T189-S189</f>
        <v>46323</v>
      </c>
      <c r="V189" s="58"/>
      <c r="W189" s="54" t="str">
        <f>VLOOKUP(A189,'3.GateMove'!A:D,4,FALSE)</f>
        <v>2026-10-13</v>
      </c>
      <c r="X189" s="57">
        <f>((T189-W189)+1)</f>
        <v>16</v>
      </c>
      <c r="Y189" s="59">
        <f>IF(AND(OR(C189="BKK01",C189="BKK04"),L189="CFS/CY"),0,IF(M189="DG",1,IF(LEFT(C189,3)="LCH",7,IF(C189="BKK02",5,3))))</f>
        <v>7</v>
      </c>
      <c r="Z189" s="57">
        <f>IF(IF(AND(AC189="TML",AB189&gt;0),((T189-W189)+1)-AB189,((T189-W189)+1)-Y189)&gt;0,IF(AND(AC189="TML",AB189&gt;0),((T189-W189)+1)-AB189,((T189-W189)+1)-Y189),0)</f>
        <v>9</v>
      </c>
      <c r="AA189" s="48">
        <f>IF(AND(B189="G1",M189=""),IF(R189="20'",
VLOOKUP(Z189,Charge!$K$2:$M$5,2,TRUE)+(Z189-VLOOKUP(Z189,Charge!$K$2:$M$5,1,TRUE))*VLOOKUP(Z189,Charge!$K$2:$M$5,3,TRUE),
VLOOKUP(Z189,Charge!$N$2:$P$5,2,TRUE)+(Z189-VLOOKUP(Z189,Charge!$N$2:$P$5,1,TRUE))*VLOOKUP(Z189,Charge!$N$2:$P$5,3,TRUE)),
IF(AND(B189="G1",M189="DG"),IF(R189="20'",
VLOOKUP(Z189,Charge!$R$2:$T$5,2,TRUE)+(Z189-VLOOKUP(Z189,Charge!$R$2:$T$5,1,TRUE))*VLOOKUP(Z189,Charge!$R$2:$T$5,3,TRUE),
VLOOKUP(Z189,Charge!$U$2:$W$5,2,TRUE)+(Z189-VLOOKUP(Z189,Charge!$U$2:$W$5,1,TRUE))*VLOOKUP(Z189,Charge!$U$2:$W$5,3,TRUE)),
IF(AND(B189="G3",M189=""),IF(R189="20'",
VLOOKUP(Z189,Charge!$K$18:$M$21,2,TRUE)+(Z189-VLOOKUP(Z189,Charge!$K$18:$M$21,1,TRUE))*VLOOKUP(Z189,Charge!$K$18:$M$21,3,TRUE),
VLOOKUP(Z189,Charge!$N$18:$P$21,2,TRUE)+(Z189-VLOOKUP(Z189,Charge!$N$18:$P$21,1,TRUE))*VLOOKUP(Z189,Charge!$N$18:$P$21,3,TRUE)),
IF(AND(B189="G3",M189="DG"),IF(R189="20'",
VLOOKUP(Z189,Charge!$R$18:$T$21,2,TRUE)+(Z189-VLOOKUP(Z189,Charge!$R$18:$T$21,1,TRUE))*VLOOKUP(Z189,Charge!$R$18:$T$21,3,TRUE),
VLOOKUP(Z189,Charge!$U$18:$W$21,2,TRUE)+(Z189-VLOOKUP(Z189,Charge!$U$18:$W$21,1,TRUE))*VLOOKUP(Z189,Charge!$U$18:$W$21,3,TRUE)),
IF(AND(B189="G2",M189=""),IF(R189="20'",
VLOOKUP(Z189,Charge!$K$9:$M$12,2,TRUE)+(Z189-VLOOKUP(Z189,Charge!$K$9:$M$12,1,TRUE))*VLOOKUP(Z189,Charge!$K$9:$M$12,3,TRUE),
VLOOKUP(Z189,Charge!$N$9:$P$12,2,TRUE)+(Z189-VLOOKUP(Z189,Charge!$N$9:$P$12,1,TRUE))*VLOOKUP(Z189,Charge!$N$9:$P$12,3,TRUE)),
IF(AND(B189="G2",M189="DG"),IF(R189="20'",
VLOOKUP(Z189,Charge!$R$9:$T$12,2,TRUE)+(Z189-VLOOKUP(Z189,Charge!$R$9:$T$12,1,TRUE))*VLOOKUP(Z189,Charge!$R$9:$T$12,3,TRUE),
VLOOKUP(Z189,Charge!$U$9:$W$12,2,TRUE)+(Z189-VLOOKUP(Z189,Charge!$U$9:$W$12,1,TRUE))*VLOOKUP(Z189,Charge!$U$9:$W$12,3,TRUE)),IF(AND(B189="G4",M189=""),IF(R189="20'",Z189*Charge!$M$25,Z189*Charge!$P$25),IF(AND(B189="G4",M189="DG"),IF(R189="20'",Z189*Charge!$T$25,Z189*Charge!$W$25),0))))))))</f>
        <v>2750</v>
      </c>
      <c r="AB189" s="53"/>
      <c r="AC189" s="53"/>
      <c r="AD189" s="56">
        <f>IF(M189="DG",3,IF(N189="RF",3,5))+IF(AND(LEFT(C189,3)="BKK",N189="RF",Q189="KTS"),1,0)+IF(Q189="KHS",1,0)</f>
        <v>5</v>
      </c>
      <c r="AE189" s="57">
        <f>(T189-V189)+1</f>
        <v>46324</v>
      </c>
      <c r="AF189" s="57">
        <f>IF(AB189&gt;IF((V189-W189)&gt;0,V189-W189,0),0,IF(AB189&lt;IF((V189-W189)&gt;0,V189-W189,0),IF((V189-W189)&gt;0,V189-W189,0)-AB189,IF((V189-W189)&gt;0,V189-W189,0)))</f>
        <v>0</v>
      </c>
      <c r="AG189" s="48">
        <f>IF(AND(M189=""),IF(R189="20'",
VLOOKUP(AF189,Charge!$K$31:$M$34,2,TRUE)+(AF189-VLOOKUP(AF189,Charge!$K$31:$M$34,1,TRUE))*VLOOKUP(AF189,Charge!$K$31:$M$34,3,TRUE),
VLOOKUP(AF189,Charge!$N$31:$P$34,2,TRUE)+(AF189-VLOOKUP(AF189,Charge!$N$31:$P$34,1,TRUE))*VLOOKUP(AF189,Charge!$N$31:$P$34,3,TRUE)),
IF(AND(M189="DG"),IF(R189="20'",
VLOOKUP(AF189,Charge!$R$31:$T$34,2,TRUE)+(AF189-VLOOKUP(AF189,Charge!$R$31:$T$34,1,TRUE))*VLOOKUP(AF189,Charge!$R$31:$T$34,3,TRUE),
VLOOKUP(AF189,Charge!$U$31:$W$34,2,TRUE)+(AF189-VLOOKUP(AF189,Charge!$U$31:$W$34,1,TRUE))*VLOOKUP(AF189,Charge!$U$31:$W$34,3,TRUE)),0))</f>
        <v>0</v>
      </c>
      <c r="AH189" s="60"/>
      <c r="AI189" s="60">
        <f>AA189-AH189</f>
        <v>2750</v>
      </c>
      <c r="AJ189" s="61"/>
      <c r="AK189" s="55" t="str">
        <f>VLOOKUP(D189,'2.Bookinglist'!A:CT,40,FALSE)</f>
        <v>Nannaapust Sukporntaweewat</v>
      </c>
      <c r="AL189" s="56" t="str">
        <f>VLOOKUP(D189,'2.Bookinglist'!A:CW,101,FALSE)</f>
        <v>2026-10-24</v>
      </c>
      <c r="AM189" s="56" t="str">
        <f>VLOOKUP(D189,'2.Bookinglist'!A:BK,63,FALSE)</f>
        <v>BKK27</v>
      </c>
      <c r="AN189" s="55" t="str">
        <f>VLOOKUP(D189,'2.Bookinglist'!A:AZ,52,FALSE)</f>
        <v>Pickup : 2026-10-05, Return SRP : 2026-10-06 [PAPERLESS CODE 2829]
CLS TIME 10/10/26 @18.00 (1ST RTN DD: 07/10/26 WO/RENT)</v>
      </c>
      <c r="AO189" s="55" t="str">
        <f>VLOOKUP(D189,'2.Bookinglist'!A:CY,103,FALSE)</f>
        <v>ROLL OVER FROM PREVIOUS VSL SWRG 2609N BY ALLOCATION TEAM MS.TAN APPROVED COST IS UNDER HA DD.13/10</v>
      </c>
    </row>
    <row r="190" ht="12.95" customHeight="1" spans="1:41" x14ac:dyDescent="0.25">
      <c r="A190" s="3" t="s">
        <v>243</v>
      </c>
      <c r="B190" s="53" t="str">
        <f>IF(C190=Charge!$M$1,Charge!$J$1,IF(C190=Charge!$M$23,Charge!$J$23,IF(C190=Charge!$M$17,Charge!$J$17,IF(C190=Charge!$N$17,Charge!$J$17,Charge!$J$7))))</f>
        <v>G2</v>
      </c>
      <c r="C190" s="54" t="str">
        <f>VLOOKUP(A190,'1.Loading'!A:R,14,FALSE)</f>
        <v>LCH06</v>
      </c>
      <c r="D190" s="54" t="str">
        <f>VLOOKUP(A190,'1.Loading'!A:R,17,FALSE)</f>
        <v>HASLS22261000876</v>
      </c>
      <c r="E190" s="55" t="str">
        <f>VLOOKUP(D190,'2.Bookinglist'!A:CT,27,FALSE)</f>
        <v>SUN-OCEAN GLOBAL SUPPLY CHAIN CO., LTD.</v>
      </c>
      <c r="F190" s="55" t="str">
        <f>VLOOKUP(D190,'2.Bookinglist'!A:CT,28,FALSE)</f>
        <v>I.P. ONE COMPANY LIMITED</v>
      </c>
      <c r="G190" s="56" t="str">
        <f>VLOOKUP(D190,'2.Bookinglist'!A:E,5,FALSE)</f>
        <v>THSRP</v>
      </c>
      <c r="H190" s="54" t="str">
        <f>VLOOKUP(D190,'2.Bookinglist'!A:CT,15,FALSE)</f>
        <v>THLCH</v>
      </c>
      <c r="I190" s="54" t="str">
        <f>VLOOKUP(D190,'2.Bookinglist'!A:CT,19,FALSE)</f>
        <v>CNSHA</v>
      </c>
      <c r="J190" s="54">
        <f>VLOOKUP(D190,'2.Bookinglist'!A:CT,26,FALSE)</f>
        <v>0</v>
      </c>
      <c r="K190" s="54" t="str">
        <f>VLOOKUP(A190,'1.Loading'!A:R,5,FALSE)</f>
        <v>45GP</v>
      </c>
      <c r="L190" s="56" t="str">
        <f>VLOOKUP(D190,'2.Bookinglist'!A:CT,85,FALSE)</f>
        <v>CY/CY</v>
      </c>
      <c r="M190" s="56" t="str">
        <f>IF(VLOOKUP(D190,'2.Bookinglist'!A:CT,43,FALSE)=0,"","DG")</f>
        <v/>
      </c>
      <c r="N190" s="56" t="str">
        <f>IF(RIGHT(K190,2)="RE","RF","")</f>
        <v/>
      </c>
      <c r="O190" s="54" t="str">
        <f>VLOOKUP(A190,'1.Loading'!A:R,3,FALSE)</f>
        <v>HMVY</v>
      </c>
      <c r="P190" s="54" t="str">
        <f>VLOOKUP(A190,'1.Loading'!A:R,4,FALSE)</f>
        <v>2609N</v>
      </c>
      <c r="Q190" s="54" t="str">
        <f>VLOOKUP(D190,'2.Bookinglist'!A:CT,12,FALSE)</f>
        <v>PCI2</v>
      </c>
      <c r="R190" s="56" t="str">
        <f>IF(LEFT(K190,2)="22","20'","40'")</f>
        <v>40'</v>
      </c>
      <c r="S190" s="38"/>
      <c r="T190" s="54" t="str">
        <f>VLOOKUP(A190,'1.Loading'!A:R,2,FALSE)</f>
        <v>2026-10-28</v>
      </c>
      <c r="U190" s="57">
        <f>T190-S190</f>
        <v>46323</v>
      </c>
      <c r="V190" s="58"/>
      <c r="W190" s="54" t="str">
        <f>VLOOKUP(A190,'3.GateMove'!A:D,4,FALSE)</f>
        <v>2026-10-23</v>
      </c>
      <c r="X190" s="57">
        <f>((T190-W190)+1)</f>
        <v>6</v>
      </c>
      <c r="Y190" s="59">
        <f>IF(AND(OR(C190="BKK01",C190="BKK04"),L190="CFS/CY"),0,IF(M190="DG",1,IF(LEFT(C190,3)="LCH",7,IF(C190="BKK02",5,3))))</f>
        <v>7</v>
      </c>
      <c r="Z190" s="57">
        <f>IF(IF(AND(AC190="TML",AB190&gt;0),((T190-W190)+1)-AB190,((T190-W190)+1)-Y190)&gt;0,IF(AND(AC190="TML",AB190&gt;0),((T190-W190)+1)-AB190,((T190-W190)+1)-Y190),0)</f>
        <v>0</v>
      </c>
      <c r="AA190" s="48">
        <f>IF(AND(B190="G1",M190=""),IF(R190="20'",
VLOOKUP(Z190,Charge!$K$2:$M$5,2,TRUE)+(Z190-VLOOKUP(Z190,Charge!$K$2:$M$5,1,TRUE))*VLOOKUP(Z190,Charge!$K$2:$M$5,3,TRUE),
VLOOKUP(Z190,Charge!$N$2:$P$5,2,TRUE)+(Z190-VLOOKUP(Z190,Charge!$N$2:$P$5,1,TRUE))*VLOOKUP(Z190,Charge!$N$2:$P$5,3,TRUE)),
IF(AND(B190="G1",M190="DG"),IF(R190="20'",
VLOOKUP(Z190,Charge!$R$2:$T$5,2,TRUE)+(Z190-VLOOKUP(Z190,Charge!$R$2:$T$5,1,TRUE))*VLOOKUP(Z190,Charge!$R$2:$T$5,3,TRUE),
VLOOKUP(Z190,Charge!$U$2:$W$5,2,TRUE)+(Z190-VLOOKUP(Z190,Charge!$U$2:$W$5,1,TRUE))*VLOOKUP(Z190,Charge!$U$2:$W$5,3,TRUE)),
IF(AND(B190="G3",M190=""),IF(R190="20'",
VLOOKUP(Z190,Charge!$K$18:$M$21,2,TRUE)+(Z190-VLOOKUP(Z190,Charge!$K$18:$M$21,1,TRUE))*VLOOKUP(Z190,Charge!$K$18:$M$21,3,TRUE),
VLOOKUP(Z190,Charge!$N$18:$P$21,2,TRUE)+(Z190-VLOOKUP(Z190,Charge!$N$18:$P$21,1,TRUE))*VLOOKUP(Z190,Charge!$N$18:$P$21,3,TRUE)),
IF(AND(B190="G3",M190="DG"),IF(R190="20'",
VLOOKUP(Z190,Charge!$R$18:$T$21,2,TRUE)+(Z190-VLOOKUP(Z190,Charge!$R$18:$T$21,1,TRUE))*VLOOKUP(Z190,Charge!$R$18:$T$21,3,TRUE),
VLOOKUP(Z190,Charge!$U$18:$W$21,2,TRUE)+(Z190-VLOOKUP(Z190,Charge!$U$18:$W$21,1,TRUE))*VLOOKUP(Z190,Charge!$U$18:$W$21,3,TRUE)),
IF(AND(B190="G2",M190=""),IF(R190="20'",
VLOOKUP(Z190,Charge!$K$9:$M$12,2,TRUE)+(Z190-VLOOKUP(Z190,Charge!$K$9:$M$12,1,TRUE))*VLOOKUP(Z190,Charge!$K$9:$M$12,3,TRUE),
VLOOKUP(Z190,Charge!$N$9:$P$12,2,TRUE)+(Z190-VLOOKUP(Z190,Charge!$N$9:$P$12,1,TRUE))*VLOOKUP(Z190,Charge!$N$9:$P$12,3,TRUE)),
IF(AND(B190="G2",M190="DG"),IF(R190="20'",
VLOOKUP(Z190,Charge!$R$9:$T$12,2,TRUE)+(Z190-VLOOKUP(Z190,Charge!$R$9:$T$12,1,TRUE))*VLOOKUP(Z190,Charge!$R$9:$T$12,3,TRUE),
VLOOKUP(Z190,Charge!$U$9:$W$12,2,TRUE)+(Z190-VLOOKUP(Z190,Charge!$U$9:$W$12,1,TRUE))*VLOOKUP(Z190,Charge!$U$9:$W$12,3,TRUE)),IF(AND(B190="G4",M190=""),IF(R190="20'",Z190*Charge!$M$25,Z190*Charge!$P$25),IF(AND(B190="G4",M190="DG"),IF(R190="20'",Z190*Charge!$T$25,Z190*Charge!$W$25),0))))))))</f>
        <v>0</v>
      </c>
      <c r="AB190" s="53"/>
      <c r="AC190" s="53"/>
      <c r="AD190" s="56">
        <f>IF(M190="DG",3,IF(N190="RF",3,5))+IF(AND(LEFT(C190,3)="BKK",N190="RF",Q190="KTS"),1,0)+IF(Q190="KHS",1,0)</f>
        <v>5</v>
      </c>
      <c r="AE190" s="57">
        <f>(T190-V190)+1</f>
        <v>46324</v>
      </c>
      <c r="AF190" s="57">
        <f>IF(AB190&gt;IF((V190-W190)&gt;0,V190-W190,0),0,IF(AB190&lt;IF((V190-W190)&gt;0,V190-W190,0),IF((V190-W190)&gt;0,V190-W190,0)-AB190,IF((V190-W190)&gt;0,V190-W190,0)))</f>
        <v>0</v>
      </c>
      <c r="AG190" s="48">
        <f>IF(AND(M190=""),IF(R190="20'",
VLOOKUP(AF190,Charge!$K$31:$M$34,2,TRUE)+(AF190-VLOOKUP(AF190,Charge!$K$31:$M$34,1,TRUE))*VLOOKUP(AF190,Charge!$K$31:$M$34,3,TRUE),
VLOOKUP(AF190,Charge!$N$31:$P$34,2,TRUE)+(AF190-VLOOKUP(AF190,Charge!$N$31:$P$34,1,TRUE))*VLOOKUP(AF190,Charge!$N$31:$P$34,3,TRUE)),
IF(AND(M190="DG"),IF(R190="20'",
VLOOKUP(AF190,Charge!$R$31:$T$34,2,TRUE)+(AF190-VLOOKUP(AF190,Charge!$R$31:$T$34,1,TRUE))*VLOOKUP(AF190,Charge!$R$31:$T$34,3,TRUE),
VLOOKUP(AF190,Charge!$U$31:$W$34,2,TRUE)+(AF190-VLOOKUP(AF190,Charge!$U$31:$W$34,1,TRUE))*VLOOKUP(AF190,Charge!$U$31:$W$34,3,TRUE)),0))</f>
        <v>0</v>
      </c>
      <c r="AH190" s="60"/>
      <c r="AI190" s="60">
        <f>AA190-AH190</f>
        <v>0</v>
      </c>
      <c r="AJ190" s="61"/>
      <c r="AK190" s="55" t="str">
        <f>VLOOKUP(D190,'2.Bookinglist'!A:CT,40,FALSE)</f>
        <v>Arunphat W. (Aiw)</v>
      </c>
      <c r="AL190" s="56" t="str">
        <f>VLOOKUP(D190,'2.Bookinglist'!A:CW,101,FALSE)</f>
        <v>2026-10-22</v>
      </c>
      <c r="AM190" s="56" t="str">
        <f>VLOOKUP(D190,'2.Bookinglist'!A:BK,63,FALSE)</f>
        <v>BKK27</v>
      </c>
      <c r="AN190" s="55" t="str">
        <f>VLOOKUP(D190,'2.Bookinglist'!A:AZ,52,FALSE)</f>
        <v>Pickup : 2026-10-16, Return SRP : 2026-10-17 [PAPERLESS CODE 2829]
CLS TIME 24/10/26 @21.00 (1ST RETURN 17/10/26)</v>
      </c>
      <c r="AO190" s="55">
        <f>VLOOKUP(D190,'2.Bookinglist'!A:CY,103,FALSE)</f>
        <v>0</v>
      </c>
    </row>
    <row r="191" ht="12.95" customHeight="1" spans="1:41" x14ac:dyDescent="0.25">
      <c r="A191" s="3" t="s">
        <v>221</v>
      </c>
      <c r="B191" s="53" t="str">
        <f>IF(C191=Charge!$M$1,Charge!$J$1,IF(C191=Charge!$M$23,Charge!$J$23,IF(C191=Charge!$M$17,Charge!$J$17,IF(C191=Charge!$N$17,Charge!$J$17,Charge!$J$7))))</f>
        <v>G2</v>
      </c>
      <c r="C191" s="54" t="str">
        <f>VLOOKUP(A191,'1.Loading'!A:R,14,FALSE)</f>
        <v>LCH06</v>
      </c>
      <c r="D191" s="54" t="str">
        <f>VLOOKUP(A191,'1.Loading'!A:R,17,FALSE)</f>
        <v>HASLS22261001118</v>
      </c>
      <c r="E191" s="55" t="str">
        <f>VLOOKUP(D191,'2.Bookinglist'!A:CT,27,FALSE)</f>
        <v>K-APEX (THAILAND) CO., LTD.</v>
      </c>
      <c r="F191" s="55" t="str">
        <f>VLOOKUP(D191,'2.Bookinglist'!A:CT,28,FALSE)</f>
        <v>FIRST MATERIAL SCIENCE (THAILAND) CO., LTD.</v>
      </c>
      <c r="G191" s="56">
        <f>VLOOKUP(D191,'2.Bookinglist'!A:E,5,FALSE)</f>
        <v>0</v>
      </c>
      <c r="H191" s="54" t="str">
        <f>VLOOKUP(D191,'2.Bookinglist'!A:CT,15,FALSE)</f>
        <v>THLCH</v>
      </c>
      <c r="I191" s="54" t="str">
        <f>VLOOKUP(D191,'2.Bookinglist'!A:CT,19,FALSE)</f>
        <v>CNSHA</v>
      </c>
      <c r="J191" s="54">
        <f>VLOOKUP(D191,'2.Bookinglist'!A:CT,26,FALSE)</f>
        <v>0</v>
      </c>
      <c r="K191" s="54" t="str">
        <f>VLOOKUP(A191,'1.Loading'!A:R,5,FALSE)</f>
        <v>45GP</v>
      </c>
      <c r="L191" s="56" t="str">
        <f>VLOOKUP(D191,'2.Bookinglist'!A:CT,85,FALSE)</f>
        <v>CY/CY</v>
      </c>
      <c r="M191" s="56" t="str">
        <f>IF(VLOOKUP(D191,'2.Bookinglist'!A:CT,43,FALSE)=0,"","DG")</f>
        <v/>
      </c>
      <c r="N191" s="56" t="str">
        <f>IF(RIGHT(K191,2)="RE","RF","")</f>
        <v/>
      </c>
      <c r="O191" s="54" t="str">
        <f>VLOOKUP(A191,'1.Loading'!A:R,3,FALSE)</f>
        <v>HMVY</v>
      </c>
      <c r="P191" s="54" t="str">
        <f>VLOOKUP(A191,'1.Loading'!A:R,4,FALSE)</f>
        <v>2609N</v>
      </c>
      <c r="Q191" s="54" t="str">
        <f>VLOOKUP(D191,'2.Bookinglist'!A:CT,12,FALSE)</f>
        <v>PCI2</v>
      </c>
      <c r="R191" s="56" t="str">
        <f>IF(LEFT(K191,2)="22","20'","40'")</f>
        <v>40'</v>
      </c>
      <c r="S191" s="38"/>
      <c r="T191" s="54" t="str">
        <f>VLOOKUP(A191,'1.Loading'!A:R,2,FALSE)</f>
        <v>2026-10-28</v>
      </c>
      <c r="U191" s="57">
        <f>T191-S191</f>
        <v>46323</v>
      </c>
      <c r="V191" s="58"/>
      <c r="W191" s="54" t="str">
        <f>VLOOKUP(A191,'3.GateMove'!A:D,4,FALSE)</f>
        <v>2026-10-22</v>
      </c>
      <c r="X191" s="57">
        <f>((T191-W191)+1)</f>
        <v>7</v>
      </c>
      <c r="Y191" s="59">
        <f>IF(AND(OR(C191="BKK01",C191="BKK04"),L191="CFS/CY"),0,IF(M191="DG",1,IF(LEFT(C191,3)="LCH",7,IF(C191="BKK02",5,3))))</f>
        <v>7</v>
      </c>
      <c r="Z191" s="57">
        <f>IF(IF(AND(AC191="TML",AB191&gt;0),((T191-W191)+1)-AB191,((T191-W191)+1)-Y191)&gt;0,IF(AND(AC191="TML",AB191&gt;0),((T191-W191)+1)-AB191,((T191-W191)+1)-Y191),0)</f>
        <v>0</v>
      </c>
      <c r="AA191" s="48">
        <f>IF(AND(B191="G1",M191=""),IF(R191="20'",
VLOOKUP(Z191,Charge!$K$2:$M$5,2,TRUE)+(Z191-VLOOKUP(Z191,Charge!$K$2:$M$5,1,TRUE))*VLOOKUP(Z191,Charge!$K$2:$M$5,3,TRUE),
VLOOKUP(Z191,Charge!$N$2:$P$5,2,TRUE)+(Z191-VLOOKUP(Z191,Charge!$N$2:$P$5,1,TRUE))*VLOOKUP(Z191,Charge!$N$2:$P$5,3,TRUE)),
IF(AND(B191="G1",M191="DG"),IF(R191="20'",
VLOOKUP(Z191,Charge!$R$2:$T$5,2,TRUE)+(Z191-VLOOKUP(Z191,Charge!$R$2:$T$5,1,TRUE))*VLOOKUP(Z191,Charge!$R$2:$T$5,3,TRUE),
VLOOKUP(Z191,Charge!$U$2:$W$5,2,TRUE)+(Z191-VLOOKUP(Z191,Charge!$U$2:$W$5,1,TRUE))*VLOOKUP(Z191,Charge!$U$2:$W$5,3,TRUE)),
IF(AND(B191="G3",M191=""),IF(R191="20'",
VLOOKUP(Z191,Charge!$K$18:$M$21,2,TRUE)+(Z191-VLOOKUP(Z191,Charge!$K$18:$M$21,1,TRUE))*VLOOKUP(Z191,Charge!$K$18:$M$21,3,TRUE),
VLOOKUP(Z191,Charge!$N$18:$P$21,2,TRUE)+(Z191-VLOOKUP(Z191,Charge!$N$18:$P$21,1,TRUE))*VLOOKUP(Z191,Charge!$N$18:$P$21,3,TRUE)),
IF(AND(B191="G3",M191="DG"),IF(R191="20'",
VLOOKUP(Z191,Charge!$R$18:$T$21,2,TRUE)+(Z191-VLOOKUP(Z191,Charge!$R$18:$T$21,1,TRUE))*VLOOKUP(Z191,Charge!$R$18:$T$21,3,TRUE),
VLOOKUP(Z191,Charge!$U$18:$W$21,2,TRUE)+(Z191-VLOOKUP(Z191,Charge!$U$18:$W$21,1,TRUE))*VLOOKUP(Z191,Charge!$U$18:$W$21,3,TRUE)),
IF(AND(B191="G2",M191=""),IF(R191="20'",
VLOOKUP(Z191,Charge!$K$9:$M$12,2,TRUE)+(Z191-VLOOKUP(Z191,Charge!$K$9:$M$12,1,TRUE))*VLOOKUP(Z191,Charge!$K$9:$M$12,3,TRUE),
VLOOKUP(Z191,Charge!$N$9:$P$12,2,TRUE)+(Z191-VLOOKUP(Z191,Charge!$N$9:$P$12,1,TRUE))*VLOOKUP(Z191,Charge!$N$9:$P$12,3,TRUE)),
IF(AND(B191="G2",M191="DG"),IF(R191="20'",
VLOOKUP(Z191,Charge!$R$9:$T$12,2,TRUE)+(Z191-VLOOKUP(Z191,Charge!$R$9:$T$12,1,TRUE))*VLOOKUP(Z191,Charge!$R$9:$T$12,3,TRUE),
VLOOKUP(Z191,Charge!$U$9:$W$12,2,TRUE)+(Z191-VLOOKUP(Z191,Charge!$U$9:$W$12,1,TRUE))*VLOOKUP(Z191,Charge!$U$9:$W$12,3,TRUE)),IF(AND(B191="G4",M191=""),IF(R191="20'",Z191*Charge!$M$25,Z191*Charge!$P$25),IF(AND(B191="G4",M191="DG"),IF(R191="20'",Z191*Charge!$T$25,Z191*Charge!$W$25),0))))))))</f>
        <v>0</v>
      </c>
      <c r="AB191" s="53"/>
      <c r="AC191" s="53"/>
      <c r="AD191" s="56">
        <f>IF(M191="DG",3,IF(N191="RF",3,5))+IF(AND(LEFT(C191,3)="BKK",N191="RF",Q191="KTS"),1,0)+IF(Q191="KHS",1,0)</f>
        <v>5</v>
      </c>
      <c r="AE191" s="57">
        <f>(T191-V191)+1</f>
        <v>46324</v>
      </c>
      <c r="AF191" s="57">
        <f>IF(AB191&gt;IF((V191-W191)&gt;0,V191-W191,0),0,IF(AB191&lt;IF((V191-W191)&gt;0,V191-W191,0),IF((V191-W191)&gt;0,V191-W191,0)-AB191,IF((V191-W191)&gt;0,V191-W191,0)))</f>
        <v>0</v>
      </c>
      <c r="AG191" s="48">
        <f>IF(AND(M191=""),IF(R191="20'",
VLOOKUP(AF191,Charge!$K$31:$M$34,2,TRUE)+(AF191-VLOOKUP(AF191,Charge!$K$31:$M$34,1,TRUE))*VLOOKUP(AF191,Charge!$K$31:$M$34,3,TRUE),
VLOOKUP(AF191,Charge!$N$31:$P$34,2,TRUE)+(AF191-VLOOKUP(AF191,Charge!$N$31:$P$34,1,TRUE))*VLOOKUP(AF191,Charge!$N$31:$P$34,3,TRUE)),
IF(AND(M191="DG"),IF(R191="20'",
VLOOKUP(AF191,Charge!$R$31:$T$34,2,TRUE)+(AF191-VLOOKUP(AF191,Charge!$R$31:$T$34,1,TRUE))*VLOOKUP(AF191,Charge!$R$31:$T$34,3,TRUE),
VLOOKUP(AF191,Charge!$U$31:$W$34,2,TRUE)+(AF191-VLOOKUP(AF191,Charge!$U$31:$W$34,1,TRUE))*VLOOKUP(AF191,Charge!$U$31:$W$34,3,TRUE)),0))</f>
        <v>0</v>
      </c>
      <c r="AH191" s="60"/>
      <c r="AI191" s="60">
        <f>AA191-AH191</f>
        <v>0</v>
      </c>
      <c r="AJ191" s="61"/>
      <c r="AK191" s="55" t="str">
        <f>VLOOKUP(D191,'2.Bookinglist'!A:CT,40,FALSE)</f>
        <v>Nannaapust Sukporntaweewat</v>
      </c>
      <c r="AL191" s="56" t="str">
        <f>VLOOKUP(D191,'2.Bookinglist'!A:CW,101,FALSE)</f>
        <v>2026-10-25</v>
      </c>
      <c r="AM191" s="56" t="str">
        <f>VLOOKUP(D191,'2.Bookinglist'!A:BK,63,FALSE)</f>
        <v>LCHY5</v>
      </c>
      <c r="AN191" s="55" t="str">
        <f>VLOOKUP(D191,'2.Bookinglist'!A:AZ,52,FALSE)</f>
        <v>Pickup : 2026-10-20, Return : 2026-10-21</v>
      </c>
      <c r="AO191" s="55">
        <f>VLOOKUP(D191,'2.Bookinglist'!A:CY,103,FALSE)</f>
        <v>0</v>
      </c>
    </row>
    <row r="192" ht="12.95" customHeight="1" spans="1:41" x14ac:dyDescent="0.25">
      <c r="A192" s="3" t="s">
        <v>193</v>
      </c>
      <c r="B192" s="53" t="str">
        <f>IF(C192=Charge!$M$1,Charge!$J$1,IF(C192=Charge!$M$23,Charge!$J$23,IF(C192=Charge!$M$17,Charge!$J$17,IF(C192=Charge!$N$17,Charge!$J$17,Charge!$J$7))))</f>
        <v>G2</v>
      </c>
      <c r="C192" s="54" t="str">
        <f>VLOOKUP(A192,'1.Loading'!A:R,14,FALSE)</f>
        <v>LCH06</v>
      </c>
      <c r="D192" s="54" t="str">
        <f>VLOOKUP(A192,'1.Loading'!A:R,17,FALSE)</f>
        <v>HASLS22261000220</v>
      </c>
      <c r="E192" s="55" t="str">
        <f>VLOOKUP(D192,'2.Bookinglist'!A:CT,27,FALSE)</f>
        <v>EXPEDITORS (THAILAND) LTD.</v>
      </c>
      <c r="F192" s="55" t="str">
        <f>VLOOKUP(D192,'2.Bookinglist'!A:CT,28,FALSE)</f>
        <v>INNOVALUES PRECISION (THAILAND) LTD.</v>
      </c>
      <c r="G192" s="56" t="str">
        <f>VLOOKUP(D192,'2.Bookinglist'!A:E,5,FALSE)</f>
        <v>THSRP</v>
      </c>
      <c r="H192" s="54" t="str">
        <f>VLOOKUP(D192,'2.Bookinglist'!A:CT,15,FALSE)</f>
        <v>THLCH</v>
      </c>
      <c r="I192" s="54" t="str">
        <f>VLOOKUP(D192,'2.Bookinglist'!A:CT,19,FALSE)</f>
        <v>CNSHA</v>
      </c>
      <c r="J192" s="54">
        <f>VLOOKUP(D192,'2.Bookinglist'!A:CT,26,FALSE)</f>
        <v>0</v>
      </c>
      <c r="K192" s="54" t="str">
        <f>VLOOKUP(A192,'1.Loading'!A:R,5,FALSE)</f>
        <v>45GP</v>
      </c>
      <c r="L192" s="56" t="str">
        <f>VLOOKUP(D192,'2.Bookinglist'!A:CT,85,FALSE)</f>
        <v>CY/CY</v>
      </c>
      <c r="M192" s="56" t="str">
        <f>IF(VLOOKUP(D192,'2.Bookinglist'!A:CT,43,FALSE)=0,"","DG")</f>
        <v/>
      </c>
      <c r="N192" s="56" t="str">
        <f>IF(RIGHT(K192,2)="RE","RF","")</f>
        <v/>
      </c>
      <c r="O192" s="54" t="str">
        <f>VLOOKUP(A192,'1.Loading'!A:R,3,FALSE)</f>
        <v>HMVY</v>
      </c>
      <c r="P192" s="54" t="str">
        <f>VLOOKUP(A192,'1.Loading'!A:R,4,FALSE)</f>
        <v>2609N</v>
      </c>
      <c r="Q192" s="54" t="str">
        <f>VLOOKUP(D192,'2.Bookinglist'!A:CT,12,FALSE)</f>
        <v>PCI2</v>
      </c>
      <c r="R192" s="56" t="str">
        <f>IF(LEFT(K192,2)="22","20'","40'")</f>
        <v>40'</v>
      </c>
      <c r="S192" s="38"/>
      <c r="T192" s="54" t="str">
        <f>VLOOKUP(A192,'1.Loading'!A:R,2,FALSE)</f>
        <v>2026-10-28</v>
      </c>
      <c r="U192" s="57">
        <f>T192-S192</f>
        <v>46323</v>
      </c>
      <c r="V192" s="58"/>
      <c r="W192" s="54" t="str">
        <f>VLOOKUP(A192,'3.GateMove'!A:D,4,FALSE)</f>
        <v>2026-10-23</v>
      </c>
      <c r="X192" s="57">
        <f>((T192-W192)+1)</f>
        <v>6</v>
      </c>
      <c r="Y192" s="59">
        <f>IF(AND(OR(C192="BKK01",C192="BKK04"),L192="CFS/CY"),0,IF(M192="DG",1,IF(LEFT(C192,3)="LCH",7,IF(C192="BKK02",5,3))))</f>
        <v>7</v>
      </c>
      <c r="Z192" s="57">
        <f>IF(IF(AND(AC192="TML",AB192&gt;0),((T192-W192)+1)-AB192,((T192-W192)+1)-Y192)&gt;0,IF(AND(AC192="TML",AB192&gt;0),((T192-W192)+1)-AB192,((T192-W192)+1)-Y192),0)</f>
        <v>0</v>
      </c>
      <c r="AA192" s="48">
        <f>IF(AND(B192="G1",M192=""),IF(R192="20'",
VLOOKUP(Z192,Charge!$K$2:$M$5,2,TRUE)+(Z192-VLOOKUP(Z192,Charge!$K$2:$M$5,1,TRUE))*VLOOKUP(Z192,Charge!$K$2:$M$5,3,TRUE),
VLOOKUP(Z192,Charge!$N$2:$P$5,2,TRUE)+(Z192-VLOOKUP(Z192,Charge!$N$2:$P$5,1,TRUE))*VLOOKUP(Z192,Charge!$N$2:$P$5,3,TRUE)),
IF(AND(B192="G1",M192="DG"),IF(R192="20'",
VLOOKUP(Z192,Charge!$R$2:$T$5,2,TRUE)+(Z192-VLOOKUP(Z192,Charge!$R$2:$T$5,1,TRUE))*VLOOKUP(Z192,Charge!$R$2:$T$5,3,TRUE),
VLOOKUP(Z192,Charge!$U$2:$W$5,2,TRUE)+(Z192-VLOOKUP(Z192,Charge!$U$2:$W$5,1,TRUE))*VLOOKUP(Z192,Charge!$U$2:$W$5,3,TRUE)),
IF(AND(B192="G3",M192=""),IF(R192="20'",
VLOOKUP(Z192,Charge!$K$18:$M$21,2,TRUE)+(Z192-VLOOKUP(Z192,Charge!$K$18:$M$21,1,TRUE))*VLOOKUP(Z192,Charge!$K$18:$M$21,3,TRUE),
VLOOKUP(Z192,Charge!$N$18:$P$21,2,TRUE)+(Z192-VLOOKUP(Z192,Charge!$N$18:$P$21,1,TRUE))*VLOOKUP(Z192,Charge!$N$18:$P$21,3,TRUE)),
IF(AND(B192="G3",M192="DG"),IF(R192="20'",
VLOOKUP(Z192,Charge!$R$18:$T$21,2,TRUE)+(Z192-VLOOKUP(Z192,Charge!$R$18:$T$21,1,TRUE))*VLOOKUP(Z192,Charge!$R$18:$T$21,3,TRUE),
VLOOKUP(Z192,Charge!$U$18:$W$21,2,TRUE)+(Z192-VLOOKUP(Z192,Charge!$U$18:$W$21,1,TRUE))*VLOOKUP(Z192,Charge!$U$18:$W$21,3,TRUE)),
IF(AND(B192="G2",M192=""),IF(R192="20'",
VLOOKUP(Z192,Charge!$K$9:$M$12,2,TRUE)+(Z192-VLOOKUP(Z192,Charge!$K$9:$M$12,1,TRUE))*VLOOKUP(Z192,Charge!$K$9:$M$12,3,TRUE),
VLOOKUP(Z192,Charge!$N$9:$P$12,2,TRUE)+(Z192-VLOOKUP(Z192,Charge!$N$9:$P$12,1,TRUE))*VLOOKUP(Z192,Charge!$N$9:$P$12,3,TRUE)),
IF(AND(B192="G2",M192="DG"),IF(R192="20'",
VLOOKUP(Z192,Charge!$R$9:$T$12,2,TRUE)+(Z192-VLOOKUP(Z192,Charge!$R$9:$T$12,1,TRUE))*VLOOKUP(Z192,Charge!$R$9:$T$12,3,TRUE),
VLOOKUP(Z192,Charge!$U$9:$W$12,2,TRUE)+(Z192-VLOOKUP(Z192,Charge!$U$9:$W$12,1,TRUE))*VLOOKUP(Z192,Charge!$U$9:$W$12,3,TRUE)),IF(AND(B192="G4",M192=""),IF(R192="20'",Z192*Charge!$M$25,Z192*Charge!$P$25),IF(AND(B192="G4",M192="DG"),IF(R192="20'",Z192*Charge!$T$25,Z192*Charge!$W$25),0))))))))</f>
        <v>0</v>
      </c>
      <c r="AB192" s="53"/>
      <c r="AC192" s="53"/>
      <c r="AD192" s="56">
        <f>IF(M192="DG",3,IF(N192="RF",3,5))+IF(AND(LEFT(C192,3)="BKK",N192="RF",Q192="KTS"),1,0)+IF(Q192="KHS",1,0)</f>
        <v>5</v>
      </c>
      <c r="AE192" s="57">
        <f>(T192-V192)+1</f>
        <v>46324</v>
      </c>
      <c r="AF192" s="57">
        <f>IF(AB192&gt;IF((V192-W192)&gt;0,V192-W192,0),0,IF(AB192&lt;IF((V192-W192)&gt;0,V192-W192,0),IF((V192-W192)&gt;0,V192-W192,0)-AB192,IF((V192-W192)&gt;0,V192-W192,0)))</f>
        <v>0</v>
      </c>
      <c r="AG192" s="48">
        <f>IF(AND(M192=""),IF(R192="20'",
VLOOKUP(AF192,Charge!$K$31:$M$34,2,TRUE)+(AF192-VLOOKUP(AF192,Charge!$K$31:$M$34,1,TRUE))*VLOOKUP(AF192,Charge!$K$31:$M$34,3,TRUE),
VLOOKUP(AF192,Charge!$N$31:$P$34,2,TRUE)+(AF192-VLOOKUP(AF192,Charge!$N$31:$P$34,1,TRUE))*VLOOKUP(AF192,Charge!$N$31:$P$34,3,TRUE)),
IF(AND(M192="DG"),IF(R192="20'",
VLOOKUP(AF192,Charge!$R$31:$T$34,2,TRUE)+(AF192-VLOOKUP(AF192,Charge!$R$31:$T$34,1,TRUE))*VLOOKUP(AF192,Charge!$R$31:$T$34,3,TRUE),
VLOOKUP(AF192,Charge!$U$31:$W$34,2,TRUE)+(AF192-VLOOKUP(AF192,Charge!$U$31:$W$34,1,TRUE))*VLOOKUP(AF192,Charge!$U$31:$W$34,3,TRUE)),0))</f>
        <v>0</v>
      </c>
      <c r="AH192" s="60"/>
      <c r="AI192" s="60">
        <f>AA192-AH192</f>
        <v>0</v>
      </c>
      <c r="AJ192" s="61"/>
      <c r="AK192" s="55" t="str">
        <f>VLOOKUP(D192,'2.Bookinglist'!A:CT,40,FALSE)</f>
        <v>Kanokporn</v>
      </c>
      <c r="AL192" s="56" t="str">
        <f>VLOOKUP(D192,'2.Bookinglist'!A:CW,101,FALSE)</f>
        <v>2026-10-20</v>
      </c>
      <c r="AM192" s="56" t="str">
        <f>VLOOKUP(D192,'2.Bookinglist'!A:BK,63,FALSE)</f>
        <v>BKK27</v>
      </c>
      <c r="AN192" s="55" t="str">
        <f>VLOOKUP(D192,'2.Bookinglist'!A:AZ,52,FALSE)</f>
        <v>Pickup : 2026-10-14, Return : 2026-10-15 CLS TIME DD.17/1200AM AT SIAM RIVER PORT (CODE A3:2829)</v>
      </c>
      <c r="AO192" s="55">
        <f>VLOOKUP(D192,'2.Bookinglist'!A:CY,103,FALSE)</f>
        <v>0</v>
      </c>
    </row>
    <row r="193" ht="12.95" customHeight="1" spans="1:41" x14ac:dyDescent="0.25">
      <c r="A193" s="3" t="s">
        <v>146</v>
      </c>
      <c r="B193" s="53" t="str">
        <f>IF(C193=Charge!$M$1,Charge!$J$1,IF(C193=Charge!$M$23,Charge!$J$23,IF(C193=Charge!$M$17,Charge!$J$17,IF(C193=Charge!$N$17,Charge!$J$17,Charge!$J$7))))</f>
        <v>G2</v>
      </c>
      <c r="C193" s="54" t="str">
        <f>VLOOKUP(A193,'1.Loading'!A:R,14,FALSE)</f>
        <v>LCH06</v>
      </c>
      <c r="D193" s="54" t="str">
        <f>VLOOKUP(A193,'1.Loading'!A:R,17,FALSE)</f>
        <v>HASLS22261000285</v>
      </c>
      <c r="E193" s="55" t="str">
        <f>VLOOKUP(D193,'2.Bookinglist'!A:CT,27,FALSE)</f>
        <v>AGC VINYTHAI PUBLIC COMPANY LIMITED</v>
      </c>
      <c r="F193" s="55" t="str">
        <f>VLOOKUP(D193,'2.Bookinglist'!A:CT,28,FALSE)</f>
        <v>AGC VINYTHAI PUBLIC COMPANY LIMITED</v>
      </c>
      <c r="G193" s="56">
        <f>VLOOKUP(D193,'2.Bookinglist'!A:E,5,FALSE)</f>
        <v>0</v>
      </c>
      <c r="H193" s="54" t="str">
        <f>VLOOKUP(D193,'2.Bookinglist'!A:CT,15,FALSE)</f>
        <v>THLCH</v>
      </c>
      <c r="I193" s="54" t="str">
        <f>VLOOKUP(D193,'2.Bookinglist'!A:CT,19,FALSE)</f>
        <v>CNSHA</v>
      </c>
      <c r="J193" s="54">
        <f>VLOOKUP(D193,'2.Bookinglist'!A:CT,26,FALSE)</f>
        <v>0</v>
      </c>
      <c r="K193" s="54" t="str">
        <f>VLOOKUP(A193,'1.Loading'!A:R,5,FALSE)</f>
        <v>45GP</v>
      </c>
      <c r="L193" s="56" t="str">
        <f>VLOOKUP(D193,'2.Bookinglist'!A:CT,85,FALSE)</f>
        <v>CY/CY</v>
      </c>
      <c r="M193" s="56" t="str">
        <f>IF(VLOOKUP(D193,'2.Bookinglist'!A:CT,43,FALSE)=0,"","DG")</f>
        <v/>
      </c>
      <c r="N193" s="56" t="str">
        <f>IF(RIGHT(K193,2)="RE","RF","")</f>
        <v/>
      </c>
      <c r="O193" s="54" t="str">
        <f>VLOOKUP(A193,'1.Loading'!A:R,3,FALSE)</f>
        <v>HMVY</v>
      </c>
      <c r="P193" s="54" t="str">
        <f>VLOOKUP(A193,'1.Loading'!A:R,4,FALSE)</f>
        <v>2609N</v>
      </c>
      <c r="Q193" s="54" t="str">
        <f>VLOOKUP(D193,'2.Bookinglist'!A:CT,12,FALSE)</f>
        <v>PCI2</v>
      </c>
      <c r="R193" s="56" t="str">
        <f>IF(LEFT(K193,2)="22","20'","40'")</f>
        <v>40'</v>
      </c>
      <c r="S193" s="38"/>
      <c r="T193" s="54" t="str">
        <f>VLOOKUP(A193,'1.Loading'!A:R,2,FALSE)</f>
        <v>2026-10-28</v>
      </c>
      <c r="U193" s="57">
        <f>T193-S193</f>
        <v>46323</v>
      </c>
      <c r="V193" s="58"/>
      <c r="W193" s="54" t="str">
        <f>VLOOKUP(A193,'3.GateMove'!A:D,4,FALSE)</f>
        <v>2026-10-18</v>
      </c>
      <c r="X193" s="57">
        <f>((T193-W193)+1)</f>
        <v>11</v>
      </c>
      <c r="Y193" s="59">
        <f>IF(AND(OR(C193="BKK01",C193="BKK04"),L193="CFS/CY"),0,IF(M193="DG",1,IF(LEFT(C193,3)="LCH",7,IF(C193="BKK02",5,3))))</f>
        <v>7</v>
      </c>
      <c r="Z193" s="57">
        <f>IF(IF(AND(AC193="TML",AB193&gt;0),((T193-W193)+1)-AB193,((T193-W193)+1)-Y193)&gt;0,IF(AND(AC193="TML",AB193&gt;0),((T193-W193)+1)-AB193,((T193-W193)+1)-Y193),0)</f>
        <v>4</v>
      </c>
      <c r="AA193" s="48">
        <f>IF(AND(B193="G1",M193=""),IF(R193="20'",
VLOOKUP(Z193,Charge!$K$2:$M$5,2,TRUE)+(Z193-VLOOKUP(Z193,Charge!$K$2:$M$5,1,TRUE))*VLOOKUP(Z193,Charge!$K$2:$M$5,3,TRUE),
VLOOKUP(Z193,Charge!$N$2:$P$5,2,TRUE)+(Z193-VLOOKUP(Z193,Charge!$N$2:$P$5,1,TRUE))*VLOOKUP(Z193,Charge!$N$2:$P$5,3,TRUE)),
IF(AND(B193="G1",M193="DG"),IF(R193="20'",
VLOOKUP(Z193,Charge!$R$2:$T$5,2,TRUE)+(Z193-VLOOKUP(Z193,Charge!$R$2:$T$5,1,TRUE))*VLOOKUP(Z193,Charge!$R$2:$T$5,3,TRUE),
VLOOKUP(Z193,Charge!$U$2:$W$5,2,TRUE)+(Z193-VLOOKUP(Z193,Charge!$U$2:$W$5,1,TRUE))*VLOOKUP(Z193,Charge!$U$2:$W$5,3,TRUE)),
IF(AND(B193="G3",M193=""),IF(R193="20'",
VLOOKUP(Z193,Charge!$K$18:$M$21,2,TRUE)+(Z193-VLOOKUP(Z193,Charge!$K$18:$M$21,1,TRUE))*VLOOKUP(Z193,Charge!$K$18:$M$21,3,TRUE),
VLOOKUP(Z193,Charge!$N$18:$P$21,2,TRUE)+(Z193-VLOOKUP(Z193,Charge!$N$18:$P$21,1,TRUE))*VLOOKUP(Z193,Charge!$N$18:$P$21,3,TRUE)),
IF(AND(B193="G3",M193="DG"),IF(R193="20'",
VLOOKUP(Z193,Charge!$R$18:$T$21,2,TRUE)+(Z193-VLOOKUP(Z193,Charge!$R$18:$T$21,1,TRUE))*VLOOKUP(Z193,Charge!$R$18:$T$21,3,TRUE),
VLOOKUP(Z193,Charge!$U$18:$W$21,2,TRUE)+(Z193-VLOOKUP(Z193,Charge!$U$18:$W$21,1,TRUE))*VLOOKUP(Z193,Charge!$U$18:$W$21,3,TRUE)),
IF(AND(B193="G2",M193=""),IF(R193="20'",
VLOOKUP(Z193,Charge!$K$9:$M$12,2,TRUE)+(Z193-VLOOKUP(Z193,Charge!$K$9:$M$12,1,TRUE))*VLOOKUP(Z193,Charge!$K$9:$M$12,3,TRUE),
VLOOKUP(Z193,Charge!$N$9:$P$12,2,TRUE)+(Z193-VLOOKUP(Z193,Charge!$N$9:$P$12,1,TRUE))*VLOOKUP(Z193,Charge!$N$9:$P$12,3,TRUE)),
IF(AND(B193="G2",M193="DG"),IF(R193="20'",
VLOOKUP(Z193,Charge!$R$9:$T$12,2,TRUE)+(Z193-VLOOKUP(Z193,Charge!$R$9:$T$12,1,TRUE))*VLOOKUP(Z193,Charge!$R$9:$T$12,3,TRUE),
VLOOKUP(Z193,Charge!$U$9:$W$12,2,TRUE)+(Z193-VLOOKUP(Z193,Charge!$U$9:$W$12,1,TRUE))*VLOOKUP(Z193,Charge!$U$9:$W$12,3,TRUE)),IF(AND(B193="G4",M193=""),IF(R193="20'",Z193*Charge!$M$25,Z193*Charge!$P$25),IF(AND(B193="G4",M193="DG"),IF(R193="20'",Z193*Charge!$T$25,Z193*Charge!$W$25),0))))))))</f>
        <v>1000</v>
      </c>
      <c r="AB193" s="53"/>
      <c r="AC193" s="53"/>
      <c r="AD193" s="56">
        <f>IF(M193="DG",3,IF(N193="RF",3,5))+IF(AND(LEFT(C193,3)="BKK",N193="RF",Q193="KTS"),1,0)+IF(Q193="KHS",1,0)</f>
        <v>5</v>
      </c>
      <c r="AE193" s="57">
        <f>(T193-V193)+1</f>
        <v>46324</v>
      </c>
      <c r="AF193" s="57">
        <f>IF(AB193&gt;IF((V193-W193)&gt;0,V193-W193,0),0,IF(AB193&lt;IF((V193-W193)&gt;0,V193-W193,0),IF((V193-W193)&gt;0,V193-W193,0)-AB193,IF((V193-W193)&gt;0,V193-W193,0)))</f>
        <v>0</v>
      </c>
      <c r="AG193" s="48">
        <f>IF(AND(M193=""),IF(R193="20'",
VLOOKUP(AF193,Charge!$K$31:$M$34,2,TRUE)+(AF193-VLOOKUP(AF193,Charge!$K$31:$M$34,1,TRUE))*VLOOKUP(AF193,Charge!$K$31:$M$34,3,TRUE),
VLOOKUP(AF193,Charge!$N$31:$P$34,2,TRUE)+(AF193-VLOOKUP(AF193,Charge!$N$31:$P$34,1,TRUE))*VLOOKUP(AF193,Charge!$N$31:$P$34,3,TRUE)),
IF(AND(M193="DG"),IF(R193="20'",
VLOOKUP(AF193,Charge!$R$31:$T$34,2,TRUE)+(AF193-VLOOKUP(AF193,Charge!$R$31:$T$34,1,TRUE))*VLOOKUP(AF193,Charge!$R$31:$T$34,3,TRUE),
VLOOKUP(AF193,Charge!$U$31:$W$34,2,TRUE)+(AF193-VLOOKUP(AF193,Charge!$U$31:$W$34,1,TRUE))*VLOOKUP(AF193,Charge!$U$31:$W$34,3,TRUE)),0))</f>
        <v>0</v>
      </c>
      <c r="AH193" s="60"/>
      <c r="AI193" s="60">
        <f>AA193-AH193</f>
        <v>1000</v>
      </c>
      <c r="AJ193" s="61"/>
      <c r="AK193" s="55" t="str">
        <f>VLOOKUP(D193,'2.Bookinglist'!A:CT,40,FALSE)</f>
        <v>Nannaapust Sukporntaweewat</v>
      </c>
      <c r="AL193" s="56" t="str">
        <f>VLOOKUP(D193,'2.Bookinglist'!A:CW,101,FALSE)</f>
        <v>2026-10-24</v>
      </c>
      <c r="AM193" s="56" t="str">
        <f>VLOOKUP(D193,'2.Bookinglist'!A:BK,63,FALSE)</f>
        <v>LCHY5</v>
      </c>
      <c r="AN193" s="55" t="str">
        <f>VLOOKUP(D193,'2.Bookinglist'!A:AZ,52,FALSE)</f>
        <v>Pickup : 2026-10-15, Return : 2026-10-16</v>
      </c>
      <c r="AO193" s="55">
        <f>VLOOKUP(D193,'2.Bookinglist'!A:CY,103,FALSE)</f>
        <v>0</v>
      </c>
    </row>
    <row r="194" ht="12.95" customHeight="1" spans="1:41" x14ac:dyDescent="0.25">
      <c r="A194" s="3" t="s">
        <v>137</v>
      </c>
      <c r="B194" s="53" t="str">
        <f>IF(C194=Charge!$M$1,Charge!$J$1,IF(C194=Charge!$M$23,Charge!$J$23,IF(C194=Charge!$M$17,Charge!$J$17,IF(C194=Charge!$N$17,Charge!$J$17,Charge!$J$7))))</f>
        <v>G2</v>
      </c>
      <c r="C194" s="54" t="str">
        <f>VLOOKUP(A194,'1.Loading'!A:R,14,FALSE)</f>
        <v>LCH06</v>
      </c>
      <c r="D194" s="54" t="str">
        <f>VLOOKUP(A194,'1.Loading'!A:R,17,FALSE)</f>
        <v>HASLS22261000285</v>
      </c>
      <c r="E194" s="55" t="str">
        <f>VLOOKUP(D194,'2.Bookinglist'!A:CT,27,FALSE)</f>
        <v>AGC VINYTHAI PUBLIC COMPANY LIMITED</v>
      </c>
      <c r="F194" s="55" t="str">
        <f>VLOOKUP(D194,'2.Bookinglist'!A:CT,28,FALSE)</f>
        <v>AGC VINYTHAI PUBLIC COMPANY LIMITED</v>
      </c>
      <c r="G194" s="56">
        <f>VLOOKUP(D194,'2.Bookinglist'!A:E,5,FALSE)</f>
        <v>0</v>
      </c>
      <c r="H194" s="54" t="str">
        <f>VLOOKUP(D194,'2.Bookinglist'!A:CT,15,FALSE)</f>
        <v>THLCH</v>
      </c>
      <c r="I194" s="54" t="str">
        <f>VLOOKUP(D194,'2.Bookinglist'!A:CT,19,FALSE)</f>
        <v>CNSHA</v>
      </c>
      <c r="J194" s="54">
        <f>VLOOKUP(D194,'2.Bookinglist'!A:CT,26,FALSE)</f>
        <v>0</v>
      </c>
      <c r="K194" s="54" t="str">
        <f>VLOOKUP(A194,'1.Loading'!A:R,5,FALSE)</f>
        <v>45GP</v>
      </c>
      <c r="L194" s="56" t="str">
        <f>VLOOKUP(D194,'2.Bookinglist'!A:CT,85,FALSE)</f>
        <v>CY/CY</v>
      </c>
      <c r="M194" s="56" t="str">
        <f>IF(VLOOKUP(D194,'2.Bookinglist'!A:CT,43,FALSE)=0,"","DG")</f>
        <v/>
      </c>
      <c r="N194" s="56" t="str">
        <f>IF(RIGHT(K194,2)="RE","RF","")</f>
        <v/>
      </c>
      <c r="O194" s="54" t="str">
        <f>VLOOKUP(A194,'1.Loading'!A:R,3,FALSE)</f>
        <v>HMVY</v>
      </c>
      <c r="P194" s="54" t="str">
        <f>VLOOKUP(A194,'1.Loading'!A:R,4,FALSE)</f>
        <v>2609N</v>
      </c>
      <c r="Q194" s="54" t="str">
        <f>VLOOKUP(D194,'2.Bookinglist'!A:CT,12,FALSE)</f>
        <v>PCI2</v>
      </c>
      <c r="R194" s="56" t="str">
        <f>IF(LEFT(K194,2)="22","20'","40'")</f>
        <v>40'</v>
      </c>
      <c r="S194" s="38"/>
      <c r="T194" s="54" t="str">
        <f>VLOOKUP(A194,'1.Loading'!A:R,2,FALSE)</f>
        <v>2026-10-28</v>
      </c>
      <c r="U194" s="57">
        <f>T194-S194</f>
        <v>46323</v>
      </c>
      <c r="V194" s="58"/>
      <c r="W194" s="54" t="str">
        <f>VLOOKUP(A194,'3.GateMove'!A:D,4,FALSE)</f>
        <v>2026-10-20</v>
      </c>
      <c r="X194" s="57">
        <f>((T194-W194)+1)</f>
        <v>9</v>
      </c>
      <c r="Y194" s="59">
        <f>IF(AND(OR(C194="BKK01",C194="BKK04"),L194="CFS/CY"),0,IF(M194="DG",1,IF(LEFT(C194,3)="LCH",7,IF(C194="BKK02",5,3))))</f>
        <v>7</v>
      </c>
      <c r="Z194" s="57">
        <f>IF(IF(AND(AC194="TML",AB194&gt;0),((T194-W194)+1)-AB194,((T194-W194)+1)-Y194)&gt;0,IF(AND(AC194="TML",AB194&gt;0),((T194-W194)+1)-AB194,((T194-W194)+1)-Y194),0)</f>
        <v>2</v>
      </c>
      <c r="AA194" s="48">
        <f>IF(AND(B194="G1",M194=""),IF(R194="20'",
VLOOKUP(Z194,Charge!$K$2:$M$5,2,TRUE)+(Z194-VLOOKUP(Z194,Charge!$K$2:$M$5,1,TRUE))*VLOOKUP(Z194,Charge!$K$2:$M$5,3,TRUE),
VLOOKUP(Z194,Charge!$N$2:$P$5,2,TRUE)+(Z194-VLOOKUP(Z194,Charge!$N$2:$P$5,1,TRUE))*VLOOKUP(Z194,Charge!$N$2:$P$5,3,TRUE)),
IF(AND(B194="G1",M194="DG"),IF(R194="20'",
VLOOKUP(Z194,Charge!$R$2:$T$5,2,TRUE)+(Z194-VLOOKUP(Z194,Charge!$R$2:$T$5,1,TRUE))*VLOOKUP(Z194,Charge!$R$2:$T$5,3,TRUE),
VLOOKUP(Z194,Charge!$U$2:$W$5,2,TRUE)+(Z194-VLOOKUP(Z194,Charge!$U$2:$W$5,1,TRUE))*VLOOKUP(Z194,Charge!$U$2:$W$5,3,TRUE)),
IF(AND(B194="G3",M194=""),IF(R194="20'",
VLOOKUP(Z194,Charge!$K$18:$M$21,2,TRUE)+(Z194-VLOOKUP(Z194,Charge!$K$18:$M$21,1,TRUE))*VLOOKUP(Z194,Charge!$K$18:$M$21,3,TRUE),
VLOOKUP(Z194,Charge!$N$18:$P$21,2,TRUE)+(Z194-VLOOKUP(Z194,Charge!$N$18:$P$21,1,TRUE))*VLOOKUP(Z194,Charge!$N$18:$P$21,3,TRUE)),
IF(AND(B194="G3",M194="DG"),IF(R194="20'",
VLOOKUP(Z194,Charge!$R$18:$T$21,2,TRUE)+(Z194-VLOOKUP(Z194,Charge!$R$18:$T$21,1,TRUE))*VLOOKUP(Z194,Charge!$R$18:$T$21,3,TRUE),
VLOOKUP(Z194,Charge!$U$18:$W$21,2,TRUE)+(Z194-VLOOKUP(Z194,Charge!$U$18:$W$21,1,TRUE))*VLOOKUP(Z194,Charge!$U$18:$W$21,3,TRUE)),
IF(AND(B194="G2",M194=""),IF(R194="20'",
VLOOKUP(Z194,Charge!$K$9:$M$12,2,TRUE)+(Z194-VLOOKUP(Z194,Charge!$K$9:$M$12,1,TRUE))*VLOOKUP(Z194,Charge!$K$9:$M$12,3,TRUE),
VLOOKUP(Z194,Charge!$N$9:$P$12,2,TRUE)+(Z194-VLOOKUP(Z194,Charge!$N$9:$P$12,1,TRUE))*VLOOKUP(Z194,Charge!$N$9:$P$12,3,TRUE)),
IF(AND(B194="G2",M194="DG"),IF(R194="20'",
VLOOKUP(Z194,Charge!$R$9:$T$12,2,TRUE)+(Z194-VLOOKUP(Z194,Charge!$R$9:$T$12,1,TRUE))*VLOOKUP(Z194,Charge!$R$9:$T$12,3,TRUE),
VLOOKUP(Z194,Charge!$U$9:$W$12,2,TRUE)+(Z194-VLOOKUP(Z194,Charge!$U$9:$W$12,1,TRUE))*VLOOKUP(Z194,Charge!$U$9:$W$12,3,TRUE)),IF(AND(B194="G4",M194=""),IF(R194="20'",Z194*Charge!$M$25,Z194*Charge!$P$25),IF(AND(B194="G4",M194="DG"),IF(R194="20'",Z194*Charge!$T$25,Z194*Charge!$W$25),0))))))))</f>
        <v>500</v>
      </c>
      <c r="AB194" s="53"/>
      <c r="AC194" s="53"/>
      <c r="AD194" s="56">
        <f>IF(M194="DG",3,IF(N194="RF",3,5))+IF(AND(LEFT(C194,3)="BKK",N194="RF",Q194="KTS"),1,0)+IF(Q194="KHS",1,0)</f>
        <v>5</v>
      </c>
      <c r="AE194" s="57">
        <f>(T194-V194)+1</f>
        <v>46324</v>
      </c>
      <c r="AF194" s="57">
        <f>IF(AB194&gt;IF((V194-W194)&gt;0,V194-W194,0),0,IF(AB194&lt;IF((V194-W194)&gt;0,V194-W194,0),IF((V194-W194)&gt;0,V194-W194,0)-AB194,IF((V194-W194)&gt;0,V194-W194,0)))</f>
        <v>0</v>
      </c>
      <c r="AG194" s="48">
        <f>IF(AND(M194=""),IF(R194="20'",
VLOOKUP(AF194,Charge!$K$31:$M$34,2,TRUE)+(AF194-VLOOKUP(AF194,Charge!$K$31:$M$34,1,TRUE))*VLOOKUP(AF194,Charge!$K$31:$M$34,3,TRUE),
VLOOKUP(AF194,Charge!$N$31:$P$34,2,TRUE)+(AF194-VLOOKUP(AF194,Charge!$N$31:$P$34,1,TRUE))*VLOOKUP(AF194,Charge!$N$31:$P$34,3,TRUE)),
IF(AND(M194="DG"),IF(R194="20'",
VLOOKUP(AF194,Charge!$R$31:$T$34,2,TRUE)+(AF194-VLOOKUP(AF194,Charge!$R$31:$T$34,1,TRUE))*VLOOKUP(AF194,Charge!$R$31:$T$34,3,TRUE),
VLOOKUP(AF194,Charge!$U$31:$W$34,2,TRUE)+(AF194-VLOOKUP(AF194,Charge!$U$31:$W$34,1,TRUE))*VLOOKUP(AF194,Charge!$U$31:$W$34,3,TRUE)),0))</f>
        <v>0</v>
      </c>
      <c r="AH194" s="60"/>
      <c r="AI194" s="60">
        <f>AA194-AH194</f>
        <v>500</v>
      </c>
      <c r="AJ194" s="61"/>
      <c r="AK194" s="55" t="str">
        <f>VLOOKUP(D194,'2.Bookinglist'!A:CT,40,FALSE)</f>
        <v>Nannaapust Sukporntaweewat</v>
      </c>
      <c r="AL194" s="56" t="str">
        <f>VLOOKUP(D194,'2.Bookinglist'!A:CW,101,FALSE)</f>
        <v>2026-10-24</v>
      </c>
      <c r="AM194" s="56" t="str">
        <f>VLOOKUP(D194,'2.Bookinglist'!A:BK,63,FALSE)</f>
        <v>LCHY5</v>
      </c>
      <c r="AN194" s="55" t="str">
        <f>VLOOKUP(D194,'2.Bookinglist'!A:AZ,52,FALSE)</f>
        <v>Pickup : 2026-10-15, Return : 2026-10-16</v>
      </c>
      <c r="AO194" s="55">
        <f>VLOOKUP(D194,'2.Bookinglist'!A:CY,103,FALSE)</f>
        <v>0</v>
      </c>
    </row>
    <row r="195" ht="12.95" customHeight="1" spans="1:41" x14ac:dyDescent="0.25">
      <c r="A195" s="3" t="s">
        <v>178</v>
      </c>
      <c r="B195" s="53" t="str">
        <f>IF(C195=Charge!$M$1,Charge!$J$1,IF(C195=Charge!$M$23,Charge!$J$23,IF(C195=Charge!$M$17,Charge!$J$17,IF(C195=Charge!$N$17,Charge!$J$17,Charge!$J$7))))</f>
        <v>G2</v>
      </c>
      <c r="C195" s="54" t="str">
        <f>VLOOKUP(A195,'1.Loading'!A:R,14,FALSE)</f>
        <v>LCH06</v>
      </c>
      <c r="D195" s="54" t="str">
        <f>VLOOKUP(A195,'1.Loading'!A:R,17,FALSE)</f>
        <v>HASLS22260901682</v>
      </c>
      <c r="E195" s="55" t="str">
        <f>VLOOKUP(D195,'2.Bookinglist'!A:CT,27,FALSE)</f>
        <v>WHA GC LOGISTICS COMPANY LIMITED</v>
      </c>
      <c r="F195" s="55" t="str">
        <f>VLOOKUP(D195,'2.Bookinglist'!A:CT,28,FALSE)</f>
        <v>PTT GLOBAL CHEMICAL PUBLIC COMPANY LIMITED</v>
      </c>
      <c r="G195" s="56">
        <f>VLOOKUP(D195,'2.Bookinglist'!A:E,5,FALSE)</f>
        <v>0</v>
      </c>
      <c r="H195" s="54" t="str">
        <f>VLOOKUP(D195,'2.Bookinglist'!A:CT,15,FALSE)</f>
        <v>THLCH</v>
      </c>
      <c r="I195" s="54" t="str">
        <f>VLOOKUP(D195,'2.Bookinglist'!A:CT,19,FALSE)</f>
        <v>JPMYJ</v>
      </c>
      <c r="J195" s="54" t="str">
        <f>VLOOKUP(D195,'2.Bookinglist'!A:CT,26,FALSE)</f>
        <v>KRPUS</v>
      </c>
      <c r="K195" s="54" t="str">
        <f>VLOOKUP(A195,'1.Loading'!A:R,5,FALSE)</f>
        <v>45GP</v>
      </c>
      <c r="L195" s="56" t="str">
        <f>VLOOKUP(D195,'2.Bookinglist'!A:CT,85,FALSE)</f>
        <v>CY/CY</v>
      </c>
      <c r="M195" s="56" t="str">
        <f>IF(VLOOKUP(D195,'2.Bookinglist'!A:CT,43,FALSE)=0,"","DG")</f>
        <v/>
      </c>
      <c r="N195" s="56" t="str">
        <f>IF(RIGHT(K195,2)="RE","RF","")</f>
        <v/>
      </c>
      <c r="O195" s="54" t="str">
        <f>VLOOKUP(A195,'1.Loading'!A:R,3,FALSE)</f>
        <v>HMVY</v>
      </c>
      <c r="P195" s="54" t="str">
        <f>VLOOKUP(A195,'1.Loading'!A:R,4,FALSE)</f>
        <v>2609N</v>
      </c>
      <c r="Q195" s="54" t="str">
        <f>VLOOKUP(D195,'2.Bookinglist'!A:CT,12,FALSE)</f>
        <v>PCI2</v>
      </c>
      <c r="R195" s="56" t="str">
        <f>IF(LEFT(K195,2)="22","20'","40'")</f>
        <v>40'</v>
      </c>
      <c r="S195" s="38"/>
      <c r="T195" s="54" t="str">
        <f>VLOOKUP(A195,'1.Loading'!A:R,2,FALSE)</f>
        <v>2026-10-28</v>
      </c>
      <c r="U195" s="57">
        <f>T195-S195</f>
        <v>46323</v>
      </c>
      <c r="V195" s="58"/>
      <c r="W195" s="54" t="str">
        <f>VLOOKUP(A195,'3.GateMove'!A:D,4,FALSE)</f>
        <v>2026-10-18</v>
      </c>
      <c r="X195" s="57">
        <f>((T195-W195)+1)</f>
        <v>11</v>
      </c>
      <c r="Y195" s="59">
        <f>IF(AND(OR(C195="BKK01",C195="BKK04"),L195="CFS/CY"),0,IF(M195="DG",1,IF(LEFT(C195,3)="LCH",7,IF(C195="BKK02",5,3))))</f>
        <v>7</v>
      </c>
      <c r="Z195" s="57">
        <f>IF(IF(AND(AC195="TML",AB195&gt;0),((T195-W195)+1)-AB195,((T195-W195)+1)-Y195)&gt;0,IF(AND(AC195="TML",AB195&gt;0),((T195-W195)+1)-AB195,((T195-W195)+1)-Y195),0)</f>
        <v>4</v>
      </c>
      <c r="AA195" s="48">
        <f>IF(AND(B195="G1",M195=""),IF(R195="20'",
VLOOKUP(Z195,Charge!$K$2:$M$5,2,TRUE)+(Z195-VLOOKUP(Z195,Charge!$K$2:$M$5,1,TRUE))*VLOOKUP(Z195,Charge!$K$2:$M$5,3,TRUE),
VLOOKUP(Z195,Charge!$N$2:$P$5,2,TRUE)+(Z195-VLOOKUP(Z195,Charge!$N$2:$P$5,1,TRUE))*VLOOKUP(Z195,Charge!$N$2:$P$5,3,TRUE)),
IF(AND(B195="G1",M195="DG"),IF(R195="20'",
VLOOKUP(Z195,Charge!$R$2:$T$5,2,TRUE)+(Z195-VLOOKUP(Z195,Charge!$R$2:$T$5,1,TRUE))*VLOOKUP(Z195,Charge!$R$2:$T$5,3,TRUE),
VLOOKUP(Z195,Charge!$U$2:$W$5,2,TRUE)+(Z195-VLOOKUP(Z195,Charge!$U$2:$W$5,1,TRUE))*VLOOKUP(Z195,Charge!$U$2:$W$5,3,TRUE)),
IF(AND(B195="G3",M195=""),IF(R195="20'",
VLOOKUP(Z195,Charge!$K$18:$M$21,2,TRUE)+(Z195-VLOOKUP(Z195,Charge!$K$18:$M$21,1,TRUE))*VLOOKUP(Z195,Charge!$K$18:$M$21,3,TRUE),
VLOOKUP(Z195,Charge!$N$18:$P$21,2,TRUE)+(Z195-VLOOKUP(Z195,Charge!$N$18:$P$21,1,TRUE))*VLOOKUP(Z195,Charge!$N$18:$P$21,3,TRUE)),
IF(AND(B195="G3",M195="DG"),IF(R195="20'",
VLOOKUP(Z195,Charge!$R$18:$T$21,2,TRUE)+(Z195-VLOOKUP(Z195,Charge!$R$18:$T$21,1,TRUE))*VLOOKUP(Z195,Charge!$R$18:$T$21,3,TRUE),
VLOOKUP(Z195,Charge!$U$18:$W$21,2,TRUE)+(Z195-VLOOKUP(Z195,Charge!$U$18:$W$21,1,TRUE))*VLOOKUP(Z195,Charge!$U$18:$W$21,3,TRUE)),
IF(AND(B195="G2",M195=""),IF(R195="20'",
VLOOKUP(Z195,Charge!$K$9:$M$12,2,TRUE)+(Z195-VLOOKUP(Z195,Charge!$K$9:$M$12,1,TRUE))*VLOOKUP(Z195,Charge!$K$9:$M$12,3,TRUE),
VLOOKUP(Z195,Charge!$N$9:$P$12,2,TRUE)+(Z195-VLOOKUP(Z195,Charge!$N$9:$P$12,1,TRUE))*VLOOKUP(Z195,Charge!$N$9:$P$12,3,TRUE)),
IF(AND(B195="G2",M195="DG"),IF(R195="20'",
VLOOKUP(Z195,Charge!$R$9:$T$12,2,TRUE)+(Z195-VLOOKUP(Z195,Charge!$R$9:$T$12,1,TRUE))*VLOOKUP(Z195,Charge!$R$9:$T$12,3,TRUE),
VLOOKUP(Z195,Charge!$U$9:$W$12,2,TRUE)+(Z195-VLOOKUP(Z195,Charge!$U$9:$W$12,1,TRUE))*VLOOKUP(Z195,Charge!$U$9:$W$12,3,TRUE)),IF(AND(B195="G4",M195=""),IF(R195="20'",Z195*Charge!$M$25,Z195*Charge!$P$25),IF(AND(B195="G4",M195="DG"),IF(R195="20'",Z195*Charge!$T$25,Z195*Charge!$W$25),0))))))))</f>
        <v>1000</v>
      </c>
      <c r="AB195" s="53"/>
      <c r="AC195" s="53"/>
      <c r="AD195" s="56">
        <f>IF(M195="DG",3,IF(N195="RF",3,5))+IF(AND(LEFT(C195,3)="BKK",N195="RF",Q195="KTS"),1,0)+IF(Q195="KHS",1,0)</f>
        <v>5</v>
      </c>
      <c r="AE195" s="57">
        <f>(T195-V195)+1</f>
        <v>46324</v>
      </c>
      <c r="AF195" s="57">
        <f>IF(AB195&gt;IF((V195-W195)&gt;0,V195-W195,0),0,IF(AB195&lt;IF((V195-W195)&gt;0,V195-W195,0),IF((V195-W195)&gt;0,V195-W195,0)-AB195,IF((V195-W195)&gt;0,V195-W195,0)))</f>
        <v>0</v>
      </c>
      <c r="AG195" s="48">
        <f>IF(AND(M195=""),IF(R195="20'",
VLOOKUP(AF195,Charge!$K$31:$M$34,2,TRUE)+(AF195-VLOOKUP(AF195,Charge!$K$31:$M$34,1,TRUE))*VLOOKUP(AF195,Charge!$K$31:$M$34,3,TRUE),
VLOOKUP(AF195,Charge!$N$31:$P$34,2,TRUE)+(AF195-VLOOKUP(AF195,Charge!$N$31:$P$34,1,TRUE))*VLOOKUP(AF195,Charge!$N$31:$P$34,3,TRUE)),
IF(AND(M195="DG"),IF(R195="20'",
VLOOKUP(AF195,Charge!$R$31:$T$34,2,TRUE)+(AF195-VLOOKUP(AF195,Charge!$R$31:$T$34,1,TRUE))*VLOOKUP(AF195,Charge!$R$31:$T$34,3,TRUE),
VLOOKUP(AF195,Charge!$U$31:$W$34,2,TRUE)+(AF195-VLOOKUP(AF195,Charge!$U$31:$W$34,1,TRUE))*VLOOKUP(AF195,Charge!$U$31:$W$34,3,TRUE)),0))</f>
        <v>0</v>
      </c>
      <c r="AH195" s="60"/>
      <c r="AI195" s="60">
        <f>AA195-AH195</f>
        <v>1000</v>
      </c>
      <c r="AJ195" s="61"/>
      <c r="AK195" s="55" t="str">
        <f>VLOOKUP(D195,'2.Bookinglist'!A:CT,40,FALSE)</f>
        <v>Dharaporn</v>
      </c>
      <c r="AL195" s="56" t="str">
        <f>VLOOKUP(D195,'2.Bookinglist'!A:CW,101,FALSE)</f>
        <v>2026-10-14</v>
      </c>
      <c r="AM195" s="56" t="str">
        <f>VLOOKUP(D195,'2.Bookinglist'!A:BK,63,FALSE)</f>
        <v>LCHY5</v>
      </c>
      <c r="AN195" s="55" t="str">
        <f>VLOOKUP(D195,'2.Bookinglist'!A:AZ,52,FALSE)</f>
        <v>[FIX][FIX]CY-RTN 08-10/10/26</v>
      </c>
      <c r="AO195" s="55">
        <f>VLOOKUP(D195,'2.Bookinglist'!A:CY,103,FALSE)</f>
        <v>0</v>
      </c>
    </row>
    <row r="196" ht="12.95" customHeight="1" spans="1:41" x14ac:dyDescent="0.25">
      <c r="A196" s="3" t="s">
        <v>239</v>
      </c>
      <c r="B196" s="53" t="str">
        <f>IF(C196=Charge!$M$1,Charge!$J$1,IF(C196=Charge!$M$23,Charge!$J$23,IF(C196=Charge!$M$17,Charge!$J$17,IF(C196=Charge!$N$17,Charge!$J$17,Charge!$J$7))))</f>
        <v>G2</v>
      </c>
      <c r="C196" s="54" t="str">
        <f>VLOOKUP(A196,'1.Loading'!A:R,14,FALSE)</f>
        <v>LCH06</v>
      </c>
      <c r="D196" s="54" t="str">
        <f>VLOOKUP(A196,'1.Loading'!A:R,17,FALSE)</f>
        <v>HASLS22261000876</v>
      </c>
      <c r="E196" s="55" t="str">
        <f>VLOOKUP(D196,'2.Bookinglist'!A:CT,27,FALSE)</f>
        <v>SUN-OCEAN GLOBAL SUPPLY CHAIN CO., LTD.</v>
      </c>
      <c r="F196" s="55" t="str">
        <f>VLOOKUP(D196,'2.Bookinglist'!A:CT,28,FALSE)</f>
        <v>I.P. ONE COMPANY LIMITED</v>
      </c>
      <c r="G196" s="56" t="str">
        <f>VLOOKUP(D196,'2.Bookinglist'!A:E,5,FALSE)</f>
        <v>THSRP</v>
      </c>
      <c r="H196" s="54" t="str">
        <f>VLOOKUP(D196,'2.Bookinglist'!A:CT,15,FALSE)</f>
        <v>THLCH</v>
      </c>
      <c r="I196" s="54" t="str">
        <f>VLOOKUP(D196,'2.Bookinglist'!A:CT,19,FALSE)</f>
        <v>CNSHA</v>
      </c>
      <c r="J196" s="54">
        <f>VLOOKUP(D196,'2.Bookinglist'!A:CT,26,FALSE)</f>
        <v>0</v>
      </c>
      <c r="K196" s="54" t="str">
        <f>VLOOKUP(A196,'1.Loading'!A:R,5,FALSE)</f>
        <v>45GP</v>
      </c>
      <c r="L196" s="56" t="str">
        <f>VLOOKUP(D196,'2.Bookinglist'!A:CT,85,FALSE)</f>
        <v>CY/CY</v>
      </c>
      <c r="M196" s="56" t="str">
        <f>IF(VLOOKUP(D196,'2.Bookinglist'!A:CT,43,FALSE)=0,"","DG")</f>
        <v/>
      </c>
      <c r="N196" s="56" t="str">
        <f>IF(RIGHT(K196,2)="RE","RF","")</f>
        <v/>
      </c>
      <c r="O196" s="54" t="str">
        <f>VLOOKUP(A196,'1.Loading'!A:R,3,FALSE)</f>
        <v>HMVY</v>
      </c>
      <c r="P196" s="54" t="str">
        <f>VLOOKUP(A196,'1.Loading'!A:R,4,FALSE)</f>
        <v>2609N</v>
      </c>
      <c r="Q196" s="54" t="str">
        <f>VLOOKUP(D196,'2.Bookinglist'!A:CT,12,FALSE)</f>
        <v>PCI2</v>
      </c>
      <c r="R196" s="56" t="str">
        <f>IF(LEFT(K196,2)="22","20'","40'")</f>
        <v>40'</v>
      </c>
      <c r="S196" s="38"/>
      <c r="T196" s="54" t="str">
        <f>VLOOKUP(A196,'1.Loading'!A:R,2,FALSE)</f>
        <v>2026-10-28</v>
      </c>
      <c r="U196" s="57">
        <f>T196-S196</f>
        <v>46323</v>
      </c>
      <c r="V196" s="58"/>
      <c r="W196" s="54" t="str">
        <f>VLOOKUP(A196,'3.GateMove'!A:D,4,FALSE)</f>
        <v>2026-10-23</v>
      </c>
      <c r="X196" s="57">
        <f>((T196-W196)+1)</f>
        <v>6</v>
      </c>
      <c r="Y196" s="59">
        <f>IF(AND(OR(C196="BKK01",C196="BKK04"),L196="CFS/CY"),0,IF(M196="DG",1,IF(LEFT(C196,3)="LCH",7,IF(C196="BKK02",5,3))))</f>
        <v>7</v>
      </c>
      <c r="Z196" s="57">
        <f>IF(IF(AND(AC196="TML",AB196&gt;0),((T196-W196)+1)-AB196,((T196-W196)+1)-Y196)&gt;0,IF(AND(AC196="TML",AB196&gt;0),((T196-W196)+1)-AB196,((T196-W196)+1)-Y196),0)</f>
        <v>0</v>
      </c>
      <c r="AA196" s="48">
        <f>IF(AND(B196="G1",M196=""),IF(R196="20'",
VLOOKUP(Z196,Charge!$K$2:$M$5,2,TRUE)+(Z196-VLOOKUP(Z196,Charge!$K$2:$M$5,1,TRUE))*VLOOKUP(Z196,Charge!$K$2:$M$5,3,TRUE),
VLOOKUP(Z196,Charge!$N$2:$P$5,2,TRUE)+(Z196-VLOOKUP(Z196,Charge!$N$2:$P$5,1,TRUE))*VLOOKUP(Z196,Charge!$N$2:$P$5,3,TRUE)),
IF(AND(B196="G1",M196="DG"),IF(R196="20'",
VLOOKUP(Z196,Charge!$R$2:$T$5,2,TRUE)+(Z196-VLOOKUP(Z196,Charge!$R$2:$T$5,1,TRUE))*VLOOKUP(Z196,Charge!$R$2:$T$5,3,TRUE),
VLOOKUP(Z196,Charge!$U$2:$W$5,2,TRUE)+(Z196-VLOOKUP(Z196,Charge!$U$2:$W$5,1,TRUE))*VLOOKUP(Z196,Charge!$U$2:$W$5,3,TRUE)),
IF(AND(B196="G3",M196=""),IF(R196="20'",
VLOOKUP(Z196,Charge!$K$18:$M$21,2,TRUE)+(Z196-VLOOKUP(Z196,Charge!$K$18:$M$21,1,TRUE))*VLOOKUP(Z196,Charge!$K$18:$M$21,3,TRUE),
VLOOKUP(Z196,Charge!$N$18:$P$21,2,TRUE)+(Z196-VLOOKUP(Z196,Charge!$N$18:$P$21,1,TRUE))*VLOOKUP(Z196,Charge!$N$18:$P$21,3,TRUE)),
IF(AND(B196="G3",M196="DG"),IF(R196="20'",
VLOOKUP(Z196,Charge!$R$18:$T$21,2,TRUE)+(Z196-VLOOKUP(Z196,Charge!$R$18:$T$21,1,TRUE))*VLOOKUP(Z196,Charge!$R$18:$T$21,3,TRUE),
VLOOKUP(Z196,Charge!$U$18:$W$21,2,TRUE)+(Z196-VLOOKUP(Z196,Charge!$U$18:$W$21,1,TRUE))*VLOOKUP(Z196,Charge!$U$18:$W$21,3,TRUE)),
IF(AND(B196="G2",M196=""),IF(R196="20'",
VLOOKUP(Z196,Charge!$K$9:$M$12,2,TRUE)+(Z196-VLOOKUP(Z196,Charge!$K$9:$M$12,1,TRUE))*VLOOKUP(Z196,Charge!$K$9:$M$12,3,TRUE),
VLOOKUP(Z196,Charge!$N$9:$P$12,2,TRUE)+(Z196-VLOOKUP(Z196,Charge!$N$9:$P$12,1,TRUE))*VLOOKUP(Z196,Charge!$N$9:$P$12,3,TRUE)),
IF(AND(B196="G2",M196="DG"),IF(R196="20'",
VLOOKUP(Z196,Charge!$R$9:$T$12,2,TRUE)+(Z196-VLOOKUP(Z196,Charge!$R$9:$T$12,1,TRUE))*VLOOKUP(Z196,Charge!$R$9:$T$12,3,TRUE),
VLOOKUP(Z196,Charge!$U$9:$W$12,2,TRUE)+(Z196-VLOOKUP(Z196,Charge!$U$9:$W$12,1,TRUE))*VLOOKUP(Z196,Charge!$U$9:$W$12,3,TRUE)),IF(AND(B196="G4",M196=""),IF(R196="20'",Z196*Charge!$M$25,Z196*Charge!$P$25),IF(AND(B196="G4",M196="DG"),IF(R196="20'",Z196*Charge!$T$25,Z196*Charge!$W$25),0))))))))</f>
        <v>0</v>
      </c>
      <c r="AB196" s="53"/>
      <c r="AC196" s="53"/>
      <c r="AD196" s="56">
        <f>IF(M196="DG",3,IF(N196="RF",3,5))+IF(AND(LEFT(C196,3)="BKK",N196="RF",Q196="KTS"),1,0)+IF(Q196="KHS",1,0)</f>
        <v>5</v>
      </c>
      <c r="AE196" s="57">
        <f>(T196-V196)+1</f>
        <v>46324</v>
      </c>
      <c r="AF196" s="57">
        <f>IF(AB196&gt;IF((V196-W196)&gt;0,V196-W196,0),0,IF(AB196&lt;IF((V196-W196)&gt;0,V196-W196,0),IF((V196-W196)&gt;0,V196-W196,0)-AB196,IF((V196-W196)&gt;0,V196-W196,0)))</f>
        <v>0</v>
      </c>
      <c r="AG196" s="48">
        <f>IF(AND(M196=""),IF(R196="20'",
VLOOKUP(AF196,Charge!$K$31:$M$34,2,TRUE)+(AF196-VLOOKUP(AF196,Charge!$K$31:$M$34,1,TRUE))*VLOOKUP(AF196,Charge!$K$31:$M$34,3,TRUE),
VLOOKUP(AF196,Charge!$N$31:$P$34,2,TRUE)+(AF196-VLOOKUP(AF196,Charge!$N$31:$P$34,1,TRUE))*VLOOKUP(AF196,Charge!$N$31:$P$34,3,TRUE)),
IF(AND(M196="DG"),IF(R196="20'",
VLOOKUP(AF196,Charge!$R$31:$T$34,2,TRUE)+(AF196-VLOOKUP(AF196,Charge!$R$31:$T$34,1,TRUE))*VLOOKUP(AF196,Charge!$R$31:$T$34,3,TRUE),
VLOOKUP(AF196,Charge!$U$31:$W$34,2,TRUE)+(AF196-VLOOKUP(AF196,Charge!$U$31:$W$34,1,TRUE))*VLOOKUP(AF196,Charge!$U$31:$W$34,3,TRUE)),0))</f>
        <v>0</v>
      </c>
      <c r="AH196" s="60"/>
      <c r="AI196" s="60">
        <f>AA196-AH196</f>
        <v>0</v>
      </c>
      <c r="AJ196" s="61"/>
      <c r="AK196" s="55" t="str">
        <f>VLOOKUP(D196,'2.Bookinglist'!A:CT,40,FALSE)</f>
        <v>Arunphat W. (Aiw)</v>
      </c>
      <c r="AL196" s="56" t="str">
        <f>VLOOKUP(D196,'2.Bookinglist'!A:CW,101,FALSE)</f>
        <v>2026-10-22</v>
      </c>
      <c r="AM196" s="56" t="str">
        <f>VLOOKUP(D196,'2.Bookinglist'!A:BK,63,FALSE)</f>
        <v>BKK27</v>
      </c>
      <c r="AN196" s="55" t="str">
        <f>VLOOKUP(D196,'2.Bookinglist'!A:AZ,52,FALSE)</f>
        <v>Pickup : 2026-10-16, Return SRP : 2026-10-17 [PAPERLESS CODE 2829]
CLS TIME 24/10/26 @21.00 (1ST RETURN 17/10/26)</v>
      </c>
      <c r="AO196" s="55">
        <f>VLOOKUP(D196,'2.Bookinglist'!A:CY,103,FALSE)</f>
        <v>0</v>
      </c>
    </row>
    <row r="197" ht="12.95" customHeight="1" spans="1:41" x14ac:dyDescent="0.25">
      <c r="A197" s="3" t="s">
        <v>225</v>
      </c>
      <c r="B197" s="53" t="str">
        <f>IF(C197=Charge!$M$1,Charge!$J$1,IF(C197=Charge!$M$23,Charge!$J$23,IF(C197=Charge!$M$17,Charge!$J$17,IF(C197=Charge!$N$17,Charge!$J$17,Charge!$J$7))))</f>
        <v>G2</v>
      </c>
      <c r="C197" s="54" t="str">
        <f>VLOOKUP(A197,'1.Loading'!A:R,14,FALSE)</f>
        <v>LCH06</v>
      </c>
      <c r="D197" s="54" t="str">
        <f>VLOOKUP(A197,'1.Loading'!A:R,17,FALSE)</f>
        <v>HASLS22261001024</v>
      </c>
      <c r="E197" s="55" t="str">
        <f>VLOOKUP(D197,'2.Bookinglist'!A:CT,27,FALSE)</f>
        <v>SUN-OCEAN GLOBAL SUPPLY CHAIN CO., LTD.</v>
      </c>
      <c r="F197" s="55" t="str">
        <f>VLOOKUP(D197,'2.Bookinglist'!A:CT,28,FALSE)</f>
        <v>I.P. ONE COMPANY LIMITED</v>
      </c>
      <c r="G197" s="56" t="str">
        <f>VLOOKUP(D197,'2.Bookinglist'!A:E,5,FALSE)</f>
        <v>THSRP</v>
      </c>
      <c r="H197" s="54" t="str">
        <f>VLOOKUP(D197,'2.Bookinglist'!A:CT,15,FALSE)</f>
        <v>THLCH</v>
      </c>
      <c r="I197" s="54" t="str">
        <f>VLOOKUP(D197,'2.Bookinglist'!A:CT,19,FALSE)</f>
        <v>CNSHA</v>
      </c>
      <c r="J197" s="54">
        <f>VLOOKUP(D197,'2.Bookinglist'!A:CT,26,FALSE)</f>
        <v>0</v>
      </c>
      <c r="K197" s="54" t="str">
        <f>VLOOKUP(A197,'1.Loading'!A:R,5,FALSE)</f>
        <v>45GP</v>
      </c>
      <c r="L197" s="56" t="str">
        <f>VLOOKUP(D197,'2.Bookinglist'!A:CT,85,FALSE)</f>
        <v>CY/CY</v>
      </c>
      <c r="M197" s="56" t="str">
        <f>IF(VLOOKUP(D197,'2.Bookinglist'!A:CT,43,FALSE)=0,"","DG")</f>
        <v/>
      </c>
      <c r="N197" s="56" t="str">
        <f>IF(RIGHT(K197,2)="RE","RF","")</f>
        <v/>
      </c>
      <c r="O197" s="54" t="str">
        <f>VLOOKUP(A197,'1.Loading'!A:R,3,FALSE)</f>
        <v>HMVY</v>
      </c>
      <c r="P197" s="54" t="str">
        <f>VLOOKUP(A197,'1.Loading'!A:R,4,FALSE)</f>
        <v>2609N</v>
      </c>
      <c r="Q197" s="54" t="str">
        <f>VLOOKUP(D197,'2.Bookinglist'!A:CT,12,FALSE)</f>
        <v>PCI2</v>
      </c>
      <c r="R197" s="56" t="str">
        <f>IF(LEFT(K197,2)="22","20'","40'")</f>
        <v>40'</v>
      </c>
      <c r="S197" s="38"/>
      <c r="T197" s="54" t="str">
        <f>VLOOKUP(A197,'1.Loading'!A:R,2,FALSE)</f>
        <v>2026-10-28</v>
      </c>
      <c r="U197" s="57">
        <f>T197-S197</f>
        <v>46323</v>
      </c>
      <c r="V197" s="58"/>
      <c r="W197" s="54" t="str">
        <f>VLOOKUP(A197,'3.GateMove'!A:D,4,FALSE)</f>
        <v>2026-10-23</v>
      </c>
      <c r="X197" s="57">
        <f>((T197-W197)+1)</f>
        <v>6</v>
      </c>
      <c r="Y197" s="59">
        <f>IF(AND(OR(C197="BKK01",C197="BKK04"),L197="CFS/CY"),0,IF(M197="DG",1,IF(LEFT(C197,3)="LCH",7,IF(C197="BKK02",5,3))))</f>
        <v>7</v>
      </c>
      <c r="Z197" s="57">
        <f>IF(IF(AND(AC197="TML",AB197&gt;0),((T197-W197)+1)-AB197,((T197-W197)+1)-Y197)&gt;0,IF(AND(AC197="TML",AB197&gt;0),((T197-W197)+1)-AB197,((T197-W197)+1)-Y197),0)</f>
        <v>0</v>
      </c>
      <c r="AA197" s="48">
        <f>IF(AND(B197="G1",M197=""),IF(R197="20'",
VLOOKUP(Z197,Charge!$K$2:$M$5,2,TRUE)+(Z197-VLOOKUP(Z197,Charge!$K$2:$M$5,1,TRUE))*VLOOKUP(Z197,Charge!$K$2:$M$5,3,TRUE),
VLOOKUP(Z197,Charge!$N$2:$P$5,2,TRUE)+(Z197-VLOOKUP(Z197,Charge!$N$2:$P$5,1,TRUE))*VLOOKUP(Z197,Charge!$N$2:$P$5,3,TRUE)),
IF(AND(B197="G1",M197="DG"),IF(R197="20'",
VLOOKUP(Z197,Charge!$R$2:$T$5,2,TRUE)+(Z197-VLOOKUP(Z197,Charge!$R$2:$T$5,1,TRUE))*VLOOKUP(Z197,Charge!$R$2:$T$5,3,TRUE),
VLOOKUP(Z197,Charge!$U$2:$W$5,2,TRUE)+(Z197-VLOOKUP(Z197,Charge!$U$2:$W$5,1,TRUE))*VLOOKUP(Z197,Charge!$U$2:$W$5,3,TRUE)),
IF(AND(B197="G3",M197=""),IF(R197="20'",
VLOOKUP(Z197,Charge!$K$18:$M$21,2,TRUE)+(Z197-VLOOKUP(Z197,Charge!$K$18:$M$21,1,TRUE))*VLOOKUP(Z197,Charge!$K$18:$M$21,3,TRUE),
VLOOKUP(Z197,Charge!$N$18:$P$21,2,TRUE)+(Z197-VLOOKUP(Z197,Charge!$N$18:$P$21,1,TRUE))*VLOOKUP(Z197,Charge!$N$18:$P$21,3,TRUE)),
IF(AND(B197="G3",M197="DG"),IF(R197="20'",
VLOOKUP(Z197,Charge!$R$18:$T$21,2,TRUE)+(Z197-VLOOKUP(Z197,Charge!$R$18:$T$21,1,TRUE))*VLOOKUP(Z197,Charge!$R$18:$T$21,3,TRUE),
VLOOKUP(Z197,Charge!$U$18:$W$21,2,TRUE)+(Z197-VLOOKUP(Z197,Charge!$U$18:$W$21,1,TRUE))*VLOOKUP(Z197,Charge!$U$18:$W$21,3,TRUE)),
IF(AND(B197="G2",M197=""),IF(R197="20'",
VLOOKUP(Z197,Charge!$K$9:$M$12,2,TRUE)+(Z197-VLOOKUP(Z197,Charge!$K$9:$M$12,1,TRUE))*VLOOKUP(Z197,Charge!$K$9:$M$12,3,TRUE),
VLOOKUP(Z197,Charge!$N$9:$P$12,2,TRUE)+(Z197-VLOOKUP(Z197,Charge!$N$9:$P$12,1,TRUE))*VLOOKUP(Z197,Charge!$N$9:$P$12,3,TRUE)),
IF(AND(B197="G2",M197="DG"),IF(R197="20'",
VLOOKUP(Z197,Charge!$R$9:$T$12,2,TRUE)+(Z197-VLOOKUP(Z197,Charge!$R$9:$T$12,1,TRUE))*VLOOKUP(Z197,Charge!$R$9:$T$12,3,TRUE),
VLOOKUP(Z197,Charge!$U$9:$W$12,2,TRUE)+(Z197-VLOOKUP(Z197,Charge!$U$9:$W$12,1,TRUE))*VLOOKUP(Z197,Charge!$U$9:$W$12,3,TRUE)),IF(AND(B197="G4",M197=""),IF(R197="20'",Z197*Charge!$M$25,Z197*Charge!$P$25),IF(AND(B197="G4",M197="DG"),IF(R197="20'",Z197*Charge!$T$25,Z197*Charge!$W$25),0))))))))</f>
        <v>0</v>
      </c>
      <c r="AB197" s="53"/>
      <c r="AC197" s="53"/>
      <c r="AD197" s="56">
        <f>IF(M197="DG",3,IF(N197="RF",3,5))+IF(AND(LEFT(C197,3)="BKK",N197="RF",Q197="KTS"),1,0)+IF(Q197="KHS",1,0)</f>
        <v>5</v>
      </c>
      <c r="AE197" s="57">
        <f>(T197-V197)+1</f>
        <v>46324</v>
      </c>
      <c r="AF197" s="57">
        <f>IF(AB197&gt;IF((V197-W197)&gt;0,V197-W197,0),0,IF(AB197&lt;IF((V197-W197)&gt;0,V197-W197,0),IF((V197-W197)&gt;0,V197-W197,0)-AB197,IF((V197-W197)&gt;0,V197-W197,0)))</f>
        <v>0</v>
      </c>
      <c r="AG197" s="48">
        <f>IF(AND(M197=""),IF(R197="20'",
VLOOKUP(AF197,Charge!$K$31:$M$34,2,TRUE)+(AF197-VLOOKUP(AF197,Charge!$K$31:$M$34,1,TRUE))*VLOOKUP(AF197,Charge!$K$31:$M$34,3,TRUE),
VLOOKUP(AF197,Charge!$N$31:$P$34,2,TRUE)+(AF197-VLOOKUP(AF197,Charge!$N$31:$P$34,1,TRUE))*VLOOKUP(AF197,Charge!$N$31:$P$34,3,TRUE)),
IF(AND(M197="DG"),IF(R197="20'",
VLOOKUP(AF197,Charge!$R$31:$T$34,2,TRUE)+(AF197-VLOOKUP(AF197,Charge!$R$31:$T$34,1,TRUE))*VLOOKUP(AF197,Charge!$R$31:$T$34,3,TRUE),
VLOOKUP(AF197,Charge!$U$31:$W$34,2,TRUE)+(AF197-VLOOKUP(AF197,Charge!$U$31:$W$34,1,TRUE))*VLOOKUP(AF197,Charge!$U$31:$W$34,3,TRUE)),0))</f>
        <v>0</v>
      </c>
      <c r="AH197" s="60"/>
      <c r="AI197" s="60">
        <f>AA197-AH197</f>
        <v>0</v>
      </c>
      <c r="AJ197" s="61"/>
      <c r="AK197" s="55" t="str">
        <f>VLOOKUP(D197,'2.Bookinglist'!A:CT,40,FALSE)</f>
        <v>Arunphat W. (Aiw)</v>
      </c>
      <c r="AL197" s="56" t="str">
        <f>VLOOKUP(D197,'2.Bookinglist'!A:CW,101,FALSE)</f>
        <v>2026-10-24</v>
      </c>
      <c r="AM197" s="56" t="str">
        <f>VLOOKUP(D197,'2.Bookinglist'!A:BK,63,FALSE)</f>
        <v>BKK27</v>
      </c>
      <c r="AN197" s="55" t="str">
        <f>VLOOKUP(D197,'2.Bookinglist'!A:AZ,52,FALSE)</f>
        <v>Pickup : 2026-10-19, Return SRP : 2026-10-20 [PAPERLESS CODE 2829]
CLS TIME 24/10/26 @21.00 (1ST RETURN DD.21/10/26)</v>
      </c>
      <c r="AO197" s="55">
        <f>VLOOKUP(D197,'2.Bookinglist'!A:CY,103,FALSE)</f>
        <v>0</v>
      </c>
    </row>
    <row r="198" ht="12.95" customHeight="1" spans="1:41" x14ac:dyDescent="0.25">
      <c r="A198" s="3" t="s">
        <v>188</v>
      </c>
      <c r="B198" s="53" t="str">
        <f>IF(C198=Charge!$M$1,Charge!$J$1,IF(C198=Charge!$M$23,Charge!$J$23,IF(C198=Charge!$M$17,Charge!$J$17,IF(C198=Charge!$N$17,Charge!$J$17,Charge!$J$7))))</f>
        <v>G2</v>
      </c>
      <c r="C198" s="54" t="str">
        <f>VLOOKUP(A198,'1.Loading'!A:R,14,FALSE)</f>
        <v>LCH06</v>
      </c>
      <c r="D198" s="54" t="str">
        <f>VLOOKUP(A198,'1.Loading'!A:R,17,FALSE)</f>
        <v>HASLS22260902149</v>
      </c>
      <c r="E198" s="55" t="str">
        <f>VLOOKUP(D198,'2.Bookinglist'!A:CT,27,FALSE)</f>
        <v>DOUBLE A (1991) PUBLIC COMPANY LIMITED</v>
      </c>
      <c r="F198" s="55" t="str">
        <f>VLOOKUP(D198,'2.Bookinglist'!A:CT,28,FALSE)</f>
        <v>DOUBLE A (1991) PUBLIC COMPANY LIMITED</v>
      </c>
      <c r="G198" s="56">
        <f>VLOOKUP(D198,'2.Bookinglist'!A:E,5,FALSE)</f>
        <v>0</v>
      </c>
      <c r="H198" s="54" t="str">
        <f>VLOOKUP(D198,'2.Bookinglist'!A:CT,15,FALSE)</f>
        <v>THLCH</v>
      </c>
      <c r="I198" s="54" t="str">
        <f>VLOOKUP(D198,'2.Bookinglist'!A:CT,19,FALSE)</f>
        <v>CNSHA</v>
      </c>
      <c r="J198" s="54">
        <f>VLOOKUP(D198,'2.Bookinglist'!A:CT,26,FALSE)</f>
        <v>0</v>
      </c>
      <c r="K198" s="54" t="str">
        <f>VLOOKUP(A198,'1.Loading'!A:R,5,FALSE)</f>
        <v>45GP</v>
      </c>
      <c r="L198" s="56" t="str">
        <f>VLOOKUP(D198,'2.Bookinglist'!A:CT,85,FALSE)</f>
        <v>CY/CY</v>
      </c>
      <c r="M198" s="56" t="str">
        <f>IF(VLOOKUP(D198,'2.Bookinglist'!A:CT,43,FALSE)=0,"","DG")</f>
        <v/>
      </c>
      <c r="N198" s="56" t="str">
        <f>IF(RIGHT(K198,2)="RE","RF","")</f>
        <v/>
      </c>
      <c r="O198" s="54" t="str">
        <f>VLOOKUP(A198,'1.Loading'!A:R,3,FALSE)</f>
        <v>HMVY</v>
      </c>
      <c r="P198" s="54" t="str">
        <f>VLOOKUP(A198,'1.Loading'!A:R,4,FALSE)</f>
        <v>2609N</v>
      </c>
      <c r="Q198" s="54" t="str">
        <f>VLOOKUP(D198,'2.Bookinglist'!A:CT,12,FALSE)</f>
        <v>PCI2</v>
      </c>
      <c r="R198" s="56" t="str">
        <f>IF(LEFT(K198,2)="22","20'","40'")</f>
        <v>40'</v>
      </c>
      <c r="S198" s="38"/>
      <c r="T198" s="54" t="str">
        <f>VLOOKUP(A198,'1.Loading'!A:R,2,FALSE)</f>
        <v>2026-10-28</v>
      </c>
      <c r="U198" s="57">
        <f>T198-S198</f>
        <v>46323</v>
      </c>
      <c r="V198" s="58"/>
      <c r="W198" s="54" t="str">
        <f>VLOOKUP(A198,'3.GateMove'!A:D,4,FALSE)</f>
        <v>2026-10-07</v>
      </c>
      <c r="X198" s="57">
        <f>((T198-W198)+1)</f>
        <v>22</v>
      </c>
      <c r="Y198" s="59">
        <f>IF(AND(OR(C198="BKK01",C198="BKK04"),L198="CFS/CY"),0,IF(M198="DG",1,IF(LEFT(C198,3)="LCH",7,IF(C198="BKK02",5,3))))</f>
        <v>7</v>
      </c>
      <c r="Z198" s="57">
        <f>IF(IF(AND(AC198="TML",AB198&gt;0),((T198-W198)+1)-AB198,((T198-W198)+1)-Y198)&gt;0,IF(AND(AC198="TML",AB198&gt;0),((T198-W198)+1)-AB198,((T198-W198)+1)-Y198),0)</f>
        <v>15</v>
      </c>
      <c r="AA198" s="48">
        <f>IF(AND(B198="G1",M198=""),IF(R198="20'",
VLOOKUP(Z198,Charge!$K$2:$M$5,2,TRUE)+(Z198-VLOOKUP(Z198,Charge!$K$2:$M$5,1,TRUE))*VLOOKUP(Z198,Charge!$K$2:$M$5,3,TRUE),
VLOOKUP(Z198,Charge!$N$2:$P$5,2,TRUE)+(Z198-VLOOKUP(Z198,Charge!$N$2:$P$5,1,TRUE))*VLOOKUP(Z198,Charge!$N$2:$P$5,3,TRUE)),
IF(AND(B198="G1",M198="DG"),IF(R198="20'",
VLOOKUP(Z198,Charge!$R$2:$T$5,2,TRUE)+(Z198-VLOOKUP(Z198,Charge!$R$2:$T$5,1,TRUE))*VLOOKUP(Z198,Charge!$R$2:$T$5,3,TRUE),
VLOOKUP(Z198,Charge!$U$2:$W$5,2,TRUE)+(Z198-VLOOKUP(Z198,Charge!$U$2:$W$5,1,TRUE))*VLOOKUP(Z198,Charge!$U$2:$W$5,3,TRUE)),
IF(AND(B198="G3",M198=""),IF(R198="20'",
VLOOKUP(Z198,Charge!$K$18:$M$21,2,TRUE)+(Z198-VLOOKUP(Z198,Charge!$K$18:$M$21,1,TRUE))*VLOOKUP(Z198,Charge!$K$18:$M$21,3,TRUE),
VLOOKUP(Z198,Charge!$N$18:$P$21,2,TRUE)+(Z198-VLOOKUP(Z198,Charge!$N$18:$P$21,1,TRUE))*VLOOKUP(Z198,Charge!$N$18:$P$21,3,TRUE)),
IF(AND(B198="G3",M198="DG"),IF(R198="20'",
VLOOKUP(Z198,Charge!$R$18:$T$21,2,TRUE)+(Z198-VLOOKUP(Z198,Charge!$R$18:$T$21,1,TRUE))*VLOOKUP(Z198,Charge!$R$18:$T$21,3,TRUE),
VLOOKUP(Z198,Charge!$U$18:$W$21,2,TRUE)+(Z198-VLOOKUP(Z198,Charge!$U$18:$W$21,1,TRUE))*VLOOKUP(Z198,Charge!$U$18:$W$21,3,TRUE)),
IF(AND(B198="G2",M198=""),IF(R198="20'",
VLOOKUP(Z198,Charge!$K$9:$M$12,2,TRUE)+(Z198-VLOOKUP(Z198,Charge!$K$9:$M$12,1,TRUE))*VLOOKUP(Z198,Charge!$K$9:$M$12,3,TRUE),
VLOOKUP(Z198,Charge!$N$9:$P$12,2,TRUE)+(Z198-VLOOKUP(Z198,Charge!$N$9:$P$12,1,TRUE))*VLOOKUP(Z198,Charge!$N$9:$P$12,3,TRUE)),
IF(AND(B198="G2",M198="DG"),IF(R198="20'",
VLOOKUP(Z198,Charge!$R$9:$T$12,2,TRUE)+(Z198-VLOOKUP(Z198,Charge!$R$9:$T$12,1,TRUE))*VLOOKUP(Z198,Charge!$R$9:$T$12,3,TRUE),
VLOOKUP(Z198,Charge!$U$9:$W$12,2,TRUE)+(Z198-VLOOKUP(Z198,Charge!$U$9:$W$12,1,TRUE))*VLOOKUP(Z198,Charge!$U$9:$W$12,3,TRUE)),IF(AND(B198="G4",M198=""),IF(R198="20'",Z198*Charge!$M$25,Z198*Charge!$P$25),IF(AND(B198="G4",M198="DG"),IF(R198="20'",Z198*Charge!$T$25,Z198*Charge!$W$25),0))))))))</f>
        <v>6050</v>
      </c>
      <c r="AB198" s="53"/>
      <c r="AC198" s="53"/>
      <c r="AD198" s="56">
        <f>IF(M198="DG",3,IF(N198="RF",3,5))+IF(AND(LEFT(C198,3)="BKK",N198="RF",Q198="KTS"),1,0)+IF(Q198="KHS",1,0)</f>
        <v>5</v>
      </c>
      <c r="AE198" s="57">
        <f>(T198-V198)+1</f>
        <v>46324</v>
      </c>
      <c r="AF198" s="57">
        <f>IF(AB198&gt;IF((V198-W198)&gt;0,V198-W198,0),0,IF(AB198&lt;IF((V198-W198)&gt;0,V198-W198,0),IF((V198-W198)&gt;0,V198-W198,0)-AB198,IF((V198-W198)&gt;0,V198-W198,0)))</f>
        <v>0</v>
      </c>
      <c r="AG198" s="48">
        <f>IF(AND(M198=""),IF(R198="20'",
VLOOKUP(AF198,Charge!$K$31:$M$34,2,TRUE)+(AF198-VLOOKUP(AF198,Charge!$K$31:$M$34,1,TRUE))*VLOOKUP(AF198,Charge!$K$31:$M$34,3,TRUE),
VLOOKUP(AF198,Charge!$N$31:$P$34,2,TRUE)+(AF198-VLOOKUP(AF198,Charge!$N$31:$P$34,1,TRUE))*VLOOKUP(AF198,Charge!$N$31:$P$34,3,TRUE)),
IF(AND(M198="DG"),IF(R198="20'",
VLOOKUP(AF198,Charge!$R$31:$T$34,2,TRUE)+(AF198-VLOOKUP(AF198,Charge!$R$31:$T$34,1,TRUE))*VLOOKUP(AF198,Charge!$R$31:$T$34,3,TRUE),
VLOOKUP(AF198,Charge!$U$31:$W$34,2,TRUE)+(AF198-VLOOKUP(AF198,Charge!$U$31:$W$34,1,TRUE))*VLOOKUP(AF198,Charge!$U$31:$W$34,3,TRUE)),0))</f>
        <v>0</v>
      </c>
      <c r="AH198" s="60"/>
      <c r="AI198" s="60">
        <f>AA198-AH198</f>
        <v>6050</v>
      </c>
      <c r="AJ198" s="61"/>
      <c r="AK198" s="55" t="str">
        <f>VLOOKUP(D198,'2.Bookinglist'!A:CT,40,FALSE)</f>
        <v>Kanokporn</v>
      </c>
      <c r="AL198" s="56" t="str">
        <f>VLOOKUP(D198,'2.Bookinglist'!A:CW,101,FALSE)</f>
        <v>2026-10-24</v>
      </c>
      <c r="AM198" s="56" t="str">
        <f>VLOOKUP(D198,'2.Bookinglist'!A:BK,63,FALSE)</f>
        <v>LCHY5</v>
      </c>
      <c r="AN198" s="55" t="str">
        <f>VLOOKUP(D198,'2.Bookinglist'!A:AZ,52,FALSE)</f>
        <v>CY-RTN :30-05/10/2026
REF : PI-CN-TH-DA-26100038, PI-CN-TH-DA-26100039, PI-CN-TH-DA-26100040,  PI-CN-TH-DA-26100041
FRT 31/20',40'HQ + FREETIME 21DAYS</v>
      </c>
      <c r="AO198" s="55" t="str">
        <f>VLOOKUP(D198,'2.Bookinglist'!A:CY,103,FALSE)</f>
        <v>ROLL OVER FROM PREVIOUS VSL SWRG 2609N BY ALLOCATION TEAM MS.TAN APPROVED COST IS UNDER HA DD.13/10</v>
      </c>
    </row>
    <row r="199" ht="12.95" customHeight="1" spans="1:41" x14ac:dyDescent="0.25">
      <c r="A199" s="3" t="s">
        <v>197</v>
      </c>
      <c r="B199" s="53" t="str">
        <f>IF(C199=Charge!$M$1,Charge!$J$1,IF(C199=Charge!$M$23,Charge!$J$23,IF(C199=Charge!$M$17,Charge!$J$17,IF(C199=Charge!$N$17,Charge!$J$17,Charge!$J$7))))</f>
        <v>G2</v>
      </c>
      <c r="C199" s="54" t="str">
        <f>VLOOKUP(A199,'1.Loading'!A:R,14,FALSE)</f>
        <v>LCH06</v>
      </c>
      <c r="D199" s="54" t="str">
        <f>VLOOKUP(A199,'1.Loading'!A:R,17,FALSE)</f>
        <v>HASLS22261000876</v>
      </c>
      <c r="E199" s="55" t="str">
        <f>VLOOKUP(D199,'2.Bookinglist'!A:CT,27,FALSE)</f>
        <v>SUN-OCEAN GLOBAL SUPPLY CHAIN CO., LTD.</v>
      </c>
      <c r="F199" s="55" t="str">
        <f>VLOOKUP(D199,'2.Bookinglist'!A:CT,28,FALSE)</f>
        <v>I.P. ONE COMPANY LIMITED</v>
      </c>
      <c r="G199" s="56" t="str">
        <f>VLOOKUP(D199,'2.Bookinglist'!A:E,5,FALSE)</f>
        <v>THSRP</v>
      </c>
      <c r="H199" s="54" t="str">
        <f>VLOOKUP(D199,'2.Bookinglist'!A:CT,15,FALSE)</f>
        <v>THLCH</v>
      </c>
      <c r="I199" s="54" t="str">
        <f>VLOOKUP(D199,'2.Bookinglist'!A:CT,19,FALSE)</f>
        <v>CNSHA</v>
      </c>
      <c r="J199" s="54">
        <f>VLOOKUP(D199,'2.Bookinglist'!A:CT,26,FALSE)</f>
        <v>0</v>
      </c>
      <c r="K199" s="54" t="str">
        <f>VLOOKUP(A199,'1.Loading'!A:R,5,FALSE)</f>
        <v>45GP</v>
      </c>
      <c r="L199" s="56" t="str">
        <f>VLOOKUP(D199,'2.Bookinglist'!A:CT,85,FALSE)</f>
        <v>CY/CY</v>
      </c>
      <c r="M199" s="56" t="str">
        <f>IF(VLOOKUP(D199,'2.Bookinglist'!A:CT,43,FALSE)=0,"","DG")</f>
        <v/>
      </c>
      <c r="N199" s="56" t="str">
        <f>IF(RIGHT(K199,2)="RE","RF","")</f>
        <v/>
      </c>
      <c r="O199" s="54" t="str">
        <f>VLOOKUP(A199,'1.Loading'!A:R,3,FALSE)</f>
        <v>HMVY</v>
      </c>
      <c r="P199" s="54" t="str">
        <f>VLOOKUP(A199,'1.Loading'!A:R,4,FALSE)</f>
        <v>2609N</v>
      </c>
      <c r="Q199" s="54" t="str">
        <f>VLOOKUP(D199,'2.Bookinglist'!A:CT,12,FALSE)</f>
        <v>PCI2</v>
      </c>
      <c r="R199" s="56" t="str">
        <f>IF(LEFT(K199,2)="22","20'","40'")</f>
        <v>40'</v>
      </c>
      <c r="S199" s="38"/>
      <c r="T199" s="54" t="str">
        <f>VLOOKUP(A199,'1.Loading'!A:R,2,FALSE)</f>
        <v>2026-10-28</v>
      </c>
      <c r="U199" s="57">
        <f>T199-S199</f>
        <v>46323</v>
      </c>
      <c r="V199" s="58"/>
      <c r="W199" s="54" t="str">
        <f>VLOOKUP(A199,'3.GateMove'!A:D,4,FALSE)</f>
        <v>2026-10-23</v>
      </c>
      <c r="X199" s="57">
        <f>((T199-W199)+1)</f>
        <v>6</v>
      </c>
      <c r="Y199" s="59">
        <f>IF(AND(OR(C199="BKK01",C199="BKK04"),L199="CFS/CY"),0,IF(M199="DG",1,IF(LEFT(C199,3)="LCH",7,IF(C199="BKK02",5,3))))</f>
        <v>7</v>
      </c>
      <c r="Z199" s="57">
        <f>IF(IF(AND(AC199="TML",AB199&gt;0),((T199-W199)+1)-AB199,((T199-W199)+1)-Y199)&gt;0,IF(AND(AC199="TML",AB199&gt;0),((T199-W199)+1)-AB199,((T199-W199)+1)-Y199),0)</f>
        <v>0</v>
      </c>
      <c r="AA199" s="48">
        <f>IF(AND(B199="G1",M199=""),IF(R199="20'",
VLOOKUP(Z199,Charge!$K$2:$M$5,2,TRUE)+(Z199-VLOOKUP(Z199,Charge!$K$2:$M$5,1,TRUE))*VLOOKUP(Z199,Charge!$K$2:$M$5,3,TRUE),
VLOOKUP(Z199,Charge!$N$2:$P$5,2,TRUE)+(Z199-VLOOKUP(Z199,Charge!$N$2:$P$5,1,TRUE))*VLOOKUP(Z199,Charge!$N$2:$P$5,3,TRUE)),
IF(AND(B199="G1",M199="DG"),IF(R199="20'",
VLOOKUP(Z199,Charge!$R$2:$T$5,2,TRUE)+(Z199-VLOOKUP(Z199,Charge!$R$2:$T$5,1,TRUE))*VLOOKUP(Z199,Charge!$R$2:$T$5,3,TRUE),
VLOOKUP(Z199,Charge!$U$2:$W$5,2,TRUE)+(Z199-VLOOKUP(Z199,Charge!$U$2:$W$5,1,TRUE))*VLOOKUP(Z199,Charge!$U$2:$W$5,3,TRUE)),
IF(AND(B199="G3",M199=""),IF(R199="20'",
VLOOKUP(Z199,Charge!$K$18:$M$21,2,TRUE)+(Z199-VLOOKUP(Z199,Charge!$K$18:$M$21,1,TRUE))*VLOOKUP(Z199,Charge!$K$18:$M$21,3,TRUE),
VLOOKUP(Z199,Charge!$N$18:$P$21,2,TRUE)+(Z199-VLOOKUP(Z199,Charge!$N$18:$P$21,1,TRUE))*VLOOKUP(Z199,Charge!$N$18:$P$21,3,TRUE)),
IF(AND(B199="G3",M199="DG"),IF(R199="20'",
VLOOKUP(Z199,Charge!$R$18:$T$21,2,TRUE)+(Z199-VLOOKUP(Z199,Charge!$R$18:$T$21,1,TRUE))*VLOOKUP(Z199,Charge!$R$18:$T$21,3,TRUE),
VLOOKUP(Z199,Charge!$U$18:$W$21,2,TRUE)+(Z199-VLOOKUP(Z199,Charge!$U$18:$W$21,1,TRUE))*VLOOKUP(Z199,Charge!$U$18:$W$21,3,TRUE)),
IF(AND(B199="G2",M199=""),IF(R199="20'",
VLOOKUP(Z199,Charge!$K$9:$M$12,2,TRUE)+(Z199-VLOOKUP(Z199,Charge!$K$9:$M$12,1,TRUE))*VLOOKUP(Z199,Charge!$K$9:$M$12,3,TRUE),
VLOOKUP(Z199,Charge!$N$9:$P$12,2,TRUE)+(Z199-VLOOKUP(Z199,Charge!$N$9:$P$12,1,TRUE))*VLOOKUP(Z199,Charge!$N$9:$P$12,3,TRUE)),
IF(AND(B199="G2",M199="DG"),IF(R199="20'",
VLOOKUP(Z199,Charge!$R$9:$T$12,2,TRUE)+(Z199-VLOOKUP(Z199,Charge!$R$9:$T$12,1,TRUE))*VLOOKUP(Z199,Charge!$R$9:$T$12,3,TRUE),
VLOOKUP(Z199,Charge!$U$9:$W$12,2,TRUE)+(Z199-VLOOKUP(Z199,Charge!$U$9:$W$12,1,TRUE))*VLOOKUP(Z199,Charge!$U$9:$W$12,3,TRUE)),IF(AND(B199="G4",M199=""),IF(R199="20'",Z199*Charge!$M$25,Z199*Charge!$P$25),IF(AND(B199="G4",M199="DG"),IF(R199="20'",Z199*Charge!$T$25,Z199*Charge!$W$25),0))))))))</f>
        <v>0</v>
      </c>
      <c r="AB199" s="53"/>
      <c r="AC199" s="53"/>
      <c r="AD199" s="56">
        <f>IF(M199="DG",3,IF(N199="RF",3,5))+IF(AND(LEFT(C199,3)="BKK",N199="RF",Q199="KTS"),1,0)+IF(Q199="KHS",1,0)</f>
        <v>5</v>
      </c>
      <c r="AE199" s="57">
        <f>(T199-V199)+1</f>
        <v>46324</v>
      </c>
      <c r="AF199" s="57">
        <f>IF(AB199&gt;IF((V199-W199)&gt;0,V199-W199,0),0,IF(AB199&lt;IF((V199-W199)&gt;0,V199-W199,0),IF((V199-W199)&gt;0,V199-W199,0)-AB199,IF((V199-W199)&gt;0,V199-W199,0)))</f>
        <v>0</v>
      </c>
      <c r="AG199" s="48">
        <f>IF(AND(M199=""),IF(R199="20'",
VLOOKUP(AF199,Charge!$K$31:$M$34,2,TRUE)+(AF199-VLOOKUP(AF199,Charge!$K$31:$M$34,1,TRUE))*VLOOKUP(AF199,Charge!$K$31:$M$34,3,TRUE),
VLOOKUP(AF199,Charge!$N$31:$P$34,2,TRUE)+(AF199-VLOOKUP(AF199,Charge!$N$31:$P$34,1,TRUE))*VLOOKUP(AF199,Charge!$N$31:$P$34,3,TRUE)),
IF(AND(M199="DG"),IF(R199="20'",
VLOOKUP(AF199,Charge!$R$31:$T$34,2,TRUE)+(AF199-VLOOKUP(AF199,Charge!$R$31:$T$34,1,TRUE))*VLOOKUP(AF199,Charge!$R$31:$T$34,3,TRUE),
VLOOKUP(AF199,Charge!$U$31:$W$34,2,TRUE)+(AF199-VLOOKUP(AF199,Charge!$U$31:$W$34,1,TRUE))*VLOOKUP(AF199,Charge!$U$31:$W$34,3,TRUE)),0))</f>
        <v>0</v>
      </c>
      <c r="AH199" s="60"/>
      <c r="AI199" s="60">
        <f>AA199-AH199</f>
        <v>0</v>
      </c>
      <c r="AJ199" s="61"/>
      <c r="AK199" s="55" t="str">
        <f>VLOOKUP(D199,'2.Bookinglist'!A:CT,40,FALSE)</f>
        <v>Arunphat W. (Aiw)</v>
      </c>
      <c r="AL199" s="56" t="str">
        <f>VLOOKUP(D199,'2.Bookinglist'!A:CW,101,FALSE)</f>
        <v>2026-10-22</v>
      </c>
      <c r="AM199" s="56" t="str">
        <f>VLOOKUP(D199,'2.Bookinglist'!A:BK,63,FALSE)</f>
        <v>BKK27</v>
      </c>
      <c r="AN199" s="55" t="str">
        <f>VLOOKUP(D199,'2.Bookinglist'!A:AZ,52,FALSE)</f>
        <v>Pickup : 2026-10-16, Return SRP : 2026-10-17 [PAPERLESS CODE 2829]
CLS TIME 24/10/26 @21.00 (1ST RETURN 17/10/26)</v>
      </c>
      <c r="AO199" s="55">
        <f>VLOOKUP(D199,'2.Bookinglist'!A:CY,103,FALSE)</f>
        <v>0</v>
      </c>
    </row>
    <row r="200" ht="12.95" customHeight="1" spans="1:41" x14ac:dyDescent="0.25">
      <c r="A200" s="3" t="s">
        <v>222</v>
      </c>
      <c r="B200" s="53" t="str">
        <f>IF(C200=Charge!$M$1,Charge!$J$1,IF(C200=Charge!$M$23,Charge!$J$23,IF(C200=Charge!$M$17,Charge!$J$17,IF(C200=Charge!$N$17,Charge!$J$17,Charge!$J$7))))</f>
        <v>G2</v>
      </c>
      <c r="C200" s="54" t="str">
        <f>VLOOKUP(A200,'1.Loading'!A:R,14,FALSE)</f>
        <v>LCH06</v>
      </c>
      <c r="D200" s="54" t="str">
        <f>VLOOKUP(A200,'1.Loading'!A:R,17,FALSE)</f>
        <v>HASLS22261001118</v>
      </c>
      <c r="E200" s="55" t="str">
        <f>VLOOKUP(D200,'2.Bookinglist'!A:CT,27,FALSE)</f>
        <v>K-APEX (THAILAND) CO., LTD.</v>
      </c>
      <c r="F200" s="55" t="str">
        <f>VLOOKUP(D200,'2.Bookinglist'!A:CT,28,FALSE)</f>
        <v>FIRST MATERIAL SCIENCE (THAILAND) CO., LTD.</v>
      </c>
      <c r="G200" s="56">
        <f>VLOOKUP(D200,'2.Bookinglist'!A:E,5,FALSE)</f>
        <v>0</v>
      </c>
      <c r="H200" s="54" t="str">
        <f>VLOOKUP(D200,'2.Bookinglist'!A:CT,15,FALSE)</f>
        <v>THLCH</v>
      </c>
      <c r="I200" s="54" t="str">
        <f>VLOOKUP(D200,'2.Bookinglist'!A:CT,19,FALSE)</f>
        <v>CNSHA</v>
      </c>
      <c r="J200" s="54">
        <f>VLOOKUP(D200,'2.Bookinglist'!A:CT,26,FALSE)</f>
        <v>0</v>
      </c>
      <c r="K200" s="54" t="str">
        <f>VLOOKUP(A200,'1.Loading'!A:R,5,FALSE)</f>
        <v>45GP</v>
      </c>
      <c r="L200" s="56" t="str">
        <f>VLOOKUP(D200,'2.Bookinglist'!A:CT,85,FALSE)</f>
        <v>CY/CY</v>
      </c>
      <c r="M200" s="56" t="str">
        <f>IF(VLOOKUP(D200,'2.Bookinglist'!A:CT,43,FALSE)=0,"","DG")</f>
        <v/>
      </c>
      <c r="N200" s="56" t="str">
        <f>IF(RIGHT(K200,2)="RE","RF","")</f>
        <v/>
      </c>
      <c r="O200" s="54" t="str">
        <f>VLOOKUP(A200,'1.Loading'!A:R,3,FALSE)</f>
        <v>HMVY</v>
      </c>
      <c r="P200" s="54" t="str">
        <f>VLOOKUP(A200,'1.Loading'!A:R,4,FALSE)</f>
        <v>2609N</v>
      </c>
      <c r="Q200" s="54" t="str">
        <f>VLOOKUP(D200,'2.Bookinglist'!A:CT,12,FALSE)</f>
        <v>PCI2</v>
      </c>
      <c r="R200" s="56" t="str">
        <f>IF(LEFT(K200,2)="22","20'","40'")</f>
        <v>40'</v>
      </c>
      <c r="S200" s="38"/>
      <c r="T200" s="54" t="str">
        <f>VLOOKUP(A200,'1.Loading'!A:R,2,FALSE)</f>
        <v>2026-10-28</v>
      </c>
      <c r="U200" s="57">
        <f>T200-S200</f>
        <v>46323</v>
      </c>
      <c r="V200" s="58"/>
      <c r="W200" s="54" t="str">
        <f>VLOOKUP(A200,'3.GateMove'!A:D,4,FALSE)</f>
        <v>2026-10-21</v>
      </c>
      <c r="X200" s="57">
        <f>((T200-W200)+1)</f>
        <v>8</v>
      </c>
      <c r="Y200" s="59">
        <f>IF(AND(OR(C200="BKK01",C200="BKK04"),L200="CFS/CY"),0,IF(M200="DG",1,IF(LEFT(C200,3)="LCH",7,IF(C200="BKK02",5,3))))</f>
        <v>7</v>
      </c>
      <c r="Z200" s="57">
        <f>IF(IF(AND(AC200="TML",AB200&gt;0),((T200-W200)+1)-AB200,((T200-W200)+1)-Y200)&gt;0,IF(AND(AC200="TML",AB200&gt;0),((T200-W200)+1)-AB200,((T200-W200)+1)-Y200),0)</f>
        <v>1</v>
      </c>
      <c r="AA200" s="48">
        <f>IF(AND(B200="G1",M200=""),IF(R200="20'",
VLOOKUP(Z200,Charge!$K$2:$M$5,2,TRUE)+(Z200-VLOOKUP(Z200,Charge!$K$2:$M$5,1,TRUE))*VLOOKUP(Z200,Charge!$K$2:$M$5,3,TRUE),
VLOOKUP(Z200,Charge!$N$2:$P$5,2,TRUE)+(Z200-VLOOKUP(Z200,Charge!$N$2:$P$5,1,TRUE))*VLOOKUP(Z200,Charge!$N$2:$P$5,3,TRUE)),
IF(AND(B200="G1",M200="DG"),IF(R200="20'",
VLOOKUP(Z200,Charge!$R$2:$T$5,2,TRUE)+(Z200-VLOOKUP(Z200,Charge!$R$2:$T$5,1,TRUE))*VLOOKUP(Z200,Charge!$R$2:$T$5,3,TRUE),
VLOOKUP(Z200,Charge!$U$2:$W$5,2,TRUE)+(Z200-VLOOKUP(Z200,Charge!$U$2:$W$5,1,TRUE))*VLOOKUP(Z200,Charge!$U$2:$W$5,3,TRUE)),
IF(AND(B200="G3",M200=""),IF(R200="20'",
VLOOKUP(Z200,Charge!$K$18:$M$21,2,TRUE)+(Z200-VLOOKUP(Z200,Charge!$K$18:$M$21,1,TRUE))*VLOOKUP(Z200,Charge!$K$18:$M$21,3,TRUE),
VLOOKUP(Z200,Charge!$N$18:$P$21,2,TRUE)+(Z200-VLOOKUP(Z200,Charge!$N$18:$P$21,1,TRUE))*VLOOKUP(Z200,Charge!$N$18:$P$21,3,TRUE)),
IF(AND(B200="G3",M200="DG"),IF(R200="20'",
VLOOKUP(Z200,Charge!$R$18:$T$21,2,TRUE)+(Z200-VLOOKUP(Z200,Charge!$R$18:$T$21,1,TRUE))*VLOOKUP(Z200,Charge!$R$18:$T$21,3,TRUE),
VLOOKUP(Z200,Charge!$U$18:$W$21,2,TRUE)+(Z200-VLOOKUP(Z200,Charge!$U$18:$W$21,1,TRUE))*VLOOKUP(Z200,Charge!$U$18:$W$21,3,TRUE)),
IF(AND(B200="G2",M200=""),IF(R200="20'",
VLOOKUP(Z200,Charge!$K$9:$M$12,2,TRUE)+(Z200-VLOOKUP(Z200,Charge!$K$9:$M$12,1,TRUE))*VLOOKUP(Z200,Charge!$K$9:$M$12,3,TRUE),
VLOOKUP(Z200,Charge!$N$9:$P$12,2,TRUE)+(Z200-VLOOKUP(Z200,Charge!$N$9:$P$12,1,TRUE))*VLOOKUP(Z200,Charge!$N$9:$P$12,3,TRUE)),
IF(AND(B200="G2",M200="DG"),IF(R200="20'",
VLOOKUP(Z200,Charge!$R$9:$T$12,2,TRUE)+(Z200-VLOOKUP(Z200,Charge!$R$9:$T$12,1,TRUE))*VLOOKUP(Z200,Charge!$R$9:$T$12,3,TRUE),
VLOOKUP(Z200,Charge!$U$9:$W$12,2,TRUE)+(Z200-VLOOKUP(Z200,Charge!$U$9:$W$12,1,TRUE))*VLOOKUP(Z200,Charge!$U$9:$W$12,3,TRUE)),IF(AND(B200="G4",M200=""),IF(R200="20'",Z200*Charge!$M$25,Z200*Charge!$P$25),IF(AND(B200="G4",M200="DG"),IF(R200="20'",Z200*Charge!$T$25,Z200*Charge!$W$25),0))))))))</f>
        <v>250</v>
      </c>
      <c r="AB200" s="53"/>
      <c r="AC200" s="53"/>
      <c r="AD200" s="56">
        <f>IF(M200="DG",3,IF(N200="RF",3,5))+IF(AND(LEFT(C200,3)="BKK",N200="RF",Q200="KTS"),1,0)+IF(Q200="KHS",1,0)</f>
        <v>5</v>
      </c>
      <c r="AE200" s="57">
        <f>(T200-V200)+1</f>
        <v>46324</v>
      </c>
      <c r="AF200" s="57">
        <f>IF(AB200&gt;IF((V200-W200)&gt;0,V200-W200,0),0,IF(AB200&lt;IF((V200-W200)&gt;0,V200-W200,0),IF((V200-W200)&gt;0,V200-W200,0)-AB200,IF((V200-W200)&gt;0,V200-W200,0)))</f>
        <v>0</v>
      </c>
      <c r="AG200" s="48">
        <f>IF(AND(M200=""),IF(R200="20'",
VLOOKUP(AF200,Charge!$K$31:$M$34,2,TRUE)+(AF200-VLOOKUP(AF200,Charge!$K$31:$M$34,1,TRUE))*VLOOKUP(AF200,Charge!$K$31:$M$34,3,TRUE),
VLOOKUP(AF200,Charge!$N$31:$P$34,2,TRUE)+(AF200-VLOOKUP(AF200,Charge!$N$31:$P$34,1,TRUE))*VLOOKUP(AF200,Charge!$N$31:$P$34,3,TRUE)),
IF(AND(M200="DG"),IF(R200="20'",
VLOOKUP(AF200,Charge!$R$31:$T$34,2,TRUE)+(AF200-VLOOKUP(AF200,Charge!$R$31:$T$34,1,TRUE))*VLOOKUP(AF200,Charge!$R$31:$T$34,3,TRUE),
VLOOKUP(AF200,Charge!$U$31:$W$34,2,TRUE)+(AF200-VLOOKUP(AF200,Charge!$U$31:$W$34,1,TRUE))*VLOOKUP(AF200,Charge!$U$31:$W$34,3,TRUE)),0))</f>
        <v>0</v>
      </c>
      <c r="AH200" s="60"/>
      <c r="AI200" s="60">
        <f>AA200-AH200</f>
        <v>250</v>
      </c>
      <c r="AJ200" s="61"/>
      <c r="AK200" s="55" t="str">
        <f>VLOOKUP(D200,'2.Bookinglist'!A:CT,40,FALSE)</f>
        <v>Nannaapust Sukporntaweewat</v>
      </c>
      <c r="AL200" s="56" t="str">
        <f>VLOOKUP(D200,'2.Bookinglist'!A:CW,101,FALSE)</f>
        <v>2026-10-25</v>
      </c>
      <c r="AM200" s="56" t="str">
        <f>VLOOKUP(D200,'2.Bookinglist'!A:BK,63,FALSE)</f>
        <v>LCHY5</v>
      </c>
      <c r="AN200" s="55" t="str">
        <f>VLOOKUP(D200,'2.Bookinglist'!A:AZ,52,FALSE)</f>
        <v>Pickup : 2026-10-20, Return : 2026-10-21</v>
      </c>
      <c r="AO200" s="55">
        <f>VLOOKUP(D200,'2.Bookinglist'!A:CY,103,FALSE)</f>
        <v>0</v>
      </c>
    </row>
    <row r="201" ht="12.95" customHeight="1" spans="1:41" x14ac:dyDescent="0.25">
      <c r="A201" s="3" t="s">
        <v>138</v>
      </c>
      <c r="B201" s="53" t="str">
        <f>IF(C201=Charge!$M$1,Charge!$J$1,IF(C201=Charge!$M$23,Charge!$J$23,IF(C201=Charge!$M$17,Charge!$J$17,IF(C201=Charge!$N$17,Charge!$J$17,Charge!$J$7))))</f>
        <v>G2</v>
      </c>
      <c r="C201" s="54" t="str">
        <f>VLOOKUP(A201,'1.Loading'!A:R,14,FALSE)</f>
        <v>LCH06</v>
      </c>
      <c r="D201" s="54" t="str">
        <f>VLOOKUP(A201,'1.Loading'!A:R,17,FALSE)</f>
        <v>HASLS22261000285</v>
      </c>
      <c r="E201" s="55" t="str">
        <f>VLOOKUP(D201,'2.Bookinglist'!A:CT,27,FALSE)</f>
        <v>AGC VINYTHAI PUBLIC COMPANY LIMITED</v>
      </c>
      <c r="F201" s="55" t="str">
        <f>VLOOKUP(D201,'2.Bookinglist'!A:CT,28,FALSE)</f>
        <v>AGC VINYTHAI PUBLIC COMPANY LIMITED</v>
      </c>
      <c r="G201" s="56">
        <f>VLOOKUP(D201,'2.Bookinglist'!A:E,5,FALSE)</f>
        <v>0</v>
      </c>
      <c r="H201" s="54" t="str">
        <f>VLOOKUP(D201,'2.Bookinglist'!A:CT,15,FALSE)</f>
        <v>THLCH</v>
      </c>
      <c r="I201" s="54" t="str">
        <f>VLOOKUP(D201,'2.Bookinglist'!A:CT,19,FALSE)</f>
        <v>CNSHA</v>
      </c>
      <c r="J201" s="54">
        <f>VLOOKUP(D201,'2.Bookinglist'!A:CT,26,FALSE)</f>
        <v>0</v>
      </c>
      <c r="K201" s="54" t="str">
        <f>VLOOKUP(A201,'1.Loading'!A:R,5,FALSE)</f>
        <v>45GP</v>
      </c>
      <c r="L201" s="56" t="str">
        <f>VLOOKUP(D201,'2.Bookinglist'!A:CT,85,FALSE)</f>
        <v>CY/CY</v>
      </c>
      <c r="M201" s="56" t="str">
        <f>IF(VLOOKUP(D201,'2.Bookinglist'!A:CT,43,FALSE)=0,"","DG")</f>
        <v/>
      </c>
      <c r="N201" s="56" t="str">
        <f>IF(RIGHT(K201,2)="RE","RF","")</f>
        <v/>
      </c>
      <c r="O201" s="54" t="str">
        <f>VLOOKUP(A201,'1.Loading'!A:R,3,FALSE)</f>
        <v>HMVY</v>
      </c>
      <c r="P201" s="54" t="str">
        <f>VLOOKUP(A201,'1.Loading'!A:R,4,FALSE)</f>
        <v>2609N</v>
      </c>
      <c r="Q201" s="54" t="str">
        <f>VLOOKUP(D201,'2.Bookinglist'!A:CT,12,FALSE)</f>
        <v>PCI2</v>
      </c>
      <c r="R201" s="56" t="str">
        <f>IF(LEFT(K201,2)="22","20'","40'")</f>
        <v>40'</v>
      </c>
      <c r="S201" s="38"/>
      <c r="T201" s="54" t="str">
        <f>VLOOKUP(A201,'1.Loading'!A:R,2,FALSE)</f>
        <v>2026-10-28</v>
      </c>
      <c r="U201" s="57">
        <f>T201-S201</f>
        <v>46323</v>
      </c>
      <c r="V201" s="58"/>
      <c r="W201" s="54" t="str">
        <f>VLOOKUP(A201,'3.GateMove'!A:D,4,FALSE)</f>
        <v>2026-10-17</v>
      </c>
      <c r="X201" s="57">
        <f>((T201-W201)+1)</f>
        <v>12</v>
      </c>
      <c r="Y201" s="59">
        <f>IF(AND(OR(C201="BKK01",C201="BKK04"),L201="CFS/CY"),0,IF(M201="DG",1,IF(LEFT(C201,3)="LCH",7,IF(C201="BKK02",5,3))))</f>
        <v>7</v>
      </c>
      <c r="Z201" s="57">
        <f>IF(IF(AND(AC201="TML",AB201&gt;0),((T201-W201)+1)-AB201,((T201-W201)+1)-Y201)&gt;0,IF(AND(AC201="TML",AB201&gt;0),((T201-W201)+1)-AB201,((T201-W201)+1)-Y201),0)</f>
        <v>5</v>
      </c>
      <c r="AA201" s="48">
        <f>IF(AND(B201="G1",M201=""),IF(R201="20'",
VLOOKUP(Z201,Charge!$K$2:$M$5,2,TRUE)+(Z201-VLOOKUP(Z201,Charge!$K$2:$M$5,1,TRUE))*VLOOKUP(Z201,Charge!$K$2:$M$5,3,TRUE),
VLOOKUP(Z201,Charge!$N$2:$P$5,2,TRUE)+(Z201-VLOOKUP(Z201,Charge!$N$2:$P$5,1,TRUE))*VLOOKUP(Z201,Charge!$N$2:$P$5,3,TRUE)),
IF(AND(B201="G1",M201="DG"),IF(R201="20'",
VLOOKUP(Z201,Charge!$R$2:$T$5,2,TRUE)+(Z201-VLOOKUP(Z201,Charge!$R$2:$T$5,1,TRUE))*VLOOKUP(Z201,Charge!$R$2:$T$5,3,TRUE),
VLOOKUP(Z201,Charge!$U$2:$W$5,2,TRUE)+(Z201-VLOOKUP(Z201,Charge!$U$2:$W$5,1,TRUE))*VLOOKUP(Z201,Charge!$U$2:$W$5,3,TRUE)),
IF(AND(B201="G3",M201=""),IF(R201="20'",
VLOOKUP(Z201,Charge!$K$18:$M$21,2,TRUE)+(Z201-VLOOKUP(Z201,Charge!$K$18:$M$21,1,TRUE))*VLOOKUP(Z201,Charge!$K$18:$M$21,3,TRUE),
VLOOKUP(Z201,Charge!$N$18:$P$21,2,TRUE)+(Z201-VLOOKUP(Z201,Charge!$N$18:$P$21,1,TRUE))*VLOOKUP(Z201,Charge!$N$18:$P$21,3,TRUE)),
IF(AND(B201="G3",M201="DG"),IF(R201="20'",
VLOOKUP(Z201,Charge!$R$18:$T$21,2,TRUE)+(Z201-VLOOKUP(Z201,Charge!$R$18:$T$21,1,TRUE))*VLOOKUP(Z201,Charge!$R$18:$T$21,3,TRUE),
VLOOKUP(Z201,Charge!$U$18:$W$21,2,TRUE)+(Z201-VLOOKUP(Z201,Charge!$U$18:$W$21,1,TRUE))*VLOOKUP(Z201,Charge!$U$18:$W$21,3,TRUE)),
IF(AND(B201="G2",M201=""),IF(R201="20'",
VLOOKUP(Z201,Charge!$K$9:$M$12,2,TRUE)+(Z201-VLOOKUP(Z201,Charge!$K$9:$M$12,1,TRUE))*VLOOKUP(Z201,Charge!$K$9:$M$12,3,TRUE),
VLOOKUP(Z201,Charge!$N$9:$P$12,2,TRUE)+(Z201-VLOOKUP(Z201,Charge!$N$9:$P$12,1,TRUE))*VLOOKUP(Z201,Charge!$N$9:$P$12,3,TRUE)),
IF(AND(B201="G2",M201="DG"),IF(R201="20'",
VLOOKUP(Z201,Charge!$R$9:$T$12,2,TRUE)+(Z201-VLOOKUP(Z201,Charge!$R$9:$T$12,1,TRUE))*VLOOKUP(Z201,Charge!$R$9:$T$12,3,TRUE),
VLOOKUP(Z201,Charge!$U$9:$W$12,2,TRUE)+(Z201-VLOOKUP(Z201,Charge!$U$9:$W$12,1,TRUE))*VLOOKUP(Z201,Charge!$U$9:$W$12,3,TRUE)),IF(AND(B201="G4",M201=""),IF(R201="20'",Z201*Charge!$M$25,Z201*Charge!$P$25),IF(AND(B201="G4",M201="DG"),IF(R201="20'",Z201*Charge!$T$25,Z201*Charge!$W$25),0))))))))</f>
        <v>1250</v>
      </c>
      <c r="AB201" s="53"/>
      <c r="AC201" s="53"/>
      <c r="AD201" s="56">
        <f>IF(M201="DG",3,IF(N201="RF",3,5))+IF(AND(LEFT(C201,3)="BKK",N201="RF",Q201="KTS"),1,0)+IF(Q201="KHS",1,0)</f>
        <v>5</v>
      </c>
      <c r="AE201" s="57">
        <f>(T201-V201)+1</f>
        <v>46324</v>
      </c>
      <c r="AF201" s="57">
        <f>IF(AB201&gt;IF((V201-W201)&gt;0,V201-W201,0),0,IF(AB201&lt;IF((V201-W201)&gt;0,V201-W201,0),IF((V201-W201)&gt;0,V201-W201,0)-AB201,IF((V201-W201)&gt;0,V201-W201,0)))</f>
        <v>0</v>
      </c>
      <c r="AG201" s="48">
        <f>IF(AND(M201=""),IF(R201="20'",
VLOOKUP(AF201,Charge!$K$31:$M$34,2,TRUE)+(AF201-VLOOKUP(AF201,Charge!$K$31:$M$34,1,TRUE))*VLOOKUP(AF201,Charge!$K$31:$M$34,3,TRUE),
VLOOKUP(AF201,Charge!$N$31:$P$34,2,TRUE)+(AF201-VLOOKUP(AF201,Charge!$N$31:$P$34,1,TRUE))*VLOOKUP(AF201,Charge!$N$31:$P$34,3,TRUE)),
IF(AND(M201="DG"),IF(R201="20'",
VLOOKUP(AF201,Charge!$R$31:$T$34,2,TRUE)+(AF201-VLOOKUP(AF201,Charge!$R$31:$T$34,1,TRUE))*VLOOKUP(AF201,Charge!$R$31:$T$34,3,TRUE),
VLOOKUP(AF201,Charge!$U$31:$W$34,2,TRUE)+(AF201-VLOOKUP(AF201,Charge!$U$31:$W$34,1,TRUE))*VLOOKUP(AF201,Charge!$U$31:$W$34,3,TRUE)),0))</f>
        <v>0</v>
      </c>
      <c r="AH201" s="60"/>
      <c r="AI201" s="60">
        <f>AA201-AH201</f>
        <v>1250</v>
      </c>
      <c r="AJ201" s="61"/>
      <c r="AK201" s="55" t="str">
        <f>VLOOKUP(D201,'2.Bookinglist'!A:CT,40,FALSE)</f>
        <v>Nannaapust Sukporntaweewat</v>
      </c>
      <c r="AL201" s="56" t="str">
        <f>VLOOKUP(D201,'2.Bookinglist'!A:CW,101,FALSE)</f>
        <v>2026-10-24</v>
      </c>
      <c r="AM201" s="56" t="str">
        <f>VLOOKUP(D201,'2.Bookinglist'!A:BK,63,FALSE)</f>
        <v>LCHY5</v>
      </c>
      <c r="AN201" s="55" t="str">
        <f>VLOOKUP(D201,'2.Bookinglist'!A:AZ,52,FALSE)</f>
        <v>Pickup : 2026-10-15, Return : 2026-10-16</v>
      </c>
      <c r="AO201" s="55">
        <f>VLOOKUP(D201,'2.Bookinglist'!A:CY,103,FALSE)</f>
        <v>0</v>
      </c>
    </row>
    <row r="202" ht="12.95" customHeight="1" spans="1:41" x14ac:dyDescent="0.25">
      <c r="A202" s="3" t="s">
        <v>198</v>
      </c>
      <c r="B202" s="53" t="str">
        <f>IF(C202=Charge!$M$1,Charge!$J$1,IF(C202=Charge!$M$23,Charge!$J$23,IF(C202=Charge!$M$17,Charge!$J$17,IF(C202=Charge!$N$17,Charge!$J$17,Charge!$J$7))))</f>
        <v>G2</v>
      </c>
      <c r="C202" s="54" t="str">
        <f>VLOOKUP(A202,'1.Loading'!A:R,14,FALSE)</f>
        <v>LCH06</v>
      </c>
      <c r="D202" s="54" t="str">
        <f>VLOOKUP(A202,'1.Loading'!A:R,17,FALSE)</f>
        <v>HASLS22261000876</v>
      </c>
      <c r="E202" s="55" t="str">
        <f>VLOOKUP(D202,'2.Bookinglist'!A:CT,27,FALSE)</f>
        <v>SUN-OCEAN GLOBAL SUPPLY CHAIN CO., LTD.</v>
      </c>
      <c r="F202" s="55" t="str">
        <f>VLOOKUP(D202,'2.Bookinglist'!A:CT,28,FALSE)</f>
        <v>I.P. ONE COMPANY LIMITED</v>
      </c>
      <c r="G202" s="56" t="str">
        <f>VLOOKUP(D202,'2.Bookinglist'!A:E,5,FALSE)</f>
        <v>THSRP</v>
      </c>
      <c r="H202" s="54" t="str">
        <f>VLOOKUP(D202,'2.Bookinglist'!A:CT,15,FALSE)</f>
        <v>THLCH</v>
      </c>
      <c r="I202" s="54" t="str">
        <f>VLOOKUP(D202,'2.Bookinglist'!A:CT,19,FALSE)</f>
        <v>CNSHA</v>
      </c>
      <c r="J202" s="54">
        <f>VLOOKUP(D202,'2.Bookinglist'!A:CT,26,FALSE)</f>
        <v>0</v>
      </c>
      <c r="K202" s="54" t="str">
        <f>VLOOKUP(A202,'1.Loading'!A:R,5,FALSE)</f>
        <v>45GP</v>
      </c>
      <c r="L202" s="56" t="str">
        <f>VLOOKUP(D202,'2.Bookinglist'!A:CT,85,FALSE)</f>
        <v>CY/CY</v>
      </c>
      <c r="M202" s="56" t="str">
        <f>IF(VLOOKUP(D202,'2.Bookinglist'!A:CT,43,FALSE)=0,"","DG")</f>
        <v/>
      </c>
      <c r="N202" s="56" t="str">
        <f>IF(RIGHT(K202,2)="RE","RF","")</f>
        <v/>
      </c>
      <c r="O202" s="54" t="str">
        <f>VLOOKUP(A202,'1.Loading'!A:R,3,FALSE)</f>
        <v>HMVY</v>
      </c>
      <c r="P202" s="54" t="str">
        <f>VLOOKUP(A202,'1.Loading'!A:R,4,FALSE)</f>
        <v>2609N</v>
      </c>
      <c r="Q202" s="54" t="str">
        <f>VLOOKUP(D202,'2.Bookinglist'!A:CT,12,FALSE)</f>
        <v>PCI2</v>
      </c>
      <c r="R202" s="56" t="str">
        <f>IF(LEFT(K202,2)="22","20'","40'")</f>
        <v>40'</v>
      </c>
      <c r="S202" s="38"/>
      <c r="T202" s="54" t="str">
        <f>VLOOKUP(A202,'1.Loading'!A:R,2,FALSE)</f>
        <v>2026-10-28</v>
      </c>
      <c r="U202" s="57">
        <f>T202-S202</f>
        <v>46323</v>
      </c>
      <c r="V202" s="58"/>
      <c r="W202" s="54" t="str">
        <f>VLOOKUP(A202,'3.GateMove'!A:D,4,FALSE)</f>
        <v>2026-10-23</v>
      </c>
      <c r="X202" s="57">
        <f>((T202-W202)+1)</f>
        <v>6</v>
      </c>
      <c r="Y202" s="59">
        <f>IF(AND(OR(C202="BKK01",C202="BKK04"),L202="CFS/CY"),0,IF(M202="DG",1,IF(LEFT(C202,3)="LCH",7,IF(C202="BKK02",5,3))))</f>
        <v>7</v>
      </c>
      <c r="Z202" s="57">
        <f>IF(IF(AND(AC202="TML",AB202&gt;0),((T202-W202)+1)-AB202,((T202-W202)+1)-Y202)&gt;0,IF(AND(AC202="TML",AB202&gt;0),((T202-W202)+1)-AB202,((T202-W202)+1)-Y202),0)</f>
        <v>0</v>
      </c>
      <c r="AA202" s="48">
        <f>IF(AND(B202="G1",M202=""),IF(R202="20'",
VLOOKUP(Z202,Charge!$K$2:$M$5,2,TRUE)+(Z202-VLOOKUP(Z202,Charge!$K$2:$M$5,1,TRUE))*VLOOKUP(Z202,Charge!$K$2:$M$5,3,TRUE),
VLOOKUP(Z202,Charge!$N$2:$P$5,2,TRUE)+(Z202-VLOOKUP(Z202,Charge!$N$2:$P$5,1,TRUE))*VLOOKUP(Z202,Charge!$N$2:$P$5,3,TRUE)),
IF(AND(B202="G1",M202="DG"),IF(R202="20'",
VLOOKUP(Z202,Charge!$R$2:$T$5,2,TRUE)+(Z202-VLOOKUP(Z202,Charge!$R$2:$T$5,1,TRUE))*VLOOKUP(Z202,Charge!$R$2:$T$5,3,TRUE),
VLOOKUP(Z202,Charge!$U$2:$W$5,2,TRUE)+(Z202-VLOOKUP(Z202,Charge!$U$2:$W$5,1,TRUE))*VLOOKUP(Z202,Charge!$U$2:$W$5,3,TRUE)),
IF(AND(B202="G3",M202=""),IF(R202="20'",
VLOOKUP(Z202,Charge!$K$18:$M$21,2,TRUE)+(Z202-VLOOKUP(Z202,Charge!$K$18:$M$21,1,TRUE))*VLOOKUP(Z202,Charge!$K$18:$M$21,3,TRUE),
VLOOKUP(Z202,Charge!$N$18:$P$21,2,TRUE)+(Z202-VLOOKUP(Z202,Charge!$N$18:$P$21,1,TRUE))*VLOOKUP(Z202,Charge!$N$18:$P$21,3,TRUE)),
IF(AND(B202="G3",M202="DG"),IF(R202="20'",
VLOOKUP(Z202,Charge!$R$18:$T$21,2,TRUE)+(Z202-VLOOKUP(Z202,Charge!$R$18:$T$21,1,TRUE))*VLOOKUP(Z202,Charge!$R$18:$T$21,3,TRUE),
VLOOKUP(Z202,Charge!$U$18:$W$21,2,TRUE)+(Z202-VLOOKUP(Z202,Charge!$U$18:$W$21,1,TRUE))*VLOOKUP(Z202,Charge!$U$18:$W$21,3,TRUE)),
IF(AND(B202="G2",M202=""),IF(R202="20'",
VLOOKUP(Z202,Charge!$K$9:$M$12,2,TRUE)+(Z202-VLOOKUP(Z202,Charge!$K$9:$M$12,1,TRUE))*VLOOKUP(Z202,Charge!$K$9:$M$12,3,TRUE),
VLOOKUP(Z202,Charge!$N$9:$P$12,2,TRUE)+(Z202-VLOOKUP(Z202,Charge!$N$9:$P$12,1,TRUE))*VLOOKUP(Z202,Charge!$N$9:$P$12,3,TRUE)),
IF(AND(B202="G2",M202="DG"),IF(R202="20'",
VLOOKUP(Z202,Charge!$R$9:$T$12,2,TRUE)+(Z202-VLOOKUP(Z202,Charge!$R$9:$T$12,1,TRUE))*VLOOKUP(Z202,Charge!$R$9:$T$12,3,TRUE),
VLOOKUP(Z202,Charge!$U$9:$W$12,2,TRUE)+(Z202-VLOOKUP(Z202,Charge!$U$9:$W$12,1,TRUE))*VLOOKUP(Z202,Charge!$U$9:$W$12,3,TRUE)),IF(AND(B202="G4",M202=""),IF(R202="20'",Z202*Charge!$M$25,Z202*Charge!$P$25),IF(AND(B202="G4",M202="DG"),IF(R202="20'",Z202*Charge!$T$25,Z202*Charge!$W$25),0))))))))</f>
        <v>0</v>
      </c>
      <c r="AB202" s="53"/>
      <c r="AC202" s="53"/>
      <c r="AD202" s="56">
        <f>IF(M202="DG",3,IF(N202="RF",3,5))+IF(AND(LEFT(C202,3)="BKK",N202="RF",Q202="KTS"),1,0)+IF(Q202="KHS",1,0)</f>
        <v>5</v>
      </c>
      <c r="AE202" s="57">
        <f>(T202-V202)+1</f>
        <v>46324</v>
      </c>
      <c r="AF202" s="57">
        <f>IF(AB202&gt;IF((V202-W202)&gt;0,V202-W202,0),0,IF(AB202&lt;IF((V202-W202)&gt;0,V202-W202,0),IF((V202-W202)&gt;0,V202-W202,0)-AB202,IF((V202-W202)&gt;0,V202-W202,0)))</f>
        <v>0</v>
      </c>
      <c r="AG202" s="48">
        <f>IF(AND(M202=""),IF(R202="20'",
VLOOKUP(AF202,Charge!$K$31:$M$34,2,TRUE)+(AF202-VLOOKUP(AF202,Charge!$K$31:$M$34,1,TRUE))*VLOOKUP(AF202,Charge!$K$31:$M$34,3,TRUE),
VLOOKUP(AF202,Charge!$N$31:$P$34,2,TRUE)+(AF202-VLOOKUP(AF202,Charge!$N$31:$P$34,1,TRUE))*VLOOKUP(AF202,Charge!$N$31:$P$34,3,TRUE)),
IF(AND(M202="DG"),IF(R202="20'",
VLOOKUP(AF202,Charge!$R$31:$T$34,2,TRUE)+(AF202-VLOOKUP(AF202,Charge!$R$31:$T$34,1,TRUE))*VLOOKUP(AF202,Charge!$R$31:$T$34,3,TRUE),
VLOOKUP(AF202,Charge!$U$31:$W$34,2,TRUE)+(AF202-VLOOKUP(AF202,Charge!$U$31:$W$34,1,TRUE))*VLOOKUP(AF202,Charge!$U$31:$W$34,3,TRUE)),0))</f>
        <v>0</v>
      </c>
      <c r="AH202" s="60"/>
      <c r="AI202" s="60">
        <f>AA202-AH202</f>
        <v>0</v>
      </c>
      <c r="AJ202" s="61"/>
      <c r="AK202" s="55" t="str">
        <f>VLOOKUP(D202,'2.Bookinglist'!A:CT,40,FALSE)</f>
        <v>Arunphat W. (Aiw)</v>
      </c>
      <c r="AL202" s="56" t="str">
        <f>VLOOKUP(D202,'2.Bookinglist'!A:CW,101,FALSE)</f>
        <v>2026-10-22</v>
      </c>
      <c r="AM202" s="56" t="str">
        <f>VLOOKUP(D202,'2.Bookinglist'!A:BK,63,FALSE)</f>
        <v>BKK27</v>
      </c>
      <c r="AN202" s="55" t="str">
        <f>VLOOKUP(D202,'2.Bookinglist'!A:AZ,52,FALSE)</f>
        <v>Pickup : 2026-10-16, Return SRP : 2026-10-17 [PAPERLESS CODE 2829]
CLS TIME 24/10/26 @21.00 (1ST RETURN 17/10/26)</v>
      </c>
      <c r="AO202" s="55">
        <f>VLOOKUP(D202,'2.Bookinglist'!A:CY,103,FALSE)</f>
        <v>0</v>
      </c>
    </row>
    <row r="203" ht="12.95" customHeight="1" spans="1:41" x14ac:dyDescent="0.25">
      <c r="A203" s="3" t="s">
        <v>203</v>
      </c>
      <c r="B203" s="53" t="str">
        <f>IF(C203=Charge!$M$1,Charge!$J$1,IF(C203=Charge!$M$23,Charge!$J$23,IF(C203=Charge!$M$17,Charge!$J$17,IF(C203=Charge!$N$17,Charge!$J$17,Charge!$J$7))))</f>
        <v>G2</v>
      </c>
      <c r="C203" s="54" t="str">
        <f>VLOOKUP(A203,'1.Loading'!A:R,14,FALSE)</f>
        <v>LCH06</v>
      </c>
      <c r="D203" s="54" t="str">
        <f>VLOOKUP(A203,'1.Loading'!A:R,17,FALSE)</f>
        <v>HASLS22260902449</v>
      </c>
      <c r="E203" s="55" t="str">
        <f>VLOOKUP(D203,'2.Bookinglist'!A:CT,27,FALSE)</f>
        <v>SBS LOGISTICS (THAILAND) CO., LTD.</v>
      </c>
      <c r="F203" s="55" t="str">
        <f>VLOOKUP(D203,'2.Bookinglist'!A:CT,28,FALSE)</f>
        <v>MITANI TRADING (THAILAND) CO.,LTD.</v>
      </c>
      <c r="G203" s="56" t="str">
        <f>VLOOKUP(D203,'2.Bookinglist'!A:E,5,FALSE)</f>
        <v>THSRP</v>
      </c>
      <c r="H203" s="54" t="str">
        <f>VLOOKUP(D203,'2.Bookinglist'!A:CT,15,FALSE)</f>
        <v>THLCH</v>
      </c>
      <c r="I203" s="54" t="str">
        <f>VLOOKUP(D203,'2.Bookinglist'!A:CT,19,FALSE)</f>
        <v>CNSHA</v>
      </c>
      <c r="J203" s="54">
        <f>VLOOKUP(D203,'2.Bookinglist'!A:CT,26,FALSE)</f>
        <v>0</v>
      </c>
      <c r="K203" s="54" t="str">
        <f>VLOOKUP(A203,'1.Loading'!A:R,5,FALSE)</f>
        <v>45GP</v>
      </c>
      <c r="L203" s="56" t="str">
        <f>VLOOKUP(D203,'2.Bookinglist'!A:CT,85,FALSE)</f>
        <v>CY/CY</v>
      </c>
      <c r="M203" s="56" t="str">
        <f>IF(VLOOKUP(D203,'2.Bookinglist'!A:CT,43,FALSE)=0,"","DG")</f>
        <v/>
      </c>
      <c r="N203" s="56" t="str">
        <f>IF(RIGHT(K203,2)="RE","RF","")</f>
        <v/>
      </c>
      <c r="O203" s="54" t="str">
        <f>VLOOKUP(A203,'1.Loading'!A:R,3,FALSE)</f>
        <v>HMVY</v>
      </c>
      <c r="P203" s="54" t="str">
        <f>VLOOKUP(A203,'1.Loading'!A:R,4,FALSE)</f>
        <v>2609N</v>
      </c>
      <c r="Q203" s="54" t="str">
        <f>VLOOKUP(D203,'2.Bookinglist'!A:CT,12,FALSE)</f>
        <v>PCI2</v>
      </c>
      <c r="R203" s="56" t="str">
        <f>IF(LEFT(K203,2)="22","20'","40'")</f>
        <v>40'</v>
      </c>
      <c r="S203" s="38"/>
      <c r="T203" s="54" t="str">
        <f>VLOOKUP(A203,'1.Loading'!A:R,2,FALSE)</f>
        <v>2026-10-28</v>
      </c>
      <c r="U203" s="57">
        <f>T203-S203</f>
        <v>46323</v>
      </c>
      <c r="V203" s="58"/>
      <c r="W203" s="54" t="str">
        <f>VLOOKUP(A203,'3.GateMove'!A:D,4,FALSE)</f>
        <v>2026-10-23</v>
      </c>
      <c r="X203" s="57">
        <f>((T203-W203)+1)</f>
        <v>6</v>
      </c>
      <c r="Y203" s="59">
        <f>IF(AND(OR(C203="BKK01",C203="BKK04"),L203="CFS/CY"),0,IF(M203="DG",1,IF(LEFT(C203,3)="LCH",7,IF(C203="BKK02",5,3))))</f>
        <v>7</v>
      </c>
      <c r="Z203" s="57">
        <f>IF(IF(AND(AC203="TML",AB203&gt;0),((T203-W203)+1)-AB203,((T203-W203)+1)-Y203)&gt;0,IF(AND(AC203="TML",AB203&gt;0),((T203-W203)+1)-AB203,((T203-W203)+1)-Y203),0)</f>
        <v>0</v>
      </c>
      <c r="AA203" s="48">
        <f>IF(AND(B203="G1",M203=""),IF(R203="20'",
VLOOKUP(Z203,Charge!$K$2:$M$5,2,TRUE)+(Z203-VLOOKUP(Z203,Charge!$K$2:$M$5,1,TRUE))*VLOOKUP(Z203,Charge!$K$2:$M$5,3,TRUE),
VLOOKUP(Z203,Charge!$N$2:$P$5,2,TRUE)+(Z203-VLOOKUP(Z203,Charge!$N$2:$P$5,1,TRUE))*VLOOKUP(Z203,Charge!$N$2:$P$5,3,TRUE)),
IF(AND(B203="G1",M203="DG"),IF(R203="20'",
VLOOKUP(Z203,Charge!$R$2:$T$5,2,TRUE)+(Z203-VLOOKUP(Z203,Charge!$R$2:$T$5,1,TRUE))*VLOOKUP(Z203,Charge!$R$2:$T$5,3,TRUE),
VLOOKUP(Z203,Charge!$U$2:$W$5,2,TRUE)+(Z203-VLOOKUP(Z203,Charge!$U$2:$W$5,1,TRUE))*VLOOKUP(Z203,Charge!$U$2:$W$5,3,TRUE)),
IF(AND(B203="G3",M203=""),IF(R203="20'",
VLOOKUP(Z203,Charge!$K$18:$M$21,2,TRUE)+(Z203-VLOOKUP(Z203,Charge!$K$18:$M$21,1,TRUE))*VLOOKUP(Z203,Charge!$K$18:$M$21,3,TRUE),
VLOOKUP(Z203,Charge!$N$18:$P$21,2,TRUE)+(Z203-VLOOKUP(Z203,Charge!$N$18:$P$21,1,TRUE))*VLOOKUP(Z203,Charge!$N$18:$P$21,3,TRUE)),
IF(AND(B203="G3",M203="DG"),IF(R203="20'",
VLOOKUP(Z203,Charge!$R$18:$T$21,2,TRUE)+(Z203-VLOOKUP(Z203,Charge!$R$18:$T$21,1,TRUE))*VLOOKUP(Z203,Charge!$R$18:$T$21,3,TRUE),
VLOOKUP(Z203,Charge!$U$18:$W$21,2,TRUE)+(Z203-VLOOKUP(Z203,Charge!$U$18:$W$21,1,TRUE))*VLOOKUP(Z203,Charge!$U$18:$W$21,3,TRUE)),
IF(AND(B203="G2",M203=""),IF(R203="20'",
VLOOKUP(Z203,Charge!$K$9:$M$12,2,TRUE)+(Z203-VLOOKUP(Z203,Charge!$K$9:$M$12,1,TRUE))*VLOOKUP(Z203,Charge!$K$9:$M$12,3,TRUE),
VLOOKUP(Z203,Charge!$N$9:$P$12,2,TRUE)+(Z203-VLOOKUP(Z203,Charge!$N$9:$P$12,1,TRUE))*VLOOKUP(Z203,Charge!$N$9:$P$12,3,TRUE)),
IF(AND(B203="G2",M203="DG"),IF(R203="20'",
VLOOKUP(Z203,Charge!$R$9:$T$12,2,TRUE)+(Z203-VLOOKUP(Z203,Charge!$R$9:$T$12,1,TRUE))*VLOOKUP(Z203,Charge!$R$9:$T$12,3,TRUE),
VLOOKUP(Z203,Charge!$U$9:$W$12,2,TRUE)+(Z203-VLOOKUP(Z203,Charge!$U$9:$W$12,1,TRUE))*VLOOKUP(Z203,Charge!$U$9:$W$12,3,TRUE)),IF(AND(B203="G4",M203=""),IF(R203="20'",Z203*Charge!$M$25,Z203*Charge!$P$25),IF(AND(B203="G4",M203="DG"),IF(R203="20'",Z203*Charge!$T$25,Z203*Charge!$W$25),0))))))))</f>
        <v>0</v>
      </c>
      <c r="AB203" s="53"/>
      <c r="AC203" s="53"/>
      <c r="AD203" s="56">
        <f>IF(M203="DG",3,IF(N203="RF",3,5))+IF(AND(LEFT(C203,3)="BKK",N203="RF",Q203="KTS"),1,0)+IF(Q203="KHS",1,0)</f>
        <v>5</v>
      </c>
      <c r="AE203" s="57">
        <f>(T203-V203)+1</f>
        <v>46324</v>
      </c>
      <c r="AF203" s="57">
        <f>IF(AB203&gt;IF((V203-W203)&gt;0,V203-W203,0),0,IF(AB203&lt;IF((V203-W203)&gt;0,V203-W203,0),IF((V203-W203)&gt;0,V203-W203,0)-AB203,IF((V203-W203)&gt;0,V203-W203,0)))</f>
        <v>0</v>
      </c>
      <c r="AG203" s="48">
        <f>IF(AND(M203=""),IF(R203="20'",
VLOOKUP(AF203,Charge!$K$31:$M$34,2,TRUE)+(AF203-VLOOKUP(AF203,Charge!$K$31:$M$34,1,TRUE))*VLOOKUP(AF203,Charge!$K$31:$M$34,3,TRUE),
VLOOKUP(AF203,Charge!$N$31:$P$34,2,TRUE)+(AF203-VLOOKUP(AF203,Charge!$N$31:$P$34,1,TRUE))*VLOOKUP(AF203,Charge!$N$31:$P$34,3,TRUE)),
IF(AND(M203="DG"),IF(R203="20'",
VLOOKUP(AF203,Charge!$R$31:$T$34,2,TRUE)+(AF203-VLOOKUP(AF203,Charge!$R$31:$T$34,1,TRUE))*VLOOKUP(AF203,Charge!$R$31:$T$34,3,TRUE),
VLOOKUP(AF203,Charge!$U$31:$W$34,2,TRUE)+(AF203-VLOOKUP(AF203,Charge!$U$31:$W$34,1,TRUE))*VLOOKUP(AF203,Charge!$U$31:$W$34,3,TRUE)),0))</f>
        <v>0</v>
      </c>
      <c r="AH203" s="60"/>
      <c r="AI203" s="60">
        <f>AA203-AH203</f>
        <v>0</v>
      </c>
      <c r="AJ203" s="61"/>
      <c r="AK203" s="55" t="str">
        <f>VLOOKUP(D203,'2.Bookinglist'!A:CT,40,FALSE)</f>
        <v>Arunphat W. (Aiw)</v>
      </c>
      <c r="AL203" s="56" t="str">
        <f>VLOOKUP(D203,'2.Bookinglist'!A:CW,101,FALSE)</f>
        <v>2026-10-18</v>
      </c>
      <c r="AM203" s="56" t="str">
        <f>VLOOKUP(D203,'2.Bookinglist'!A:BK,63,FALSE)</f>
        <v>BKK27</v>
      </c>
      <c r="AN203" s="55" t="str">
        <f>VLOOKUP(D203,'2.Bookinglist'!A:AZ,52,FALSE)</f>
        <v>Pickup : 2026-10-15, Return : 2026-10-15 [PAPERLESS CODE : 2829] 
 CLS TIME @SRP : 19/10 @13.00 [1ST RTN 16/10 W/O RENT] 
</v>
      </c>
      <c r="AO203" s="55">
        <f>VLOOKUP(D203,'2.Bookinglist'!A:CY,103,FALSE)</f>
        <v>0</v>
      </c>
    </row>
    <row r="204" ht="12.95" customHeight="1" spans="1:41" x14ac:dyDescent="0.25">
      <c r="A204" s="3" t="s">
        <v>226</v>
      </c>
      <c r="B204" s="53" t="str">
        <f>IF(C204=Charge!$M$1,Charge!$J$1,IF(C204=Charge!$M$23,Charge!$J$23,IF(C204=Charge!$M$17,Charge!$J$17,IF(C204=Charge!$N$17,Charge!$J$17,Charge!$J$7))))</f>
        <v>G2</v>
      </c>
      <c r="C204" s="54" t="str">
        <f>VLOOKUP(A204,'1.Loading'!A:R,14,FALSE)</f>
        <v>LCH06</v>
      </c>
      <c r="D204" s="54" t="str">
        <f>VLOOKUP(A204,'1.Loading'!A:R,17,FALSE)</f>
        <v>HASLS22261001024</v>
      </c>
      <c r="E204" s="55" t="str">
        <f>VLOOKUP(D204,'2.Bookinglist'!A:CT,27,FALSE)</f>
        <v>SUN-OCEAN GLOBAL SUPPLY CHAIN CO., LTD.</v>
      </c>
      <c r="F204" s="55" t="str">
        <f>VLOOKUP(D204,'2.Bookinglist'!A:CT,28,FALSE)</f>
        <v>I.P. ONE COMPANY LIMITED</v>
      </c>
      <c r="G204" s="56" t="str">
        <f>VLOOKUP(D204,'2.Bookinglist'!A:E,5,FALSE)</f>
        <v>THSRP</v>
      </c>
      <c r="H204" s="54" t="str">
        <f>VLOOKUP(D204,'2.Bookinglist'!A:CT,15,FALSE)</f>
        <v>THLCH</v>
      </c>
      <c r="I204" s="54" t="str">
        <f>VLOOKUP(D204,'2.Bookinglist'!A:CT,19,FALSE)</f>
        <v>CNSHA</v>
      </c>
      <c r="J204" s="54">
        <f>VLOOKUP(D204,'2.Bookinglist'!A:CT,26,FALSE)</f>
        <v>0</v>
      </c>
      <c r="K204" s="54" t="str">
        <f>VLOOKUP(A204,'1.Loading'!A:R,5,FALSE)</f>
        <v>45GP</v>
      </c>
      <c r="L204" s="56" t="str">
        <f>VLOOKUP(D204,'2.Bookinglist'!A:CT,85,FALSE)</f>
        <v>CY/CY</v>
      </c>
      <c r="M204" s="56" t="str">
        <f>IF(VLOOKUP(D204,'2.Bookinglist'!A:CT,43,FALSE)=0,"","DG")</f>
        <v/>
      </c>
      <c r="N204" s="56" t="str">
        <f>IF(RIGHT(K204,2)="RE","RF","")</f>
        <v/>
      </c>
      <c r="O204" s="54" t="str">
        <f>VLOOKUP(A204,'1.Loading'!A:R,3,FALSE)</f>
        <v>HMVY</v>
      </c>
      <c r="P204" s="54" t="str">
        <f>VLOOKUP(A204,'1.Loading'!A:R,4,FALSE)</f>
        <v>2609N</v>
      </c>
      <c r="Q204" s="54" t="str">
        <f>VLOOKUP(D204,'2.Bookinglist'!A:CT,12,FALSE)</f>
        <v>PCI2</v>
      </c>
      <c r="R204" s="56" t="str">
        <f>IF(LEFT(K204,2)="22","20'","40'")</f>
        <v>40'</v>
      </c>
      <c r="S204" s="38"/>
      <c r="T204" s="54" t="str">
        <f>VLOOKUP(A204,'1.Loading'!A:R,2,FALSE)</f>
        <v>2026-10-28</v>
      </c>
      <c r="U204" s="57">
        <f>T204-S204</f>
        <v>46323</v>
      </c>
      <c r="V204" s="58"/>
      <c r="W204" s="54" t="str">
        <f>VLOOKUP(A204,'3.GateMove'!A:D,4,FALSE)</f>
        <v>2026-10-23</v>
      </c>
      <c r="X204" s="57">
        <f>((T204-W204)+1)</f>
        <v>6</v>
      </c>
      <c r="Y204" s="59">
        <f>IF(AND(OR(C204="BKK01",C204="BKK04"),L204="CFS/CY"),0,IF(M204="DG",1,IF(LEFT(C204,3)="LCH",7,IF(C204="BKK02",5,3))))</f>
        <v>7</v>
      </c>
      <c r="Z204" s="57">
        <f>IF(IF(AND(AC204="TML",AB204&gt;0),((T204-W204)+1)-AB204,((T204-W204)+1)-Y204)&gt;0,IF(AND(AC204="TML",AB204&gt;0),((T204-W204)+1)-AB204,((T204-W204)+1)-Y204),0)</f>
        <v>0</v>
      </c>
      <c r="AA204" s="48">
        <f>IF(AND(B204="G1",M204=""),IF(R204="20'",
VLOOKUP(Z204,Charge!$K$2:$M$5,2,TRUE)+(Z204-VLOOKUP(Z204,Charge!$K$2:$M$5,1,TRUE))*VLOOKUP(Z204,Charge!$K$2:$M$5,3,TRUE),
VLOOKUP(Z204,Charge!$N$2:$P$5,2,TRUE)+(Z204-VLOOKUP(Z204,Charge!$N$2:$P$5,1,TRUE))*VLOOKUP(Z204,Charge!$N$2:$P$5,3,TRUE)),
IF(AND(B204="G1",M204="DG"),IF(R204="20'",
VLOOKUP(Z204,Charge!$R$2:$T$5,2,TRUE)+(Z204-VLOOKUP(Z204,Charge!$R$2:$T$5,1,TRUE))*VLOOKUP(Z204,Charge!$R$2:$T$5,3,TRUE),
VLOOKUP(Z204,Charge!$U$2:$W$5,2,TRUE)+(Z204-VLOOKUP(Z204,Charge!$U$2:$W$5,1,TRUE))*VLOOKUP(Z204,Charge!$U$2:$W$5,3,TRUE)),
IF(AND(B204="G3",M204=""),IF(R204="20'",
VLOOKUP(Z204,Charge!$K$18:$M$21,2,TRUE)+(Z204-VLOOKUP(Z204,Charge!$K$18:$M$21,1,TRUE))*VLOOKUP(Z204,Charge!$K$18:$M$21,3,TRUE),
VLOOKUP(Z204,Charge!$N$18:$P$21,2,TRUE)+(Z204-VLOOKUP(Z204,Charge!$N$18:$P$21,1,TRUE))*VLOOKUP(Z204,Charge!$N$18:$P$21,3,TRUE)),
IF(AND(B204="G3",M204="DG"),IF(R204="20'",
VLOOKUP(Z204,Charge!$R$18:$T$21,2,TRUE)+(Z204-VLOOKUP(Z204,Charge!$R$18:$T$21,1,TRUE))*VLOOKUP(Z204,Charge!$R$18:$T$21,3,TRUE),
VLOOKUP(Z204,Charge!$U$18:$W$21,2,TRUE)+(Z204-VLOOKUP(Z204,Charge!$U$18:$W$21,1,TRUE))*VLOOKUP(Z204,Charge!$U$18:$W$21,3,TRUE)),
IF(AND(B204="G2",M204=""),IF(R204="20'",
VLOOKUP(Z204,Charge!$K$9:$M$12,2,TRUE)+(Z204-VLOOKUP(Z204,Charge!$K$9:$M$12,1,TRUE))*VLOOKUP(Z204,Charge!$K$9:$M$12,3,TRUE),
VLOOKUP(Z204,Charge!$N$9:$P$12,2,TRUE)+(Z204-VLOOKUP(Z204,Charge!$N$9:$P$12,1,TRUE))*VLOOKUP(Z204,Charge!$N$9:$P$12,3,TRUE)),
IF(AND(B204="G2",M204="DG"),IF(R204="20'",
VLOOKUP(Z204,Charge!$R$9:$T$12,2,TRUE)+(Z204-VLOOKUP(Z204,Charge!$R$9:$T$12,1,TRUE))*VLOOKUP(Z204,Charge!$R$9:$T$12,3,TRUE),
VLOOKUP(Z204,Charge!$U$9:$W$12,2,TRUE)+(Z204-VLOOKUP(Z204,Charge!$U$9:$W$12,1,TRUE))*VLOOKUP(Z204,Charge!$U$9:$W$12,3,TRUE)),IF(AND(B204="G4",M204=""),IF(R204="20'",Z204*Charge!$M$25,Z204*Charge!$P$25),IF(AND(B204="G4",M204="DG"),IF(R204="20'",Z204*Charge!$T$25,Z204*Charge!$W$25),0))))))))</f>
        <v>0</v>
      </c>
      <c r="AB204" s="53"/>
      <c r="AC204" s="53"/>
      <c r="AD204" s="56">
        <f>IF(M204="DG",3,IF(N204="RF",3,5))+IF(AND(LEFT(C204,3)="BKK",N204="RF",Q204="KTS"),1,0)+IF(Q204="KHS",1,0)</f>
        <v>5</v>
      </c>
      <c r="AE204" s="57">
        <f>(T204-V204)+1</f>
        <v>46324</v>
      </c>
      <c r="AF204" s="57">
        <f>IF(AB204&gt;IF((V204-W204)&gt;0,V204-W204,0),0,IF(AB204&lt;IF((V204-W204)&gt;0,V204-W204,0),IF((V204-W204)&gt;0,V204-W204,0)-AB204,IF((V204-W204)&gt;0,V204-W204,0)))</f>
        <v>0</v>
      </c>
      <c r="AG204" s="48">
        <f>IF(AND(M204=""),IF(R204="20'",
VLOOKUP(AF204,Charge!$K$31:$M$34,2,TRUE)+(AF204-VLOOKUP(AF204,Charge!$K$31:$M$34,1,TRUE))*VLOOKUP(AF204,Charge!$K$31:$M$34,3,TRUE),
VLOOKUP(AF204,Charge!$N$31:$P$34,2,TRUE)+(AF204-VLOOKUP(AF204,Charge!$N$31:$P$34,1,TRUE))*VLOOKUP(AF204,Charge!$N$31:$P$34,3,TRUE)),
IF(AND(M204="DG"),IF(R204="20'",
VLOOKUP(AF204,Charge!$R$31:$T$34,2,TRUE)+(AF204-VLOOKUP(AF204,Charge!$R$31:$T$34,1,TRUE))*VLOOKUP(AF204,Charge!$R$31:$T$34,3,TRUE),
VLOOKUP(AF204,Charge!$U$31:$W$34,2,TRUE)+(AF204-VLOOKUP(AF204,Charge!$U$31:$W$34,1,TRUE))*VLOOKUP(AF204,Charge!$U$31:$W$34,3,TRUE)),0))</f>
        <v>0</v>
      </c>
      <c r="AH204" s="60"/>
      <c r="AI204" s="60">
        <f>AA204-AH204</f>
        <v>0</v>
      </c>
      <c r="AJ204" s="61"/>
      <c r="AK204" s="55" t="str">
        <f>VLOOKUP(D204,'2.Bookinglist'!A:CT,40,FALSE)</f>
        <v>Arunphat W. (Aiw)</v>
      </c>
      <c r="AL204" s="56" t="str">
        <f>VLOOKUP(D204,'2.Bookinglist'!A:CW,101,FALSE)</f>
        <v>2026-10-24</v>
      </c>
      <c r="AM204" s="56" t="str">
        <f>VLOOKUP(D204,'2.Bookinglist'!A:BK,63,FALSE)</f>
        <v>BKK27</v>
      </c>
      <c r="AN204" s="55" t="str">
        <f>VLOOKUP(D204,'2.Bookinglist'!A:AZ,52,FALSE)</f>
        <v>Pickup : 2026-10-19, Return SRP : 2026-10-20 [PAPERLESS CODE 2829]
CLS TIME 24/10/26 @21.00 (1ST RETURN DD.21/10/26)</v>
      </c>
      <c r="AO204" s="55">
        <f>VLOOKUP(D204,'2.Bookinglist'!A:CY,103,FALSE)</f>
        <v>0</v>
      </c>
    </row>
    <row r="205" ht="12.95" customHeight="1" spans="1:41" x14ac:dyDescent="0.25">
      <c r="A205" s="3" t="s">
        <v>139</v>
      </c>
      <c r="B205" s="53" t="str">
        <f>IF(C205=Charge!$M$1,Charge!$J$1,IF(C205=Charge!$M$23,Charge!$J$23,IF(C205=Charge!$M$17,Charge!$J$17,IF(C205=Charge!$N$17,Charge!$J$17,Charge!$J$7))))</f>
        <v>G2</v>
      </c>
      <c r="C205" s="54" t="str">
        <f>VLOOKUP(A205,'1.Loading'!A:R,14,FALSE)</f>
        <v>LCH06</v>
      </c>
      <c r="D205" s="54" t="str">
        <f>VLOOKUP(A205,'1.Loading'!A:R,17,FALSE)</f>
        <v>HASLS22261000285</v>
      </c>
      <c r="E205" s="55" t="str">
        <f>VLOOKUP(D205,'2.Bookinglist'!A:CT,27,FALSE)</f>
        <v>AGC VINYTHAI PUBLIC COMPANY LIMITED</v>
      </c>
      <c r="F205" s="55" t="str">
        <f>VLOOKUP(D205,'2.Bookinglist'!A:CT,28,FALSE)</f>
        <v>AGC VINYTHAI PUBLIC COMPANY LIMITED</v>
      </c>
      <c r="G205" s="56">
        <f>VLOOKUP(D205,'2.Bookinglist'!A:E,5,FALSE)</f>
        <v>0</v>
      </c>
      <c r="H205" s="54" t="str">
        <f>VLOOKUP(D205,'2.Bookinglist'!A:CT,15,FALSE)</f>
        <v>THLCH</v>
      </c>
      <c r="I205" s="54" t="str">
        <f>VLOOKUP(D205,'2.Bookinglist'!A:CT,19,FALSE)</f>
        <v>CNSHA</v>
      </c>
      <c r="J205" s="54">
        <f>VLOOKUP(D205,'2.Bookinglist'!A:CT,26,FALSE)</f>
        <v>0</v>
      </c>
      <c r="K205" s="54" t="str">
        <f>VLOOKUP(A205,'1.Loading'!A:R,5,FALSE)</f>
        <v>45GP</v>
      </c>
      <c r="L205" s="56" t="str">
        <f>VLOOKUP(D205,'2.Bookinglist'!A:CT,85,FALSE)</f>
        <v>CY/CY</v>
      </c>
      <c r="M205" s="56" t="str">
        <f>IF(VLOOKUP(D205,'2.Bookinglist'!A:CT,43,FALSE)=0,"","DG")</f>
        <v/>
      </c>
      <c r="N205" s="56" t="str">
        <f>IF(RIGHT(K205,2)="RE","RF","")</f>
        <v/>
      </c>
      <c r="O205" s="54" t="str">
        <f>VLOOKUP(A205,'1.Loading'!A:R,3,FALSE)</f>
        <v>HMVY</v>
      </c>
      <c r="P205" s="54" t="str">
        <f>VLOOKUP(A205,'1.Loading'!A:R,4,FALSE)</f>
        <v>2609N</v>
      </c>
      <c r="Q205" s="54" t="str">
        <f>VLOOKUP(D205,'2.Bookinglist'!A:CT,12,FALSE)</f>
        <v>PCI2</v>
      </c>
      <c r="R205" s="56" t="str">
        <f>IF(LEFT(K205,2)="22","20'","40'")</f>
        <v>40'</v>
      </c>
      <c r="S205" s="38"/>
      <c r="T205" s="54" t="str">
        <f>VLOOKUP(A205,'1.Loading'!A:R,2,FALSE)</f>
        <v>2026-10-28</v>
      </c>
      <c r="U205" s="57">
        <f>T205-S205</f>
        <v>46323</v>
      </c>
      <c r="V205" s="58"/>
      <c r="W205" s="54" t="str">
        <f>VLOOKUP(A205,'3.GateMove'!A:D,4,FALSE)</f>
        <v>2026-10-17</v>
      </c>
      <c r="X205" s="57">
        <f>((T205-W205)+1)</f>
        <v>12</v>
      </c>
      <c r="Y205" s="59">
        <f>IF(AND(OR(C205="BKK01",C205="BKK04"),L205="CFS/CY"),0,IF(M205="DG",1,IF(LEFT(C205,3)="LCH",7,IF(C205="BKK02",5,3))))</f>
        <v>7</v>
      </c>
      <c r="Z205" s="57">
        <f>IF(IF(AND(AC205="TML",AB205&gt;0),((T205-W205)+1)-AB205,((T205-W205)+1)-Y205)&gt;0,IF(AND(AC205="TML",AB205&gt;0),((T205-W205)+1)-AB205,((T205-W205)+1)-Y205),0)</f>
        <v>5</v>
      </c>
      <c r="AA205" s="48">
        <f>IF(AND(B205="G1",M205=""),IF(R205="20'",
VLOOKUP(Z205,Charge!$K$2:$M$5,2,TRUE)+(Z205-VLOOKUP(Z205,Charge!$K$2:$M$5,1,TRUE))*VLOOKUP(Z205,Charge!$K$2:$M$5,3,TRUE),
VLOOKUP(Z205,Charge!$N$2:$P$5,2,TRUE)+(Z205-VLOOKUP(Z205,Charge!$N$2:$P$5,1,TRUE))*VLOOKUP(Z205,Charge!$N$2:$P$5,3,TRUE)),
IF(AND(B205="G1",M205="DG"),IF(R205="20'",
VLOOKUP(Z205,Charge!$R$2:$T$5,2,TRUE)+(Z205-VLOOKUP(Z205,Charge!$R$2:$T$5,1,TRUE))*VLOOKUP(Z205,Charge!$R$2:$T$5,3,TRUE),
VLOOKUP(Z205,Charge!$U$2:$W$5,2,TRUE)+(Z205-VLOOKUP(Z205,Charge!$U$2:$W$5,1,TRUE))*VLOOKUP(Z205,Charge!$U$2:$W$5,3,TRUE)),
IF(AND(B205="G3",M205=""),IF(R205="20'",
VLOOKUP(Z205,Charge!$K$18:$M$21,2,TRUE)+(Z205-VLOOKUP(Z205,Charge!$K$18:$M$21,1,TRUE))*VLOOKUP(Z205,Charge!$K$18:$M$21,3,TRUE),
VLOOKUP(Z205,Charge!$N$18:$P$21,2,TRUE)+(Z205-VLOOKUP(Z205,Charge!$N$18:$P$21,1,TRUE))*VLOOKUP(Z205,Charge!$N$18:$P$21,3,TRUE)),
IF(AND(B205="G3",M205="DG"),IF(R205="20'",
VLOOKUP(Z205,Charge!$R$18:$T$21,2,TRUE)+(Z205-VLOOKUP(Z205,Charge!$R$18:$T$21,1,TRUE))*VLOOKUP(Z205,Charge!$R$18:$T$21,3,TRUE),
VLOOKUP(Z205,Charge!$U$18:$W$21,2,TRUE)+(Z205-VLOOKUP(Z205,Charge!$U$18:$W$21,1,TRUE))*VLOOKUP(Z205,Charge!$U$18:$W$21,3,TRUE)),
IF(AND(B205="G2",M205=""),IF(R205="20'",
VLOOKUP(Z205,Charge!$K$9:$M$12,2,TRUE)+(Z205-VLOOKUP(Z205,Charge!$K$9:$M$12,1,TRUE))*VLOOKUP(Z205,Charge!$K$9:$M$12,3,TRUE),
VLOOKUP(Z205,Charge!$N$9:$P$12,2,TRUE)+(Z205-VLOOKUP(Z205,Charge!$N$9:$P$12,1,TRUE))*VLOOKUP(Z205,Charge!$N$9:$P$12,3,TRUE)),
IF(AND(B205="G2",M205="DG"),IF(R205="20'",
VLOOKUP(Z205,Charge!$R$9:$T$12,2,TRUE)+(Z205-VLOOKUP(Z205,Charge!$R$9:$T$12,1,TRUE))*VLOOKUP(Z205,Charge!$R$9:$T$12,3,TRUE),
VLOOKUP(Z205,Charge!$U$9:$W$12,2,TRUE)+(Z205-VLOOKUP(Z205,Charge!$U$9:$W$12,1,TRUE))*VLOOKUP(Z205,Charge!$U$9:$W$12,3,TRUE)),IF(AND(B205="G4",M205=""),IF(R205="20'",Z205*Charge!$M$25,Z205*Charge!$P$25),IF(AND(B205="G4",M205="DG"),IF(R205="20'",Z205*Charge!$T$25,Z205*Charge!$W$25),0))))))))</f>
        <v>1250</v>
      </c>
      <c r="AB205" s="53"/>
      <c r="AC205" s="53"/>
      <c r="AD205" s="56">
        <f>IF(M205="DG",3,IF(N205="RF",3,5))+IF(AND(LEFT(C205,3)="BKK",N205="RF",Q205="KTS"),1,0)+IF(Q205="KHS",1,0)</f>
        <v>5</v>
      </c>
      <c r="AE205" s="57">
        <f>(T205-V205)+1</f>
        <v>46324</v>
      </c>
      <c r="AF205" s="57">
        <f>IF(AB205&gt;IF((V205-W205)&gt;0,V205-W205,0),0,IF(AB205&lt;IF((V205-W205)&gt;0,V205-W205,0),IF((V205-W205)&gt;0,V205-W205,0)-AB205,IF((V205-W205)&gt;0,V205-W205,0)))</f>
        <v>0</v>
      </c>
      <c r="AG205" s="48">
        <f>IF(AND(M205=""),IF(R205="20'",
VLOOKUP(AF205,Charge!$K$31:$M$34,2,TRUE)+(AF205-VLOOKUP(AF205,Charge!$K$31:$M$34,1,TRUE))*VLOOKUP(AF205,Charge!$K$31:$M$34,3,TRUE),
VLOOKUP(AF205,Charge!$N$31:$P$34,2,TRUE)+(AF205-VLOOKUP(AF205,Charge!$N$31:$P$34,1,TRUE))*VLOOKUP(AF205,Charge!$N$31:$P$34,3,TRUE)),
IF(AND(M205="DG"),IF(R205="20'",
VLOOKUP(AF205,Charge!$R$31:$T$34,2,TRUE)+(AF205-VLOOKUP(AF205,Charge!$R$31:$T$34,1,TRUE))*VLOOKUP(AF205,Charge!$R$31:$T$34,3,TRUE),
VLOOKUP(AF205,Charge!$U$31:$W$34,2,TRUE)+(AF205-VLOOKUP(AF205,Charge!$U$31:$W$34,1,TRUE))*VLOOKUP(AF205,Charge!$U$31:$W$34,3,TRUE)),0))</f>
        <v>0</v>
      </c>
      <c r="AH205" s="60"/>
      <c r="AI205" s="60">
        <f>AA205-AH205</f>
        <v>1250</v>
      </c>
      <c r="AJ205" s="61"/>
      <c r="AK205" s="55" t="str">
        <f>VLOOKUP(D205,'2.Bookinglist'!A:CT,40,FALSE)</f>
        <v>Nannaapust Sukporntaweewat</v>
      </c>
      <c r="AL205" s="56" t="str">
        <f>VLOOKUP(D205,'2.Bookinglist'!A:CW,101,FALSE)</f>
        <v>2026-10-24</v>
      </c>
      <c r="AM205" s="56" t="str">
        <f>VLOOKUP(D205,'2.Bookinglist'!A:BK,63,FALSE)</f>
        <v>LCHY5</v>
      </c>
      <c r="AN205" s="55" t="str">
        <f>VLOOKUP(D205,'2.Bookinglist'!A:AZ,52,FALSE)</f>
        <v>Pickup : 2026-10-15, Return : 2026-10-16</v>
      </c>
      <c r="AO205" s="55">
        <f>VLOOKUP(D205,'2.Bookinglist'!A:CY,103,FALSE)</f>
        <v>0</v>
      </c>
    </row>
    <row r="206" ht="12.95" customHeight="1" spans="1:41" x14ac:dyDescent="0.25">
      <c r="A206" s="3" t="s">
        <v>116</v>
      </c>
      <c r="B206" s="53" t="str">
        <f>IF(C206=Charge!$M$1,Charge!$J$1,IF(C206=Charge!$M$23,Charge!$J$23,IF(C206=Charge!$M$17,Charge!$J$17,IF(C206=Charge!$N$17,Charge!$J$17,Charge!$J$7))))</f>
        <v>G2</v>
      </c>
      <c r="C206" s="54" t="str">
        <f>VLOOKUP(A206,'1.Loading'!A:R,14,FALSE)</f>
        <v>LCH06</v>
      </c>
      <c r="D206" s="54" t="str">
        <f>VLOOKUP(A206,'1.Loading'!A:R,17,FALSE)</f>
        <v>HASLS22260901902</v>
      </c>
      <c r="E206" s="55" t="str">
        <f>VLOOKUP(D206,'2.Bookinglist'!A:CT,27,FALSE)</f>
        <v>WHA GC LOGISTICS COMPANY LIMITED</v>
      </c>
      <c r="F206" s="55" t="str">
        <f>VLOOKUP(D206,'2.Bookinglist'!A:CT,28,FALSE)</f>
        <v>PTT GLOBAL CHEMICAL PUBLIC COMPANY LIMITED</v>
      </c>
      <c r="G206" s="56">
        <f>VLOOKUP(D206,'2.Bookinglist'!A:E,5,FALSE)</f>
        <v>0</v>
      </c>
      <c r="H206" s="54" t="str">
        <f>VLOOKUP(D206,'2.Bookinglist'!A:CT,15,FALSE)</f>
        <v>THLCH</v>
      </c>
      <c r="I206" s="54" t="str">
        <f>VLOOKUP(D206,'2.Bookinglist'!A:CT,19,FALSE)</f>
        <v>CNSHA</v>
      </c>
      <c r="J206" s="54">
        <f>VLOOKUP(D206,'2.Bookinglist'!A:CT,26,FALSE)</f>
        <v>0</v>
      </c>
      <c r="K206" s="54" t="str">
        <f>VLOOKUP(A206,'1.Loading'!A:R,5,FALSE)</f>
        <v>45GP</v>
      </c>
      <c r="L206" s="56" t="str">
        <f>VLOOKUP(D206,'2.Bookinglist'!A:CT,85,FALSE)</f>
        <v>CY/CY</v>
      </c>
      <c r="M206" s="56" t="str">
        <f>IF(VLOOKUP(D206,'2.Bookinglist'!A:CT,43,FALSE)=0,"","DG")</f>
        <v/>
      </c>
      <c r="N206" s="56" t="str">
        <f>IF(RIGHT(K206,2)="RE","RF","")</f>
        <v/>
      </c>
      <c r="O206" s="54" t="str">
        <f>VLOOKUP(A206,'1.Loading'!A:R,3,FALSE)</f>
        <v>HMVY</v>
      </c>
      <c r="P206" s="54" t="str">
        <f>VLOOKUP(A206,'1.Loading'!A:R,4,FALSE)</f>
        <v>2609N</v>
      </c>
      <c r="Q206" s="54" t="str">
        <f>VLOOKUP(D206,'2.Bookinglist'!A:CT,12,FALSE)</f>
        <v>PCI2</v>
      </c>
      <c r="R206" s="56" t="str">
        <f>IF(LEFT(K206,2)="22","20'","40'")</f>
        <v>40'</v>
      </c>
      <c r="S206" s="38"/>
      <c r="T206" s="54" t="str">
        <f>VLOOKUP(A206,'1.Loading'!A:R,2,FALSE)</f>
        <v>2026-10-28</v>
      </c>
      <c r="U206" s="57">
        <f>T206-S206</f>
        <v>46323</v>
      </c>
      <c r="V206" s="58"/>
      <c r="W206" s="54" t="str">
        <f>VLOOKUP(A206,'3.GateMove'!A:D,4,FALSE)</f>
        <v>2026-10-18</v>
      </c>
      <c r="X206" s="57">
        <f>((T206-W206)+1)</f>
        <v>11</v>
      </c>
      <c r="Y206" s="59">
        <f>IF(AND(OR(C206="BKK01",C206="BKK04"),L206="CFS/CY"),0,IF(M206="DG",1,IF(LEFT(C206,3)="LCH",7,IF(C206="BKK02",5,3))))</f>
        <v>7</v>
      </c>
      <c r="Z206" s="57">
        <f>IF(IF(AND(AC206="TML",AB206&gt;0),((T206-W206)+1)-AB206,((T206-W206)+1)-Y206)&gt;0,IF(AND(AC206="TML",AB206&gt;0),((T206-W206)+1)-AB206,((T206-W206)+1)-Y206),0)</f>
        <v>4</v>
      </c>
      <c r="AA206" s="48">
        <f>IF(AND(B206="G1",M206=""),IF(R206="20'",
VLOOKUP(Z206,Charge!$K$2:$M$5,2,TRUE)+(Z206-VLOOKUP(Z206,Charge!$K$2:$M$5,1,TRUE))*VLOOKUP(Z206,Charge!$K$2:$M$5,3,TRUE),
VLOOKUP(Z206,Charge!$N$2:$P$5,2,TRUE)+(Z206-VLOOKUP(Z206,Charge!$N$2:$P$5,1,TRUE))*VLOOKUP(Z206,Charge!$N$2:$P$5,3,TRUE)),
IF(AND(B206="G1",M206="DG"),IF(R206="20'",
VLOOKUP(Z206,Charge!$R$2:$T$5,2,TRUE)+(Z206-VLOOKUP(Z206,Charge!$R$2:$T$5,1,TRUE))*VLOOKUP(Z206,Charge!$R$2:$T$5,3,TRUE),
VLOOKUP(Z206,Charge!$U$2:$W$5,2,TRUE)+(Z206-VLOOKUP(Z206,Charge!$U$2:$W$5,1,TRUE))*VLOOKUP(Z206,Charge!$U$2:$W$5,3,TRUE)),
IF(AND(B206="G3",M206=""),IF(R206="20'",
VLOOKUP(Z206,Charge!$K$18:$M$21,2,TRUE)+(Z206-VLOOKUP(Z206,Charge!$K$18:$M$21,1,TRUE))*VLOOKUP(Z206,Charge!$K$18:$M$21,3,TRUE),
VLOOKUP(Z206,Charge!$N$18:$P$21,2,TRUE)+(Z206-VLOOKUP(Z206,Charge!$N$18:$P$21,1,TRUE))*VLOOKUP(Z206,Charge!$N$18:$P$21,3,TRUE)),
IF(AND(B206="G3",M206="DG"),IF(R206="20'",
VLOOKUP(Z206,Charge!$R$18:$T$21,2,TRUE)+(Z206-VLOOKUP(Z206,Charge!$R$18:$T$21,1,TRUE))*VLOOKUP(Z206,Charge!$R$18:$T$21,3,TRUE),
VLOOKUP(Z206,Charge!$U$18:$W$21,2,TRUE)+(Z206-VLOOKUP(Z206,Charge!$U$18:$W$21,1,TRUE))*VLOOKUP(Z206,Charge!$U$18:$W$21,3,TRUE)),
IF(AND(B206="G2",M206=""),IF(R206="20'",
VLOOKUP(Z206,Charge!$K$9:$M$12,2,TRUE)+(Z206-VLOOKUP(Z206,Charge!$K$9:$M$12,1,TRUE))*VLOOKUP(Z206,Charge!$K$9:$M$12,3,TRUE),
VLOOKUP(Z206,Charge!$N$9:$P$12,2,TRUE)+(Z206-VLOOKUP(Z206,Charge!$N$9:$P$12,1,TRUE))*VLOOKUP(Z206,Charge!$N$9:$P$12,3,TRUE)),
IF(AND(B206="G2",M206="DG"),IF(R206="20'",
VLOOKUP(Z206,Charge!$R$9:$T$12,2,TRUE)+(Z206-VLOOKUP(Z206,Charge!$R$9:$T$12,1,TRUE))*VLOOKUP(Z206,Charge!$R$9:$T$12,3,TRUE),
VLOOKUP(Z206,Charge!$U$9:$W$12,2,TRUE)+(Z206-VLOOKUP(Z206,Charge!$U$9:$W$12,1,TRUE))*VLOOKUP(Z206,Charge!$U$9:$W$12,3,TRUE)),IF(AND(B206="G4",M206=""),IF(R206="20'",Z206*Charge!$M$25,Z206*Charge!$P$25),IF(AND(B206="G4",M206="DG"),IF(R206="20'",Z206*Charge!$T$25,Z206*Charge!$W$25),0))))))))</f>
        <v>1000</v>
      </c>
      <c r="AB206" s="53"/>
      <c r="AC206" s="53"/>
      <c r="AD206" s="56">
        <f>IF(M206="DG",3,IF(N206="RF",3,5))+IF(AND(LEFT(C206,3)="BKK",N206="RF",Q206="KTS"),1,0)+IF(Q206="KHS",1,0)</f>
        <v>5</v>
      </c>
      <c r="AE206" s="57">
        <f>(T206-V206)+1</f>
        <v>46324</v>
      </c>
      <c r="AF206" s="57">
        <f>IF(AB206&gt;IF((V206-W206)&gt;0,V206-W206,0),0,IF(AB206&lt;IF((V206-W206)&gt;0,V206-W206,0),IF((V206-W206)&gt;0,V206-W206,0)-AB206,IF((V206-W206)&gt;0,V206-W206,0)))</f>
        <v>0</v>
      </c>
      <c r="AG206" s="48">
        <f>IF(AND(M206=""),IF(R206="20'",
VLOOKUP(AF206,Charge!$K$31:$M$34,2,TRUE)+(AF206-VLOOKUP(AF206,Charge!$K$31:$M$34,1,TRUE))*VLOOKUP(AF206,Charge!$K$31:$M$34,3,TRUE),
VLOOKUP(AF206,Charge!$N$31:$P$34,2,TRUE)+(AF206-VLOOKUP(AF206,Charge!$N$31:$P$34,1,TRUE))*VLOOKUP(AF206,Charge!$N$31:$P$34,3,TRUE)),
IF(AND(M206="DG"),IF(R206="20'",
VLOOKUP(AF206,Charge!$R$31:$T$34,2,TRUE)+(AF206-VLOOKUP(AF206,Charge!$R$31:$T$34,1,TRUE))*VLOOKUP(AF206,Charge!$R$31:$T$34,3,TRUE),
VLOOKUP(AF206,Charge!$U$31:$W$34,2,TRUE)+(AF206-VLOOKUP(AF206,Charge!$U$31:$W$34,1,TRUE))*VLOOKUP(AF206,Charge!$U$31:$W$34,3,TRUE)),0))</f>
        <v>0</v>
      </c>
      <c r="AH206" s="60"/>
      <c r="AI206" s="60">
        <f>AA206-AH206</f>
        <v>1000</v>
      </c>
      <c r="AJ206" s="61"/>
      <c r="AK206" s="55" t="str">
        <f>VLOOKUP(D206,'2.Bookinglist'!A:CT,40,FALSE)</f>
        <v>Dharaporn</v>
      </c>
      <c r="AL206" s="56" t="str">
        <f>VLOOKUP(D206,'2.Bookinglist'!A:CW,101,FALSE)</f>
        <v>2026-10-16</v>
      </c>
      <c r="AM206" s="56" t="str">
        <f>VLOOKUP(D206,'2.Bookinglist'!A:BK,63,FALSE)</f>
        <v>LCHY5</v>
      </c>
      <c r="AN206" s="55" t="str">
        <f>VLOOKUP(D206,'2.Bookinglist'!A:AZ,52,FALSE)</f>
        <v>CY-RTN 09-10/10/26 
*PLS CHECK OPEN GATE BEFORE RETURN CTNR*</v>
      </c>
      <c r="AO206" s="55">
        <f>VLOOKUP(D206,'2.Bookinglist'!A:CY,103,FALSE)</f>
        <v>0</v>
      </c>
    </row>
    <row r="207" ht="12.95" customHeight="1" spans="1:41" x14ac:dyDescent="0.25">
      <c r="A207" s="3" t="s">
        <v>119</v>
      </c>
      <c r="B207" s="53" t="str">
        <f>IF(C207=Charge!$M$1,Charge!$J$1,IF(C207=Charge!$M$23,Charge!$J$23,IF(C207=Charge!$M$17,Charge!$J$17,IF(C207=Charge!$N$17,Charge!$J$17,Charge!$J$7))))</f>
        <v>G2</v>
      </c>
      <c r="C207" s="54" t="str">
        <f>VLOOKUP(A207,'1.Loading'!A:R,14,FALSE)</f>
        <v>LCH06</v>
      </c>
      <c r="D207" s="54" t="str">
        <f>VLOOKUP(A207,'1.Loading'!A:R,17,FALSE)</f>
        <v>HASLS22260901902</v>
      </c>
      <c r="E207" s="55" t="str">
        <f>VLOOKUP(D207,'2.Bookinglist'!A:CT,27,FALSE)</f>
        <v>WHA GC LOGISTICS COMPANY LIMITED</v>
      </c>
      <c r="F207" s="55" t="str">
        <f>VLOOKUP(D207,'2.Bookinglist'!A:CT,28,FALSE)</f>
        <v>PTT GLOBAL CHEMICAL PUBLIC COMPANY LIMITED</v>
      </c>
      <c r="G207" s="56">
        <f>VLOOKUP(D207,'2.Bookinglist'!A:E,5,FALSE)</f>
        <v>0</v>
      </c>
      <c r="H207" s="54" t="str">
        <f>VLOOKUP(D207,'2.Bookinglist'!A:CT,15,FALSE)</f>
        <v>THLCH</v>
      </c>
      <c r="I207" s="54" t="str">
        <f>VLOOKUP(D207,'2.Bookinglist'!A:CT,19,FALSE)</f>
        <v>CNSHA</v>
      </c>
      <c r="J207" s="54">
        <f>VLOOKUP(D207,'2.Bookinglist'!A:CT,26,FALSE)</f>
        <v>0</v>
      </c>
      <c r="K207" s="54" t="str">
        <f>VLOOKUP(A207,'1.Loading'!A:R,5,FALSE)</f>
        <v>45GP</v>
      </c>
      <c r="L207" s="56" t="str">
        <f>VLOOKUP(D207,'2.Bookinglist'!A:CT,85,FALSE)</f>
        <v>CY/CY</v>
      </c>
      <c r="M207" s="56" t="str">
        <f>IF(VLOOKUP(D207,'2.Bookinglist'!A:CT,43,FALSE)=0,"","DG")</f>
        <v/>
      </c>
      <c r="N207" s="56" t="str">
        <f>IF(RIGHT(K207,2)="RE","RF","")</f>
        <v/>
      </c>
      <c r="O207" s="54" t="str">
        <f>VLOOKUP(A207,'1.Loading'!A:R,3,FALSE)</f>
        <v>HMVY</v>
      </c>
      <c r="P207" s="54" t="str">
        <f>VLOOKUP(A207,'1.Loading'!A:R,4,FALSE)</f>
        <v>2609N</v>
      </c>
      <c r="Q207" s="54" t="str">
        <f>VLOOKUP(D207,'2.Bookinglist'!A:CT,12,FALSE)</f>
        <v>PCI2</v>
      </c>
      <c r="R207" s="56" t="str">
        <f>IF(LEFT(K207,2)="22","20'","40'")</f>
        <v>40'</v>
      </c>
      <c r="S207" s="38"/>
      <c r="T207" s="54" t="str">
        <f>VLOOKUP(A207,'1.Loading'!A:R,2,FALSE)</f>
        <v>2026-10-28</v>
      </c>
      <c r="U207" s="57">
        <f>T207-S207</f>
        <v>46323</v>
      </c>
      <c r="V207" s="58"/>
      <c r="W207" s="54" t="str">
        <f>VLOOKUP(A207,'3.GateMove'!A:D,4,FALSE)</f>
        <v>2026-10-18</v>
      </c>
      <c r="X207" s="57">
        <f>((T207-W207)+1)</f>
        <v>11</v>
      </c>
      <c r="Y207" s="59">
        <f>IF(AND(OR(C207="BKK01",C207="BKK04"),L207="CFS/CY"),0,IF(M207="DG",1,IF(LEFT(C207,3)="LCH",7,IF(C207="BKK02",5,3))))</f>
        <v>7</v>
      </c>
      <c r="Z207" s="57">
        <f>IF(IF(AND(AC207="TML",AB207&gt;0),((T207-W207)+1)-AB207,((T207-W207)+1)-Y207)&gt;0,IF(AND(AC207="TML",AB207&gt;0),((T207-W207)+1)-AB207,((T207-W207)+1)-Y207),0)</f>
        <v>4</v>
      </c>
      <c r="AA207" s="48">
        <f>IF(AND(B207="G1",M207=""),IF(R207="20'",
VLOOKUP(Z207,Charge!$K$2:$M$5,2,TRUE)+(Z207-VLOOKUP(Z207,Charge!$K$2:$M$5,1,TRUE))*VLOOKUP(Z207,Charge!$K$2:$M$5,3,TRUE),
VLOOKUP(Z207,Charge!$N$2:$P$5,2,TRUE)+(Z207-VLOOKUP(Z207,Charge!$N$2:$P$5,1,TRUE))*VLOOKUP(Z207,Charge!$N$2:$P$5,3,TRUE)),
IF(AND(B207="G1",M207="DG"),IF(R207="20'",
VLOOKUP(Z207,Charge!$R$2:$T$5,2,TRUE)+(Z207-VLOOKUP(Z207,Charge!$R$2:$T$5,1,TRUE))*VLOOKUP(Z207,Charge!$R$2:$T$5,3,TRUE),
VLOOKUP(Z207,Charge!$U$2:$W$5,2,TRUE)+(Z207-VLOOKUP(Z207,Charge!$U$2:$W$5,1,TRUE))*VLOOKUP(Z207,Charge!$U$2:$W$5,3,TRUE)),
IF(AND(B207="G3",M207=""),IF(R207="20'",
VLOOKUP(Z207,Charge!$K$18:$M$21,2,TRUE)+(Z207-VLOOKUP(Z207,Charge!$K$18:$M$21,1,TRUE))*VLOOKUP(Z207,Charge!$K$18:$M$21,3,TRUE),
VLOOKUP(Z207,Charge!$N$18:$P$21,2,TRUE)+(Z207-VLOOKUP(Z207,Charge!$N$18:$P$21,1,TRUE))*VLOOKUP(Z207,Charge!$N$18:$P$21,3,TRUE)),
IF(AND(B207="G3",M207="DG"),IF(R207="20'",
VLOOKUP(Z207,Charge!$R$18:$T$21,2,TRUE)+(Z207-VLOOKUP(Z207,Charge!$R$18:$T$21,1,TRUE))*VLOOKUP(Z207,Charge!$R$18:$T$21,3,TRUE),
VLOOKUP(Z207,Charge!$U$18:$W$21,2,TRUE)+(Z207-VLOOKUP(Z207,Charge!$U$18:$W$21,1,TRUE))*VLOOKUP(Z207,Charge!$U$18:$W$21,3,TRUE)),
IF(AND(B207="G2",M207=""),IF(R207="20'",
VLOOKUP(Z207,Charge!$K$9:$M$12,2,TRUE)+(Z207-VLOOKUP(Z207,Charge!$K$9:$M$12,1,TRUE))*VLOOKUP(Z207,Charge!$K$9:$M$12,3,TRUE),
VLOOKUP(Z207,Charge!$N$9:$P$12,2,TRUE)+(Z207-VLOOKUP(Z207,Charge!$N$9:$P$12,1,TRUE))*VLOOKUP(Z207,Charge!$N$9:$P$12,3,TRUE)),
IF(AND(B207="G2",M207="DG"),IF(R207="20'",
VLOOKUP(Z207,Charge!$R$9:$T$12,2,TRUE)+(Z207-VLOOKUP(Z207,Charge!$R$9:$T$12,1,TRUE))*VLOOKUP(Z207,Charge!$R$9:$T$12,3,TRUE),
VLOOKUP(Z207,Charge!$U$9:$W$12,2,TRUE)+(Z207-VLOOKUP(Z207,Charge!$U$9:$W$12,1,TRUE))*VLOOKUP(Z207,Charge!$U$9:$W$12,3,TRUE)),IF(AND(B207="G4",M207=""),IF(R207="20'",Z207*Charge!$M$25,Z207*Charge!$P$25),IF(AND(B207="G4",M207="DG"),IF(R207="20'",Z207*Charge!$T$25,Z207*Charge!$W$25),0))))))))</f>
        <v>1000</v>
      </c>
      <c r="AB207" s="53"/>
      <c r="AC207" s="53"/>
      <c r="AD207" s="56">
        <f>IF(M207="DG",3,IF(N207="RF",3,5))+IF(AND(LEFT(C207,3)="BKK",N207="RF",Q207="KTS"),1,0)+IF(Q207="KHS",1,0)</f>
        <v>5</v>
      </c>
      <c r="AE207" s="57">
        <f>(T207-V207)+1</f>
        <v>46324</v>
      </c>
      <c r="AF207" s="57">
        <f>IF(AB207&gt;IF((V207-W207)&gt;0,V207-W207,0),0,IF(AB207&lt;IF((V207-W207)&gt;0,V207-W207,0),IF((V207-W207)&gt;0,V207-W207,0)-AB207,IF((V207-W207)&gt;0,V207-W207,0)))</f>
        <v>0</v>
      </c>
      <c r="AG207" s="48">
        <f>IF(AND(M207=""),IF(R207="20'",
VLOOKUP(AF207,Charge!$K$31:$M$34,2,TRUE)+(AF207-VLOOKUP(AF207,Charge!$K$31:$M$34,1,TRUE))*VLOOKUP(AF207,Charge!$K$31:$M$34,3,TRUE),
VLOOKUP(AF207,Charge!$N$31:$P$34,2,TRUE)+(AF207-VLOOKUP(AF207,Charge!$N$31:$P$34,1,TRUE))*VLOOKUP(AF207,Charge!$N$31:$P$34,3,TRUE)),
IF(AND(M207="DG"),IF(R207="20'",
VLOOKUP(AF207,Charge!$R$31:$T$34,2,TRUE)+(AF207-VLOOKUP(AF207,Charge!$R$31:$T$34,1,TRUE))*VLOOKUP(AF207,Charge!$R$31:$T$34,3,TRUE),
VLOOKUP(AF207,Charge!$U$31:$W$34,2,TRUE)+(AF207-VLOOKUP(AF207,Charge!$U$31:$W$34,1,TRUE))*VLOOKUP(AF207,Charge!$U$31:$W$34,3,TRUE)),0))</f>
        <v>0</v>
      </c>
      <c r="AH207" s="60"/>
      <c r="AI207" s="60">
        <f>AA207-AH207</f>
        <v>1000</v>
      </c>
      <c r="AJ207" s="61"/>
      <c r="AK207" s="55" t="str">
        <f>VLOOKUP(D207,'2.Bookinglist'!A:CT,40,FALSE)</f>
        <v>Dharaporn</v>
      </c>
      <c r="AL207" s="56" t="str">
        <f>VLOOKUP(D207,'2.Bookinglist'!A:CW,101,FALSE)</f>
        <v>2026-10-16</v>
      </c>
      <c r="AM207" s="56" t="str">
        <f>VLOOKUP(D207,'2.Bookinglist'!A:BK,63,FALSE)</f>
        <v>LCHY5</v>
      </c>
      <c r="AN207" s="55" t="str">
        <f>VLOOKUP(D207,'2.Bookinglist'!A:AZ,52,FALSE)</f>
        <v>CY-RTN 09-10/10/26 
*PLS CHECK OPEN GATE BEFORE RETURN CTNR*</v>
      </c>
      <c r="AO207" s="55">
        <f>VLOOKUP(D207,'2.Bookinglist'!A:CY,103,FALSE)</f>
        <v>0</v>
      </c>
    </row>
    <row r="208" ht="12.95" customHeight="1" spans="1:41" x14ac:dyDescent="0.25">
      <c r="A208" s="3" t="s">
        <v>227</v>
      </c>
      <c r="B208" s="53" t="str">
        <f>IF(C208=Charge!$M$1,Charge!$J$1,IF(C208=Charge!$M$23,Charge!$J$23,IF(C208=Charge!$M$17,Charge!$J$17,IF(C208=Charge!$N$17,Charge!$J$17,Charge!$J$7))))</f>
        <v>G2</v>
      </c>
      <c r="C208" s="54" t="str">
        <f>VLOOKUP(A208,'1.Loading'!A:R,14,FALSE)</f>
        <v>LCH06</v>
      </c>
      <c r="D208" s="54" t="str">
        <f>VLOOKUP(A208,'1.Loading'!A:R,17,FALSE)</f>
        <v>HASLS22261001024</v>
      </c>
      <c r="E208" s="55" t="str">
        <f>VLOOKUP(D208,'2.Bookinglist'!A:CT,27,FALSE)</f>
        <v>SUN-OCEAN GLOBAL SUPPLY CHAIN CO., LTD.</v>
      </c>
      <c r="F208" s="55" t="str">
        <f>VLOOKUP(D208,'2.Bookinglist'!A:CT,28,FALSE)</f>
        <v>I.P. ONE COMPANY LIMITED</v>
      </c>
      <c r="G208" s="56" t="str">
        <f>VLOOKUP(D208,'2.Bookinglist'!A:E,5,FALSE)</f>
        <v>THSRP</v>
      </c>
      <c r="H208" s="54" t="str">
        <f>VLOOKUP(D208,'2.Bookinglist'!A:CT,15,FALSE)</f>
        <v>THLCH</v>
      </c>
      <c r="I208" s="54" t="str">
        <f>VLOOKUP(D208,'2.Bookinglist'!A:CT,19,FALSE)</f>
        <v>CNSHA</v>
      </c>
      <c r="J208" s="54">
        <f>VLOOKUP(D208,'2.Bookinglist'!A:CT,26,FALSE)</f>
        <v>0</v>
      </c>
      <c r="K208" s="54" t="str">
        <f>VLOOKUP(A208,'1.Loading'!A:R,5,FALSE)</f>
        <v>45GP</v>
      </c>
      <c r="L208" s="56" t="str">
        <f>VLOOKUP(D208,'2.Bookinglist'!A:CT,85,FALSE)</f>
        <v>CY/CY</v>
      </c>
      <c r="M208" s="56" t="str">
        <f>IF(VLOOKUP(D208,'2.Bookinglist'!A:CT,43,FALSE)=0,"","DG")</f>
        <v/>
      </c>
      <c r="N208" s="56" t="str">
        <f>IF(RIGHT(K208,2)="RE","RF","")</f>
        <v/>
      </c>
      <c r="O208" s="54" t="str">
        <f>VLOOKUP(A208,'1.Loading'!A:R,3,FALSE)</f>
        <v>HMVY</v>
      </c>
      <c r="P208" s="54" t="str">
        <f>VLOOKUP(A208,'1.Loading'!A:R,4,FALSE)</f>
        <v>2609N</v>
      </c>
      <c r="Q208" s="54" t="str">
        <f>VLOOKUP(D208,'2.Bookinglist'!A:CT,12,FALSE)</f>
        <v>PCI2</v>
      </c>
      <c r="R208" s="56" t="str">
        <f>IF(LEFT(K208,2)="22","20'","40'")</f>
        <v>40'</v>
      </c>
      <c r="S208" s="38"/>
      <c r="T208" s="54" t="str">
        <f>VLOOKUP(A208,'1.Loading'!A:R,2,FALSE)</f>
        <v>2026-10-28</v>
      </c>
      <c r="U208" s="57">
        <f>T208-S208</f>
        <v>46323</v>
      </c>
      <c r="V208" s="58"/>
      <c r="W208" s="54" t="str">
        <f>VLOOKUP(A208,'3.GateMove'!A:D,4,FALSE)</f>
        <v>2026-10-23</v>
      </c>
      <c r="X208" s="57">
        <f>((T208-W208)+1)</f>
        <v>6</v>
      </c>
      <c r="Y208" s="59">
        <f>IF(AND(OR(C208="BKK01",C208="BKK04"),L208="CFS/CY"),0,IF(M208="DG",1,IF(LEFT(C208,3)="LCH",7,IF(C208="BKK02",5,3))))</f>
        <v>7</v>
      </c>
      <c r="Z208" s="57">
        <f>IF(IF(AND(AC208="TML",AB208&gt;0),((T208-W208)+1)-AB208,((T208-W208)+1)-Y208)&gt;0,IF(AND(AC208="TML",AB208&gt;0),((T208-W208)+1)-AB208,((T208-W208)+1)-Y208),0)</f>
        <v>0</v>
      </c>
      <c r="AA208" s="48">
        <f>IF(AND(B208="G1",M208=""),IF(R208="20'",
VLOOKUP(Z208,Charge!$K$2:$M$5,2,TRUE)+(Z208-VLOOKUP(Z208,Charge!$K$2:$M$5,1,TRUE))*VLOOKUP(Z208,Charge!$K$2:$M$5,3,TRUE),
VLOOKUP(Z208,Charge!$N$2:$P$5,2,TRUE)+(Z208-VLOOKUP(Z208,Charge!$N$2:$P$5,1,TRUE))*VLOOKUP(Z208,Charge!$N$2:$P$5,3,TRUE)),
IF(AND(B208="G1",M208="DG"),IF(R208="20'",
VLOOKUP(Z208,Charge!$R$2:$T$5,2,TRUE)+(Z208-VLOOKUP(Z208,Charge!$R$2:$T$5,1,TRUE))*VLOOKUP(Z208,Charge!$R$2:$T$5,3,TRUE),
VLOOKUP(Z208,Charge!$U$2:$W$5,2,TRUE)+(Z208-VLOOKUP(Z208,Charge!$U$2:$W$5,1,TRUE))*VLOOKUP(Z208,Charge!$U$2:$W$5,3,TRUE)),
IF(AND(B208="G3",M208=""),IF(R208="20'",
VLOOKUP(Z208,Charge!$K$18:$M$21,2,TRUE)+(Z208-VLOOKUP(Z208,Charge!$K$18:$M$21,1,TRUE))*VLOOKUP(Z208,Charge!$K$18:$M$21,3,TRUE),
VLOOKUP(Z208,Charge!$N$18:$P$21,2,TRUE)+(Z208-VLOOKUP(Z208,Charge!$N$18:$P$21,1,TRUE))*VLOOKUP(Z208,Charge!$N$18:$P$21,3,TRUE)),
IF(AND(B208="G3",M208="DG"),IF(R208="20'",
VLOOKUP(Z208,Charge!$R$18:$T$21,2,TRUE)+(Z208-VLOOKUP(Z208,Charge!$R$18:$T$21,1,TRUE))*VLOOKUP(Z208,Charge!$R$18:$T$21,3,TRUE),
VLOOKUP(Z208,Charge!$U$18:$W$21,2,TRUE)+(Z208-VLOOKUP(Z208,Charge!$U$18:$W$21,1,TRUE))*VLOOKUP(Z208,Charge!$U$18:$W$21,3,TRUE)),
IF(AND(B208="G2",M208=""),IF(R208="20'",
VLOOKUP(Z208,Charge!$K$9:$M$12,2,TRUE)+(Z208-VLOOKUP(Z208,Charge!$K$9:$M$12,1,TRUE))*VLOOKUP(Z208,Charge!$K$9:$M$12,3,TRUE),
VLOOKUP(Z208,Charge!$N$9:$P$12,2,TRUE)+(Z208-VLOOKUP(Z208,Charge!$N$9:$P$12,1,TRUE))*VLOOKUP(Z208,Charge!$N$9:$P$12,3,TRUE)),
IF(AND(B208="G2",M208="DG"),IF(R208="20'",
VLOOKUP(Z208,Charge!$R$9:$T$12,2,TRUE)+(Z208-VLOOKUP(Z208,Charge!$R$9:$T$12,1,TRUE))*VLOOKUP(Z208,Charge!$R$9:$T$12,3,TRUE),
VLOOKUP(Z208,Charge!$U$9:$W$12,2,TRUE)+(Z208-VLOOKUP(Z208,Charge!$U$9:$W$12,1,TRUE))*VLOOKUP(Z208,Charge!$U$9:$W$12,3,TRUE)),IF(AND(B208="G4",M208=""),IF(R208="20'",Z208*Charge!$M$25,Z208*Charge!$P$25),IF(AND(B208="G4",M208="DG"),IF(R208="20'",Z208*Charge!$T$25,Z208*Charge!$W$25),0))))))))</f>
        <v>0</v>
      </c>
      <c r="AB208" s="53"/>
      <c r="AC208" s="53"/>
      <c r="AD208" s="56">
        <f>IF(M208="DG",3,IF(N208="RF",3,5))+IF(AND(LEFT(C208,3)="BKK",N208="RF",Q208="KTS"),1,0)+IF(Q208="KHS",1,0)</f>
        <v>5</v>
      </c>
      <c r="AE208" s="57">
        <f>(T208-V208)+1</f>
        <v>46324</v>
      </c>
      <c r="AF208" s="57">
        <f>IF(AB208&gt;IF((V208-W208)&gt;0,V208-W208,0),0,IF(AB208&lt;IF((V208-W208)&gt;0,V208-W208,0),IF((V208-W208)&gt;0,V208-W208,0)-AB208,IF((V208-W208)&gt;0,V208-W208,0)))</f>
        <v>0</v>
      </c>
      <c r="AG208" s="48">
        <f>IF(AND(M208=""),IF(R208="20'",
VLOOKUP(AF208,Charge!$K$31:$M$34,2,TRUE)+(AF208-VLOOKUP(AF208,Charge!$K$31:$M$34,1,TRUE))*VLOOKUP(AF208,Charge!$K$31:$M$34,3,TRUE),
VLOOKUP(AF208,Charge!$N$31:$P$34,2,TRUE)+(AF208-VLOOKUP(AF208,Charge!$N$31:$P$34,1,TRUE))*VLOOKUP(AF208,Charge!$N$31:$P$34,3,TRUE)),
IF(AND(M208="DG"),IF(R208="20'",
VLOOKUP(AF208,Charge!$R$31:$T$34,2,TRUE)+(AF208-VLOOKUP(AF208,Charge!$R$31:$T$34,1,TRUE))*VLOOKUP(AF208,Charge!$R$31:$T$34,3,TRUE),
VLOOKUP(AF208,Charge!$U$31:$W$34,2,TRUE)+(AF208-VLOOKUP(AF208,Charge!$U$31:$W$34,1,TRUE))*VLOOKUP(AF208,Charge!$U$31:$W$34,3,TRUE)),0))</f>
        <v>0</v>
      </c>
      <c r="AH208" s="60"/>
      <c r="AI208" s="60">
        <f>AA208-AH208</f>
        <v>0</v>
      </c>
      <c r="AJ208" s="61"/>
      <c r="AK208" s="55" t="str">
        <f>VLOOKUP(D208,'2.Bookinglist'!A:CT,40,FALSE)</f>
        <v>Arunphat W. (Aiw)</v>
      </c>
      <c r="AL208" s="56" t="str">
        <f>VLOOKUP(D208,'2.Bookinglist'!A:CW,101,FALSE)</f>
        <v>2026-10-24</v>
      </c>
      <c r="AM208" s="56" t="str">
        <f>VLOOKUP(D208,'2.Bookinglist'!A:BK,63,FALSE)</f>
        <v>BKK27</v>
      </c>
      <c r="AN208" s="55" t="str">
        <f>VLOOKUP(D208,'2.Bookinglist'!A:AZ,52,FALSE)</f>
        <v>Pickup : 2026-10-19, Return SRP : 2026-10-20 [PAPERLESS CODE 2829]
CLS TIME 24/10/26 @21.00 (1ST RETURN DD.21/10/26)</v>
      </c>
      <c r="AO208" s="55">
        <f>VLOOKUP(D208,'2.Bookinglist'!A:CY,103,FALSE)</f>
        <v>0</v>
      </c>
    </row>
    <row r="209" ht="12.95" customHeight="1" spans="1:41" x14ac:dyDescent="0.25">
      <c r="A209" s="3" t="s">
        <v>228</v>
      </c>
      <c r="B209" s="53" t="str">
        <f>IF(C209=Charge!$M$1,Charge!$J$1,IF(C209=Charge!$M$23,Charge!$J$23,IF(C209=Charge!$M$17,Charge!$J$17,IF(C209=Charge!$N$17,Charge!$J$17,Charge!$J$7))))</f>
        <v>G2</v>
      </c>
      <c r="C209" s="54" t="str">
        <f>VLOOKUP(A209,'1.Loading'!A:R,14,FALSE)</f>
        <v>LCH06</v>
      </c>
      <c r="D209" s="54" t="str">
        <f>VLOOKUP(A209,'1.Loading'!A:R,17,FALSE)</f>
        <v>HASLS22261001024</v>
      </c>
      <c r="E209" s="55" t="str">
        <f>VLOOKUP(D209,'2.Bookinglist'!A:CT,27,FALSE)</f>
        <v>SUN-OCEAN GLOBAL SUPPLY CHAIN CO., LTD.</v>
      </c>
      <c r="F209" s="55" t="str">
        <f>VLOOKUP(D209,'2.Bookinglist'!A:CT,28,FALSE)</f>
        <v>I.P. ONE COMPANY LIMITED</v>
      </c>
      <c r="G209" s="56" t="str">
        <f>VLOOKUP(D209,'2.Bookinglist'!A:E,5,FALSE)</f>
        <v>THSRP</v>
      </c>
      <c r="H209" s="54" t="str">
        <f>VLOOKUP(D209,'2.Bookinglist'!A:CT,15,FALSE)</f>
        <v>THLCH</v>
      </c>
      <c r="I209" s="54" t="str">
        <f>VLOOKUP(D209,'2.Bookinglist'!A:CT,19,FALSE)</f>
        <v>CNSHA</v>
      </c>
      <c r="J209" s="54">
        <f>VLOOKUP(D209,'2.Bookinglist'!A:CT,26,FALSE)</f>
        <v>0</v>
      </c>
      <c r="K209" s="54" t="str">
        <f>VLOOKUP(A209,'1.Loading'!A:R,5,FALSE)</f>
        <v>45GP</v>
      </c>
      <c r="L209" s="56" t="str">
        <f>VLOOKUP(D209,'2.Bookinglist'!A:CT,85,FALSE)</f>
        <v>CY/CY</v>
      </c>
      <c r="M209" s="56" t="str">
        <f>IF(VLOOKUP(D209,'2.Bookinglist'!A:CT,43,FALSE)=0,"","DG")</f>
        <v/>
      </c>
      <c r="N209" s="56" t="str">
        <f>IF(RIGHT(K209,2)="RE","RF","")</f>
        <v/>
      </c>
      <c r="O209" s="54" t="str">
        <f>VLOOKUP(A209,'1.Loading'!A:R,3,FALSE)</f>
        <v>HMVY</v>
      </c>
      <c r="P209" s="54" t="str">
        <f>VLOOKUP(A209,'1.Loading'!A:R,4,FALSE)</f>
        <v>2609N</v>
      </c>
      <c r="Q209" s="54" t="str">
        <f>VLOOKUP(D209,'2.Bookinglist'!A:CT,12,FALSE)</f>
        <v>PCI2</v>
      </c>
      <c r="R209" s="56" t="str">
        <f>IF(LEFT(K209,2)="22","20'","40'")</f>
        <v>40'</v>
      </c>
      <c r="S209" s="38"/>
      <c r="T209" s="54" t="str">
        <f>VLOOKUP(A209,'1.Loading'!A:R,2,FALSE)</f>
        <v>2026-10-28</v>
      </c>
      <c r="U209" s="57">
        <f>T209-S209</f>
        <v>46323</v>
      </c>
      <c r="V209" s="58"/>
      <c r="W209" s="54" t="str">
        <f>VLOOKUP(A209,'3.GateMove'!A:D,4,FALSE)</f>
        <v>2026-10-23</v>
      </c>
      <c r="X209" s="57">
        <f>((T209-W209)+1)</f>
        <v>6</v>
      </c>
      <c r="Y209" s="59">
        <f>IF(AND(OR(C209="BKK01",C209="BKK04"),L209="CFS/CY"),0,IF(M209="DG",1,IF(LEFT(C209,3)="LCH",7,IF(C209="BKK02",5,3))))</f>
        <v>7</v>
      </c>
      <c r="Z209" s="57">
        <f>IF(IF(AND(AC209="TML",AB209&gt;0),((T209-W209)+1)-AB209,((T209-W209)+1)-Y209)&gt;0,IF(AND(AC209="TML",AB209&gt;0),((T209-W209)+1)-AB209,((T209-W209)+1)-Y209),0)</f>
        <v>0</v>
      </c>
      <c r="AA209" s="48">
        <f>IF(AND(B209="G1",M209=""),IF(R209="20'",
VLOOKUP(Z209,Charge!$K$2:$M$5,2,TRUE)+(Z209-VLOOKUP(Z209,Charge!$K$2:$M$5,1,TRUE))*VLOOKUP(Z209,Charge!$K$2:$M$5,3,TRUE),
VLOOKUP(Z209,Charge!$N$2:$P$5,2,TRUE)+(Z209-VLOOKUP(Z209,Charge!$N$2:$P$5,1,TRUE))*VLOOKUP(Z209,Charge!$N$2:$P$5,3,TRUE)),
IF(AND(B209="G1",M209="DG"),IF(R209="20'",
VLOOKUP(Z209,Charge!$R$2:$T$5,2,TRUE)+(Z209-VLOOKUP(Z209,Charge!$R$2:$T$5,1,TRUE))*VLOOKUP(Z209,Charge!$R$2:$T$5,3,TRUE),
VLOOKUP(Z209,Charge!$U$2:$W$5,2,TRUE)+(Z209-VLOOKUP(Z209,Charge!$U$2:$W$5,1,TRUE))*VLOOKUP(Z209,Charge!$U$2:$W$5,3,TRUE)),
IF(AND(B209="G3",M209=""),IF(R209="20'",
VLOOKUP(Z209,Charge!$K$18:$M$21,2,TRUE)+(Z209-VLOOKUP(Z209,Charge!$K$18:$M$21,1,TRUE))*VLOOKUP(Z209,Charge!$K$18:$M$21,3,TRUE),
VLOOKUP(Z209,Charge!$N$18:$P$21,2,TRUE)+(Z209-VLOOKUP(Z209,Charge!$N$18:$P$21,1,TRUE))*VLOOKUP(Z209,Charge!$N$18:$P$21,3,TRUE)),
IF(AND(B209="G3",M209="DG"),IF(R209="20'",
VLOOKUP(Z209,Charge!$R$18:$T$21,2,TRUE)+(Z209-VLOOKUP(Z209,Charge!$R$18:$T$21,1,TRUE))*VLOOKUP(Z209,Charge!$R$18:$T$21,3,TRUE),
VLOOKUP(Z209,Charge!$U$18:$W$21,2,TRUE)+(Z209-VLOOKUP(Z209,Charge!$U$18:$W$21,1,TRUE))*VLOOKUP(Z209,Charge!$U$18:$W$21,3,TRUE)),
IF(AND(B209="G2",M209=""),IF(R209="20'",
VLOOKUP(Z209,Charge!$K$9:$M$12,2,TRUE)+(Z209-VLOOKUP(Z209,Charge!$K$9:$M$12,1,TRUE))*VLOOKUP(Z209,Charge!$K$9:$M$12,3,TRUE),
VLOOKUP(Z209,Charge!$N$9:$P$12,2,TRUE)+(Z209-VLOOKUP(Z209,Charge!$N$9:$P$12,1,TRUE))*VLOOKUP(Z209,Charge!$N$9:$P$12,3,TRUE)),
IF(AND(B209="G2",M209="DG"),IF(R209="20'",
VLOOKUP(Z209,Charge!$R$9:$T$12,2,TRUE)+(Z209-VLOOKUP(Z209,Charge!$R$9:$T$12,1,TRUE))*VLOOKUP(Z209,Charge!$R$9:$T$12,3,TRUE),
VLOOKUP(Z209,Charge!$U$9:$W$12,2,TRUE)+(Z209-VLOOKUP(Z209,Charge!$U$9:$W$12,1,TRUE))*VLOOKUP(Z209,Charge!$U$9:$W$12,3,TRUE)),IF(AND(B209="G4",M209=""),IF(R209="20'",Z209*Charge!$M$25,Z209*Charge!$P$25),IF(AND(B209="G4",M209="DG"),IF(R209="20'",Z209*Charge!$T$25,Z209*Charge!$W$25),0))))))))</f>
        <v>0</v>
      </c>
      <c r="AB209" s="53"/>
      <c r="AC209" s="53"/>
      <c r="AD209" s="56">
        <f>IF(M209="DG",3,IF(N209="RF",3,5))+IF(AND(LEFT(C209,3)="BKK",N209="RF",Q209="KTS"),1,0)+IF(Q209="KHS",1,0)</f>
        <v>5</v>
      </c>
      <c r="AE209" s="57">
        <f>(T209-V209)+1</f>
        <v>46324</v>
      </c>
      <c r="AF209" s="57">
        <f>IF(AB209&gt;IF((V209-W209)&gt;0,V209-W209,0),0,IF(AB209&lt;IF((V209-W209)&gt;0,V209-W209,0),IF((V209-W209)&gt;0,V209-W209,0)-AB209,IF((V209-W209)&gt;0,V209-W209,0)))</f>
        <v>0</v>
      </c>
      <c r="AG209" s="48">
        <f>IF(AND(M209=""),IF(R209="20'",
VLOOKUP(AF209,Charge!$K$31:$M$34,2,TRUE)+(AF209-VLOOKUP(AF209,Charge!$K$31:$M$34,1,TRUE))*VLOOKUP(AF209,Charge!$K$31:$M$34,3,TRUE),
VLOOKUP(AF209,Charge!$N$31:$P$34,2,TRUE)+(AF209-VLOOKUP(AF209,Charge!$N$31:$P$34,1,TRUE))*VLOOKUP(AF209,Charge!$N$31:$P$34,3,TRUE)),
IF(AND(M209="DG"),IF(R209="20'",
VLOOKUP(AF209,Charge!$R$31:$T$34,2,TRUE)+(AF209-VLOOKUP(AF209,Charge!$R$31:$T$34,1,TRUE))*VLOOKUP(AF209,Charge!$R$31:$T$34,3,TRUE),
VLOOKUP(AF209,Charge!$U$31:$W$34,2,TRUE)+(AF209-VLOOKUP(AF209,Charge!$U$31:$W$34,1,TRUE))*VLOOKUP(AF209,Charge!$U$31:$W$34,3,TRUE)),0))</f>
        <v>0</v>
      </c>
      <c r="AH209" s="60"/>
      <c r="AI209" s="60">
        <f>AA209-AH209</f>
        <v>0</v>
      </c>
      <c r="AJ209" s="61"/>
      <c r="AK209" s="55" t="str">
        <f>VLOOKUP(D209,'2.Bookinglist'!A:CT,40,FALSE)</f>
        <v>Arunphat W. (Aiw)</v>
      </c>
      <c r="AL209" s="56" t="str">
        <f>VLOOKUP(D209,'2.Bookinglist'!A:CW,101,FALSE)</f>
        <v>2026-10-24</v>
      </c>
      <c r="AM209" s="56" t="str">
        <f>VLOOKUP(D209,'2.Bookinglist'!A:BK,63,FALSE)</f>
        <v>BKK27</v>
      </c>
      <c r="AN209" s="55" t="str">
        <f>VLOOKUP(D209,'2.Bookinglist'!A:AZ,52,FALSE)</f>
        <v>Pickup : 2026-10-19, Return SRP : 2026-10-20 [PAPERLESS CODE 2829]
CLS TIME 24/10/26 @21.00 (1ST RETURN DD.21/10/26)</v>
      </c>
      <c r="AO209" s="55">
        <f>VLOOKUP(D209,'2.Bookinglist'!A:CY,103,FALSE)</f>
        <v>0</v>
      </c>
    </row>
    <row r="210" ht="12.95" customHeight="1" spans="1:41" x14ac:dyDescent="0.25">
      <c r="A210" s="3" t="s">
        <v>135</v>
      </c>
      <c r="B210" s="53" t="str">
        <f>IF(C210=Charge!$M$1,Charge!$J$1,IF(C210=Charge!$M$23,Charge!$J$23,IF(C210=Charge!$M$17,Charge!$J$17,IF(C210=Charge!$N$17,Charge!$J$17,Charge!$J$7))))</f>
        <v>G2</v>
      </c>
      <c r="C210" s="54" t="str">
        <f>VLOOKUP(A210,'1.Loading'!A:R,14,FALSE)</f>
        <v>LCH06</v>
      </c>
      <c r="D210" s="54" t="str">
        <f>VLOOKUP(A210,'1.Loading'!A:R,17,FALSE)</f>
        <v>HASLS22261000876</v>
      </c>
      <c r="E210" s="55" t="str">
        <f>VLOOKUP(D210,'2.Bookinglist'!A:CT,27,FALSE)</f>
        <v>SUN-OCEAN GLOBAL SUPPLY CHAIN CO., LTD.</v>
      </c>
      <c r="F210" s="55" t="str">
        <f>VLOOKUP(D210,'2.Bookinglist'!A:CT,28,FALSE)</f>
        <v>I.P. ONE COMPANY LIMITED</v>
      </c>
      <c r="G210" s="56" t="str">
        <f>VLOOKUP(D210,'2.Bookinglist'!A:E,5,FALSE)</f>
        <v>THSRP</v>
      </c>
      <c r="H210" s="54" t="str">
        <f>VLOOKUP(D210,'2.Bookinglist'!A:CT,15,FALSE)</f>
        <v>THLCH</v>
      </c>
      <c r="I210" s="54" t="str">
        <f>VLOOKUP(D210,'2.Bookinglist'!A:CT,19,FALSE)</f>
        <v>CNSHA</v>
      </c>
      <c r="J210" s="54">
        <f>VLOOKUP(D210,'2.Bookinglist'!A:CT,26,FALSE)</f>
        <v>0</v>
      </c>
      <c r="K210" s="54" t="str">
        <f>VLOOKUP(A210,'1.Loading'!A:R,5,FALSE)</f>
        <v>45GP</v>
      </c>
      <c r="L210" s="56" t="str">
        <f>VLOOKUP(D210,'2.Bookinglist'!A:CT,85,FALSE)</f>
        <v>CY/CY</v>
      </c>
      <c r="M210" s="56" t="str">
        <f>IF(VLOOKUP(D210,'2.Bookinglist'!A:CT,43,FALSE)=0,"","DG")</f>
        <v/>
      </c>
      <c r="N210" s="56" t="str">
        <f>IF(RIGHT(K210,2)="RE","RF","")</f>
        <v/>
      </c>
      <c r="O210" s="54" t="str">
        <f>VLOOKUP(A210,'1.Loading'!A:R,3,FALSE)</f>
        <v>HMVY</v>
      </c>
      <c r="P210" s="54" t="str">
        <f>VLOOKUP(A210,'1.Loading'!A:R,4,FALSE)</f>
        <v>2609N</v>
      </c>
      <c r="Q210" s="54" t="str">
        <f>VLOOKUP(D210,'2.Bookinglist'!A:CT,12,FALSE)</f>
        <v>PCI2</v>
      </c>
      <c r="R210" s="56" t="str">
        <f>IF(LEFT(K210,2)="22","20'","40'")</f>
        <v>40'</v>
      </c>
      <c r="S210" s="38"/>
      <c r="T210" s="54" t="str">
        <f>VLOOKUP(A210,'1.Loading'!A:R,2,FALSE)</f>
        <v>2026-10-28</v>
      </c>
      <c r="U210" s="57">
        <f>T210-S210</f>
        <v>46323</v>
      </c>
      <c r="V210" s="58"/>
      <c r="W210" s="54" t="str">
        <f>VLOOKUP(A210,'3.GateMove'!A:D,4,FALSE)</f>
        <v>2026-10-23</v>
      </c>
      <c r="X210" s="57">
        <f>((T210-W210)+1)</f>
        <v>6</v>
      </c>
      <c r="Y210" s="59">
        <f>IF(AND(OR(C210="BKK01",C210="BKK04"),L210="CFS/CY"),0,IF(M210="DG",1,IF(LEFT(C210,3)="LCH",7,IF(C210="BKK02",5,3))))</f>
        <v>7</v>
      </c>
      <c r="Z210" s="57">
        <f>IF(IF(AND(AC210="TML",AB210&gt;0),((T210-W210)+1)-AB210,((T210-W210)+1)-Y210)&gt;0,IF(AND(AC210="TML",AB210&gt;0),((T210-W210)+1)-AB210,((T210-W210)+1)-Y210),0)</f>
        <v>0</v>
      </c>
      <c r="AA210" s="48">
        <f>IF(AND(B210="G1",M210=""),IF(R210="20'",
VLOOKUP(Z210,Charge!$K$2:$M$5,2,TRUE)+(Z210-VLOOKUP(Z210,Charge!$K$2:$M$5,1,TRUE))*VLOOKUP(Z210,Charge!$K$2:$M$5,3,TRUE),
VLOOKUP(Z210,Charge!$N$2:$P$5,2,TRUE)+(Z210-VLOOKUP(Z210,Charge!$N$2:$P$5,1,TRUE))*VLOOKUP(Z210,Charge!$N$2:$P$5,3,TRUE)),
IF(AND(B210="G1",M210="DG"),IF(R210="20'",
VLOOKUP(Z210,Charge!$R$2:$T$5,2,TRUE)+(Z210-VLOOKUP(Z210,Charge!$R$2:$T$5,1,TRUE))*VLOOKUP(Z210,Charge!$R$2:$T$5,3,TRUE),
VLOOKUP(Z210,Charge!$U$2:$W$5,2,TRUE)+(Z210-VLOOKUP(Z210,Charge!$U$2:$W$5,1,TRUE))*VLOOKUP(Z210,Charge!$U$2:$W$5,3,TRUE)),
IF(AND(B210="G3",M210=""),IF(R210="20'",
VLOOKUP(Z210,Charge!$K$18:$M$21,2,TRUE)+(Z210-VLOOKUP(Z210,Charge!$K$18:$M$21,1,TRUE))*VLOOKUP(Z210,Charge!$K$18:$M$21,3,TRUE),
VLOOKUP(Z210,Charge!$N$18:$P$21,2,TRUE)+(Z210-VLOOKUP(Z210,Charge!$N$18:$P$21,1,TRUE))*VLOOKUP(Z210,Charge!$N$18:$P$21,3,TRUE)),
IF(AND(B210="G3",M210="DG"),IF(R210="20'",
VLOOKUP(Z210,Charge!$R$18:$T$21,2,TRUE)+(Z210-VLOOKUP(Z210,Charge!$R$18:$T$21,1,TRUE))*VLOOKUP(Z210,Charge!$R$18:$T$21,3,TRUE),
VLOOKUP(Z210,Charge!$U$18:$W$21,2,TRUE)+(Z210-VLOOKUP(Z210,Charge!$U$18:$W$21,1,TRUE))*VLOOKUP(Z210,Charge!$U$18:$W$21,3,TRUE)),
IF(AND(B210="G2",M210=""),IF(R210="20'",
VLOOKUP(Z210,Charge!$K$9:$M$12,2,TRUE)+(Z210-VLOOKUP(Z210,Charge!$K$9:$M$12,1,TRUE))*VLOOKUP(Z210,Charge!$K$9:$M$12,3,TRUE),
VLOOKUP(Z210,Charge!$N$9:$P$12,2,TRUE)+(Z210-VLOOKUP(Z210,Charge!$N$9:$P$12,1,TRUE))*VLOOKUP(Z210,Charge!$N$9:$P$12,3,TRUE)),
IF(AND(B210="G2",M210="DG"),IF(R210="20'",
VLOOKUP(Z210,Charge!$R$9:$T$12,2,TRUE)+(Z210-VLOOKUP(Z210,Charge!$R$9:$T$12,1,TRUE))*VLOOKUP(Z210,Charge!$R$9:$T$12,3,TRUE),
VLOOKUP(Z210,Charge!$U$9:$W$12,2,TRUE)+(Z210-VLOOKUP(Z210,Charge!$U$9:$W$12,1,TRUE))*VLOOKUP(Z210,Charge!$U$9:$W$12,3,TRUE)),IF(AND(B210="G4",M210=""),IF(R210="20'",Z210*Charge!$M$25,Z210*Charge!$P$25),IF(AND(B210="G4",M210="DG"),IF(R210="20'",Z210*Charge!$T$25,Z210*Charge!$W$25),0))))))))</f>
        <v>0</v>
      </c>
      <c r="AB210" s="53"/>
      <c r="AC210" s="53"/>
      <c r="AD210" s="56">
        <f>IF(M210="DG",3,IF(N210="RF",3,5))+IF(AND(LEFT(C210,3)="BKK",N210="RF",Q210="KTS"),1,0)+IF(Q210="KHS",1,0)</f>
        <v>5</v>
      </c>
      <c r="AE210" s="57">
        <f>(T210-V210)+1</f>
        <v>46324</v>
      </c>
      <c r="AF210" s="57">
        <f>IF(AB210&gt;IF((V210-W210)&gt;0,V210-W210,0),0,IF(AB210&lt;IF((V210-W210)&gt;0,V210-W210,0),IF((V210-W210)&gt;0,V210-W210,0)-AB210,IF((V210-W210)&gt;0,V210-W210,0)))</f>
        <v>0</v>
      </c>
      <c r="AG210" s="48">
        <f>IF(AND(M210=""),IF(R210="20'",
VLOOKUP(AF210,Charge!$K$31:$M$34,2,TRUE)+(AF210-VLOOKUP(AF210,Charge!$K$31:$M$34,1,TRUE))*VLOOKUP(AF210,Charge!$K$31:$M$34,3,TRUE),
VLOOKUP(AF210,Charge!$N$31:$P$34,2,TRUE)+(AF210-VLOOKUP(AF210,Charge!$N$31:$P$34,1,TRUE))*VLOOKUP(AF210,Charge!$N$31:$P$34,3,TRUE)),
IF(AND(M210="DG"),IF(R210="20'",
VLOOKUP(AF210,Charge!$R$31:$T$34,2,TRUE)+(AF210-VLOOKUP(AF210,Charge!$R$31:$T$34,1,TRUE))*VLOOKUP(AF210,Charge!$R$31:$T$34,3,TRUE),
VLOOKUP(AF210,Charge!$U$31:$W$34,2,TRUE)+(AF210-VLOOKUP(AF210,Charge!$U$31:$W$34,1,TRUE))*VLOOKUP(AF210,Charge!$U$31:$W$34,3,TRUE)),0))</f>
        <v>0</v>
      </c>
      <c r="AH210" s="60"/>
      <c r="AI210" s="60">
        <f>AA210-AH210</f>
        <v>0</v>
      </c>
      <c r="AJ210" s="61"/>
      <c r="AK210" s="55" t="str">
        <f>VLOOKUP(D210,'2.Bookinglist'!A:CT,40,FALSE)</f>
        <v>Arunphat W. (Aiw)</v>
      </c>
      <c r="AL210" s="56" t="str">
        <f>VLOOKUP(D210,'2.Bookinglist'!A:CW,101,FALSE)</f>
        <v>2026-10-22</v>
      </c>
      <c r="AM210" s="56" t="str">
        <f>VLOOKUP(D210,'2.Bookinglist'!A:BK,63,FALSE)</f>
        <v>BKK27</v>
      </c>
      <c r="AN210" s="55" t="str">
        <f>VLOOKUP(D210,'2.Bookinglist'!A:AZ,52,FALSE)</f>
        <v>Pickup : 2026-10-16, Return SRP : 2026-10-17 [PAPERLESS CODE 2829]
CLS TIME 24/10/26 @21.00 (1ST RETURN 17/10/26)</v>
      </c>
      <c r="AO210" s="55">
        <f>VLOOKUP(D210,'2.Bookinglist'!A:CY,103,FALSE)</f>
        <v>0</v>
      </c>
    </row>
    <row r="211" ht="12.95" customHeight="1" spans="1:41" x14ac:dyDescent="0.25">
      <c r="A211" s="3" t="s">
        <v>244</v>
      </c>
      <c r="B211" s="53" t="str">
        <f>IF(C211=Charge!$M$1,Charge!$J$1,IF(C211=Charge!$M$23,Charge!$J$23,IF(C211=Charge!$M$17,Charge!$J$17,IF(C211=Charge!$N$17,Charge!$J$17,Charge!$J$7))))</f>
        <v>G2</v>
      </c>
      <c r="C211" s="54" t="str">
        <f>VLOOKUP(A211,'1.Loading'!A:R,14,FALSE)</f>
        <v>LCH06</v>
      </c>
      <c r="D211" s="54" t="str">
        <f>VLOOKUP(A211,'1.Loading'!A:R,17,FALSE)</f>
        <v>HASLS22261001671</v>
      </c>
      <c r="E211" s="55" t="str">
        <f>VLOOKUP(D211,'2.Bookinglist'!A:CT,27,FALSE)</f>
        <v>V SMART NETWORK CO., LTD.</v>
      </c>
      <c r="F211" s="55" t="str">
        <f>VLOOKUP(D211,'2.Bookinglist'!A:CT,28,FALSE)</f>
        <v>ZIEHL-ABEGG (THAILAND) LTD.</v>
      </c>
      <c r="G211" s="56">
        <f>VLOOKUP(D211,'2.Bookinglist'!A:E,5,FALSE)</f>
        <v>0</v>
      </c>
      <c r="H211" s="54" t="str">
        <f>VLOOKUP(D211,'2.Bookinglist'!A:CT,15,FALSE)</f>
        <v>THLCH</v>
      </c>
      <c r="I211" s="54" t="str">
        <f>VLOOKUP(D211,'2.Bookinglist'!A:CT,19,FALSE)</f>
        <v>CNSHA</v>
      </c>
      <c r="J211" s="54">
        <f>VLOOKUP(D211,'2.Bookinglist'!A:CT,26,FALSE)</f>
        <v>0</v>
      </c>
      <c r="K211" s="54" t="str">
        <f>VLOOKUP(A211,'1.Loading'!A:R,5,FALSE)</f>
        <v>45GP</v>
      </c>
      <c r="L211" s="56" t="str">
        <f>VLOOKUP(D211,'2.Bookinglist'!A:CT,85,FALSE)</f>
        <v>CY/CY</v>
      </c>
      <c r="M211" s="56" t="str">
        <f>IF(VLOOKUP(D211,'2.Bookinglist'!A:CT,43,FALSE)=0,"","DG")</f>
        <v/>
      </c>
      <c r="N211" s="56" t="str">
        <f>IF(RIGHT(K211,2)="RE","RF","")</f>
        <v/>
      </c>
      <c r="O211" s="54" t="str">
        <f>VLOOKUP(A211,'1.Loading'!A:R,3,FALSE)</f>
        <v>HMVY</v>
      </c>
      <c r="P211" s="54" t="str">
        <f>VLOOKUP(A211,'1.Loading'!A:R,4,FALSE)</f>
        <v>2609N</v>
      </c>
      <c r="Q211" s="54" t="str">
        <f>VLOOKUP(D211,'2.Bookinglist'!A:CT,12,FALSE)</f>
        <v>PCI2</v>
      </c>
      <c r="R211" s="56" t="str">
        <f>IF(LEFT(K211,2)="22","20'","40'")</f>
        <v>40'</v>
      </c>
      <c r="S211" s="38"/>
      <c r="T211" s="54" t="str">
        <f>VLOOKUP(A211,'1.Loading'!A:R,2,FALSE)</f>
        <v>2026-10-28</v>
      </c>
      <c r="U211" s="57">
        <f>T211-S211</f>
        <v>46323</v>
      </c>
      <c r="V211" s="58"/>
      <c r="W211" s="54" t="str">
        <f>VLOOKUP(A211,'3.GateMove'!A:D,4,FALSE)</f>
        <v>2026-10-26</v>
      </c>
      <c r="X211" s="57">
        <f>((T211-W211)+1)</f>
        <v>3</v>
      </c>
      <c r="Y211" s="59">
        <f>IF(AND(OR(C211="BKK01",C211="BKK04"),L211="CFS/CY"),0,IF(M211="DG",1,IF(LEFT(C211,3)="LCH",7,IF(C211="BKK02",5,3))))</f>
        <v>7</v>
      </c>
      <c r="Z211" s="57">
        <f>IF(IF(AND(AC211="TML",AB211&gt;0),((T211-W211)+1)-AB211,((T211-W211)+1)-Y211)&gt;0,IF(AND(AC211="TML",AB211&gt;0),((T211-W211)+1)-AB211,((T211-W211)+1)-Y211),0)</f>
        <v>0</v>
      </c>
      <c r="AA211" s="48">
        <f>IF(AND(B211="G1",M211=""),IF(R211="20'",
VLOOKUP(Z211,Charge!$K$2:$M$5,2,TRUE)+(Z211-VLOOKUP(Z211,Charge!$K$2:$M$5,1,TRUE))*VLOOKUP(Z211,Charge!$K$2:$M$5,3,TRUE),
VLOOKUP(Z211,Charge!$N$2:$P$5,2,TRUE)+(Z211-VLOOKUP(Z211,Charge!$N$2:$P$5,1,TRUE))*VLOOKUP(Z211,Charge!$N$2:$P$5,3,TRUE)),
IF(AND(B211="G1",M211="DG"),IF(R211="20'",
VLOOKUP(Z211,Charge!$R$2:$T$5,2,TRUE)+(Z211-VLOOKUP(Z211,Charge!$R$2:$T$5,1,TRUE))*VLOOKUP(Z211,Charge!$R$2:$T$5,3,TRUE),
VLOOKUP(Z211,Charge!$U$2:$W$5,2,TRUE)+(Z211-VLOOKUP(Z211,Charge!$U$2:$W$5,1,TRUE))*VLOOKUP(Z211,Charge!$U$2:$W$5,3,TRUE)),
IF(AND(B211="G3",M211=""),IF(R211="20'",
VLOOKUP(Z211,Charge!$K$18:$M$21,2,TRUE)+(Z211-VLOOKUP(Z211,Charge!$K$18:$M$21,1,TRUE))*VLOOKUP(Z211,Charge!$K$18:$M$21,3,TRUE),
VLOOKUP(Z211,Charge!$N$18:$P$21,2,TRUE)+(Z211-VLOOKUP(Z211,Charge!$N$18:$P$21,1,TRUE))*VLOOKUP(Z211,Charge!$N$18:$P$21,3,TRUE)),
IF(AND(B211="G3",M211="DG"),IF(R211="20'",
VLOOKUP(Z211,Charge!$R$18:$T$21,2,TRUE)+(Z211-VLOOKUP(Z211,Charge!$R$18:$T$21,1,TRUE))*VLOOKUP(Z211,Charge!$R$18:$T$21,3,TRUE),
VLOOKUP(Z211,Charge!$U$18:$W$21,2,TRUE)+(Z211-VLOOKUP(Z211,Charge!$U$18:$W$21,1,TRUE))*VLOOKUP(Z211,Charge!$U$18:$W$21,3,TRUE)),
IF(AND(B211="G2",M211=""),IF(R211="20'",
VLOOKUP(Z211,Charge!$K$9:$M$12,2,TRUE)+(Z211-VLOOKUP(Z211,Charge!$K$9:$M$12,1,TRUE))*VLOOKUP(Z211,Charge!$K$9:$M$12,3,TRUE),
VLOOKUP(Z211,Charge!$N$9:$P$12,2,TRUE)+(Z211-VLOOKUP(Z211,Charge!$N$9:$P$12,1,TRUE))*VLOOKUP(Z211,Charge!$N$9:$P$12,3,TRUE)),
IF(AND(B211="G2",M211="DG"),IF(R211="20'",
VLOOKUP(Z211,Charge!$R$9:$T$12,2,TRUE)+(Z211-VLOOKUP(Z211,Charge!$R$9:$T$12,1,TRUE))*VLOOKUP(Z211,Charge!$R$9:$T$12,3,TRUE),
VLOOKUP(Z211,Charge!$U$9:$W$12,2,TRUE)+(Z211-VLOOKUP(Z211,Charge!$U$9:$W$12,1,TRUE))*VLOOKUP(Z211,Charge!$U$9:$W$12,3,TRUE)),IF(AND(B211="G4",M211=""),IF(R211="20'",Z211*Charge!$M$25,Z211*Charge!$P$25),IF(AND(B211="G4",M211="DG"),IF(R211="20'",Z211*Charge!$T$25,Z211*Charge!$W$25),0))))))))</f>
        <v>0</v>
      </c>
      <c r="AB211" s="53"/>
      <c r="AC211" s="53"/>
      <c r="AD211" s="56">
        <f>IF(M211="DG",3,IF(N211="RF",3,5))+IF(AND(LEFT(C211,3)="BKK",N211="RF",Q211="KTS"),1,0)+IF(Q211="KHS",1,0)</f>
        <v>5</v>
      </c>
      <c r="AE211" s="57">
        <f>(T211-V211)+1</f>
        <v>46324</v>
      </c>
      <c r="AF211" s="57">
        <f>IF(AB211&gt;IF((V211-W211)&gt;0,V211-W211,0),0,IF(AB211&lt;IF((V211-W211)&gt;0,V211-W211,0),IF((V211-W211)&gt;0,V211-W211,0)-AB211,IF((V211-W211)&gt;0,V211-W211,0)))</f>
        <v>0</v>
      </c>
      <c r="AG211" s="48">
        <f>IF(AND(M211=""),IF(R211="20'",
VLOOKUP(AF211,Charge!$K$31:$M$34,2,TRUE)+(AF211-VLOOKUP(AF211,Charge!$K$31:$M$34,1,TRUE))*VLOOKUP(AF211,Charge!$K$31:$M$34,3,TRUE),
VLOOKUP(AF211,Charge!$N$31:$P$34,2,TRUE)+(AF211-VLOOKUP(AF211,Charge!$N$31:$P$34,1,TRUE))*VLOOKUP(AF211,Charge!$N$31:$P$34,3,TRUE)),
IF(AND(M211="DG"),IF(R211="20'",
VLOOKUP(AF211,Charge!$R$31:$T$34,2,TRUE)+(AF211-VLOOKUP(AF211,Charge!$R$31:$T$34,1,TRUE))*VLOOKUP(AF211,Charge!$R$31:$T$34,3,TRUE),
VLOOKUP(AF211,Charge!$U$31:$W$34,2,TRUE)+(AF211-VLOOKUP(AF211,Charge!$U$31:$W$34,1,TRUE))*VLOOKUP(AF211,Charge!$U$31:$W$34,3,TRUE)),0))</f>
        <v>0</v>
      </c>
      <c r="AH211" s="60"/>
      <c r="AI211" s="60">
        <f>AA211-AH211</f>
        <v>0</v>
      </c>
      <c r="AJ211" s="61"/>
      <c r="AK211" s="55" t="str">
        <f>VLOOKUP(D211,'2.Bookinglist'!A:CT,40,FALSE)</f>
        <v>Nannaapust Sukporntaweewat</v>
      </c>
      <c r="AL211" s="56" t="str">
        <f>VLOOKUP(D211,'2.Bookinglist'!A:CW,101,FALSE)</f>
        <v>2026-10-28</v>
      </c>
      <c r="AM211" s="56" t="str">
        <f>VLOOKUP(D211,'2.Bookinglist'!A:BK,63,FALSE)</f>
        <v>LCHY5</v>
      </c>
      <c r="AN211" s="55" t="str">
        <f>VLOOKUP(D211,'2.Bookinglist'!A:AZ,52,FALSE)</f>
        <v>Pickup : 2026-10-26, Return : 2026-10-26</v>
      </c>
      <c r="AO211" s="55" t="str">
        <f>VLOOKUP(D211,'2.Bookinglist'!A:CY,103,FALSE)</f>
        <v>ROLL OVER FROM PREVIOUS VSL HAB 2612N BY ALLOCATION TEAM MS.TAN APPROVED COST IS UNDER HA DD.26/10</v>
      </c>
    </row>
    <row r="212" ht="12.95" customHeight="1" spans="1:41" x14ac:dyDescent="0.25">
      <c r="A212" s="3" t="s">
        <v>158</v>
      </c>
      <c r="B212" s="53" t="str">
        <f>IF(C212=Charge!$M$1,Charge!$J$1,IF(C212=Charge!$M$23,Charge!$J$23,IF(C212=Charge!$M$17,Charge!$J$17,IF(C212=Charge!$N$17,Charge!$J$17,Charge!$J$7))))</f>
        <v>G2</v>
      </c>
      <c r="C212" s="54" t="str">
        <f>VLOOKUP(A212,'1.Loading'!A:R,14,FALSE)</f>
        <v>LCH06</v>
      </c>
      <c r="D212" s="54" t="str">
        <f>VLOOKUP(A212,'1.Loading'!A:R,17,FALSE)</f>
        <v>HASLS22261000875</v>
      </c>
      <c r="E212" s="55" t="str">
        <f>VLOOKUP(D212,'2.Bookinglist'!A:CT,27,FALSE)</f>
        <v>SUN-OCEAN GLOBAL SUPPLY CHAIN CO., LTD.</v>
      </c>
      <c r="F212" s="55" t="str">
        <f>VLOOKUP(D212,'2.Bookinglist'!A:CT,28,FALSE)</f>
        <v>I.P. ONE COMPANY LIMITED</v>
      </c>
      <c r="G212" s="56" t="str">
        <f>VLOOKUP(D212,'2.Bookinglist'!A:E,5,FALSE)</f>
        <v>THSRP</v>
      </c>
      <c r="H212" s="54" t="str">
        <f>VLOOKUP(D212,'2.Bookinglist'!A:CT,15,FALSE)</f>
        <v>THLCH</v>
      </c>
      <c r="I212" s="54" t="str">
        <f>VLOOKUP(D212,'2.Bookinglist'!A:CT,19,FALSE)</f>
        <v>CNSHA</v>
      </c>
      <c r="J212" s="54">
        <f>VLOOKUP(D212,'2.Bookinglist'!A:CT,26,FALSE)</f>
        <v>0</v>
      </c>
      <c r="K212" s="54" t="str">
        <f>VLOOKUP(A212,'1.Loading'!A:R,5,FALSE)</f>
        <v>45GP</v>
      </c>
      <c r="L212" s="56" t="str">
        <f>VLOOKUP(D212,'2.Bookinglist'!A:CT,85,FALSE)</f>
        <v>CY/CY</v>
      </c>
      <c r="M212" s="56" t="str">
        <f>IF(VLOOKUP(D212,'2.Bookinglist'!A:CT,43,FALSE)=0,"","DG")</f>
        <v/>
      </c>
      <c r="N212" s="56" t="str">
        <f>IF(RIGHT(K212,2)="RE","RF","")</f>
        <v/>
      </c>
      <c r="O212" s="54" t="str">
        <f>VLOOKUP(A212,'1.Loading'!A:R,3,FALSE)</f>
        <v>HMVY</v>
      </c>
      <c r="P212" s="54" t="str">
        <f>VLOOKUP(A212,'1.Loading'!A:R,4,FALSE)</f>
        <v>2609N</v>
      </c>
      <c r="Q212" s="54" t="str">
        <f>VLOOKUP(D212,'2.Bookinglist'!A:CT,12,FALSE)</f>
        <v>PCI2</v>
      </c>
      <c r="R212" s="56" t="str">
        <f>IF(LEFT(K212,2)="22","20'","40'")</f>
        <v>40'</v>
      </c>
      <c r="S212" s="38"/>
      <c r="T212" s="54" t="str">
        <f>VLOOKUP(A212,'1.Loading'!A:R,2,FALSE)</f>
        <v>2026-10-28</v>
      </c>
      <c r="U212" s="57">
        <f>T212-S212</f>
        <v>46323</v>
      </c>
      <c r="V212" s="58"/>
      <c r="W212" s="54" t="str">
        <f>VLOOKUP(A212,'3.GateMove'!A:D,4,FALSE)</f>
        <v>2026-10-23</v>
      </c>
      <c r="X212" s="57">
        <f>((T212-W212)+1)</f>
        <v>6</v>
      </c>
      <c r="Y212" s="59">
        <f>IF(AND(OR(C212="BKK01",C212="BKK04"),L212="CFS/CY"),0,IF(M212="DG",1,IF(LEFT(C212,3)="LCH",7,IF(C212="BKK02",5,3))))</f>
        <v>7</v>
      </c>
      <c r="Z212" s="57">
        <f>IF(IF(AND(AC212="TML",AB212&gt;0),((T212-W212)+1)-AB212,((T212-W212)+1)-Y212)&gt;0,IF(AND(AC212="TML",AB212&gt;0),((T212-W212)+1)-AB212,((T212-W212)+1)-Y212),0)</f>
        <v>0</v>
      </c>
      <c r="AA212" s="48">
        <f>IF(AND(B212="G1",M212=""),IF(R212="20'",
VLOOKUP(Z212,Charge!$K$2:$M$5,2,TRUE)+(Z212-VLOOKUP(Z212,Charge!$K$2:$M$5,1,TRUE))*VLOOKUP(Z212,Charge!$K$2:$M$5,3,TRUE),
VLOOKUP(Z212,Charge!$N$2:$P$5,2,TRUE)+(Z212-VLOOKUP(Z212,Charge!$N$2:$P$5,1,TRUE))*VLOOKUP(Z212,Charge!$N$2:$P$5,3,TRUE)),
IF(AND(B212="G1",M212="DG"),IF(R212="20'",
VLOOKUP(Z212,Charge!$R$2:$T$5,2,TRUE)+(Z212-VLOOKUP(Z212,Charge!$R$2:$T$5,1,TRUE))*VLOOKUP(Z212,Charge!$R$2:$T$5,3,TRUE),
VLOOKUP(Z212,Charge!$U$2:$W$5,2,TRUE)+(Z212-VLOOKUP(Z212,Charge!$U$2:$W$5,1,TRUE))*VLOOKUP(Z212,Charge!$U$2:$W$5,3,TRUE)),
IF(AND(B212="G3",M212=""),IF(R212="20'",
VLOOKUP(Z212,Charge!$K$18:$M$21,2,TRUE)+(Z212-VLOOKUP(Z212,Charge!$K$18:$M$21,1,TRUE))*VLOOKUP(Z212,Charge!$K$18:$M$21,3,TRUE),
VLOOKUP(Z212,Charge!$N$18:$P$21,2,TRUE)+(Z212-VLOOKUP(Z212,Charge!$N$18:$P$21,1,TRUE))*VLOOKUP(Z212,Charge!$N$18:$P$21,3,TRUE)),
IF(AND(B212="G3",M212="DG"),IF(R212="20'",
VLOOKUP(Z212,Charge!$R$18:$T$21,2,TRUE)+(Z212-VLOOKUP(Z212,Charge!$R$18:$T$21,1,TRUE))*VLOOKUP(Z212,Charge!$R$18:$T$21,3,TRUE),
VLOOKUP(Z212,Charge!$U$18:$W$21,2,TRUE)+(Z212-VLOOKUP(Z212,Charge!$U$18:$W$21,1,TRUE))*VLOOKUP(Z212,Charge!$U$18:$W$21,3,TRUE)),
IF(AND(B212="G2",M212=""),IF(R212="20'",
VLOOKUP(Z212,Charge!$K$9:$M$12,2,TRUE)+(Z212-VLOOKUP(Z212,Charge!$K$9:$M$12,1,TRUE))*VLOOKUP(Z212,Charge!$K$9:$M$12,3,TRUE),
VLOOKUP(Z212,Charge!$N$9:$P$12,2,TRUE)+(Z212-VLOOKUP(Z212,Charge!$N$9:$P$12,1,TRUE))*VLOOKUP(Z212,Charge!$N$9:$P$12,3,TRUE)),
IF(AND(B212="G2",M212="DG"),IF(R212="20'",
VLOOKUP(Z212,Charge!$R$9:$T$12,2,TRUE)+(Z212-VLOOKUP(Z212,Charge!$R$9:$T$12,1,TRUE))*VLOOKUP(Z212,Charge!$R$9:$T$12,3,TRUE),
VLOOKUP(Z212,Charge!$U$9:$W$12,2,TRUE)+(Z212-VLOOKUP(Z212,Charge!$U$9:$W$12,1,TRUE))*VLOOKUP(Z212,Charge!$U$9:$W$12,3,TRUE)),IF(AND(B212="G4",M212=""),IF(R212="20'",Z212*Charge!$M$25,Z212*Charge!$P$25),IF(AND(B212="G4",M212="DG"),IF(R212="20'",Z212*Charge!$T$25,Z212*Charge!$W$25),0))))))))</f>
        <v>0</v>
      </c>
      <c r="AB212" s="53"/>
      <c r="AC212" s="53"/>
      <c r="AD212" s="56">
        <f>IF(M212="DG",3,IF(N212="RF",3,5))+IF(AND(LEFT(C212,3)="BKK",N212="RF",Q212="KTS"),1,0)+IF(Q212="KHS",1,0)</f>
        <v>5</v>
      </c>
      <c r="AE212" s="57">
        <f>(T212-V212)+1</f>
        <v>46324</v>
      </c>
      <c r="AF212" s="57">
        <f>IF(AB212&gt;IF((V212-W212)&gt;0,V212-W212,0),0,IF(AB212&lt;IF((V212-W212)&gt;0,V212-W212,0),IF((V212-W212)&gt;0,V212-W212,0)-AB212,IF((V212-W212)&gt;0,V212-W212,0)))</f>
        <v>0</v>
      </c>
      <c r="AG212" s="48">
        <f>IF(AND(M212=""),IF(R212="20'",
VLOOKUP(AF212,Charge!$K$31:$M$34,2,TRUE)+(AF212-VLOOKUP(AF212,Charge!$K$31:$M$34,1,TRUE))*VLOOKUP(AF212,Charge!$K$31:$M$34,3,TRUE),
VLOOKUP(AF212,Charge!$N$31:$P$34,2,TRUE)+(AF212-VLOOKUP(AF212,Charge!$N$31:$P$34,1,TRUE))*VLOOKUP(AF212,Charge!$N$31:$P$34,3,TRUE)),
IF(AND(M212="DG"),IF(R212="20'",
VLOOKUP(AF212,Charge!$R$31:$T$34,2,TRUE)+(AF212-VLOOKUP(AF212,Charge!$R$31:$T$34,1,TRUE))*VLOOKUP(AF212,Charge!$R$31:$T$34,3,TRUE),
VLOOKUP(AF212,Charge!$U$31:$W$34,2,TRUE)+(AF212-VLOOKUP(AF212,Charge!$U$31:$W$34,1,TRUE))*VLOOKUP(AF212,Charge!$U$31:$W$34,3,TRUE)),0))</f>
        <v>0</v>
      </c>
      <c r="AH212" s="60"/>
      <c r="AI212" s="60">
        <f>AA212-AH212</f>
        <v>0</v>
      </c>
      <c r="AJ212" s="61"/>
      <c r="AK212" s="55" t="str">
        <f>VLOOKUP(D212,'2.Bookinglist'!A:CT,40,FALSE)</f>
        <v>Arunphat W. (Aiw)</v>
      </c>
      <c r="AL212" s="56" t="str">
        <f>VLOOKUP(D212,'2.Bookinglist'!A:CW,101,FALSE)</f>
        <v>2026-10-22</v>
      </c>
      <c r="AM212" s="56" t="str">
        <f>VLOOKUP(D212,'2.Bookinglist'!A:BK,63,FALSE)</f>
        <v>BKK27</v>
      </c>
      <c r="AN212" s="55" t="str">
        <f>VLOOKUP(D212,'2.Bookinglist'!A:AZ,52,FALSE)</f>
        <v>Pickup : 2026-10-19, Return SRP : 2026-10-19 [PAPERLESS CODE 2829]
CLS TIME 24/10/26 @21.00 (1ST RETURN DATE 21/10/26)</v>
      </c>
      <c r="AO212" s="55">
        <f>VLOOKUP(D212,'2.Bookinglist'!A:CY,103,FALSE)</f>
        <v>0</v>
      </c>
    </row>
    <row r="213" ht="12.95" customHeight="1" spans="1:41" x14ac:dyDescent="0.25">
      <c r="A213" s="3" t="s">
        <v>245</v>
      </c>
      <c r="B213" s="53" t="str">
        <f>IF(C213=Charge!$M$1,Charge!$J$1,IF(C213=Charge!$M$23,Charge!$J$23,IF(C213=Charge!$M$17,Charge!$J$17,IF(C213=Charge!$N$17,Charge!$J$17,Charge!$J$7))))</f>
        <v>G2</v>
      </c>
      <c r="C213" s="54" t="str">
        <f>VLOOKUP(A213,'1.Loading'!A:R,14,FALSE)</f>
        <v>LCH06</v>
      </c>
      <c r="D213" s="54" t="str">
        <f>VLOOKUP(A213,'1.Loading'!A:R,17,FALSE)</f>
        <v>HASLS22261001671</v>
      </c>
      <c r="E213" s="55" t="str">
        <f>VLOOKUP(D213,'2.Bookinglist'!A:CT,27,FALSE)</f>
        <v>V SMART NETWORK CO., LTD.</v>
      </c>
      <c r="F213" s="55" t="str">
        <f>VLOOKUP(D213,'2.Bookinglist'!A:CT,28,FALSE)</f>
        <v>ZIEHL-ABEGG (THAILAND) LTD.</v>
      </c>
      <c r="G213" s="56">
        <f>VLOOKUP(D213,'2.Bookinglist'!A:E,5,FALSE)</f>
        <v>0</v>
      </c>
      <c r="H213" s="54" t="str">
        <f>VLOOKUP(D213,'2.Bookinglist'!A:CT,15,FALSE)</f>
        <v>THLCH</v>
      </c>
      <c r="I213" s="54" t="str">
        <f>VLOOKUP(D213,'2.Bookinglist'!A:CT,19,FALSE)</f>
        <v>CNSHA</v>
      </c>
      <c r="J213" s="54">
        <f>VLOOKUP(D213,'2.Bookinglist'!A:CT,26,FALSE)</f>
        <v>0</v>
      </c>
      <c r="K213" s="54" t="str">
        <f>VLOOKUP(A213,'1.Loading'!A:R,5,FALSE)</f>
        <v>45GP</v>
      </c>
      <c r="L213" s="56" t="str">
        <f>VLOOKUP(D213,'2.Bookinglist'!A:CT,85,FALSE)</f>
        <v>CY/CY</v>
      </c>
      <c r="M213" s="56" t="str">
        <f>IF(VLOOKUP(D213,'2.Bookinglist'!A:CT,43,FALSE)=0,"","DG")</f>
        <v/>
      </c>
      <c r="N213" s="56" t="str">
        <f>IF(RIGHT(K213,2)="RE","RF","")</f>
        <v/>
      </c>
      <c r="O213" s="54" t="str">
        <f>VLOOKUP(A213,'1.Loading'!A:R,3,FALSE)</f>
        <v>HMVY</v>
      </c>
      <c r="P213" s="54" t="str">
        <f>VLOOKUP(A213,'1.Loading'!A:R,4,FALSE)</f>
        <v>2609N</v>
      </c>
      <c r="Q213" s="54" t="str">
        <f>VLOOKUP(D213,'2.Bookinglist'!A:CT,12,FALSE)</f>
        <v>PCI2</v>
      </c>
      <c r="R213" s="56" t="str">
        <f>IF(LEFT(K213,2)="22","20'","40'")</f>
        <v>40'</v>
      </c>
      <c r="S213" s="38"/>
      <c r="T213" s="54" t="str">
        <f>VLOOKUP(A213,'1.Loading'!A:R,2,FALSE)</f>
        <v>2026-10-28</v>
      </c>
      <c r="U213" s="57">
        <f>T213-S213</f>
        <v>46323</v>
      </c>
      <c r="V213" s="58"/>
      <c r="W213" s="54" t="str">
        <f>VLOOKUP(A213,'3.GateMove'!A:D,4,FALSE)</f>
        <v>2026-10-26</v>
      </c>
      <c r="X213" s="57">
        <f>((T213-W213)+1)</f>
        <v>3</v>
      </c>
      <c r="Y213" s="59">
        <f>IF(AND(OR(C213="BKK01",C213="BKK04"),L213="CFS/CY"),0,IF(M213="DG",1,IF(LEFT(C213,3)="LCH",7,IF(C213="BKK02",5,3))))</f>
        <v>7</v>
      </c>
      <c r="Z213" s="57">
        <f>IF(IF(AND(AC213="TML",AB213&gt;0),((T213-W213)+1)-AB213,((T213-W213)+1)-Y213)&gt;0,IF(AND(AC213="TML",AB213&gt;0),((T213-W213)+1)-AB213,((T213-W213)+1)-Y213),0)</f>
        <v>0</v>
      </c>
      <c r="AA213" s="48">
        <f>IF(AND(B213="G1",M213=""),IF(R213="20'",
VLOOKUP(Z213,Charge!$K$2:$M$5,2,TRUE)+(Z213-VLOOKUP(Z213,Charge!$K$2:$M$5,1,TRUE))*VLOOKUP(Z213,Charge!$K$2:$M$5,3,TRUE),
VLOOKUP(Z213,Charge!$N$2:$P$5,2,TRUE)+(Z213-VLOOKUP(Z213,Charge!$N$2:$P$5,1,TRUE))*VLOOKUP(Z213,Charge!$N$2:$P$5,3,TRUE)),
IF(AND(B213="G1",M213="DG"),IF(R213="20'",
VLOOKUP(Z213,Charge!$R$2:$T$5,2,TRUE)+(Z213-VLOOKUP(Z213,Charge!$R$2:$T$5,1,TRUE))*VLOOKUP(Z213,Charge!$R$2:$T$5,3,TRUE),
VLOOKUP(Z213,Charge!$U$2:$W$5,2,TRUE)+(Z213-VLOOKUP(Z213,Charge!$U$2:$W$5,1,TRUE))*VLOOKUP(Z213,Charge!$U$2:$W$5,3,TRUE)),
IF(AND(B213="G3",M213=""),IF(R213="20'",
VLOOKUP(Z213,Charge!$K$18:$M$21,2,TRUE)+(Z213-VLOOKUP(Z213,Charge!$K$18:$M$21,1,TRUE))*VLOOKUP(Z213,Charge!$K$18:$M$21,3,TRUE),
VLOOKUP(Z213,Charge!$N$18:$P$21,2,TRUE)+(Z213-VLOOKUP(Z213,Charge!$N$18:$P$21,1,TRUE))*VLOOKUP(Z213,Charge!$N$18:$P$21,3,TRUE)),
IF(AND(B213="G3",M213="DG"),IF(R213="20'",
VLOOKUP(Z213,Charge!$R$18:$T$21,2,TRUE)+(Z213-VLOOKUP(Z213,Charge!$R$18:$T$21,1,TRUE))*VLOOKUP(Z213,Charge!$R$18:$T$21,3,TRUE),
VLOOKUP(Z213,Charge!$U$18:$W$21,2,TRUE)+(Z213-VLOOKUP(Z213,Charge!$U$18:$W$21,1,TRUE))*VLOOKUP(Z213,Charge!$U$18:$W$21,3,TRUE)),
IF(AND(B213="G2",M213=""),IF(R213="20'",
VLOOKUP(Z213,Charge!$K$9:$M$12,2,TRUE)+(Z213-VLOOKUP(Z213,Charge!$K$9:$M$12,1,TRUE))*VLOOKUP(Z213,Charge!$K$9:$M$12,3,TRUE),
VLOOKUP(Z213,Charge!$N$9:$P$12,2,TRUE)+(Z213-VLOOKUP(Z213,Charge!$N$9:$P$12,1,TRUE))*VLOOKUP(Z213,Charge!$N$9:$P$12,3,TRUE)),
IF(AND(B213="G2",M213="DG"),IF(R213="20'",
VLOOKUP(Z213,Charge!$R$9:$T$12,2,TRUE)+(Z213-VLOOKUP(Z213,Charge!$R$9:$T$12,1,TRUE))*VLOOKUP(Z213,Charge!$R$9:$T$12,3,TRUE),
VLOOKUP(Z213,Charge!$U$9:$W$12,2,TRUE)+(Z213-VLOOKUP(Z213,Charge!$U$9:$W$12,1,TRUE))*VLOOKUP(Z213,Charge!$U$9:$W$12,3,TRUE)),IF(AND(B213="G4",M213=""),IF(R213="20'",Z213*Charge!$M$25,Z213*Charge!$P$25),IF(AND(B213="G4",M213="DG"),IF(R213="20'",Z213*Charge!$T$25,Z213*Charge!$W$25),0))))))))</f>
        <v>0</v>
      </c>
      <c r="AB213" s="53"/>
      <c r="AC213" s="53"/>
      <c r="AD213" s="56">
        <f>IF(M213="DG",3,IF(N213="RF",3,5))+IF(AND(LEFT(C213,3)="BKK",N213="RF",Q213="KTS"),1,0)+IF(Q213="KHS",1,0)</f>
        <v>5</v>
      </c>
      <c r="AE213" s="57">
        <f>(T213-V213)+1</f>
        <v>46324</v>
      </c>
      <c r="AF213" s="57">
        <f>IF(AB213&gt;IF((V213-W213)&gt;0,V213-W213,0),0,IF(AB213&lt;IF((V213-W213)&gt;0,V213-W213,0),IF((V213-W213)&gt;0,V213-W213,0)-AB213,IF((V213-W213)&gt;0,V213-W213,0)))</f>
        <v>0</v>
      </c>
      <c r="AG213" s="48">
        <f>IF(AND(M213=""),IF(R213="20'",
VLOOKUP(AF213,Charge!$K$31:$M$34,2,TRUE)+(AF213-VLOOKUP(AF213,Charge!$K$31:$M$34,1,TRUE))*VLOOKUP(AF213,Charge!$K$31:$M$34,3,TRUE),
VLOOKUP(AF213,Charge!$N$31:$P$34,2,TRUE)+(AF213-VLOOKUP(AF213,Charge!$N$31:$P$34,1,TRUE))*VLOOKUP(AF213,Charge!$N$31:$P$34,3,TRUE)),
IF(AND(M213="DG"),IF(R213="20'",
VLOOKUP(AF213,Charge!$R$31:$T$34,2,TRUE)+(AF213-VLOOKUP(AF213,Charge!$R$31:$T$34,1,TRUE))*VLOOKUP(AF213,Charge!$R$31:$T$34,3,TRUE),
VLOOKUP(AF213,Charge!$U$31:$W$34,2,TRUE)+(AF213-VLOOKUP(AF213,Charge!$U$31:$W$34,1,TRUE))*VLOOKUP(AF213,Charge!$U$31:$W$34,3,TRUE)),0))</f>
        <v>0</v>
      </c>
      <c r="AH213" s="60"/>
      <c r="AI213" s="60">
        <f>AA213-AH213</f>
        <v>0</v>
      </c>
      <c r="AJ213" s="61"/>
      <c r="AK213" s="55" t="str">
        <f>VLOOKUP(D213,'2.Bookinglist'!A:CT,40,FALSE)</f>
        <v>Nannaapust Sukporntaweewat</v>
      </c>
      <c r="AL213" s="56" t="str">
        <f>VLOOKUP(D213,'2.Bookinglist'!A:CW,101,FALSE)</f>
        <v>2026-10-28</v>
      </c>
      <c r="AM213" s="56" t="str">
        <f>VLOOKUP(D213,'2.Bookinglist'!A:BK,63,FALSE)</f>
        <v>LCHY5</v>
      </c>
      <c r="AN213" s="55" t="str">
        <f>VLOOKUP(D213,'2.Bookinglist'!A:AZ,52,FALSE)</f>
        <v>Pickup : 2026-10-26, Return : 2026-10-26</v>
      </c>
      <c r="AO213" s="55" t="str">
        <f>VLOOKUP(D213,'2.Bookinglist'!A:CY,103,FALSE)</f>
        <v>ROLL OVER FROM PREVIOUS VSL HAB 2612N BY ALLOCATION TEAM MS.TAN APPROVED COST IS UNDER HA DD.26/10</v>
      </c>
    </row>
    <row r="214" ht="12.95" customHeight="1" spans="1:41" x14ac:dyDescent="0.25">
      <c r="A214" s="3" t="s">
        <v>231</v>
      </c>
      <c r="B214" s="53" t="str">
        <f>IF(C214=Charge!$M$1,Charge!$J$1,IF(C214=Charge!$M$23,Charge!$J$23,IF(C214=Charge!$M$17,Charge!$J$17,IF(C214=Charge!$N$17,Charge!$J$17,Charge!$J$7))))</f>
        <v>G2</v>
      </c>
      <c r="C214" s="54" t="str">
        <f>VLOOKUP(A214,'1.Loading'!A:R,14,FALSE)</f>
        <v>LCH06</v>
      </c>
      <c r="D214" s="54" t="str">
        <f>VLOOKUP(A214,'1.Loading'!A:R,17,FALSE)</f>
        <v>HASLS22260900762</v>
      </c>
      <c r="E214" s="55" t="str">
        <f>VLOOKUP(D214,'2.Bookinglist'!A:CT,27,FALSE)</f>
        <v>ELC CONTAINER LINES CO.,LTD.</v>
      </c>
      <c r="F214" s="55" t="str">
        <f>VLOOKUP(D214,'2.Bookinglist'!A:CT,28,FALSE)</f>
        <v>THAI ARROW PRODUCTS CO., LTD.</v>
      </c>
      <c r="G214" s="56" t="str">
        <f>VLOOKUP(D214,'2.Bookinglist'!A:E,5,FALSE)</f>
        <v>THSRP</v>
      </c>
      <c r="H214" s="54" t="str">
        <f>VLOOKUP(D214,'2.Bookinglist'!A:CT,15,FALSE)</f>
        <v>THLCH</v>
      </c>
      <c r="I214" s="54" t="str">
        <f>VLOOKUP(D214,'2.Bookinglist'!A:CT,19,FALSE)</f>
        <v>CNSHA</v>
      </c>
      <c r="J214" s="54">
        <f>VLOOKUP(D214,'2.Bookinglist'!A:CT,26,FALSE)</f>
        <v>0</v>
      </c>
      <c r="K214" s="54" t="str">
        <f>VLOOKUP(A214,'1.Loading'!A:R,5,FALSE)</f>
        <v>45GP</v>
      </c>
      <c r="L214" s="56" t="str">
        <f>VLOOKUP(D214,'2.Bookinglist'!A:CT,85,FALSE)</f>
        <v>CY/CY</v>
      </c>
      <c r="M214" s="56" t="str">
        <f>IF(VLOOKUP(D214,'2.Bookinglist'!A:CT,43,FALSE)=0,"","DG")</f>
        <v/>
      </c>
      <c r="N214" s="56" t="str">
        <f>IF(RIGHT(K214,2)="RE","RF","")</f>
        <v/>
      </c>
      <c r="O214" s="54" t="str">
        <f>VLOOKUP(A214,'1.Loading'!A:R,3,FALSE)</f>
        <v>HMVY</v>
      </c>
      <c r="P214" s="54" t="str">
        <f>VLOOKUP(A214,'1.Loading'!A:R,4,FALSE)</f>
        <v>2609N</v>
      </c>
      <c r="Q214" s="54" t="str">
        <f>VLOOKUP(D214,'2.Bookinglist'!A:CT,12,FALSE)</f>
        <v>PCI2</v>
      </c>
      <c r="R214" s="56" t="str">
        <f>IF(LEFT(K214,2)="22","20'","40'")</f>
        <v>40'</v>
      </c>
      <c r="S214" s="38"/>
      <c r="T214" s="54" t="str">
        <f>VLOOKUP(A214,'1.Loading'!A:R,2,FALSE)</f>
        <v>2026-10-28</v>
      </c>
      <c r="U214" s="57">
        <f>T214-S214</f>
        <v>46323</v>
      </c>
      <c r="V214" s="58"/>
      <c r="W214" s="54" t="str">
        <f>VLOOKUP(A214,'3.GateMove'!A:D,4,FALSE)</f>
        <v>2026-10-23</v>
      </c>
      <c r="X214" s="57">
        <f>((T214-W214)+1)</f>
        <v>6</v>
      </c>
      <c r="Y214" s="59">
        <f>IF(AND(OR(C214="BKK01",C214="BKK04"),L214="CFS/CY"),0,IF(M214="DG",1,IF(LEFT(C214,3)="LCH",7,IF(C214="BKK02",5,3))))</f>
        <v>7</v>
      </c>
      <c r="Z214" s="57">
        <f>IF(IF(AND(AC214="TML",AB214&gt;0),((T214-W214)+1)-AB214,((T214-W214)+1)-Y214)&gt;0,IF(AND(AC214="TML",AB214&gt;0),((T214-W214)+1)-AB214,((T214-W214)+1)-Y214),0)</f>
        <v>0</v>
      </c>
      <c r="AA214" s="48">
        <f>IF(AND(B214="G1",M214=""),IF(R214="20'",
VLOOKUP(Z214,Charge!$K$2:$M$5,2,TRUE)+(Z214-VLOOKUP(Z214,Charge!$K$2:$M$5,1,TRUE))*VLOOKUP(Z214,Charge!$K$2:$M$5,3,TRUE),
VLOOKUP(Z214,Charge!$N$2:$P$5,2,TRUE)+(Z214-VLOOKUP(Z214,Charge!$N$2:$P$5,1,TRUE))*VLOOKUP(Z214,Charge!$N$2:$P$5,3,TRUE)),
IF(AND(B214="G1",M214="DG"),IF(R214="20'",
VLOOKUP(Z214,Charge!$R$2:$T$5,2,TRUE)+(Z214-VLOOKUP(Z214,Charge!$R$2:$T$5,1,TRUE))*VLOOKUP(Z214,Charge!$R$2:$T$5,3,TRUE),
VLOOKUP(Z214,Charge!$U$2:$W$5,2,TRUE)+(Z214-VLOOKUP(Z214,Charge!$U$2:$W$5,1,TRUE))*VLOOKUP(Z214,Charge!$U$2:$W$5,3,TRUE)),
IF(AND(B214="G3",M214=""),IF(R214="20'",
VLOOKUP(Z214,Charge!$K$18:$M$21,2,TRUE)+(Z214-VLOOKUP(Z214,Charge!$K$18:$M$21,1,TRUE))*VLOOKUP(Z214,Charge!$K$18:$M$21,3,TRUE),
VLOOKUP(Z214,Charge!$N$18:$P$21,2,TRUE)+(Z214-VLOOKUP(Z214,Charge!$N$18:$P$21,1,TRUE))*VLOOKUP(Z214,Charge!$N$18:$P$21,3,TRUE)),
IF(AND(B214="G3",M214="DG"),IF(R214="20'",
VLOOKUP(Z214,Charge!$R$18:$T$21,2,TRUE)+(Z214-VLOOKUP(Z214,Charge!$R$18:$T$21,1,TRUE))*VLOOKUP(Z214,Charge!$R$18:$T$21,3,TRUE),
VLOOKUP(Z214,Charge!$U$18:$W$21,2,TRUE)+(Z214-VLOOKUP(Z214,Charge!$U$18:$W$21,1,TRUE))*VLOOKUP(Z214,Charge!$U$18:$W$21,3,TRUE)),
IF(AND(B214="G2",M214=""),IF(R214="20'",
VLOOKUP(Z214,Charge!$K$9:$M$12,2,TRUE)+(Z214-VLOOKUP(Z214,Charge!$K$9:$M$12,1,TRUE))*VLOOKUP(Z214,Charge!$K$9:$M$12,3,TRUE),
VLOOKUP(Z214,Charge!$N$9:$P$12,2,TRUE)+(Z214-VLOOKUP(Z214,Charge!$N$9:$P$12,1,TRUE))*VLOOKUP(Z214,Charge!$N$9:$P$12,3,TRUE)),
IF(AND(B214="G2",M214="DG"),IF(R214="20'",
VLOOKUP(Z214,Charge!$R$9:$T$12,2,TRUE)+(Z214-VLOOKUP(Z214,Charge!$R$9:$T$12,1,TRUE))*VLOOKUP(Z214,Charge!$R$9:$T$12,3,TRUE),
VLOOKUP(Z214,Charge!$U$9:$W$12,2,TRUE)+(Z214-VLOOKUP(Z214,Charge!$U$9:$W$12,1,TRUE))*VLOOKUP(Z214,Charge!$U$9:$W$12,3,TRUE)),IF(AND(B214="G4",M214=""),IF(R214="20'",Z214*Charge!$M$25,Z214*Charge!$P$25),IF(AND(B214="G4",M214="DG"),IF(R214="20'",Z214*Charge!$T$25,Z214*Charge!$W$25),0))))))))</f>
        <v>0</v>
      </c>
      <c r="AB214" s="53"/>
      <c r="AC214" s="53"/>
      <c r="AD214" s="56">
        <f>IF(M214="DG",3,IF(N214="RF",3,5))+IF(AND(LEFT(C214,3)="BKK",N214="RF",Q214="KTS"),1,0)+IF(Q214="KHS",1,0)</f>
        <v>5</v>
      </c>
      <c r="AE214" s="57">
        <f>(T214-V214)+1</f>
        <v>46324</v>
      </c>
      <c r="AF214" s="57">
        <f>IF(AB214&gt;IF((V214-W214)&gt;0,V214-W214,0),0,IF(AB214&lt;IF((V214-W214)&gt;0,V214-W214,0),IF((V214-W214)&gt;0,V214-W214,0)-AB214,IF((V214-W214)&gt;0,V214-W214,0)))</f>
        <v>0</v>
      </c>
      <c r="AG214" s="48">
        <f>IF(AND(M214=""),IF(R214="20'",
VLOOKUP(AF214,Charge!$K$31:$M$34,2,TRUE)+(AF214-VLOOKUP(AF214,Charge!$K$31:$M$34,1,TRUE))*VLOOKUP(AF214,Charge!$K$31:$M$34,3,TRUE),
VLOOKUP(AF214,Charge!$N$31:$P$34,2,TRUE)+(AF214-VLOOKUP(AF214,Charge!$N$31:$P$34,1,TRUE))*VLOOKUP(AF214,Charge!$N$31:$P$34,3,TRUE)),
IF(AND(M214="DG"),IF(R214="20'",
VLOOKUP(AF214,Charge!$R$31:$T$34,2,TRUE)+(AF214-VLOOKUP(AF214,Charge!$R$31:$T$34,1,TRUE))*VLOOKUP(AF214,Charge!$R$31:$T$34,3,TRUE),
VLOOKUP(AF214,Charge!$U$31:$W$34,2,TRUE)+(AF214-VLOOKUP(AF214,Charge!$U$31:$W$34,1,TRUE))*VLOOKUP(AF214,Charge!$U$31:$W$34,3,TRUE)),0))</f>
        <v>0</v>
      </c>
      <c r="AH214" s="60"/>
      <c r="AI214" s="60">
        <f>AA214-AH214</f>
        <v>0</v>
      </c>
      <c r="AJ214" s="61"/>
      <c r="AK214" s="55" t="str">
        <f>VLOOKUP(D214,'2.Bookinglist'!A:CT,40,FALSE)</f>
        <v>Dharaporn</v>
      </c>
      <c r="AL214" s="56" t="str">
        <f>VLOOKUP(D214,'2.Bookinglist'!A:CW,101,FALSE)</f>
        <v>2026-10-27</v>
      </c>
      <c r="AM214" s="56" t="str">
        <f>VLOOKUP(D214,'2.Bookinglist'!A:BK,63,FALSE)</f>
        <v>BKK27</v>
      </c>
      <c r="AN214" s="55" t="str">
        <f>VLOOKUP(D214,'2.Bookinglist'!A:AZ,52,FALSE)</f>
        <v>Pickup : 2026-10-17, Return SRP : 2026-10-20 [PAPERLESS CODE 2829]
CLS TIME 24/10/26 @20.00</v>
      </c>
      <c r="AO214" s="55">
        <f>VLOOKUP(D214,'2.Bookinglist'!A:CY,103,FALSE)</f>
        <v>0</v>
      </c>
    </row>
    <row r="215" ht="12.95" customHeight="1" spans="1:41" x14ac:dyDescent="0.25">
      <c r="A215" s="3" t="s">
        <v>263</v>
      </c>
      <c r="B215" s="53" t="str">
        <f>IF(C215=Charge!$M$1,Charge!$J$1,IF(C215=Charge!$M$23,Charge!$J$23,IF(C215=Charge!$M$17,Charge!$J$17,IF(C215=Charge!$N$17,Charge!$J$17,Charge!$J$7))))</f>
        <v>G2</v>
      </c>
      <c r="C215" s="54" t="str">
        <f>VLOOKUP(A215,'1.Loading'!A:R,14,FALSE)</f>
        <v>LCH06</v>
      </c>
      <c r="D215" s="54" t="str">
        <f>VLOOKUP(A215,'1.Loading'!A:R,17,FALSE)</f>
        <v>HASLS22260901311</v>
      </c>
      <c r="E215" s="55" t="str">
        <f>VLOOKUP(D215,'2.Bookinglist'!A:CT,27,FALSE)</f>
        <v>WHA GC LOGISTICS COMPANY LIMITED</v>
      </c>
      <c r="F215" s="55" t="str">
        <f>VLOOKUP(D215,'2.Bookinglist'!A:CT,28,FALSE)</f>
        <v>PTT GLOBAL CHEMICAL PUBLIC COMPANY LIMITED</v>
      </c>
      <c r="G215" s="56">
        <f>VLOOKUP(D215,'2.Bookinglist'!A:E,5,FALSE)</f>
        <v>0</v>
      </c>
      <c r="H215" s="54" t="str">
        <f>VLOOKUP(D215,'2.Bookinglist'!A:CT,15,FALSE)</f>
        <v>THLCH</v>
      </c>
      <c r="I215" s="54" t="str">
        <f>VLOOKUP(D215,'2.Bookinglist'!A:CT,19,FALSE)</f>
        <v>CNSHA</v>
      </c>
      <c r="J215" s="54">
        <f>VLOOKUP(D215,'2.Bookinglist'!A:CT,26,FALSE)</f>
        <v>0</v>
      </c>
      <c r="K215" s="54" t="str">
        <f>VLOOKUP(A215,'1.Loading'!A:R,5,FALSE)</f>
        <v>45GP</v>
      </c>
      <c r="L215" s="56" t="str">
        <f>VLOOKUP(D215,'2.Bookinglist'!A:CT,85,FALSE)</f>
        <v>CY/CY</v>
      </c>
      <c r="M215" s="56" t="str">
        <f>IF(VLOOKUP(D215,'2.Bookinglist'!A:CT,43,FALSE)=0,"","DG")</f>
        <v/>
      </c>
      <c r="N215" s="56" t="str">
        <f>IF(RIGHT(K215,2)="RE","RF","")</f>
        <v/>
      </c>
      <c r="O215" s="54" t="str">
        <f>VLOOKUP(A215,'1.Loading'!A:R,3,FALSE)</f>
        <v>HMVY</v>
      </c>
      <c r="P215" s="54" t="str">
        <f>VLOOKUP(A215,'1.Loading'!A:R,4,FALSE)</f>
        <v>2609N</v>
      </c>
      <c r="Q215" s="54" t="str">
        <f>VLOOKUP(D215,'2.Bookinglist'!A:CT,12,FALSE)</f>
        <v>PCI2</v>
      </c>
      <c r="R215" s="56" t="str">
        <f>IF(LEFT(K215,2)="22","20'","40'")</f>
        <v>40'</v>
      </c>
      <c r="S215" s="38"/>
      <c r="T215" s="54" t="str">
        <f>VLOOKUP(A215,'1.Loading'!A:R,2,FALSE)</f>
        <v>2026-10-28</v>
      </c>
      <c r="U215" s="57">
        <f>T215-S215</f>
        <v>46323</v>
      </c>
      <c r="V215" s="58"/>
      <c r="W215" s="54" t="str">
        <f>VLOOKUP(A215,'3.GateMove'!A:D,4,FALSE)</f>
        <v>2026-10-23</v>
      </c>
      <c r="X215" s="57">
        <f>((T215-W215)+1)</f>
        <v>6</v>
      </c>
      <c r="Y215" s="59">
        <f>IF(AND(OR(C215="BKK01",C215="BKK04"),L215="CFS/CY"),0,IF(M215="DG",1,IF(LEFT(C215,3)="LCH",7,IF(C215="BKK02",5,3))))</f>
        <v>7</v>
      </c>
      <c r="Z215" s="57">
        <f>IF(IF(AND(AC215="TML",AB215&gt;0),((T215-W215)+1)-AB215,((T215-W215)+1)-Y215)&gt;0,IF(AND(AC215="TML",AB215&gt;0),((T215-W215)+1)-AB215,((T215-W215)+1)-Y215),0)</f>
        <v>0</v>
      </c>
      <c r="AA215" s="48">
        <f>IF(AND(B215="G1",M215=""),IF(R215="20'",
VLOOKUP(Z215,Charge!$K$2:$M$5,2,TRUE)+(Z215-VLOOKUP(Z215,Charge!$K$2:$M$5,1,TRUE))*VLOOKUP(Z215,Charge!$K$2:$M$5,3,TRUE),
VLOOKUP(Z215,Charge!$N$2:$P$5,2,TRUE)+(Z215-VLOOKUP(Z215,Charge!$N$2:$P$5,1,TRUE))*VLOOKUP(Z215,Charge!$N$2:$P$5,3,TRUE)),
IF(AND(B215="G1",M215="DG"),IF(R215="20'",
VLOOKUP(Z215,Charge!$R$2:$T$5,2,TRUE)+(Z215-VLOOKUP(Z215,Charge!$R$2:$T$5,1,TRUE))*VLOOKUP(Z215,Charge!$R$2:$T$5,3,TRUE),
VLOOKUP(Z215,Charge!$U$2:$W$5,2,TRUE)+(Z215-VLOOKUP(Z215,Charge!$U$2:$W$5,1,TRUE))*VLOOKUP(Z215,Charge!$U$2:$W$5,3,TRUE)),
IF(AND(B215="G3",M215=""),IF(R215="20'",
VLOOKUP(Z215,Charge!$K$18:$M$21,2,TRUE)+(Z215-VLOOKUP(Z215,Charge!$K$18:$M$21,1,TRUE))*VLOOKUP(Z215,Charge!$K$18:$M$21,3,TRUE),
VLOOKUP(Z215,Charge!$N$18:$P$21,2,TRUE)+(Z215-VLOOKUP(Z215,Charge!$N$18:$P$21,1,TRUE))*VLOOKUP(Z215,Charge!$N$18:$P$21,3,TRUE)),
IF(AND(B215="G3",M215="DG"),IF(R215="20'",
VLOOKUP(Z215,Charge!$R$18:$T$21,2,TRUE)+(Z215-VLOOKUP(Z215,Charge!$R$18:$T$21,1,TRUE))*VLOOKUP(Z215,Charge!$R$18:$T$21,3,TRUE),
VLOOKUP(Z215,Charge!$U$18:$W$21,2,TRUE)+(Z215-VLOOKUP(Z215,Charge!$U$18:$W$21,1,TRUE))*VLOOKUP(Z215,Charge!$U$18:$W$21,3,TRUE)),
IF(AND(B215="G2",M215=""),IF(R215="20'",
VLOOKUP(Z215,Charge!$K$9:$M$12,2,TRUE)+(Z215-VLOOKUP(Z215,Charge!$K$9:$M$12,1,TRUE))*VLOOKUP(Z215,Charge!$K$9:$M$12,3,TRUE),
VLOOKUP(Z215,Charge!$N$9:$P$12,2,TRUE)+(Z215-VLOOKUP(Z215,Charge!$N$9:$P$12,1,TRUE))*VLOOKUP(Z215,Charge!$N$9:$P$12,3,TRUE)),
IF(AND(B215="G2",M215="DG"),IF(R215="20'",
VLOOKUP(Z215,Charge!$R$9:$T$12,2,TRUE)+(Z215-VLOOKUP(Z215,Charge!$R$9:$T$12,1,TRUE))*VLOOKUP(Z215,Charge!$R$9:$T$12,3,TRUE),
VLOOKUP(Z215,Charge!$U$9:$W$12,2,TRUE)+(Z215-VLOOKUP(Z215,Charge!$U$9:$W$12,1,TRUE))*VLOOKUP(Z215,Charge!$U$9:$W$12,3,TRUE)),IF(AND(B215="G4",M215=""),IF(R215="20'",Z215*Charge!$M$25,Z215*Charge!$P$25),IF(AND(B215="G4",M215="DG"),IF(R215="20'",Z215*Charge!$T$25,Z215*Charge!$W$25),0))))))))</f>
        <v>0</v>
      </c>
      <c r="AB215" s="53"/>
      <c r="AC215" s="53"/>
      <c r="AD215" s="56">
        <f>IF(M215="DG",3,IF(N215="RF",3,5))+IF(AND(LEFT(C215,3)="BKK",N215="RF",Q215="KTS"),1,0)+IF(Q215="KHS",1,0)</f>
        <v>5</v>
      </c>
      <c r="AE215" s="57">
        <f>(T215-V215)+1</f>
        <v>46324</v>
      </c>
      <c r="AF215" s="57">
        <f>IF(AB215&gt;IF((V215-W215)&gt;0,V215-W215,0),0,IF(AB215&lt;IF((V215-W215)&gt;0,V215-W215,0),IF((V215-W215)&gt;0,V215-W215,0)-AB215,IF((V215-W215)&gt;0,V215-W215,0)))</f>
        <v>0</v>
      </c>
      <c r="AG215" s="48">
        <f>IF(AND(M215=""),IF(R215="20'",
VLOOKUP(AF215,Charge!$K$31:$M$34,2,TRUE)+(AF215-VLOOKUP(AF215,Charge!$K$31:$M$34,1,TRUE))*VLOOKUP(AF215,Charge!$K$31:$M$34,3,TRUE),
VLOOKUP(AF215,Charge!$N$31:$P$34,2,TRUE)+(AF215-VLOOKUP(AF215,Charge!$N$31:$P$34,1,TRUE))*VLOOKUP(AF215,Charge!$N$31:$P$34,3,TRUE)),
IF(AND(M215="DG"),IF(R215="20'",
VLOOKUP(AF215,Charge!$R$31:$T$34,2,TRUE)+(AF215-VLOOKUP(AF215,Charge!$R$31:$T$34,1,TRUE))*VLOOKUP(AF215,Charge!$R$31:$T$34,3,TRUE),
VLOOKUP(AF215,Charge!$U$31:$W$34,2,TRUE)+(AF215-VLOOKUP(AF215,Charge!$U$31:$W$34,1,TRUE))*VLOOKUP(AF215,Charge!$U$31:$W$34,3,TRUE)),0))</f>
        <v>0</v>
      </c>
      <c r="AH215" s="60"/>
      <c r="AI215" s="60">
        <f>AA215-AH215</f>
        <v>0</v>
      </c>
      <c r="AJ215" s="61"/>
      <c r="AK215" s="55" t="str">
        <f>VLOOKUP(D215,'2.Bookinglist'!A:CT,40,FALSE)</f>
        <v>Dharaporn</v>
      </c>
      <c r="AL215" s="56" t="str">
        <f>VLOOKUP(D215,'2.Bookinglist'!A:CW,101,FALSE)</f>
        <v>2026-10-28</v>
      </c>
      <c r="AM215" s="56" t="str">
        <f>VLOOKUP(D215,'2.Bookinglist'!A:BK,63,FALSE)</f>
        <v>LCHY5</v>
      </c>
      <c r="AN215" s="55" t="str">
        <f>VLOOKUP(D215,'2.Bookinglist'!A:AZ,52,FALSE)</f>
        <v>CY-RTN: 20-23/10/2026  (1ST RETURN 22/10/26)</v>
      </c>
      <c r="AO215" s="55" t="str">
        <f>VLOOKUP(D215,'2.Bookinglist'!A:CY,103,FALSE)</f>
        <v>ROLL OVER FORM PREIVOUS VSL HAB 2612N BY ALLOCATION TEAM MS.TAN APPROVED COST IS UNDER HA DD.26/10</v>
      </c>
    </row>
    <row r="216" ht="12.95" customHeight="1" spans="1:41" x14ac:dyDescent="0.25">
      <c r="A216" s="3" t="s">
        <v>192</v>
      </c>
      <c r="B216" s="53" t="str">
        <f>IF(C216=Charge!$M$1,Charge!$J$1,IF(C216=Charge!$M$23,Charge!$J$23,IF(C216=Charge!$M$17,Charge!$J$17,IF(C216=Charge!$N$17,Charge!$J$17,Charge!$J$7))))</f>
        <v>G2</v>
      </c>
      <c r="C216" s="54" t="str">
        <f>VLOOKUP(A216,'1.Loading'!A:R,14,FALSE)</f>
        <v>LCH06</v>
      </c>
      <c r="D216" s="54" t="str">
        <f>VLOOKUP(A216,'1.Loading'!A:R,17,FALSE)</f>
        <v>HASLS22260902149</v>
      </c>
      <c r="E216" s="55" t="str">
        <f>VLOOKUP(D216,'2.Bookinglist'!A:CT,27,FALSE)</f>
        <v>DOUBLE A (1991) PUBLIC COMPANY LIMITED</v>
      </c>
      <c r="F216" s="55" t="str">
        <f>VLOOKUP(D216,'2.Bookinglist'!A:CT,28,FALSE)</f>
        <v>DOUBLE A (1991) PUBLIC COMPANY LIMITED</v>
      </c>
      <c r="G216" s="56">
        <f>VLOOKUP(D216,'2.Bookinglist'!A:E,5,FALSE)</f>
        <v>0</v>
      </c>
      <c r="H216" s="54" t="str">
        <f>VLOOKUP(D216,'2.Bookinglist'!A:CT,15,FALSE)</f>
        <v>THLCH</v>
      </c>
      <c r="I216" s="54" t="str">
        <f>VLOOKUP(D216,'2.Bookinglist'!A:CT,19,FALSE)</f>
        <v>CNSHA</v>
      </c>
      <c r="J216" s="54">
        <f>VLOOKUP(D216,'2.Bookinglist'!A:CT,26,FALSE)</f>
        <v>0</v>
      </c>
      <c r="K216" s="54" t="str">
        <f>VLOOKUP(A216,'1.Loading'!A:R,5,FALSE)</f>
        <v>45GP</v>
      </c>
      <c r="L216" s="56" t="str">
        <f>VLOOKUP(D216,'2.Bookinglist'!A:CT,85,FALSE)</f>
        <v>CY/CY</v>
      </c>
      <c r="M216" s="56" t="str">
        <f>IF(VLOOKUP(D216,'2.Bookinglist'!A:CT,43,FALSE)=0,"","DG")</f>
        <v/>
      </c>
      <c r="N216" s="56" t="str">
        <f>IF(RIGHT(K216,2)="RE","RF","")</f>
        <v/>
      </c>
      <c r="O216" s="54" t="str">
        <f>VLOOKUP(A216,'1.Loading'!A:R,3,FALSE)</f>
        <v>HMVY</v>
      </c>
      <c r="P216" s="54" t="str">
        <f>VLOOKUP(A216,'1.Loading'!A:R,4,FALSE)</f>
        <v>2609N</v>
      </c>
      <c r="Q216" s="54" t="str">
        <f>VLOOKUP(D216,'2.Bookinglist'!A:CT,12,FALSE)</f>
        <v>PCI2</v>
      </c>
      <c r="R216" s="56" t="str">
        <f>IF(LEFT(K216,2)="22","20'","40'")</f>
        <v>40'</v>
      </c>
      <c r="S216" s="38"/>
      <c r="T216" s="54" t="str">
        <f>VLOOKUP(A216,'1.Loading'!A:R,2,FALSE)</f>
        <v>2026-10-28</v>
      </c>
      <c r="U216" s="57">
        <f>T216-S216</f>
        <v>46323</v>
      </c>
      <c r="V216" s="58"/>
      <c r="W216" s="54" t="str">
        <f>VLOOKUP(A216,'3.GateMove'!A:D,4,FALSE)</f>
        <v>2026-10-07</v>
      </c>
      <c r="X216" s="57">
        <f>((T216-W216)+1)</f>
        <v>22</v>
      </c>
      <c r="Y216" s="59">
        <f>IF(AND(OR(C216="BKK01",C216="BKK04"),L216="CFS/CY"),0,IF(M216="DG",1,IF(LEFT(C216,3)="LCH",7,IF(C216="BKK02",5,3))))</f>
        <v>7</v>
      </c>
      <c r="Z216" s="57">
        <f>IF(IF(AND(AC216="TML",AB216&gt;0),((T216-W216)+1)-AB216,((T216-W216)+1)-Y216)&gt;0,IF(AND(AC216="TML",AB216&gt;0),((T216-W216)+1)-AB216,((T216-W216)+1)-Y216),0)</f>
        <v>15</v>
      </c>
      <c r="AA216" s="48">
        <f>IF(AND(B216="G1",M216=""),IF(R216="20'",
VLOOKUP(Z216,Charge!$K$2:$M$5,2,TRUE)+(Z216-VLOOKUP(Z216,Charge!$K$2:$M$5,1,TRUE))*VLOOKUP(Z216,Charge!$K$2:$M$5,3,TRUE),
VLOOKUP(Z216,Charge!$N$2:$P$5,2,TRUE)+(Z216-VLOOKUP(Z216,Charge!$N$2:$P$5,1,TRUE))*VLOOKUP(Z216,Charge!$N$2:$P$5,3,TRUE)),
IF(AND(B216="G1",M216="DG"),IF(R216="20'",
VLOOKUP(Z216,Charge!$R$2:$T$5,2,TRUE)+(Z216-VLOOKUP(Z216,Charge!$R$2:$T$5,1,TRUE))*VLOOKUP(Z216,Charge!$R$2:$T$5,3,TRUE),
VLOOKUP(Z216,Charge!$U$2:$W$5,2,TRUE)+(Z216-VLOOKUP(Z216,Charge!$U$2:$W$5,1,TRUE))*VLOOKUP(Z216,Charge!$U$2:$W$5,3,TRUE)),
IF(AND(B216="G3",M216=""),IF(R216="20'",
VLOOKUP(Z216,Charge!$K$18:$M$21,2,TRUE)+(Z216-VLOOKUP(Z216,Charge!$K$18:$M$21,1,TRUE))*VLOOKUP(Z216,Charge!$K$18:$M$21,3,TRUE),
VLOOKUP(Z216,Charge!$N$18:$P$21,2,TRUE)+(Z216-VLOOKUP(Z216,Charge!$N$18:$P$21,1,TRUE))*VLOOKUP(Z216,Charge!$N$18:$P$21,3,TRUE)),
IF(AND(B216="G3",M216="DG"),IF(R216="20'",
VLOOKUP(Z216,Charge!$R$18:$T$21,2,TRUE)+(Z216-VLOOKUP(Z216,Charge!$R$18:$T$21,1,TRUE))*VLOOKUP(Z216,Charge!$R$18:$T$21,3,TRUE),
VLOOKUP(Z216,Charge!$U$18:$W$21,2,TRUE)+(Z216-VLOOKUP(Z216,Charge!$U$18:$W$21,1,TRUE))*VLOOKUP(Z216,Charge!$U$18:$W$21,3,TRUE)),
IF(AND(B216="G2",M216=""),IF(R216="20'",
VLOOKUP(Z216,Charge!$K$9:$M$12,2,TRUE)+(Z216-VLOOKUP(Z216,Charge!$K$9:$M$12,1,TRUE))*VLOOKUP(Z216,Charge!$K$9:$M$12,3,TRUE),
VLOOKUP(Z216,Charge!$N$9:$P$12,2,TRUE)+(Z216-VLOOKUP(Z216,Charge!$N$9:$P$12,1,TRUE))*VLOOKUP(Z216,Charge!$N$9:$P$12,3,TRUE)),
IF(AND(B216="G2",M216="DG"),IF(R216="20'",
VLOOKUP(Z216,Charge!$R$9:$T$12,2,TRUE)+(Z216-VLOOKUP(Z216,Charge!$R$9:$T$12,1,TRUE))*VLOOKUP(Z216,Charge!$R$9:$T$12,3,TRUE),
VLOOKUP(Z216,Charge!$U$9:$W$12,2,TRUE)+(Z216-VLOOKUP(Z216,Charge!$U$9:$W$12,1,TRUE))*VLOOKUP(Z216,Charge!$U$9:$W$12,3,TRUE)),IF(AND(B216="G4",M216=""),IF(R216="20'",Z216*Charge!$M$25,Z216*Charge!$P$25),IF(AND(B216="G4",M216="DG"),IF(R216="20'",Z216*Charge!$T$25,Z216*Charge!$W$25),0))))))))</f>
        <v>6050</v>
      </c>
      <c r="AB216" s="53"/>
      <c r="AC216" s="53"/>
      <c r="AD216" s="56">
        <f>IF(M216="DG",3,IF(N216="RF",3,5))+IF(AND(LEFT(C216,3)="BKK",N216="RF",Q216="KTS"),1,0)+IF(Q216="KHS",1,0)</f>
        <v>5</v>
      </c>
      <c r="AE216" s="57">
        <f>(T216-V216)+1</f>
        <v>46324</v>
      </c>
      <c r="AF216" s="57">
        <f>IF(AB216&gt;IF((V216-W216)&gt;0,V216-W216,0),0,IF(AB216&lt;IF((V216-W216)&gt;0,V216-W216,0),IF((V216-W216)&gt;0,V216-W216,0)-AB216,IF((V216-W216)&gt;0,V216-W216,0)))</f>
        <v>0</v>
      </c>
      <c r="AG216" s="48">
        <f>IF(AND(M216=""),IF(R216="20'",
VLOOKUP(AF216,Charge!$K$31:$M$34,2,TRUE)+(AF216-VLOOKUP(AF216,Charge!$K$31:$M$34,1,TRUE))*VLOOKUP(AF216,Charge!$K$31:$M$34,3,TRUE),
VLOOKUP(AF216,Charge!$N$31:$P$34,2,TRUE)+(AF216-VLOOKUP(AF216,Charge!$N$31:$P$34,1,TRUE))*VLOOKUP(AF216,Charge!$N$31:$P$34,3,TRUE)),
IF(AND(M216="DG"),IF(R216="20'",
VLOOKUP(AF216,Charge!$R$31:$T$34,2,TRUE)+(AF216-VLOOKUP(AF216,Charge!$R$31:$T$34,1,TRUE))*VLOOKUP(AF216,Charge!$R$31:$T$34,3,TRUE),
VLOOKUP(AF216,Charge!$U$31:$W$34,2,TRUE)+(AF216-VLOOKUP(AF216,Charge!$U$31:$W$34,1,TRUE))*VLOOKUP(AF216,Charge!$U$31:$W$34,3,TRUE)),0))</f>
        <v>0</v>
      </c>
      <c r="AH216" s="60"/>
      <c r="AI216" s="60">
        <f>AA216-AH216</f>
        <v>6050</v>
      </c>
      <c r="AJ216" s="61"/>
      <c r="AK216" s="55" t="str">
        <f>VLOOKUP(D216,'2.Bookinglist'!A:CT,40,FALSE)</f>
        <v>Kanokporn</v>
      </c>
      <c r="AL216" s="56" t="str">
        <f>VLOOKUP(D216,'2.Bookinglist'!A:CW,101,FALSE)</f>
        <v>2026-10-24</v>
      </c>
      <c r="AM216" s="56" t="str">
        <f>VLOOKUP(D216,'2.Bookinglist'!A:BK,63,FALSE)</f>
        <v>LCHY5</v>
      </c>
      <c r="AN216" s="55" t="str">
        <f>VLOOKUP(D216,'2.Bookinglist'!A:AZ,52,FALSE)</f>
        <v>CY-RTN :30-05/10/2026
REF : PI-CN-TH-DA-26100038, PI-CN-TH-DA-26100039, PI-CN-TH-DA-26100040,  PI-CN-TH-DA-26100041
FRT 31/20',40'HQ + FREETIME 21DAYS</v>
      </c>
      <c r="AO216" s="55" t="str">
        <f>VLOOKUP(D216,'2.Bookinglist'!A:CY,103,FALSE)</f>
        <v>ROLL OVER FROM PREVIOUS VSL SWRG 2609N BY ALLOCATION TEAM MS.TAN APPROVED COST IS UNDER HA DD.13/10</v>
      </c>
    </row>
    <row r="217" ht="12.95" customHeight="1" spans="1:41" x14ac:dyDescent="0.25">
      <c r="A217" s="3" t="s">
        <v>152</v>
      </c>
      <c r="B217" s="53" t="str">
        <f>IF(C217=Charge!$M$1,Charge!$J$1,IF(C217=Charge!$M$23,Charge!$J$23,IF(C217=Charge!$M$17,Charge!$J$17,IF(C217=Charge!$N$17,Charge!$J$17,Charge!$J$7))))</f>
        <v>G2</v>
      </c>
      <c r="C217" s="54" t="str">
        <f>VLOOKUP(A217,'1.Loading'!A:R,14,FALSE)</f>
        <v>LCH06</v>
      </c>
      <c r="D217" s="54" t="str">
        <f>VLOOKUP(A217,'1.Loading'!A:R,17,FALSE)</f>
        <v>HASLS22261000876</v>
      </c>
      <c r="E217" s="55" t="str">
        <f>VLOOKUP(D217,'2.Bookinglist'!A:CT,27,FALSE)</f>
        <v>SUN-OCEAN GLOBAL SUPPLY CHAIN CO., LTD.</v>
      </c>
      <c r="F217" s="55" t="str">
        <f>VLOOKUP(D217,'2.Bookinglist'!A:CT,28,FALSE)</f>
        <v>I.P. ONE COMPANY LIMITED</v>
      </c>
      <c r="G217" s="56" t="str">
        <f>VLOOKUP(D217,'2.Bookinglist'!A:E,5,FALSE)</f>
        <v>THSRP</v>
      </c>
      <c r="H217" s="54" t="str">
        <f>VLOOKUP(D217,'2.Bookinglist'!A:CT,15,FALSE)</f>
        <v>THLCH</v>
      </c>
      <c r="I217" s="54" t="str">
        <f>VLOOKUP(D217,'2.Bookinglist'!A:CT,19,FALSE)</f>
        <v>CNSHA</v>
      </c>
      <c r="J217" s="54">
        <f>VLOOKUP(D217,'2.Bookinglist'!A:CT,26,FALSE)</f>
        <v>0</v>
      </c>
      <c r="K217" s="54" t="str">
        <f>VLOOKUP(A217,'1.Loading'!A:R,5,FALSE)</f>
        <v>45GP</v>
      </c>
      <c r="L217" s="56" t="str">
        <f>VLOOKUP(D217,'2.Bookinglist'!A:CT,85,FALSE)</f>
        <v>CY/CY</v>
      </c>
      <c r="M217" s="56" t="str">
        <f>IF(VLOOKUP(D217,'2.Bookinglist'!A:CT,43,FALSE)=0,"","DG")</f>
        <v/>
      </c>
      <c r="N217" s="56" t="str">
        <f>IF(RIGHT(K217,2)="RE","RF","")</f>
        <v/>
      </c>
      <c r="O217" s="54" t="str">
        <f>VLOOKUP(A217,'1.Loading'!A:R,3,FALSE)</f>
        <v>HMVY</v>
      </c>
      <c r="P217" s="54" t="str">
        <f>VLOOKUP(A217,'1.Loading'!A:R,4,FALSE)</f>
        <v>2609N</v>
      </c>
      <c r="Q217" s="54" t="str">
        <f>VLOOKUP(D217,'2.Bookinglist'!A:CT,12,FALSE)</f>
        <v>PCI2</v>
      </c>
      <c r="R217" s="56" t="str">
        <f>IF(LEFT(K217,2)="22","20'","40'")</f>
        <v>40'</v>
      </c>
      <c r="S217" s="38"/>
      <c r="T217" s="54" t="str">
        <f>VLOOKUP(A217,'1.Loading'!A:R,2,FALSE)</f>
        <v>2026-10-28</v>
      </c>
      <c r="U217" s="57">
        <f>T217-S217</f>
        <v>46323</v>
      </c>
      <c r="V217" s="58"/>
      <c r="W217" s="54" t="str">
        <f>VLOOKUP(A217,'3.GateMove'!A:D,4,FALSE)</f>
        <v>2026-10-23</v>
      </c>
      <c r="X217" s="57">
        <f>((T217-W217)+1)</f>
        <v>6</v>
      </c>
      <c r="Y217" s="59">
        <f>IF(AND(OR(C217="BKK01",C217="BKK04"),L217="CFS/CY"),0,IF(M217="DG",1,IF(LEFT(C217,3)="LCH",7,IF(C217="BKK02",5,3))))</f>
        <v>7</v>
      </c>
      <c r="Z217" s="57">
        <f>IF(IF(AND(AC217="TML",AB217&gt;0),((T217-W217)+1)-AB217,((T217-W217)+1)-Y217)&gt;0,IF(AND(AC217="TML",AB217&gt;0),((T217-W217)+1)-AB217,((T217-W217)+1)-Y217),0)</f>
        <v>0</v>
      </c>
      <c r="AA217" s="48">
        <f>IF(AND(B217="G1",M217=""),IF(R217="20'",
VLOOKUP(Z217,Charge!$K$2:$M$5,2,TRUE)+(Z217-VLOOKUP(Z217,Charge!$K$2:$M$5,1,TRUE))*VLOOKUP(Z217,Charge!$K$2:$M$5,3,TRUE),
VLOOKUP(Z217,Charge!$N$2:$P$5,2,TRUE)+(Z217-VLOOKUP(Z217,Charge!$N$2:$P$5,1,TRUE))*VLOOKUP(Z217,Charge!$N$2:$P$5,3,TRUE)),
IF(AND(B217="G1",M217="DG"),IF(R217="20'",
VLOOKUP(Z217,Charge!$R$2:$T$5,2,TRUE)+(Z217-VLOOKUP(Z217,Charge!$R$2:$T$5,1,TRUE))*VLOOKUP(Z217,Charge!$R$2:$T$5,3,TRUE),
VLOOKUP(Z217,Charge!$U$2:$W$5,2,TRUE)+(Z217-VLOOKUP(Z217,Charge!$U$2:$W$5,1,TRUE))*VLOOKUP(Z217,Charge!$U$2:$W$5,3,TRUE)),
IF(AND(B217="G3",M217=""),IF(R217="20'",
VLOOKUP(Z217,Charge!$K$18:$M$21,2,TRUE)+(Z217-VLOOKUP(Z217,Charge!$K$18:$M$21,1,TRUE))*VLOOKUP(Z217,Charge!$K$18:$M$21,3,TRUE),
VLOOKUP(Z217,Charge!$N$18:$P$21,2,TRUE)+(Z217-VLOOKUP(Z217,Charge!$N$18:$P$21,1,TRUE))*VLOOKUP(Z217,Charge!$N$18:$P$21,3,TRUE)),
IF(AND(B217="G3",M217="DG"),IF(R217="20'",
VLOOKUP(Z217,Charge!$R$18:$T$21,2,TRUE)+(Z217-VLOOKUP(Z217,Charge!$R$18:$T$21,1,TRUE))*VLOOKUP(Z217,Charge!$R$18:$T$21,3,TRUE),
VLOOKUP(Z217,Charge!$U$18:$W$21,2,TRUE)+(Z217-VLOOKUP(Z217,Charge!$U$18:$W$21,1,TRUE))*VLOOKUP(Z217,Charge!$U$18:$W$21,3,TRUE)),
IF(AND(B217="G2",M217=""),IF(R217="20'",
VLOOKUP(Z217,Charge!$K$9:$M$12,2,TRUE)+(Z217-VLOOKUP(Z217,Charge!$K$9:$M$12,1,TRUE))*VLOOKUP(Z217,Charge!$K$9:$M$12,3,TRUE),
VLOOKUP(Z217,Charge!$N$9:$P$12,2,TRUE)+(Z217-VLOOKUP(Z217,Charge!$N$9:$P$12,1,TRUE))*VLOOKUP(Z217,Charge!$N$9:$P$12,3,TRUE)),
IF(AND(B217="G2",M217="DG"),IF(R217="20'",
VLOOKUP(Z217,Charge!$R$9:$T$12,2,TRUE)+(Z217-VLOOKUP(Z217,Charge!$R$9:$T$12,1,TRUE))*VLOOKUP(Z217,Charge!$R$9:$T$12,3,TRUE),
VLOOKUP(Z217,Charge!$U$9:$W$12,2,TRUE)+(Z217-VLOOKUP(Z217,Charge!$U$9:$W$12,1,TRUE))*VLOOKUP(Z217,Charge!$U$9:$W$12,3,TRUE)),IF(AND(B217="G4",M217=""),IF(R217="20'",Z217*Charge!$M$25,Z217*Charge!$P$25),IF(AND(B217="G4",M217="DG"),IF(R217="20'",Z217*Charge!$T$25,Z217*Charge!$W$25),0))))))))</f>
        <v>0</v>
      </c>
      <c r="AB217" s="53"/>
      <c r="AC217" s="53"/>
      <c r="AD217" s="56">
        <f>IF(M217="DG",3,IF(N217="RF",3,5))+IF(AND(LEFT(C217,3)="BKK",N217="RF",Q217="KTS"),1,0)+IF(Q217="KHS",1,0)</f>
        <v>5</v>
      </c>
      <c r="AE217" s="57">
        <f>(T217-V217)+1</f>
        <v>46324</v>
      </c>
      <c r="AF217" s="57">
        <f>IF(AB217&gt;IF((V217-W217)&gt;0,V217-W217,0),0,IF(AB217&lt;IF((V217-W217)&gt;0,V217-W217,0),IF((V217-W217)&gt;0,V217-W217,0)-AB217,IF((V217-W217)&gt;0,V217-W217,0)))</f>
        <v>0</v>
      </c>
      <c r="AG217" s="48">
        <f>IF(AND(M217=""),IF(R217="20'",
VLOOKUP(AF217,Charge!$K$31:$M$34,2,TRUE)+(AF217-VLOOKUP(AF217,Charge!$K$31:$M$34,1,TRUE))*VLOOKUP(AF217,Charge!$K$31:$M$34,3,TRUE),
VLOOKUP(AF217,Charge!$N$31:$P$34,2,TRUE)+(AF217-VLOOKUP(AF217,Charge!$N$31:$P$34,1,TRUE))*VLOOKUP(AF217,Charge!$N$31:$P$34,3,TRUE)),
IF(AND(M217="DG"),IF(R217="20'",
VLOOKUP(AF217,Charge!$R$31:$T$34,2,TRUE)+(AF217-VLOOKUP(AF217,Charge!$R$31:$T$34,1,TRUE))*VLOOKUP(AF217,Charge!$R$31:$T$34,3,TRUE),
VLOOKUP(AF217,Charge!$U$31:$W$34,2,TRUE)+(AF217-VLOOKUP(AF217,Charge!$U$31:$W$34,1,TRUE))*VLOOKUP(AF217,Charge!$U$31:$W$34,3,TRUE)),0))</f>
        <v>0</v>
      </c>
      <c r="AH217" s="60"/>
      <c r="AI217" s="60">
        <f>AA217-AH217</f>
        <v>0</v>
      </c>
      <c r="AJ217" s="61"/>
      <c r="AK217" s="55" t="str">
        <f>VLOOKUP(D217,'2.Bookinglist'!A:CT,40,FALSE)</f>
        <v>Arunphat W. (Aiw)</v>
      </c>
      <c r="AL217" s="56" t="str">
        <f>VLOOKUP(D217,'2.Bookinglist'!A:CW,101,FALSE)</f>
        <v>2026-10-22</v>
      </c>
      <c r="AM217" s="56" t="str">
        <f>VLOOKUP(D217,'2.Bookinglist'!A:BK,63,FALSE)</f>
        <v>BKK27</v>
      </c>
      <c r="AN217" s="55" t="str">
        <f>VLOOKUP(D217,'2.Bookinglist'!A:AZ,52,FALSE)</f>
        <v>Pickup : 2026-10-16, Return SRP : 2026-10-17 [PAPERLESS CODE 2829]
CLS TIME 24/10/26 @21.00 (1ST RETURN 17/10/26)</v>
      </c>
      <c r="AO217" s="55">
        <f>VLOOKUP(D217,'2.Bookinglist'!A:CY,103,FALSE)</f>
        <v>0</v>
      </c>
    </row>
    <row r="218" ht="12.95" customHeight="1" spans="1:41" x14ac:dyDescent="0.25">
      <c r="A218" s="3" t="s">
        <v>120</v>
      </c>
      <c r="B218" s="53" t="str">
        <f>IF(C218=Charge!$M$1,Charge!$J$1,IF(C218=Charge!$M$23,Charge!$J$23,IF(C218=Charge!$M$17,Charge!$J$17,IF(C218=Charge!$N$17,Charge!$J$17,Charge!$J$7))))</f>
        <v>G2</v>
      </c>
      <c r="C218" s="54" t="str">
        <f>VLOOKUP(A218,'1.Loading'!A:R,14,FALSE)</f>
        <v>LCH06</v>
      </c>
      <c r="D218" s="54" t="str">
        <f>VLOOKUP(A218,'1.Loading'!A:R,17,FALSE)</f>
        <v>HASLS22260901902</v>
      </c>
      <c r="E218" s="55" t="str">
        <f>VLOOKUP(D218,'2.Bookinglist'!A:CT,27,FALSE)</f>
        <v>WHA GC LOGISTICS COMPANY LIMITED</v>
      </c>
      <c r="F218" s="55" t="str">
        <f>VLOOKUP(D218,'2.Bookinglist'!A:CT,28,FALSE)</f>
        <v>PTT GLOBAL CHEMICAL PUBLIC COMPANY LIMITED</v>
      </c>
      <c r="G218" s="56">
        <f>VLOOKUP(D218,'2.Bookinglist'!A:E,5,FALSE)</f>
        <v>0</v>
      </c>
      <c r="H218" s="54" t="str">
        <f>VLOOKUP(D218,'2.Bookinglist'!A:CT,15,FALSE)</f>
        <v>THLCH</v>
      </c>
      <c r="I218" s="54" t="str">
        <f>VLOOKUP(D218,'2.Bookinglist'!A:CT,19,FALSE)</f>
        <v>CNSHA</v>
      </c>
      <c r="J218" s="54">
        <f>VLOOKUP(D218,'2.Bookinglist'!A:CT,26,FALSE)</f>
        <v>0</v>
      </c>
      <c r="K218" s="54" t="str">
        <f>VLOOKUP(A218,'1.Loading'!A:R,5,FALSE)</f>
        <v>45GP</v>
      </c>
      <c r="L218" s="56" t="str">
        <f>VLOOKUP(D218,'2.Bookinglist'!A:CT,85,FALSE)</f>
        <v>CY/CY</v>
      </c>
      <c r="M218" s="56" t="str">
        <f>IF(VLOOKUP(D218,'2.Bookinglist'!A:CT,43,FALSE)=0,"","DG")</f>
        <v/>
      </c>
      <c r="N218" s="56" t="str">
        <f>IF(RIGHT(K218,2)="RE","RF","")</f>
        <v/>
      </c>
      <c r="O218" s="54" t="str">
        <f>VLOOKUP(A218,'1.Loading'!A:R,3,FALSE)</f>
        <v>HMVY</v>
      </c>
      <c r="P218" s="54" t="str">
        <f>VLOOKUP(A218,'1.Loading'!A:R,4,FALSE)</f>
        <v>2609N</v>
      </c>
      <c r="Q218" s="54" t="str">
        <f>VLOOKUP(D218,'2.Bookinglist'!A:CT,12,FALSE)</f>
        <v>PCI2</v>
      </c>
      <c r="R218" s="56" t="str">
        <f>IF(LEFT(K218,2)="22","20'","40'")</f>
        <v>40'</v>
      </c>
      <c r="S218" s="38"/>
      <c r="T218" s="54" t="str">
        <f>VLOOKUP(A218,'1.Loading'!A:R,2,FALSE)</f>
        <v>2026-10-28</v>
      </c>
      <c r="U218" s="57">
        <f>T218-S218</f>
        <v>46323</v>
      </c>
      <c r="V218" s="58"/>
      <c r="W218" s="54" t="str">
        <f>VLOOKUP(A218,'3.GateMove'!A:D,4,FALSE)</f>
        <v>2026-10-18</v>
      </c>
      <c r="X218" s="57">
        <f>((T218-W218)+1)</f>
        <v>11</v>
      </c>
      <c r="Y218" s="59">
        <f>IF(AND(OR(C218="BKK01",C218="BKK04"),L218="CFS/CY"),0,IF(M218="DG",1,IF(LEFT(C218,3)="LCH",7,IF(C218="BKK02",5,3))))</f>
        <v>7</v>
      </c>
      <c r="Z218" s="57">
        <f>IF(IF(AND(AC218="TML",AB218&gt;0),((T218-W218)+1)-AB218,((T218-W218)+1)-Y218)&gt;0,IF(AND(AC218="TML",AB218&gt;0),((T218-W218)+1)-AB218,((T218-W218)+1)-Y218),0)</f>
        <v>4</v>
      </c>
      <c r="AA218" s="48">
        <f>IF(AND(B218="G1",M218=""),IF(R218="20'",
VLOOKUP(Z218,Charge!$K$2:$M$5,2,TRUE)+(Z218-VLOOKUP(Z218,Charge!$K$2:$M$5,1,TRUE))*VLOOKUP(Z218,Charge!$K$2:$M$5,3,TRUE),
VLOOKUP(Z218,Charge!$N$2:$P$5,2,TRUE)+(Z218-VLOOKUP(Z218,Charge!$N$2:$P$5,1,TRUE))*VLOOKUP(Z218,Charge!$N$2:$P$5,3,TRUE)),
IF(AND(B218="G1",M218="DG"),IF(R218="20'",
VLOOKUP(Z218,Charge!$R$2:$T$5,2,TRUE)+(Z218-VLOOKUP(Z218,Charge!$R$2:$T$5,1,TRUE))*VLOOKUP(Z218,Charge!$R$2:$T$5,3,TRUE),
VLOOKUP(Z218,Charge!$U$2:$W$5,2,TRUE)+(Z218-VLOOKUP(Z218,Charge!$U$2:$W$5,1,TRUE))*VLOOKUP(Z218,Charge!$U$2:$W$5,3,TRUE)),
IF(AND(B218="G3",M218=""),IF(R218="20'",
VLOOKUP(Z218,Charge!$K$18:$M$21,2,TRUE)+(Z218-VLOOKUP(Z218,Charge!$K$18:$M$21,1,TRUE))*VLOOKUP(Z218,Charge!$K$18:$M$21,3,TRUE),
VLOOKUP(Z218,Charge!$N$18:$P$21,2,TRUE)+(Z218-VLOOKUP(Z218,Charge!$N$18:$P$21,1,TRUE))*VLOOKUP(Z218,Charge!$N$18:$P$21,3,TRUE)),
IF(AND(B218="G3",M218="DG"),IF(R218="20'",
VLOOKUP(Z218,Charge!$R$18:$T$21,2,TRUE)+(Z218-VLOOKUP(Z218,Charge!$R$18:$T$21,1,TRUE))*VLOOKUP(Z218,Charge!$R$18:$T$21,3,TRUE),
VLOOKUP(Z218,Charge!$U$18:$W$21,2,TRUE)+(Z218-VLOOKUP(Z218,Charge!$U$18:$W$21,1,TRUE))*VLOOKUP(Z218,Charge!$U$18:$W$21,3,TRUE)),
IF(AND(B218="G2",M218=""),IF(R218="20'",
VLOOKUP(Z218,Charge!$K$9:$M$12,2,TRUE)+(Z218-VLOOKUP(Z218,Charge!$K$9:$M$12,1,TRUE))*VLOOKUP(Z218,Charge!$K$9:$M$12,3,TRUE),
VLOOKUP(Z218,Charge!$N$9:$P$12,2,TRUE)+(Z218-VLOOKUP(Z218,Charge!$N$9:$P$12,1,TRUE))*VLOOKUP(Z218,Charge!$N$9:$P$12,3,TRUE)),
IF(AND(B218="G2",M218="DG"),IF(R218="20'",
VLOOKUP(Z218,Charge!$R$9:$T$12,2,TRUE)+(Z218-VLOOKUP(Z218,Charge!$R$9:$T$12,1,TRUE))*VLOOKUP(Z218,Charge!$R$9:$T$12,3,TRUE),
VLOOKUP(Z218,Charge!$U$9:$W$12,2,TRUE)+(Z218-VLOOKUP(Z218,Charge!$U$9:$W$12,1,TRUE))*VLOOKUP(Z218,Charge!$U$9:$W$12,3,TRUE)),IF(AND(B218="G4",M218=""),IF(R218="20'",Z218*Charge!$M$25,Z218*Charge!$P$25),IF(AND(B218="G4",M218="DG"),IF(R218="20'",Z218*Charge!$T$25,Z218*Charge!$W$25),0))))))))</f>
        <v>1000</v>
      </c>
      <c r="AB218" s="53"/>
      <c r="AC218" s="53"/>
      <c r="AD218" s="56">
        <f>IF(M218="DG",3,IF(N218="RF",3,5))+IF(AND(LEFT(C218,3)="BKK",N218="RF",Q218="KTS"),1,0)+IF(Q218="KHS",1,0)</f>
        <v>5</v>
      </c>
      <c r="AE218" s="57">
        <f>(T218-V218)+1</f>
        <v>46324</v>
      </c>
      <c r="AF218" s="57">
        <f>IF(AB218&gt;IF((V218-W218)&gt;0,V218-W218,0),0,IF(AB218&lt;IF((V218-W218)&gt;0,V218-W218,0),IF((V218-W218)&gt;0,V218-W218,0)-AB218,IF((V218-W218)&gt;0,V218-W218,0)))</f>
        <v>0</v>
      </c>
      <c r="AG218" s="48">
        <f>IF(AND(M218=""),IF(R218="20'",
VLOOKUP(AF218,Charge!$K$31:$M$34,2,TRUE)+(AF218-VLOOKUP(AF218,Charge!$K$31:$M$34,1,TRUE))*VLOOKUP(AF218,Charge!$K$31:$M$34,3,TRUE),
VLOOKUP(AF218,Charge!$N$31:$P$34,2,TRUE)+(AF218-VLOOKUP(AF218,Charge!$N$31:$P$34,1,TRUE))*VLOOKUP(AF218,Charge!$N$31:$P$34,3,TRUE)),
IF(AND(M218="DG"),IF(R218="20'",
VLOOKUP(AF218,Charge!$R$31:$T$34,2,TRUE)+(AF218-VLOOKUP(AF218,Charge!$R$31:$T$34,1,TRUE))*VLOOKUP(AF218,Charge!$R$31:$T$34,3,TRUE),
VLOOKUP(AF218,Charge!$U$31:$W$34,2,TRUE)+(AF218-VLOOKUP(AF218,Charge!$U$31:$W$34,1,TRUE))*VLOOKUP(AF218,Charge!$U$31:$W$34,3,TRUE)),0))</f>
        <v>0</v>
      </c>
      <c r="AH218" s="60"/>
      <c r="AI218" s="60">
        <f>AA218-AH218</f>
        <v>1000</v>
      </c>
      <c r="AJ218" s="61"/>
      <c r="AK218" s="55" t="str">
        <f>VLOOKUP(D218,'2.Bookinglist'!A:CT,40,FALSE)</f>
        <v>Dharaporn</v>
      </c>
      <c r="AL218" s="56" t="str">
        <f>VLOOKUP(D218,'2.Bookinglist'!A:CW,101,FALSE)</f>
        <v>2026-10-16</v>
      </c>
      <c r="AM218" s="56" t="str">
        <f>VLOOKUP(D218,'2.Bookinglist'!A:BK,63,FALSE)</f>
        <v>LCHY5</v>
      </c>
      <c r="AN218" s="55" t="str">
        <f>VLOOKUP(D218,'2.Bookinglist'!A:AZ,52,FALSE)</f>
        <v>CY-RTN 09-10/10/26 
*PLS CHECK OPEN GATE BEFORE RETURN CTNR*</v>
      </c>
      <c r="AO218" s="55">
        <f>VLOOKUP(D218,'2.Bookinglist'!A:CY,103,FALSE)</f>
        <v>0</v>
      </c>
    </row>
    <row r="219" ht="12.95" customHeight="1" spans="1:41" x14ac:dyDescent="0.25">
      <c r="A219" s="3" t="s">
        <v>159</v>
      </c>
      <c r="B219" s="53" t="str">
        <f>IF(C219=Charge!$M$1,Charge!$J$1,IF(C219=Charge!$M$23,Charge!$J$23,IF(C219=Charge!$M$17,Charge!$J$17,IF(C219=Charge!$N$17,Charge!$J$17,Charge!$J$7))))</f>
        <v>G2</v>
      </c>
      <c r="C219" s="54" t="str">
        <f>VLOOKUP(A219,'1.Loading'!A:R,14,FALSE)</f>
        <v>LCH06</v>
      </c>
      <c r="D219" s="54" t="str">
        <f>VLOOKUP(A219,'1.Loading'!A:R,17,FALSE)</f>
        <v>HASLS22261000875</v>
      </c>
      <c r="E219" s="55" t="str">
        <f>VLOOKUP(D219,'2.Bookinglist'!A:CT,27,FALSE)</f>
        <v>SUN-OCEAN GLOBAL SUPPLY CHAIN CO., LTD.</v>
      </c>
      <c r="F219" s="55" t="str">
        <f>VLOOKUP(D219,'2.Bookinglist'!A:CT,28,FALSE)</f>
        <v>I.P. ONE COMPANY LIMITED</v>
      </c>
      <c r="G219" s="56" t="str">
        <f>VLOOKUP(D219,'2.Bookinglist'!A:E,5,FALSE)</f>
        <v>THSRP</v>
      </c>
      <c r="H219" s="54" t="str">
        <f>VLOOKUP(D219,'2.Bookinglist'!A:CT,15,FALSE)</f>
        <v>THLCH</v>
      </c>
      <c r="I219" s="54" t="str">
        <f>VLOOKUP(D219,'2.Bookinglist'!A:CT,19,FALSE)</f>
        <v>CNSHA</v>
      </c>
      <c r="J219" s="54">
        <f>VLOOKUP(D219,'2.Bookinglist'!A:CT,26,FALSE)</f>
        <v>0</v>
      </c>
      <c r="K219" s="54" t="str">
        <f>VLOOKUP(A219,'1.Loading'!A:R,5,FALSE)</f>
        <v>45GP</v>
      </c>
      <c r="L219" s="56" t="str">
        <f>VLOOKUP(D219,'2.Bookinglist'!A:CT,85,FALSE)</f>
        <v>CY/CY</v>
      </c>
      <c r="M219" s="56" t="str">
        <f>IF(VLOOKUP(D219,'2.Bookinglist'!A:CT,43,FALSE)=0,"","DG")</f>
        <v/>
      </c>
      <c r="N219" s="56" t="str">
        <f>IF(RIGHT(K219,2)="RE","RF","")</f>
        <v/>
      </c>
      <c r="O219" s="54" t="str">
        <f>VLOOKUP(A219,'1.Loading'!A:R,3,FALSE)</f>
        <v>HMVY</v>
      </c>
      <c r="P219" s="54" t="str">
        <f>VLOOKUP(A219,'1.Loading'!A:R,4,FALSE)</f>
        <v>2609N</v>
      </c>
      <c r="Q219" s="54" t="str">
        <f>VLOOKUP(D219,'2.Bookinglist'!A:CT,12,FALSE)</f>
        <v>PCI2</v>
      </c>
      <c r="R219" s="56" t="str">
        <f>IF(LEFT(K219,2)="22","20'","40'")</f>
        <v>40'</v>
      </c>
      <c r="S219" s="38"/>
      <c r="T219" s="54" t="str">
        <f>VLOOKUP(A219,'1.Loading'!A:R,2,FALSE)</f>
        <v>2026-10-28</v>
      </c>
      <c r="U219" s="57">
        <f>T219-S219</f>
        <v>46323</v>
      </c>
      <c r="V219" s="58"/>
      <c r="W219" s="54" t="str">
        <f>VLOOKUP(A219,'3.GateMove'!A:D,4,FALSE)</f>
        <v>2026-10-23</v>
      </c>
      <c r="X219" s="57">
        <f>((T219-W219)+1)</f>
        <v>6</v>
      </c>
      <c r="Y219" s="59">
        <f>IF(AND(OR(C219="BKK01",C219="BKK04"),L219="CFS/CY"),0,IF(M219="DG",1,IF(LEFT(C219,3)="LCH",7,IF(C219="BKK02",5,3))))</f>
        <v>7</v>
      </c>
      <c r="Z219" s="57">
        <f>IF(IF(AND(AC219="TML",AB219&gt;0),((T219-W219)+1)-AB219,((T219-W219)+1)-Y219)&gt;0,IF(AND(AC219="TML",AB219&gt;0),((T219-W219)+1)-AB219,((T219-W219)+1)-Y219),0)</f>
        <v>0</v>
      </c>
      <c r="AA219" s="48">
        <f>IF(AND(B219="G1",M219=""),IF(R219="20'",
VLOOKUP(Z219,Charge!$K$2:$M$5,2,TRUE)+(Z219-VLOOKUP(Z219,Charge!$K$2:$M$5,1,TRUE))*VLOOKUP(Z219,Charge!$K$2:$M$5,3,TRUE),
VLOOKUP(Z219,Charge!$N$2:$P$5,2,TRUE)+(Z219-VLOOKUP(Z219,Charge!$N$2:$P$5,1,TRUE))*VLOOKUP(Z219,Charge!$N$2:$P$5,3,TRUE)),
IF(AND(B219="G1",M219="DG"),IF(R219="20'",
VLOOKUP(Z219,Charge!$R$2:$T$5,2,TRUE)+(Z219-VLOOKUP(Z219,Charge!$R$2:$T$5,1,TRUE))*VLOOKUP(Z219,Charge!$R$2:$T$5,3,TRUE),
VLOOKUP(Z219,Charge!$U$2:$W$5,2,TRUE)+(Z219-VLOOKUP(Z219,Charge!$U$2:$W$5,1,TRUE))*VLOOKUP(Z219,Charge!$U$2:$W$5,3,TRUE)),
IF(AND(B219="G3",M219=""),IF(R219="20'",
VLOOKUP(Z219,Charge!$K$18:$M$21,2,TRUE)+(Z219-VLOOKUP(Z219,Charge!$K$18:$M$21,1,TRUE))*VLOOKUP(Z219,Charge!$K$18:$M$21,3,TRUE),
VLOOKUP(Z219,Charge!$N$18:$P$21,2,TRUE)+(Z219-VLOOKUP(Z219,Charge!$N$18:$P$21,1,TRUE))*VLOOKUP(Z219,Charge!$N$18:$P$21,3,TRUE)),
IF(AND(B219="G3",M219="DG"),IF(R219="20'",
VLOOKUP(Z219,Charge!$R$18:$T$21,2,TRUE)+(Z219-VLOOKUP(Z219,Charge!$R$18:$T$21,1,TRUE))*VLOOKUP(Z219,Charge!$R$18:$T$21,3,TRUE),
VLOOKUP(Z219,Charge!$U$18:$W$21,2,TRUE)+(Z219-VLOOKUP(Z219,Charge!$U$18:$W$21,1,TRUE))*VLOOKUP(Z219,Charge!$U$18:$W$21,3,TRUE)),
IF(AND(B219="G2",M219=""),IF(R219="20'",
VLOOKUP(Z219,Charge!$K$9:$M$12,2,TRUE)+(Z219-VLOOKUP(Z219,Charge!$K$9:$M$12,1,TRUE))*VLOOKUP(Z219,Charge!$K$9:$M$12,3,TRUE),
VLOOKUP(Z219,Charge!$N$9:$P$12,2,TRUE)+(Z219-VLOOKUP(Z219,Charge!$N$9:$P$12,1,TRUE))*VLOOKUP(Z219,Charge!$N$9:$P$12,3,TRUE)),
IF(AND(B219="G2",M219="DG"),IF(R219="20'",
VLOOKUP(Z219,Charge!$R$9:$T$12,2,TRUE)+(Z219-VLOOKUP(Z219,Charge!$R$9:$T$12,1,TRUE))*VLOOKUP(Z219,Charge!$R$9:$T$12,3,TRUE),
VLOOKUP(Z219,Charge!$U$9:$W$12,2,TRUE)+(Z219-VLOOKUP(Z219,Charge!$U$9:$W$12,1,TRUE))*VLOOKUP(Z219,Charge!$U$9:$W$12,3,TRUE)),IF(AND(B219="G4",M219=""),IF(R219="20'",Z219*Charge!$M$25,Z219*Charge!$P$25),IF(AND(B219="G4",M219="DG"),IF(R219="20'",Z219*Charge!$T$25,Z219*Charge!$W$25),0))))))))</f>
        <v>0</v>
      </c>
      <c r="AB219" s="53"/>
      <c r="AC219" s="53"/>
      <c r="AD219" s="56">
        <f>IF(M219="DG",3,IF(N219="RF",3,5))+IF(AND(LEFT(C219,3)="BKK",N219="RF",Q219="KTS"),1,0)+IF(Q219="KHS",1,0)</f>
        <v>5</v>
      </c>
      <c r="AE219" s="57">
        <f>(T219-V219)+1</f>
        <v>46324</v>
      </c>
      <c r="AF219" s="57">
        <f>IF(AB219&gt;IF((V219-W219)&gt;0,V219-W219,0),0,IF(AB219&lt;IF((V219-W219)&gt;0,V219-W219,0),IF((V219-W219)&gt;0,V219-W219,0)-AB219,IF((V219-W219)&gt;0,V219-W219,0)))</f>
        <v>0</v>
      </c>
      <c r="AG219" s="48">
        <f>IF(AND(M219=""),IF(R219="20'",
VLOOKUP(AF219,Charge!$K$31:$M$34,2,TRUE)+(AF219-VLOOKUP(AF219,Charge!$K$31:$M$34,1,TRUE))*VLOOKUP(AF219,Charge!$K$31:$M$34,3,TRUE),
VLOOKUP(AF219,Charge!$N$31:$P$34,2,TRUE)+(AF219-VLOOKUP(AF219,Charge!$N$31:$P$34,1,TRUE))*VLOOKUP(AF219,Charge!$N$31:$P$34,3,TRUE)),
IF(AND(M219="DG"),IF(R219="20'",
VLOOKUP(AF219,Charge!$R$31:$T$34,2,TRUE)+(AF219-VLOOKUP(AF219,Charge!$R$31:$T$34,1,TRUE))*VLOOKUP(AF219,Charge!$R$31:$T$34,3,TRUE),
VLOOKUP(AF219,Charge!$U$31:$W$34,2,TRUE)+(AF219-VLOOKUP(AF219,Charge!$U$31:$W$34,1,TRUE))*VLOOKUP(AF219,Charge!$U$31:$W$34,3,TRUE)),0))</f>
        <v>0</v>
      </c>
      <c r="AH219" s="60"/>
      <c r="AI219" s="60">
        <f>AA219-AH219</f>
        <v>0</v>
      </c>
      <c r="AJ219" s="61"/>
      <c r="AK219" s="55" t="str">
        <f>VLOOKUP(D219,'2.Bookinglist'!A:CT,40,FALSE)</f>
        <v>Arunphat W. (Aiw)</v>
      </c>
      <c r="AL219" s="56" t="str">
        <f>VLOOKUP(D219,'2.Bookinglist'!A:CW,101,FALSE)</f>
        <v>2026-10-22</v>
      </c>
      <c r="AM219" s="56" t="str">
        <f>VLOOKUP(D219,'2.Bookinglist'!A:BK,63,FALSE)</f>
        <v>BKK27</v>
      </c>
      <c r="AN219" s="55" t="str">
        <f>VLOOKUP(D219,'2.Bookinglist'!A:AZ,52,FALSE)</f>
        <v>Pickup : 2026-10-19, Return SRP : 2026-10-19 [PAPERLESS CODE 2829]
CLS TIME 24/10/26 @21.00 (1ST RETURN DATE 21/10/26)</v>
      </c>
      <c r="AO219" s="55">
        <f>VLOOKUP(D219,'2.Bookinglist'!A:CY,103,FALSE)</f>
        <v>0</v>
      </c>
    </row>
    <row r="220" ht="12.95" customHeight="1" spans="1:41" x14ac:dyDescent="0.25">
      <c r="A220" s="3" t="s">
        <v>229</v>
      </c>
      <c r="B220" s="53" t="str">
        <f>IF(C220=Charge!$M$1,Charge!$J$1,IF(C220=Charge!$M$23,Charge!$J$23,IF(C220=Charge!$M$17,Charge!$J$17,IF(C220=Charge!$N$17,Charge!$J$17,Charge!$J$7))))</f>
        <v>G2</v>
      </c>
      <c r="C220" s="54" t="str">
        <f>VLOOKUP(A220,'1.Loading'!A:R,14,FALSE)</f>
        <v>LCH06</v>
      </c>
      <c r="D220" s="54" t="str">
        <f>VLOOKUP(A220,'1.Loading'!A:R,17,FALSE)</f>
        <v>HASLS22261001024</v>
      </c>
      <c r="E220" s="55" t="str">
        <f>VLOOKUP(D220,'2.Bookinglist'!A:CT,27,FALSE)</f>
        <v>SUN-OCEAN GLOBAL SUPPLY CHAIN CO., LTD.</v>
      </c>
      <c r="F220" s="55" t="str">
        <f>VLOOKUP(D220,'2.Bookinglist'!A:CT,28,FALSE)</f>
        <v>I.P. ONE COMPANY LIMITED</v>
      </c>
      <c r="G220" s="56" t="str">
        <f>VLOOKUP(D220,'2.Bookinglist'!A:E,5,FALSE)</f>
        <v>THSRP</v>
      </c>
      <c r="H220" s="54" t="str">
        <f>VLOOKUP(D220,'2.Bookinglist'!A:CT,15,FALSE)</f>
        <v>THLCH</v>
      </c>
      <c r="I220" s="54" t="str">
        <f>VLOOKUP(D220,'2.Bookinglist'!A:CT,19,FALSE)</f>
        <v>CNSHA</v>
      </c>
      <c r="J220" s="54">
        <f>VLOOKUP(D220,'2.Bookinglist'!A:CT,26,FALSE)</f>
        <v>0</v>
      </c>
      <c r="K220" s="54" t="str">
        <f>VLOOKUP(A220,'1.Loading'!A:R,5,FALSE)</f>
        <v>45GP</v>
      </c>
      <c r="L220" s="56" t="str">
        <f>VLOOKUP(D220,'2.Bookinglist'!A:CT,85,FALSE)</f>
        <v>CY/CY</v>
      </c>
      <c r="M220" s="56" t="str">
        <f>IF(VLOOKUP(D220,'2.Bookinglist'!A:CT,43,FALSE)=0,"","DG")</f>
        <v/>
      </c>
      <c r="N220" s="56" t="str">
        <f>IF(RIGHT(K220,2)="RE","RF","")</f>
        <v/>
      </c>
      <c r="O220" s="54" t="str">
        <f>VLOOKUP(A220,'1.Loading'!A:R,3,FALSE)</f>
        <v>HMVY</v>
      </c>
      <c r="P220" s="54" t="str">
        <f>VLOOKUP(A220,'1.Loading'!A:R,4,FALSE)</f>
        <v>2609N</v>
      </c>
      <c r="Q220" s="54" t="str">
        <f>VLOOKUP(D220,'2.Bookinglist'!A:CT,12,FALSE)</f>
        <v>PCI2</v>
      </c>
      <c r="R220" s="56" t="str">
        <f>IF(LEFT(K220,2)="22","20'","40'")</f>
        <v>40'</v>
      </c>
      <c r="S220" s="38"/>
      <c r="T220" s="54" t="str">
        <f>VLOOKUP(A220,'1.Loading'!A:R,2,FALSE)</f>
        <v>2026-10-28</v>
      </c>
      <c r="U220" s="57">
        <f>T220-S220</f>
        <v>46323</v>
      </c>
      <c r="V220" s="58"/>
      <c r="W220" s="54" t="str">
        <f>VLOOKUP(A220,'3.GateMove'!A:D,4,FALSE)</f>
        <v>2026-10-23</v>
      </c>
      <c r="X220" s="57">
        <f>((T220-W220)+1)</f>
        <v>6</v>
      </c>
      <c r="Y220" s="59">
        <f>IF(AND(OR(C220="BKK01",C220="BKK04"),L220="CFS/CY"),0,IF(M220="DG",1,IF(LEFT(C220,3)="LCH",7,IF(C220="BKK02",5,3))))</f>
        <v>7</v>
      </c>
      <c r="Z220" s="57">
        <f>IF(IF(AND(AC220="TML",AB220&gt;0),((T220-W220)+1)-AB220,((T220-W220)+1)-Y220)&gt;0,IF(AND(AC220="TML",AB220&gt;0),((T220-W220)+1)-AB220,((T220-W220)+1)-Y220),0)</f>
        <v>0</v>
      </c>
      <c r="AA220" s="48">
        <f>IF(AND(B220="G1",M220=""),IF(R220="20'",
VLOOKUP(Z220,Charge!$K$2:$M$5,2,TRUE)+(Z220-VLOOKUP(Z220,Charge!$K$2:$M$5,1,TRUE))*VLOOKUP(Z220,Charge!$K$2:$M$5,3,TRUE),
VLOOKUP(Z220,Charge!$N$2:$P$5,2,TRUE)+(Z220-VLOOKUP(Z220,Charge!$N$2:$P$5,1,TRUE))*VLOOKUP(Z220,Charge!$N$2:$P$5,3,TRUE)),
IF(AND(B220="G1",M220="DG"),IF(R220="20'",
VLOOKUP(Z220,Charge!$R$2:$T$5,2,TRUE)+(Z220-VLOOKUP(Z220,Charge!$R$2:$T$5,1,TRUE))*VLOOKUP(Z220,Charge!$R$2:$T$5,3,TRUE),
VLOOKUP(Z220,Charge!$U$2:$W$5,2,TRUE)+(Z220-VLOOKUP(Z220,Charge!$U$2:$W$5,1,TRUE))*VLOOKUP(Z220,Charge!$U$2:$W$5,3,TRUE)),
IF(AND(B220="G3",M220=""),IF(R220="20'",
VLOOKUP(Z220,Charge!$K$18:$M$21,2,TRUE)+(Z220-VLOOKUP(Z220,Charge!$K$18:$M$21,1,TRUE))*VLOOKUP(Z220,Charge!$K$18:$M$21,3,TRUE),
VLOOKUP(Z220,Charge!$N$18:$P$21,2,TRUE)+(Z220-VLOOKUP(Z220,Charge!$N$18:$P$21,1,TRUE))*VLOOKUP(Z220,Charge!$N$18:$P$21,3,TRUE)),
IF(AND(B220="G3",M220="DG"),IF(R220="20'",
VLOOKUP(Z220,Charge!$R$18:$T$21,2,TRUE)+(Z220-VLOOKUP(Z220,Charge!$R$18:$T$21,1,TRUE))*VLOOKUP(Z220,Charge!$R$18:$T$21,3,TRUE),
VLOOKUP(Z220,Charge!$U$18:$W$21,2,TRUE)+(Z220-VLOOKUP(Z220,Charge!$U$18:$W$21,1,TRUE))*VLOOKUP(Z220,Charge!$U$18:$W$21,3,TRUE)),
IF(AND(B220="G2",M220=""),IF(R220="20'",
VLOOKUP(Z220,Charge!$K$9:$M$12,2,TRUE)+(Z220-VLOOKUP(Z220,Charge!$K$9:$M$12,1,TRUE))*VLOOKUP(Z220,Charge!$K$9:$M$12,3,TRUE),
VLOOKUP(Z220,Charge!$N$9:$P$12,2,TRUE)+(Z220-VLOOKUP(Z220,Charge!$N$9:$P$12,1,TRUE))*VLOOKUP(Z220,Charge!$N$9:$P$12,3,TRUE)),
IF(AND(B220="G2",M220="DG"),IF(R220="20'",
VLOOKUP(Z220,Charge!$R$9:$T$12,2,TRUE)+(Z220-VLOOKUP(Z220,Charge!$R$9:$T$12,1,TRUE))*VLOOKUP(Z220,Charge!$R$9:$T$12,3,TRUE),
VLOOKUP(Z220,Charge!$U$9:$W$12,2,TRUE)+(Z220-VLOOKUP(Z220,Charge!$U$9:$W$12,1,TRUE))*VLOOKUP(Z220,Charge!$U$9:$W$12,3,TRUE)),IF(AND(B220="G4",M220=""),IF(R220="20'",Z220*Charge!$M$25,Z220*Charge!$P$25),IF(AND(B220="G4",M220="DG"),IF(R220="20'",Z220*Charge!$T$25,Z220*Charge!$W$25),0))))))))</f>
        <v>0</v>
      </c>
      <c r="AB220" s="53"/>
      <c r="AC220" s="53"/>
      <c r="AD220" s="56">
        <f>IF(M220="DG",3,IF(N220="RF",3,5))+IF(AND(LEFT(C220,3)="BKK",N220="RF",Q220="KTS"),1,0)+IF(Q220="KHS",1,0)</f>
        <v>5</v>
      </c>
      <c r="AE220" s="57">
        <f>(T220-V220)+1</f>
        <v>46324</v>
      </c>
      <c r="AF220" s="57">
        <f>IF(AB220&gt;IF((V220-W220)&gt;0,V220-W220,0),0,IF(AB220&lt;IF((V220-W220)&gt;0,V220-W220,0),IF((V220-W220)&gt;0,V220-W220,0)-AB220,IF((V220-W220)&gt;0,V220-W220,0)))</f>
        <v>0</v>
      </c>
      <c r="AG220" s="48">
        <f>IF(AND(M220=""),IF(R220="20'",
VLOOKUP(AF220,Charge!$K$31:$M$34,2,TRUE)+(AF220-VLOOKUP(AF220,Charge!$K$31:$M$34,1,TRUE))*VLOOKUP(AF220,Charge!$K$31:$M$34,3,TRUE),
VLOOKUP(AF220,Charge!$N$31:$P$34,2,TRUE)+(AF220-VLOOKUP(AF220,Charge!$N$31:$P$34,1,TRUE))*VLOOKUP(AF220,Charge!$N$31:$P$34,3,TRUE)),
IF(AND(M220="DG"),IF(R220="20'",
VLOOKUP(AF220,Charge!$R$31:$T$34,2,TRUE)+(AF220-VLOOKUP(AF220,Charge!$R$31:$T$34,1,TRUE))*VLOOKUP(AF220,Charge!$R$31:$T$34,3,TRUE),
VLOOKUP(AF220,Charge!$U$31:$W$34,2,TRUE)+(AF220-VLOOKUP(AF220,Charge!$U$31:$W$34,1,TRUE))*VLOOKUP(AF220,Charge!$U$31:$W$34,3,TRUE)),0))</f>
        <v>0</v>
      </c>
      <c r="AH220" s="60"/>
      <c r="AI220" s="60">
        <f>AA220-AH220</f>
        <v>0</v>
      </c>
      <c r="AJ220" s="61"/>
      <c r="AK220" s="55" t="str">
        <f>VLOOKUP(D220,'2.Bookinglist'!A:CT,40,FALSE)</f>
        <v>Arunphat W. (Aiw)</v>
      </c>
      <c r="AL220" s="56" t="str">
        <f>VLOOKUP(D220,'2.Bookinglist'!A:CW,101,FALSE)</f>
        <v>2026-10-24</v>
      </c>
      <c r="AM220" s="56" t="str">
        <f>VLOOKUP(D220,'2.Bookinglist'!A:BK,63,FALSE)</f>
        <v>BKK27</v>
      </c>
      <c r="AN220" s="55" t="str">
        <f>VLOOKUP(D220,'2.Bookinglist'!A:AZ,52,FALSE)</f>
        <v>Pickup : 2026-10-19, Return SRP : 2026-10-20 [PAPERLESS CODE 2829]
CLS TIME 24/10/26 @21.00 (1ST RETURN DD.21/10/26)</v>
      </c>
      <c r="AO220" s="55">
        <f>VLOOKUP(D220,'2.Bookinglist'!A:CY,103,FALSE)</f>
        <v>0</v>
      </c>
    </row>
    <row r="221" ht="12.95" customHeight="1" spans="1:41" x14ac:dyDescent="0.25">
      <c r="A221" s="3" t="s">
        <v>402</v>
      </c>
      <c r="B221" s="53" t="str">
        <f>IF(C221=Charge!$M$1,Charge!$J$1,IF(C221=Charge!$M$23,Charge!$J$23,IF(C221=Charge!$M$17,Charge!$J$17,IF(C221=Charge!$N$17,Charge!$J$17,Charge!$J$7))))</f>
        <v>G2</v>
      </c>
      <c r="C221" s="54" t="str">
        <f>VLOOKUP(A221,'1.Loading'!A:R,14,FALSE)</f>
        <v>LCH06</v>
      </c>
      <c r="D221" s="54" t="str">
        <f>VLOOKUP(A221,'1.Loading'!A:R,17,FALSE)</f>
        <v>HASLS22260901900</v>
      </c>
      <c r="E221" s="55" t="str">
        <f>VLOOKUP(D221,'2.Bookinglist'!A:CT,27,FALSE)</f>
        <v>WHA GC LOGISTICS COMPANY LIMITED</v>
      </c>
      <c r="F221" s="55" t="str">
        <f>VLOOKUP(D221,'2.Bookinglist'!A:CT,28,FALSE)</f>
        <v>PTT GLOBAL CHEMICAL PUBLIC COMPANY LIMITED</v>
      </c>
      <c r="G221" s="56">
        <f>VLOOKUP(D221,'2.Bookinglist'!A:E,5,FALSE)</f>
        <v>0</v>
      </c>
      <c r="H221" s="54" t="str">
        <f>VLOOKUP(D221,'2.Bookinglist'!A:CT,15,FALSE)</f>
        <v>THLCH</v>
      </c>
      <c r="I221" s="54" t="str">
        <f>VLOOKUP(D221,'2.Bookinglist'!A:CT,19,FALSE)</f>
        <v>CNSHA</v>
      </c>
      <c r="J221" s="54">
        <f>VLOOKUP(D221,'2.Bookinglist'!A:CT,26,FALSE)</f>
        <v>0</v>
      </c>
      <c r="K221" s="54" t="str">
        <f>VLOOKUP(A221,'1.Loading'!A:R,5,FALSE)</f>
        <v>22GP</v>
      </c>
      <c r="L221" s="56" t="str">
        <f>VLOOKUP(D221,'2.Bookinglist'!A:CT,85,FALSE)</f>
        <v>CY/CY</v>
      </c>
      <c r="M221" s="56" t="str">
        <f>IF(VLOOKUP(D221,'2.Bookinglist'!A:CT,43,FALSE)=0,"","DG")</f>
        <v/>
      </c>
      <c r="N221" s="56" t="str">
        <f>IF(RIGHT(K221,2)="RE","RF","")</f>
        <v/>
      </c>
      <c r="O221" s="54" t="str">
        <f>VLOOKUP(A221,'1.Loading'!A:R,3,FALSE)</f>
        <v>HMVY</v>
      </c>
      <c r="P221" s="54" t="str">
        <f>VLOOKUP(A221,'1.Loading'!A:R,4,FALSE)</f>
        <v>2609N</v>
      </c>
      <c r="Q221" s="54" t="str">
        <f>VLOOKUP(D221,'2.Bookinglist'!A:CT,12,FALSE)</f>
        <v>PCI2</v>
      </c>
      <c r="R221" s="56" t="str">
        <f>IF(LEFT(K221,2)="22","20'","40'")</f>
        <v>20'</v>
      </c>
      <c r="S221" s="38"/>
      <c r="T221" s="54" t="str">
        <f>VLOOKUP(A221,'1.Loading'!A:R,2,FALSE)</f>
        <v>2026-10-28</v>
      </c>
      <c r="U221" s="57">
        <f>T221-S221</f>
        <v>46323</v>
      </c>
      <c r="V221" s="58"/>
      <c r="W221" s="54" t="str">
        <f>VLOOKUP(A221,'3.GateMove'!A:D,4,FALSE)</f>
        <v>2026-10-19</v>
      </c>
      <c r="X221" s="57">
        <f>((T221-W221)+1)</f>
        <v>10</v>
      </c>
      <c r="Y221" s="59">
        <f>IF(AND(OR(C221="BKK01",C221="BKK04"),L221="CFS/CY"),0,IF(M221="DG",1,IF(LEFT(C221,3)="LCH",7,IF(C221="BKK02",5,3))))</f>
        <v>7</v>
      </c>
      <c r="Z221" s="57">
        <f>IF(IF(AND(AC221="TML",AB221&gt;0),((T221-W221)+1)-AB221,((T221-W221)+1)-Y221)&gt;0,IF(AND(AC221="TML",AB221&gt;0),((T221-W221)+1)-AB221,((T221-W221)+1)-Y221),0)</f>
        <v>3</v>
      </c>
      <c r="AA221" s="48">
        <f>IF(AND(B221="G1",M221=""),IF(R221="20'",
VLOOKUP(Z221,Charge!$K$2:$M$5,2,TRUE)+(Z221-VLOOKUP(Z221,Charge!$K$2:$M$5,1,TRUE))*VLOOKUP(Z221,Charge!$K$2:$M$5,3,TRUE),
VLOOKUP(Z221,Charge!$N$2:$P$5,2,TRUE)+(Z221-VLOOKUP(Z221,Charge!$N$2:$P$5,1,TRUE))*VLOOKUP(Z221,Charge!$N$2:$P$5,3,TRUE)),
IF(AND(B221="G1",M221="DG"),IF(R221="20'",
VLOOKUP(Z221,Charge!$R$2:$T$5,2,TRUE)+(Z221-VLOOKUP(Z221,Charge!$R$2:$T$5,1,TRUE))*VLOOKUP(Z221,Charge!$R$2:$T$5,3,TRUE),
VLOOKUP(Z221,Charge!$U$2:$W$5,2,TRUE)+(Z221-VLOOKUP(Z221,Charge!$U$2:$W$5,1,TRUE))*VLOOKUP(Z221,Charge!$U$2:$W$5,3,TRUE)),
IF(AND(B221="G3",M221=""),IF(R221="20'",
VLOOKUP(Z221,Charge!$K$18:$M$21,2,TRUE)+(Z221-VLOOKUP(Z221,Charge!$K$18:$M$21,1,TRUE))*VLOOKUP(Z221,Charge!$K$18:$M$21,3,TRUE),
VLOOKUP(Z221,Charge!$N$18:$P$21,2,TRUE)+(Z221-VLOOKUP(Z221,Charge!$N$18:$P$21,1,TRUE))*VLOOKUP(Z221,Charge!$N$18:$P$21,3,TRUE)),
IF(AND(B221="G3",M221="DG"),IF(R221="20'",
VLOOKUP(Z221,Charge!$R$18:$T$21,2,TRUE)+(Z221-VLOOKUP(Z221,Charge!$R$18:$T$21,1,TRUE))*VLOOKUP(Z221,Charge!$R$18:$T$21,3,TRUE),
VLOOKUP(Z221,Charge!$U$18:$W$21,2,TRUE)+(Z221-VLOOKUP(Z221,Charge!$U$18:$W$21,1,TRUE))*VLOOKUP(Z221,Charge!$U$18:$W$21,3,TRUE)),
IF(AND(B221="G2",M221=""),IF(R221="20'",
VLOOKUP(Z221,Charge!$K$9:$M$12,2,TRUE)+(Z221-VLOOKUP(Z221,Charge!$K$9:$M$12,1,TRUE))*VLOOKUP(Z221,Charge!$K$9:$M$12,3,TRUE),
VLOOKUP(Z221,Charge!$N$9:$P$12,2,TRUE)+(Z221-VLOOKUP(Z221,Charge!$N$9:$P$12,1,TRUE))*VLOOKUP(Z221,Charge!$N$9:$P$12,3,TRUE)),
IF(AND(B221="G2",M221="DG"),IF(R221="20'",
VLOOKUP(Z221,Charge!$R$9:$T$12,2,TRUE)+(Z221-VLOOKUP(Z221,Charge!$R$9:$T$12,1,TRUE))*VLOOKUP(Z221,Charge!$R$9:$T$12,3,TRUE),
VLOOKUP(Z221,Charge!$U$9:$W$12,2,TRUE)+(Z221-VLOOKUP(Z221,Charge!$U$9:$W$12,1,TRUE))*VLOOKUP(Z221,Charge!$U$9:$W$12,3,TRUE)),IF(AND(B221="G4",M221=""),IF(R221="20'",Z221*Charge!$M$25,Z221*Charge!$P$25),IF(AND(B221="G4",M221="DG"),IF(R221="20'",Z221*Charge!$T$25,Z221*Charge!$W$25),0))))))))</f>
        <v>375</v>
      </c>
      <c r="AB221" s="53"/>
      <c r="AC221" s="53"/>
      <c r="AD221" s="56">
        <f>IF(M221="DG",3,IF(N221="RF",3,5))+IF(AND(LEFT(C221,3)="BKK",N221="RF",Q221="KTS"),1,0)+IF(Q221="KHS",1,0)</f>
        <v>5</v>
      </c>
      <c r="AE221" s="57">
        <f>(T221-V221)+1</f>
        <v>46324</v>
      </c>
      <c r="AF221" s="57">
        <f>IF(AB221&gt;IF((V221-W221)&gt;0,V221-W221,0),0,IF(AB221&lt;IF((V221-W221)&gt;0,V221-W221,0),IF((V221-W221)&gt;0,V221-W221,0)-AB221,IF((V221-W221)&gt;0,V221-W221,0)))</f>
        <v>0</v>
      </c>
      <c r="AG221" s="48">
        <f>IF(AND(M221=""),IF(R221="20'",
VLOOKUP(AF221,Charge!$K$31:$M$34,2,TRUE)+(AF221-VLOOKUP(AF221,Charge!$K$31:$M$34,1,TRUE))*VLOOKUP(AF221,Charge!$K$31:$M$34,3,TRUE),
VLOOKUP(AF221,Charge!$N$31:$P$34,2,TRUE)+(AF221-VLOOKUP(AF221,Charge!$N$31:$P$34,1,TRUE))*VLOOKUP(AF221,Charge!$N$31:$P$34,3,TRUE)),
IF(AND(M221="DG"),IF(R221="20'",
VLOOKUP(AF221,Charge!$R$31:$T$34,2,TRUE)+(AF221-VLOOKUP(AF221,Charge!$R$31:$T$34,1,TRUE))*VLOOKUP(AF221,Charge!$R$31:$T$34,3,TRUE),
VLOOKUP(AF221,Charge!$U$31:$W$34,2,TRUE)+(AF221-VLOOKUP(AF221,Charge!$U$31:$W$34,1,TRUE))*VLOOKUP(AF221,Charge!$U$31:$W$34,3,TRUE)),0))</f>
        <v>0</v>
      </c>
      <c r="AH221" s="60"/>
      <c r="AI221" s="60">
        <f>AA221-AH221</f>
        <v>375</v>
      </c>
      <c r="AJ221" s="61"/>
      <c r="AK221" s="55" t="str">
        <f>VLOOKUP(D221,'2.Bookinglist'!A:CT,40,FALSE)</f>
        <v>Dharaporn</v>
      </c>
      <c r="AL221" s="56" t="str">
        <f>VLOOKUP(D221,'2.Bookinglist'!A:CW,101,FALSE)</f>
        <v>2026-10-16</v>
      </c>
      <c r="AM221" s="56" t="str">
        <f>VLOOKUP(D221,'2.Bookinglist'!A:BK,63,FALSE)</f>
        <v>LCHY5</v>
      </c>
      <c r="AN221" s="55" t="str">
        <f>VLOOKUP(D221,'2.Bookinglist'!A:AZ,52,FALSE)</f>
        <v>SURVEY+CY DD.10/10/2026 RTN 16/10/2026 
*PLS CHECK OPEN GATE BEFORE RETURN CTNR*</v>
      </c>
      <c r="AO221" s="55">
        <f>VLOOKUP(D221,'2.Bookinglist'!A:CY,103,FALSE)</f>
        <v>0</v>
      </c>
    </row>
    <row r="222" ht="12.95" customHeight="1" spans="1:41" x14ac:dyDescent="0.25">
      <c r="A222" s="3" t="s">
        <v>394</v>
      </c>
      <c r="B222" s="53" t="str">
        <f>IF(C222=Charge!$M$1,Charge!$J$1,IF(C222=Charge!$M$23,Charge!$J$23,IF(C222=Charge!$M$17,Charge!$J$17,IF(C222=Charge!$N$17,Charge!$J$17,Charge!$J$7))))</f>
        <v>G2</v>
      </c>
      <c r="C222" s="54" t="str">
        <f>VLOOKUP(A222,'1.Loading'!A:R,14,FALSE)</f>
        <v>LCH06</v>
      </c>
      <c r="D222" s="54" t="str">
        <f>VLOOKUP(A222,'1.Loading'!A:R,17,FALSE)</f>
        <v>HASLS22261000714</v>
      </c>
      <c r="E222" s="55" t="str">
        <f>VLOOKUP(D222,'2.Bookinglist'!A:CT,27,FALSE)</f>
        <v>CONNEXT LOG (THAILAND) CO.,LTD.</v>
      </c>
      <c r="F222" s="55" t="str">
        <f>VLOOKUP(D222,'2.Bookinglist'!A:CT,28,FALSE)</f>
        <v>SUNWELL (THAILAND) CO., LTD</v>
      </c>
      <c r="G222" s="56">
        <f>VLOOKUP(D222,'2.Bookinglist'!A:E,5,FALSE)</f>
        <v>0</v>
      </c>
      <c r="H222" s="54" t="str">
        <f>VLOOKUP(D222,'2.Bookinglist'!A:CT,15,FALSE)</f>
        <v>THLCH</v>
      </c>
      <c r="I222" s="54" t="str">
        <f>VLOOKUP(D222,'2.Bookinglist'!A:CT,19,FALSE)</f>
        <v>CNSHA</v>
      </c>
      <c r="J222" s="54">
        <f>VLOOKUP(D222,'2.Bookinglist'!A:CT,26,FALSE)</f>
        <v>0</v>
      </c>
      <c r="K222" s="54" t="str">
        <f>VLOOKUP(A222,'1.Loading'!A:R,5,FALSE)</f>
        <v>22GP</v>
      </c>
      <c r="L222" s="56" t="str">
        <f>VLOOKUP(D222,'2.Bookinglist'!A:CT,85,FALSE)</f>
        <v>CY/CY</v>
      </c>
      <c r="M222" s="56" t="str">
        <f>IF(VLOOKUP(D222,'2.Bookinglist'!A:CT,43,FALSE)=0,"","DG")</f>
        <v/>
      </c>
      <c r="N222" s="56" t="str">
        <f>IF(RIGHT(K222,2)="RE","RF","")</f>
        <v/>
      </c>
      <c r="O222" s="54" t="str">
        <f>VLOOKUP(A222,'1.Loading'!A:R,3,FALSE)</f>
        <v>HMVY</v>
      </c>
      <c r="P222" s="54" t="str">
        <f>VLOOKUP(A222,'1.Loading'!A:R,4,FALSE)</f>
        <v>2609N</v>
      </c>
      <c r="Q222" s="54" t="str">
        <f>VLOOKUP(D222,'2.Bookinglist'!A:CT,12,FALSE)</f>
        <v>PCI2</v>
      </c>
      <c r="R222" s="56" t="str">
        <f>IF(LEFT(K222,2)="22","20'","40'")</f>
        <v>20'</v>
      </c>
      <c r="S222" s="38"/>
      <c r="T222" s="54" t="str">
        <f>VLOOKUP(A222,'1.Loading'!A:R,2,FALSE)</f>
        <v>2026-10-28</v>
      </c>
      <c r="U222" s="57">
        <f>T222-S222</f>
        <v>46323</v>
      </c>
      <c r="V222" s="58"/>
      <c r="W222" s="54" t="str">
        <f>VLOOKUP(A222,'3.GateMove'!A:D,4,FALSE)</f>
        <v>2026-10-22</v>
      </c>
      <c r="X222" s="57">
        <f>((T222-W222)+1)</f>
        <v>7</v>
      </c>
      <c r="Y222" s="59">
        <f>IF(AND(OR(C222="BKK01",C222="BKK04"),L222="CFS/CY"),0,IF(M222="DG",1,IF(LEFT(C222,3)="LCH",7,IF(C222="BKK02",5,3))))</f>
        <v>7</v>
      </c>
      <c r="Z222" s="57">
        <f>IF(IF(AND(AC222="TML",AB222&gt;0),((T222-W222)+1)-AB222,((T222-W222)+1)-Y222)&gt;0,IF(AND(AC222="TML",AB222&gt;0),((T222-W222)+1)-AB222,((T222-W222)+1)-Y222),0)</f>
        <v>0</v>
      </c>
      <c r="AA222" s="48">
        <f>IF(AND(B222="G1",M222=""),IF(R222="20'",
VLOOKUP(Z222,Charge!$K$2:$M$5,2,TRUE)+(Z222-VLOOKUP(Z222,Charge!$K$2:$M$5,1,TRUE))*VLOOKUP(Z222,Charge!$K$2:$M$5,3,TRUE),
VLOOKUP(Z222,Charge!$N$2:$P$5,2,TRUE)+(Z222-VLOOKUP(Z222,Charge!$N$2:$P$5,1,TRUE))*VLOOKUP(Z222,Charge!$N$2:$P$5,3,TRUE)),
IF(AND(B222="G1",M222="DG"),IF(R222="20'",
VLOOKUP(Z222,Charge!$R$2:$T$5,2,TRUE)+(Z222-VLOOKUP(Z222,Charge!$R$2:$T$5,1,TRUE))*VLOOKUP(Z222,Charge!$R$2:$T$5,3,TRUE),
VLOOKUP(Z222,Charge!$U$2:$W$5,2,TRUE)+(Z222-VLOOKUP(Z222,Charge!$U$2:$W$5,1,TRUE))*VLOOKUP(Z222,Charge!$U$2:$W$5,3,TRUE)),
IF(AND(B222="G3",M222=""),IF(R222="20'",
VLOOKUP(Z222,Charge!$K$18:$M$21,2,TRUE)+(Z222-VLOOKUP(Z222,Charge!$K$18:$M$21,1,TRUE))*VLOOKUP(Z222,Charge!$K$18:$M$21,3,TRUE),
VLOOKUP(Z222,Charge!$N$18:$P$21,2,TRUE)+(Z222-VLOOKUP(Z222,Charge!$N$18:$P$21,1,TRUE))*VLOOKUP(Z222,Charge!$N$18:$P$21,3,TRUE)),
IF(AND(B222="G3",M222="DG"),IF(R222="20'",
VLOOKUP(Z222,Charge!$R$18:$T$21,2,TRUE)+(Z222-VLOOKUP(Z222,Charge!$R$18:$T$21,1,TRUE))*VLOOKUP(Z222,Charge!$R$18:$T$21,3,TRUE),
VLOOKUP(Z222,Charge!$U$18:$W$21,2,TRUE)+(Z222-VLOOKUP(Z222,Charge!$U$18:$W$21,1,TRUE))*VLOOKUP(Z222,Charge!$U$18:$W$21,3,TRUE)),
IF(AND(B222="G2",M222=""),IF(R222="20'",
VLOOKUP(Z222,Charge!$K$9:$M$12,2,TRUE)+(Z222-VLOOKUP(Z222,Charge!$K$9:$M$12,1,TRUE))*VLOOKUP(Z222,Charge!$K$9:$M$12,3,TRUE),
VLOOKUP(Z222,Charge!$N$9:$P$12,2,TRUE)+(Z222-VLOOKUP(Z222,Charge!$N$9:$P$12,1,TRUE))*VLOOKUP(Z222,Charge!$N$9:$P$12,3,TRUE)),
IF(AND(B222="G2",M222="DG"),IF(R222="20'",
VLOOKUP(Z222,Charge!$R$9:$T$12,2,TRUE)+(Z222-VLOOKUP(Z222,Charge!$R$9:$T$12,1,TRUE))*VLOOKUP(Z222,Charge!$R$9:$T$12,3,TRUE),
VLOOKUP(Z222,Charge!$U$9:$W$12,2,TRUE)+(Z222-VLOOKUP(Z222,Charge!$U$9:$W$12,1,TRUE))*VLOOKUP(Z222,Charge!$U$9:$W$12,3,TRUE)),IF(AND(B222="G4",M222=""),IF(R222="20'",Z222*Charge!$M$25,Z222*Charge!$P$25),IF(AND(B222="G4",M222="DG"),IF(R222="20'",Z222*Charge!$T$25,Z222*Charge!$W$25),0))))))))</f>
        <v>0</v>
      </c>
      <c r="AB222" s="53"/>
      <c r="AC222" s="53"/>
      <c r="AD222" s="56">
        <f>IF(M222="DG",3,IF(N222="RF",3,5))+IF(AND(LEFT(C222,3)="BKK",N222="RF",Q222="KTS"),1,0)+IF(Q222="KHS",1,0)</f>
        <v>5</v>
      </c>
      <c r="AE222" s="57">
        <f>(T222-V222)+1</f>
        <v>46324</v>
      </c>
      <c r="AF222" s="57">
        <f>IF(AB222&gt;IF((V222-W222)&gt;0,V222-W222,0),0,IF(AB222&lt;IF((V222-W222)&gt;0,V222-W222,0),IF((V222-W222)&gt;0,V222-W222,0)-AB222,IF((V222-W222)&gt;0,V222-W222,0)))</f>
        <v>0</v>
      </c>
      <c r="AG222" s="48">
        <f>IF(AND(M222=""),IF(R222="20'",
VLOOKUP(AF222,Charge!$K$31:$M$34,2,TRUE)+(AF222-VLOOKUP(AF222,Charge!$K$31:$M$34,1,TRUE))*VLOOKUP(AF222,Charge!$K$31:$M$34,3,TRUE),
VLOOKUP(AF222,Charge!$N$31:$P$34,2,TRUE)+(AF222-VLOOKUP(AF222,Charge!$N$31:$P$34,1,TRUE))*VLOOKUP(AF222,Charge!$N$31:$P$34,3,TRUE)),
IF(AND(M222="DG"),IF(R222="20'",
VLOOKUP(AF222,Charge!$R$31:$T$34,2,TRUE)+(AF222-VLOOKUP(AF222,Charge!$R$31:$T$34,1,TRUE))*VLOOKUP(AF222,Charge!$R$31:$T$34,3,TRUE),
VLOOKUP(AF222,Charge!$U$31:$W$34,2,TRUE)+(AF222-VLOOKUP(AF222,Charge!$U$31:$W$34,1,TRUE))*VLOOKUP(AF222,Charge!$U$31:$W$34,3,TRUE)),0))</f>
        <v>0</v>
      </c>
      <c r="AH222" s="60"/>
      <c r="AI222" s="60">
        <f>AA222-AH222</f>
        <v>0</v>
      </c>
      <c r="AJ222" s="61"/>
      <c r="AK222" s="55" t="str">
        <f>VLOOKUP(D222,'2.Bookinglist'!A:CT,40,FALSE)</f>
        <v>Arunphat W. (Aiw)</v>
      </c>
      <c r="AL222" s="56" t="str">
        <f>VLOOKUP(D222,'2.Bookinglist'!A:CW,101,FALSE)</f>
        <v>2026-10-28</v>
      </c>
      <c r="AM222" s="56" t="str">
        <f>VLOOKUP(D222,'2.Bookinglist'!A:BK,63,FALSE)</f>
        <v>LCH27</v>
      </c>
      <c r="AN222" s="55" t="str">
        <f>VLOOKUP(D222,'2.Bookinglist'!A:AZ,52,FALSE)</f>
        <v>Pickup : 2026-10-22, Return : 2026-10-22
 ** PLEASE CHECK OPEN GATE BEFORE RETURN CNTR **
</v>
      </c>
      <c r="AO222" s="55" t="str">
        <f>VLOOKUP(D222,'2.Bookinglist'!A:CY,103,FALSE)</f>
        <v>ROLL OVER FROM PREVIOUS VSL HAB 2612N BY ALLOCATION TEAM MS.TAN APPROVED COST IS UNDER HA DD.26/10</v>
      </c>
    </row>
    <row r="223" ht="12.95" customHeight="1" spans="1:41" x14ac:dyDescent="0.25">
      <c r="A223" s="3" t="s">
        <v>386</v>
      </c>
      <c r="B223" s="53" t="str">
        <f>IF(C223=Charge!$M$1,Charge!$J$1,IF(C223=Charge!$M$23,Charge!$J$23,IF(C223=Charge!$M$17,Charge!$J$17,IF(C223=Charge!$N$17,Charge!$J$17,Charge!$J$7))))</f>
        <v>G2</v>
      </c>
      <c r="C223" s="54" t="str">
        <f>VLOOKUP(A223,'1.Loading'!A:R,14,FALSE)</f>
        <v>LCH06</v>
      </c>
      <c r="D223" s="54" t="str">
        <f>VLOOKUP(A223,'1.Loading'!A:R,17,FALSE)</f>
        <v>HASLS22260900176</v>
      </c>
      <c r="E223" s="55" t="str">
        <f>VLOOKUP(D223,'2.Bookinglist'!A:CT,27,FALSE)</f>
        <v>WHA GC LOGISTICS COMPANY LIMITED</v>
      </c>
      <c r="F223" s="55" t="str">
        <f>VLOOKUP(D223,'2.Bookinglist'!A:CT,28,FALSE)</f>
        <v>PTT GLOBAL CHEMICAL PUBLIC COMPANY LIMITED</v>
      </c>
      <c r="G223" s="56">
        <f>VLOOKUP(D223,'2.Bookinglist'!A:E,5,FALSE)</f>
        <v>0</v>
      </c>
      <c r="H223" s="54" t="str">
        <f>VLOOKUP(D223,'2.Bookinglist'!A:CT,15,FALSE)</f>
        <v>THLCH</v>
      </c>
      <c r="I223" s="54" t="str">
        <f>VLOOKUP(D223,'2.Bookinglist'!A:CT,19,FALSE)</f>
        <v>JPTYO</v>
      </c>
      <c r="J223" s="54" t="str">
        <f>VLOOKUP(D223,'2.Bookinglist'!A:CT,26,FALSE)</f>
        <v>KRPUS</v>
      </c>
      <c r="K223" s="54" t="str">
        <f>VLOOKUP(A223,'1.Loading'!A:R,5,FALSE)</f>
        <v>22GP</v>
      </c>
      <c r="L223" s="56" t="str">
        <f>VLOOKUP(D223,'2.Bookinglist'!A:CT,85,FALSE)</f>
        <v>CY/CY</v>
      </c>
      <c r="M223" s="56" t="str">
        <f>IF(VLOOKUP(D223,'2.Bookinglist'!A:CT,43,FALSE)=0,"","DG")</f>
        <v/>
      </c>
      <c r="N223" s="56" t="str">
        <f>IF(RIGHT(K223,2)="RE","RF","")</f>
        <v/>
      </c>
      <c r="O223" s="54" t="str">
        <f>VLOOKUP(A223,'1.Loading'!A:R,3,FALSE)</f>
        <v>HMVY</v>
      </c>
      <c r="P223" s="54" t="str">
        <f>VLOOKUP(A223,'1.Loading'!A:R,4,FALSE)</f>
        <v>2609N</v>
      </c>
      <c r="Q223" s="54" t="str">
        <f>VLOOKUP(D223,'2.Bookinglist'!A:CT,12,FALSE)</f>
        <v>PCI2</v>
      </c>
      <c r="R223" s="56" t="str">
        <f>IF(LEFT(K223,2)="22","20'","40'")</f>
        <v>20'</v>
      </c>
      <c r="S223" s="38"/>
      <c r="T223" s="54" t="str">
        <f>VLOOKUP(A223,'1.Loading'!A:R,2,FALSE)</f>
        <v>2026-10-28</v>
      </c>
      <c r="U223" s="57">
        <f>T223-S223</f>
        <v>46323</v>
      </c>
      <c r="V223" s="58"/>
      <c r="W223" s="54" t="str">
        <f>VLOOKUP(A223,'3.GateMove'!A:D,4,FALSE)</f>
        <v>2026-10-20</v>
      </c>
      <c r="X223" s="57">
        <f>((T223-W223)+1)</f>
        <v>9</v>
      </c>
      <c r="Y223" s="59">
        <f>IF(AND(OR(C223="BKK01",C223="BKK04"),L223="CFS/CY"),0,IF(M223="DG",1,IF(LEFT(C223,3)="LCH",7,IF(C223="BKK02",5,3))))</f>
        <v>7</v>
      </c>
      <c r="Z223" s="57">
        <f>IF(IF(AND(AC223="TML",AB223&gt;0),((T223-W223)+1)-AB223,((T223-W223)+1)-Y223)&gt;0,IF(AND(AC223="TML",AB223&gt;0),((T223-W223)+1)-AB223,((T223-W223)+1)-Y223),0)</f>
        <v>2</v>
      </c>
      <c r="AA223" s="48">
        <f>IF(AND(B223="G1",M223=""),IF(R223="20'",
VLOOKUP(Z223,Charge!$K$2:$M$5,2,TRUE)+(Z223-VLOOKUP(Z223,Charge!$K$2:$M$5,1,TRUE))*VLOOKUP(Z223,Charge!$K$2:$M$5,3,TRUE),
VLOOKUP(Z223,Charge!$N$2:$P$5,2,TRUE)+(Z223-VLOOKUP(Z223,Charge!$N$2:$P$5,1,TRUE))*VLOOKUP(Z223,Charge!$N$2:$P$5,3,TRUE)),
IF(AND(B223="G1",M223="DG"),IF(R223="20'",
VLOOKUP(Z223,Charge!$R$2:$T$5,2,TRUE)+(Z223-VLOOKUP(Z223,Charge!$R$2:$T$5,1,TRUE))*VLOOKUP(Z223,Charge!$R$2:$T$5,3,TRUE),
VLOOKUP(Z223,Charge!$U$2:$W$5,2,TRUE)+(Z223-VLOOKUP(Z223,Charge!$U$2:$W$5,1,TRUE))*VLOOKUP(Z223,Charge!$U$2:$W$5,3,TRUE)),
IF(AND(B223="G3",M223=""),IF(R223="20'",
VLOOKUP(Z223,Charge!$K$18:$M$21,2,TRUE)+(Z223-VLOOKUP(Z223,Charge!$K$18:$M$21,1,TRUE))*VLOOKUP(Z223,Charge!$K$18:$M$21,3,TRUE),
VLOOKUP(Z223,Charge!$N$18:$P$21,2,TRUE)+(Z223-VLOOKUP(Z223,Charge!$N$18:$P$21,1,TRUE))*VLOOKUP(Z223,Charge!$N$18:$P$21,3,TRUE)),
IF(AND(B223="G3",M223="DG"),IF(R223="20'",
VLOOKUP(Z223,Charge!$R$18:$T$21,2,TRUE)+(Z223-VLOOKUP(Z223,Charge!$R$18:$T$21,1,TRUE))*VLOOKUP(Z223,Charge!$R$18:$T$21,3,TRUE),
VLOOKUP(Z223,Charge!$U$18:$W$21,2,TRUE)+(Z223-VLOOKUP(Z223,Charge!$U$18:$W$21,1,TRUE))*VLOOKUP(Z223,Charge!$U$18:$W$21,3,TRUE)),
IF(AND(B223="G2",M223=""),IF(R223="20'",
VLOOKUP(Z223,Charge!$K$9:$M$12,2,TRUE)+(Z223-VLOOKUP(Z223,Charge!$K$9:$M$12,1,TRUE))*VLOOKUP(Z223,Charge!$K$9:$M$12,3,TRUE),
VLOOKUP(Z223,Charge!$N$9:$P$12,2,TRUE)+(Z223-VLOOKUP(Z223,Charge!$N$9:$P$12,1,TRUE))*VLOOKUP(Z223,Charge!$N$9:$P$12,3,TRUE)),
IF(AND(B223="G2",M223="DG"),IF(R223="20'",
VLOOKUP(Z223,Charge!$R$9:$T$12,2,TRUE)+(Z223-VLOOKUP(Z223,Charge!$R$9:$T$12,1,TRUE))*VLOOKUP(Z223,Charge!$R$9:$T$12,3,TRUE),
VLOOKUP(Z223,Charge!$U$9:$W$12,2,TRUE)+(Z223-VLOOKUP(Z223,Charge!$U$9:$W$12,1,TRUE))*VLOOKUP(Z223,Charge!$U$9:$W$12,3,TRUE)),IF(AND(B223="G4",M223=""),IF(R223="20'",Z223*Charge!$M$25,Z223*Charge!$P$25),IF(AND(B223="G4",M223="DG"),IF(R223="20'",Z223*Charge!$T$25,Z223*Charge!$W$25),0))))))))</f>
        <v>250</v>
      </c>
      <c r="AB223" s="53"/>
      <c r="AC223" s="53"/>
      <c r="AD223" s="56">
        <f>IF(M223="DG",3,IF(N223="RF",3,5))+IF(AND(LEFT(C223,3)="BKK",N223="RF",Q223="KTS"),1,0)+IF(Q223="KHS",1,0)</f>
        <v>5</v>
      </c>
      <c r="AE223" s="57">
        <f>(T223-V223)+1</f>
        <v>46324</v>
      </c>
      <c r="AF223" s="57">
        <f>IF(AB223&gt;IF((V223-W223)&gt;0,V223-W223,0),0,IF(AB223&lt;IF((V223-W223)&gt;0,V223-W223,0),IF((V223-W223)&gt;0,V223-W223,0)-AB223,IF((V223-W223)&gt;0,V223-W223,0)))</f>
        <v>0</v>
      </c>
      <c r="AG223" s="48">
        <f>IF(AND(M223=""),IF(R223="20'",
VLOOKUP(AF223,Charge!$K$31:$M$34,2,TRUE)+(AF223-VLOOKUP(AF223,Charge!$K$31:$M$34,1,TRUE))*VLOOKUP(AF223,Charge!$K$31:$M$34,3,TRUE),
VLOOKUP(AF223,Charge!$N$31:$P$34,2,TRUE)+(AF223-VLOOKUP(AF223,Charge!$N$31:$P$34,1,TRUE))*VLOOKUP(AF223,Charge!$N$31:$P$34,3,TRUE)),
IF(AND(M223="DG"),IF(R223="20'",
VLOOKUP(AF223,Charge!$R$31:$T$34,2,TRUE)+(AF223-VLOOKUP(AF223,Charge!$R$31:$T$34,1,TRUE))*VLOOKUP(AF223,Charge!$R$31:$T$34,3,TRUE),
VLOOKUP(AF223,Charge!$U$31:$W$34,2,TRUE)+(AF223-VLOOKUP(AF223,Charge!$U$31:$W$34,1,TRUE))*VLOOKUP(AF223,Charge!$U$31:$W$34,3,TRUE)),0))</f>
        <v>0</v>
      </c>
      <c r="AH223" s="60"/>
      <c r="AI223" s="60">
        <f>AA223-AH223</f>
        <v>250</v>
      </c>
      <c r="AJ223" s="61"/>
      <c r="AK223" s="55" t="str">
        <f>VLOOKUP(D223,'2.Bookinglist'!A:CT,40,FALSE)</f>
        <v>Dharaporn</v>
      </c>
      <c r="AL223" s="56" t="str">
        <f>VLOOKUP(D223,'2.Bookinglist'!A:CW,101,FALSE)</f>
        <v>2026-10-14</v>
      </c>
      <c r="AM223" s="56" t="str">
        <f>VLOOKUP(D223,'2.Bookinglist'!A:BK,63,FALSE)</f>
        <v>LCHY5</v>
      </c>
      <c r="AN223" s="55" t="str">
        <f>VLOOKUP(D223,'2.Bookinglist'!A:AZ,52,FALSE)</f>
        <v>[FIX][FIX][FIX]SURVEY 14/10/2026 CY-RTN 14-18/10/26 (PR2610003990 )
**CHECK OPENGATE BEFORE RETURN CNTR**
</v>
      </c>
      <c r="AO223" s="55">
        <f>VLOOKUP(D223,'2.Bookinglist'!A:CY,103,FALSE)</f>
        <v>0</v>
      </c>
    </row>
    <row r="224" ht="12.95" customHeight="1" spans="1:41" x14ac:dyDescent="0.25">
      <c r="A224" s="3" t="s">
        <v>327</v>
      </c>
      <c r="B224" s="53" t="str">
        <f>IF(C224=Charge!$M$1,Charge!$J$1,IF(C224=Charge!$M$23,Charge!$J$23,IF(C224=Charge!$M$17,Charge!$J$17,IF(C224=Charge!$N$17,Charge!$J$17,Charge!$J$7))))</f>
        <v>G2</v>
      </c>
      <c r="C224" s="54" t="str">
        <f>VLOOKUP(A224,'1.Loading'!A:R,14,FALSE)</f>
        <v>LCH06</v>
      </c>
      <c r="D224" s="54" t="str">
        <f>VLOOKUP(A224,'1.Loading'!A:R,17,FALSE)</f>
        <v>HASLS22260902669</v>
      </c>
      <c r="E224" s="55" t="str">
        <f>VLOOKUP(D224,'2.Bookinglist'!A:CT,27,FALSE)</f>
        <v>WHA GC LOGISTICS COMPANY LIMITED</v>
      </c>
      <c r="F224" s="55" t="str">
        <f>VLOOKUP(D224,'2.Bookinglist'!A:CT,28,FALSE)</f>
        <v>PTT GLOBAL CHEMICAL PUBLIC COMPANY LIMITED</v>
      </c>
      <c r="G224" s="56">
        <f>VLOOKUP(D224,'2.Bookinglist'!A:E,5,FALSE)</f>
        <v>0</v>
      </c>
      <c r="H224" s="54" t="str">
        <f>VLOOKUP(D224,'2.Bookinglist'!A:CT,15,FALSE)</f>
        <v>THLCH</v>
      </c>
      <c r="I224" s="54" t="str">
        <f>VLOOKUP(D224,'2.Bookinglist'!A:CT,19,FALSE)</f>
        <v>JPNGO</v>
      </c>
      <c r="J224" s="54" t="str">
        <f>VLOOKUP(D224,'2.Bookinglist'!A:CT,26,FALSE)</f>
        <v>KRPUS</v>
      </c>
      <c r="K224" s="54" t="str">
        <f>VLOOKUP(A224,'1.Loading'!A:R,5,FALSE)</f>
        <v>22GP</v>
      </c>
      <c r="L224" s="56" t="str">
        <f>VLOOKUP(D224,'2.Bookinglist'!A:CT,85,FALSE)</f>
        <v>CY/CY</v>
      </c>
      <c r="M224" s="56" t="str">
        <f>IF(VLOOKUP(D224,'2.Bookinglist'!A:CT,43,FALSE)=0,"","DG")</f>
        <v/>
      </c>
      <c r="N224" s="56" t="str">
        <f>IF(RIGHT(K224,2)="RE","RF","")</f>
        <v/>
      </c>
      <c r="O224" s="54" t="str">
        <f>VLOOKUP(A224,'1.Loading'!A:R,3,FALSE)</f>
        <v>HMVY</v>
      </c>
      <c r="P224" s="54" t="str">
        <f>VLOOKUP(A224,'1.Loading'!A:R,4,FALSE)</f>
        <v>2609N</v>
      </c>
      <c r="Q224" s="54" t="str">
        <f>VLOOKUP(D224,'2.Bookinglist'!A:CT,12,FALSE)</f>
        <v>PCI2</v>
      </c>
      <c r="R224" s="56" t="str">
        <f>IF(LEFT(K224,2)="22","20'","40'")</f>
        <v>20'</v>
      </c>
      <c r="S224" s="38"/>
      <c r="T224" s="54" t="str">
        <f>VLOOKUP(A224,'1.Loading'!A:R,2,FALSE)</f>
        <v>2026-10-28</v>
      </c>
      <c r="U224" s="57">
        <f>T224-S224</f>
        <v>46323</v>
      </c>
      <c r="V224" s="58"/>
      <c r="W224" s="54" t="str">
        <f>VLOOKUP(A224,'3.GateMove'!A:D,4,FALSE)</f>
        <v>2026-10-17</v>
      </c>
      <c r="X224" s="57">
        <f>((T224-W224)+1)</f>
        <v>12</v>
      </c>
      <c r="Y224" s="59">
        <f>IF(AND(OR(C224="BKK01",C224="BKK04"),L224="CFS/CY"),0,IF(M224="DG",1,IF(LEFT(C224,3)="LCH",7,IF(C224="BKK02",5,3))))</f>
        <v>7</v>
      </c>
      <c r="Z224" s="57">
        <f>IF(IF(AND(AC224="TML",AB224&gt;0),((T224-W224)+1)-AB224,((T224-W224)+1)-Y224)&gt;0,IF(AND(AC224="TML",AB224&gt;0),((T224-W224)+1)-AB224,((T224-W224)+1)-Y224),0)</f>
        <v>5</v>
      </c>
      <c r="AA224" s="48">
        <f>IF(AND(B224="G1",M224=""),IF(R224="20'",
VLOOKUP(Z224,Charge!$K$2:$M$5,2,TRUE)+(Z224-VLOOKUP(Z224,Charge!$K$2:$M$5,1,TRUE))*VLOOKUP(Z224,Charge!$K$2:$M$5,3,TRUE),
VLOOKUP(Z224,Charge!$N$2:$P$5,2,TRUE)+(Z224-VLOOKUP(Z224,Charge!$N$2:$P$5,1,TRUE))*VLOOKUP(Z224,Charge!$N$2:$P$5,3,TRUE)),
IF(AND(B224="G1",M224="DG"),IF(R224="20'",
VLOOKUP(Z224,Charge!$R$2:$T$5,2,TRUE)+(Z224-VLOOKUP(Z224,Charge!$R$2:$T$5,1,TRUE))*VLOOKUP(Z224,Charge!$R$2:$T$5,3,TRUE),
VLOOKUP(Z224,Charge!$U$2:$W$5,2,TRUE)+(Z224-VLOOKUP(Z224,Charge!$U$2:$W$5,1,TRUE))*VLOOKUP(Z224,Charge!$U$2:$W$5,3,TRUE)),
IF(AND(B224="G3",M224=""),IF(R224="20'",
VLOOKUP(Z224,Charge!$K$18:$M$21,2,TRUE)+(Z224-VLOOKUP(Z224,Charge!$K$18:$M$21,1,TRUE))*VLOOKUP(Z224,Charge!$K$18:$M$21,3,TRUE),
VLOOKUP(Z224,Charge!$N$18:$P$21,2,TRUE)+(Z224-VLOOKUP(Z224,Charge!$N$18:$P$21,1,TRUE))*VLOOKUP(Z224,Charge!$N$18:$P$21,3,TRUE)),
IF(AND(B224="G3",M224="DG"),IF(R224="20'",
VLOOKUP(Z224,Charge!$R$18:$T$21,2,TRUE)+(Z224-VLOOKUP(Z224,Charge!$R$18:$T$21,1,TRUE))*VLOOKUP(Z224,Charge!$R$18:$T$21,3,TRUE),
VLOOKUP(Z224,Charge!$U$18:$W$21,2,TRUE)+(Z224-VLOOKUP(Z224,Charge!$U$18:$W$21,1,TRUE))*VLOOKUP(Z224,Charge!$U$18:$W$21,3,TRUE)),
IF(AND(B224="G2",M224=""),IF(R224="20'",
VLOOKUP(Z224,Charge!$K$9:$M$12,2,TRUE)+(Z224-VLOOKUP(Z224,Charge!$K$9:$M$12,1,TRUE))*VLOOKUP(Z224,Charge!$K$9:$M$12,3,TRUE),
VLOOKUP(Z224,Charge!$N$9:$P$12,2,TRUE)+(Z224-VLOOKUP(Z224,Charge!$N$9:$P$12,1,TRUE))*VLOOKUP(Z224,Charge!$N$9:$P$12,3,TRUE)),
IF(AND(B224="G2",M224="DG"),IF(R224="20'",
VLOOKUP(Z224,Charge!$R$9:$T$12,2,TRUE)+(Z224-VLOOKUP(Z224,Charge!$R$9:$T$12,1,TRUE))*VLOOKUP(Z224,Charge!$R$9:$T$12,3,TRUE),
VLOOKUP(Z224,Charge!$U$9:$W$12,2,TRUE)+(Z224-VLOOKUP(Z224,Charge!$U$9:$W$12,1,TRUE))*VLOOKUP(Z224,Charge!$U$9:$W$12,3,TRUE)),IF(AND(B224="G4",M224=""),IF(R224="20'",Z224*Charge!$M$25,Z224*Charge!$P$25),IF(AND(B224="G4",M224="DG"),IF(R224="20'",Z224*Charge!$T$25,Z224*Charge!$W$25),0))))))))</f>
        <v>625</v>
      </c>
      <c r="AB224" s="53"/>
      <c r="AC224" s="53"/>
      <c r="AD224" s="56">
        <f>IF(M224="DG",3,IF(N224="RF",3,5))+IF(AND(LEFT(C224,3)="BKK",N224="RF",Q224="KTS"),1,0)+IF(Q224="KHS",1,0)</f>
        <v>5</v>
      </c>
      <c r="AE224" s="57">
        <f>(T224-V224)+1</f>
        <v>46324</v>
      </c>
      <c r="AF224" s="57">
        <f>IF(AB224&gt;IF((V224-W224)&gt;0,V224-W224,0),0,IF(AB224&lt;IF((V224-W224)&gt;0,V224-W224,0),IF((V224-W224)&gt;0,V224-W224,0)-AB224,IF((V224-W224)&gt;0,V224-W224,0)))</f>
        <v>0</v>
      </c>
      <c r="AG224" s="48">
        <f>IF(AND(M224=""),IF(R224="20'",
VLOOKUP(AF224,Charge!$K$31:$M$34,2,TRUE)+(AF224-VLOOKUP(AF224,Charge!$K$31:$M$34,1,TRUE))*VLOOKUP(AF224,Charge!$K$31:$M$34,3,TRUE),
VLOOKUP(AF224,Charge!$N$31:$P$34,2,TRUE)+(AF224-VLOOKUP(AF224,Charge!$N$31:$P$34,1,TRUE))*VLOOKUP(AF224,Charge!$N$31:$P$34,3,TRUE)),
IF(AND(M224="DG"),IF(R224="20'",
VLOOKUP(AF224,Charge!$R$31:$T$34,2,TRUE)+(AF224-VLOOKUP(AF224,Charge!$R$31:$T$34,1,TRUE))*VLOOKUP(AF224,Charge!$R$31:$T$34,3,TRUE),
VLOOKUP(AF224,Charge!$U$31:$W$34,2,TRUE)+(AF224-VLOOKUP(AF224,Charge!$U$31:$W$34,1,TRUE))*VLOOKUP(AF224,Charge!$U$31:$W$34,3,TRUE)),0))</f>
        <v>0</v>
      </c>
      <c r="AH224" s="60"/>
      <c r="AI224" s="60">
        <f>AA224-AH224</f>
        <v>625</v>
      </c>
      <c r="AJ224" s="61"/>
      <c r="AK224" s="55" t="str">
        <f>VLOOKUP(D224,'2.Bookinglist'!A:CT,40,FALSE)</f>
        <v>Dharaporn</v>
      </c>
      <c r="AL224" s="56" t="str">
        <f>VLOOKUP(D224,'2.Bookinglist'!A:CW,101,FALSE)</f>
        <v>2026-10-14</v>
      </c>
      <c r="AM224" s="56" t="str">
        <f>VLOOKUP(D224,'2.Bookinglist'!A:BK,63,FALSE)</f>
        <v>LCHY5</v>
      </c>
      <c r="AN224" s="55" t="str">
        <f>VLOOKUP(D224,'2.Bookinglist'!A:AZ,52,FALSE)</f>
        <v>[FIX][FIX][FIX]SURVEY+CY :09/10/2026 RTN :10/10/2026
REQUEST SEA BULK CONTAIER + SURVEY EMPTY BEFORE PICK UP
</v>
      </c>
      <c r="AO224" s="55">
        <f>VLOOKUP(D224,'2.Bookinglist'!A:CY,103,FALSE)</f>
        <v>0</v>
      </c>
    </row>
    <row r="225" ht="12.95" customHeight="1" spans="1:41" x14ac:dyDescent="0.25">
      <c r="A225" s="3" t="s">
        <v>411</v>
      </c>
      <c r="B225" s="53" t="str">
        <f>IF(C225=Charge!$M$1,Charge!$J$1,IF(C225=Charge!$M$23,Charge!$J$23,IF(C225=Charge!$M$17,Charge!$J$17,IF(C225=Charge!$N$17,Charge!$J$17,Charge!$J$7))))</f>
        <v>G2</v>
      </c>
      <c r="C225" s="54" t="str">
        <f>VLOOKUP(A225,'1.Loading'!A:R,14,FALSE)</f>
        <v>LCH06</v>
      </c>
      <c r="D225" s="54" t="str">
        <f>VLOOKUP(A225,'1.Loading'!A:R,17,FALSE)</f>
        <v>HASLS22261000756</v>
      </c>
      <c r="E225" s="55" t="str">
        <f>VLOOKUP(D225,'2.Bookinglist'!A:CT,27,FALSE)</f>
        <v>TOP INTER FREIGHT CO., LTD.</v>
      </c>
      <c r="F225" s="55" t="str">
        <f>VLOOKUP(D225,'2.Bookinglist'!A:CT,28,FALSE)</f>
        <v>TOP PREMIUM STARCH CO., LTD.</v>
      </c>
      <c r="G225" s="56" t="str">
        <f>VLOOKUP(D225,'2.Bookinglist'!A:E,5,FALSE)</f>
        <v>THLKR</v>
      </c>
      <c r="H225" s="54" t="str">
        <f>VLOOKUP(D225,'2.Bookinglist'!A:CT,15,FALSE)</f>
        <v>THLCH</v>
      </c>
      <c r="I225" s="54" t="str">
        <f>VLOOKUP(D225,'2.Bookinglist'!A:CT,19,FALSE)</f>
        <v>CNSHA</v>
      </c>
      <c r="J225" s="54">
        <f>VLOOKUP(D225,'2.Bookinglist'!A:CT,26,FALSE)</f>
        <v>0</v>
      </c>
      <c r="K225" s="54" t="str">
        <f>VLOOKUP(A225,'1.Loading'!A:R,5,FALSE)</f>
        <v>22GP</v>
      </c>
      <c r="L225" s="56" t="str">
        <f>VLOOKUP(D225,'2.Bookinglist'!A:CT,85,FALSE)</f>
        <v>CFS/CY</v>
      </c>
      <c r="M225" s="56" t="str">
        <f>IF(VLOOKUP(D225,'2.Bookinglist'!A:CT,43,FALSE)=0,"","DG")</f>
        <v/>
      </c>
      <c r="N225" s="56" t="str">
        <f>IF(RIGHT(K225,2)="RE","RF","")</f>
        <v/>
      </c>
      <c r="O225" s="54" t="str">
        <f>VLOOKUP(A225,'1.Loading'!A:R,3,FALSE)</f>
        <v>HMVY</v>
      </c>
      <c r="P225" s="54" t="str">
        <f>VLOOKUP(A225,'1.Loading'!A:R,4,FALSE)</f>
        <v>2609N</v>
      </c>
      <c r="Q225" s="54" t="str">
        <f>VLOOKUP(D225,'2.Bookinglist'!A:CT,12,FALSE)</f>
        <v>PCI2</v>
      </c>
      <c r="R225" s="56" t="str">
        <f>IF(LEFT(K225,2)="22","20'","40'")</f>
        <v>20'</v>
      </c>
      <c r="S225" s="38"/>
      <c r="T225" s="54" t="str">
        <f>VLOOKUP(A225,'1.Loading'!A:R,2,FALSE)</f>
        <v>2026-10-28</v>
      </c>
      <c r="U225" s="57">
        <f>T225-S225</f>
        <v>46323</v>
      </c>
      <c r="V225" s="58"/>
      <c r="W225" s="54" t="str">
        <f>VLOOKUP(A225,'3.GateMove'!A:D,4,FALSE)</f>
        <v>2026-10-20</v>
      </c>
      <c r="X225" s="57">
        <f>((T225-W225)+1)</f>
        <v>9</v>
      </c>
      <c r="Y225" s="59">
        <f>IF(AND(OR(C225="BKK01",C225="BKK04"),L225="CFS/CY"),0,IF(M225="DG",1,IF(LEFT(C225,3)="LCH",7,IF(C225="BKK02",5,3))))</f>
        <v>7</v>
      </c>
      <c r="Z225" s="57">
        <f>IF(IF(AND(AC225="TML",AB225&gt;0),((T225-W225)+1)-AB225,((T225-W225)+1)-Y225)&gt;0,IF(AND(AC225="TML",AB225&gt;0),((T225-W225)+1)-AB225,((T225-W225)+1)-Y225),0)</f>
        <v>2</v>
      </c>
      <c r="AA225" s="48">
        <f>IF(AND(B225="G1",M225=""),IF(R225="20'",
VLOOKUP(Z225,Charge!$K$2:$M$5,2,TRUE)+(Z225-VLOOKUP(Z225,Charge!$K$2:$M$5,1,TRUE))*VLOOKUP(Z225,Charge!$K$2:$M$5,3,TRUE),
VLOOKUP(Z225,Charge!$N$2:$P$5,2,TRUE)+(Z225-VLOOKUP(Z225,Charge!$N$2:$P$5,1,TRUE))*VLOOKUP(Z225,Charge!$N$2:$P$5,3,TRUE)),
IF(AND(B225="G1",M225="DG"),IF(R225="20'",
VLOOKUP(Z225,Charge!$R$2:$T$5,2,TRUE)+(Z225-VLOOKUP(Z225,Charge!$R$2:$T$5,1,TRUE))*VLOOKUP(Z225,Charge!$R$2:$T$5,3,TRUE),
VLOOKUP(Z225,Charge!$U$2:$W$5,2,TRUE)+(Z225-VLOOKUP(Z225,Charge!$U$2:$W$5,1,TRUE))*VLOOKUP(Z225,Charge!$U$2:$W$5,3,TRUE)),
IF(AND(B225="G3",M225=""),IF(R225="20'",
VLOOKUP(Z225,Charge!$K$18:$M$21,2,TRUE)+(Z225-VLOOKUP(Z225,Charge!$K$18:$M$21,1,TRUE))*VLOOKUP(Z225,Charge!$K$18:$M$21,3,TRUE),
VLOOKUP(Z225,Charge!$N$18:$P$21,2,TRUE)+(Z225-VLOOKUP(Z225,Charge!$N$18:$P$21,1,TRUE))*VLOOKUP(Z225,Charge!$N$18:$P$21,3,TRUE)),
IF(AND(B225="G3",M225="DG"),IF(R225="20'",
VLOOKUP(Z225,Charge!$R$18:$T$21,2,TRUE)+(Z225-VLOOKUP(Z225,Charge!$R$18:$T$21,1,TRUE))*VLOOKUP(Z225,Charge!$R$18:$T$21,3,TRUE),
VLOOKUP(Z225,Charge!$U$18:$W$21,2,TRUE)+(Z225-VLOOKUP(Z225,Charge!$U$18:$W$21,1,TRUE))*VLOOKUP(Z225,Charge!$U$18:$W$21,3,TRUE)),
IF(AND(B225="G2",M225=""),IF(R225="20'",
VLOOKUP(Z225,Charge!$K$9:$M$12,2,TRUE)+(Z225-VLOOKUP(Z225,Charge!$K$9:$M$12,1,TRUE))*VLOOKUP(Z225,Charge!$K$9:$M$12,3,TRUE),
VLOOKUP(Z225,Charge!$N$9:$P$12,2,TRUE)+(Z225-VLOOKUP(Z225,Charge!$N$9:$P$12,1,TRUE))*VLOOKUP(Z225,Charge!$N$9:$P$12,3,TRUE)),
IF(AND(B225="G2",M225="DG"),IF(R225="20'",
VLOOKUP(Z225,Charge!$R$9:$T$12,2,TRUE)+(Z225-VLOOKUP(Z225,Charge!$R$9:$T$12,1,TRUE))*VLOOKUP(Z225,Charge!$R$9:$T$12,3,TRUE),
VLOOKUP(Z225,Charge!$U$9:$W$12,2,TRUE)+(Z225-VLOOKUP(Z225,Charge!$U$9:$W$12,1,TRUE))*VLOOKUP(Z225,Charge!$U$9:$W$12,3,TRUE)),IF(AND(B225="G4",M225=""),IF(R225="20'",Z225*Charge!$M$25,Z225*Charge!$P$25),IF(AND(B225="G4",M225="DG"),IF(R225="20'",Z225*Charge!$T$25,Z225*Charge!$W$25),0))))))))</f>
        <v>250</v>
      </c>
      <c r="AB225" s="53"/>
      <c r="AC225" s="53"/>
      <c r="AD225" s="56">
        <f>IF(M225="DG",3,IF(N225="RF",3,5))+IF(AND(LEFT(C225,3)="BKK",N225="RF",Q225="KTS"),1,0)+IF(Q225="KHS",1,0)</f>
        <v>5</v>
      </c>
      <c r="AE225" s="57">
        <f>(T225-V225)+1</f>
        <v>46324</v>
      </c>
      <c r="AF225" s="57">
        <f>IF(AB225&gt;IF((V225-W225)&gt;0,V225-W225,0),0,IF(AB225&lt;IF((V225-W225)&gt;0,V225-W225,0),IF((V225-W225)&gt;0,V225-W225,0)-AB225,IF((V225-W225)&gt;0,V225-W225,0)))</f>
        <v>0</v>
      </c>
      <c r="AG225" s="48">
        <f>IF(AND(M225=""),IF(R225="20'",
VLOOKUP(AF225,Charge!$K$31:$M$34,2,TRUE)+(AF225-VLOOKUP(AF225,Charge!$K$31:$M$34,1,TRUE))*VLOOKUP(AF225,Charge!$K$31:$M$34,3,TRUE),
VLOOKUP(AF225,Charge!$N$31:$P$34,2,TRUE)+(AF225-VLOOKUP(AF225,Charge!$N$31:$P$34,1,TRUE))*VLOOKUP(AF225,Charge!$N$31:$P$34,3,TRUE)),
IF(AND(M225="DG"),IF(R225="20'",
VLOOKUP(AF225,Charge!$R$31:$T$34,2,TRUE)+(AF225-VLOOKUP(AF225,Charge!$R$31:$T$34,1,TRUE))*VLOOKUP(AF225,Charge!$R$31:$T$34,3,TRUE),
VLOOKUP(AF225,Charge!$U$31:$W$34,2,TRUE)+(AF225-VLOOKUP(AF225,Charge!$U$31:$W$34,1,TRUE))*VLOOKUP(AF225,Charge!$U$31:$W$34,3,TRUE)),0))</f>
        <v>0</v>
      </c>
      <c r="AH225" s="60"/>
      <c r="AI225" s="60">
        <f>AA225-AH225</f>
        <v>250</v>
      </c>
      <c r="AJ225" s="61"/>
      <c r="AK225" s="55" t="str">
        <f>VLOOKUP(D225,'2.Bookinglist'!A:CT,40,FALSE)</f>
        <v>Arunphat W. (Aiw)</v>
      </c>
      <c r="AL225" s="56" t="str">
        <f>VLOOKUP(D225,'2.Bookinglist'!A:CW,101,FALSE)</f>
        <v>2026-10-22</v>
      </c>
      <c r="AM225" s="56" t="str">
        <f>VLOOKUP(D225,'2.Bookinglist'!A:BK,63,FALSE)</f>
        <v>LCH54</v>
      </c>
      <c r="AN225" s="55" t="str">
        <f>VLOOKUP(D225,'2.Bookinglist'!A:AZ,52,FALSE)</f>
        <v>STUFFING CARGO AT TIFFA ICD DD.16-17/10/26 [PAPERLESS CODE 2829]
CLS TIME 19/10/26 @17.00</v>
      </c>
      <c r="AO225" s="55">
        <f>VLOOKUP(D225,'2.Bookinglist'!A:CY,103,FALSE)</f>
        <v>0</v>
      </c>
    </row>
    <row r="226" ht="12.95" customHeight="1" spans="1:41" x14ac:dyDescent="0.25">
      <c r="A226" s="3" t="s">
        <v>448</v>
      </c>
      <c r="B226" s="53" t="str">
        <f>IF(C226=Charge!$M$1,Charge!$J$1,IF(C226=Charge!$M$23,Charge!$J$23,IF(C226=Charge!$M$17,Charge!$J$17,IF(C226=Charge!$N$17,Charge!$J$17,Charge!$J$7))))</f>
        <v>G2</v>
      </c>
      <c r="C226" s="54" t="str">
        <f>VLOOKUP(A226,'1.Loading'!A:R,14,FALSE)</f>
        <v>LCH06</v>
      </c>
      <c r="D226" s="54" t="str">
        <f>VLOOKUP(A226,'1.Loading'!A:R,17,FALSE)</f>
        <v>HASLS22260901901</v>
      </c>
      <c r="E226" s="55" t="str">
        <f>VLOOKUP(D226,'2.Bookinglist'!A:CT,27,FALSE)</f>
        <v>WHA GC LOGISTICS COMPANY LIMITED</v>
      </c>
      <c r="F226" s="55" t="str">
        <f>VLOOKUP(D226,'2.Bookinglist'!A:CT,28,FALSE)</f>
        <v>PTT GLOBAL CHEMICAL PUBLIC COMPANY LIMITED</v>
      </c>
      <c r="G226" s="56">
        <f>VLOOKUP(D226,'2.Bookinglist'!A:E,5,FALSE)</f>
        <v>0</v>
      </c>
      <c r="H226" s="54" t="str">
        <f>VLOOKUP(D226,'2.Bookinglist'!A:CT,15,FALSE)</f>
        <v>THLCH</v>
      </c>
      <c r="I226" s="54" t="str">
        <f>VLOOKUP(D226,'2.Bookinglist'!A:CT,19,FALSE)</f>
        <v>CNSHA</v>
      </c>
      <c r="J226" s="54">
        <f>VLOOKUP(D226,'2.Bookinglist'!A:CT,26,FALSE)</f>
        <v>0</v>
      </c>
      <c r="K226" s="54" t="str">
        <f>VLOOKUP(A226,'1.Loading'!A:R,5,FALSE)</f>
        <v>22GP</v>
      </c>
      <c r="L226" s="56" t="str">
        <f>VLOOKUP(D226,'2.Bookinglist'!A:CT,85,FALSE)</f>
        <v>CY/CY</v>
      </c>
      <c r="M226" s="56" t="str">
        <f>IF(VLOOKUP(D226,'2.Bookinglist'!A:CT,43,FALSE)=0,"","DG")</f>
        <v/>
      </c>
      <c r="N226" s="56" t="str">
        <f>IF(RIGHT(K226,2)="RE","RF","")</f>
        <v/>
      </c>
      <c r="O226" s="54" t="str">
        <f>VLOOKUP(A226,'1.Loading'!A:R,3,FALSE)</f>
        <v>HMVY</v>
      </c>
      <c r="P226" s="54" t="str">
        <f>VLOOKUP(A226,'1.Loading'!A:R,4,FALSE)</f>
        <v>2609N</v>
      </c>
      <c r="Q226" s="54" t="str">
        <f>VLOOKUP(D226,'2.Bookinglist'!A:CT,12,FALSE)</f>
        <v>PCI2</v>
      </c>
      <c r="R226" s="56" t="str">
        <f>IF(LEFT(K226,2)="22","20'","40'")</f>
        <v>20'</v>
      </c>
      <c r="S226" s="38"/>
      <c r="T226" s="54" t="str">
        <f>VLOOKUP(A226,'1.Loading'!A:R,2,FALSE)</f>
        <v>2026-10-28</v>
      </c>
      <c r="U226" s="57">
        <f>T226-S226</f>
        <v>46323</v>
      </c>
      <c r="V226" s="58"/>
      <c r="W226" s="54" t="str">
        <f>VLOOKUP(A226,'3.GateMove'!A:D,4,FALSE)</f>
        <v>2026-10-18</v>
      </c>
      <c r="X226" s="57">
        <f>((T226-W226)+1)</f>
        <v>11</v>
      </c>
      <c r="Y226" s="59">
        <f>IF(AND(OR(C226="BKK01",C226="BKK04"),L226="CFS/CY"),0,IF(M226="DG",1,IF(LEFT(C226,3)="LCH",7,IF(C226="BKK02",5,3))))</f>
        <v>7</v>
      </c>
      <c r="Z226" s="57">
        <f>IF(IF(AND(AC226="TML",AB226&gt;0),((T226-W226)+1)-AB226,((T226-W226)+1)-Y226)&gt;0,IF(AND(AC226="TML",AB226&gt;0),((T226-W226)+1)-AB226,((T226-W226)+1)-Y226),0)</f>
        <v>4</v>
      </c>
      <c r="AA226" s="48">
        <f>IF(AND(B226="G1",M226=""),IF(R226="20'",
VLOOKUP(Z226,Charge!$K$2:$M$5,2,TRUE)+(Z226-VLOOKUP(Z226,Charge!$K$2:$M$5,1,TRUE))*VLOOKUP(Z226,Charge!$K$2:$M$5,3,TRUE),
VLOOKUP(Z226,Charge!$N$2:$P$5,2,TRUE)+(Z226-VLOOKUP(Z226,Charge!$N$2:$P$5,1,TRUE))*VLOOKUP(Z226,Charge!$N$2:$P$5,3,TRUE)),
IF(AND(B226="G1",M226="DG"),IF(R226="20'",
VLOOKUP(Z226,Charge!$R$2:$T$5,2,TRUE)+(Z226-VLOOKUP(Z226,Charge!$R$2:$T$5,1,TRUE))*VLOOKUP(Z226,Charge!$R$2:$T$5,3,TRUE),
VLOOKUP(Z226,Charge!$U$2:$W$5,2,TRUE)+(Z226-VLOOKUP(Z226,Charge!$U$2:$W$5,1,TRUE))*VLOOKUP(Z226,Charge!$U$2:$W$5,3,TRUE)),
IF(AND(B226="G3",M226=""),IF(R226="20'",
VLOOKUP(Z226,Charge!$K$18:$M$21,2,TRUE)+(Z226-VLOOKUP(Z226,Charge!$K$18:$M$21,1,TRUE))*VLOOKUP(Z226,Charge!$K$18:$M$21,3,TRUE),
VLOOKUP(Z226,Charge!$N$18:$P$21,2,TRUE)+(Z226-VLOOKUP(Z226,Charge!$N$18:$P$21,1,TRUE))*VLOOKUP(Z226,Charge!$N$18:$P$21,3,TRUE)),
IF(AND(B226="G3",M226="DG"),IF(R226="20'",
VLOOKUP(Z226,Charge!$R$18:$T$21,2,TRUE)+(Z226-VLOOKUP(Z226,Charge!$R$18:$T$21,1,TRUE))*VLOOKUP(Z226,Charge!$R$18:$T$21,3,TRUE),
VLOOKUP(Z226,Charge!$U$18:$W$21,2,TRUE)+(Z226-VLOOKUP(Z226,Charge!$U$18:$W$21,1,TRUE))*VLOOKUP(Z226,Charge!$U$18:$W$21,3,TRUE)),
IF(AND(B226="G2",M226=""),IF(R226="20'",
VLOOKUP(Z226,Charge!$K$9:$M$12,2,TRUE)+(Z226-VLOOKUP(Z226,Charge!$K$9:$M$12,1,TRUE))*VLOOKUP(Z226,Charge!$K$9:$M$12,3,TRUE),
VLOOKUP(Z226,Charge!$N$9:$P$12,2,TRUE)+(Z226-VLOOKUP(Z226,Charge!$N$9:$P$12,1,TRUE))*VLOOKUP(Z226,Charge!$N$9:$P$12,3,TRUE)),
IF(AND(B226="G2",M226="DG"),IF(R226="20'",
VLOOKUP(Z226,Charge!$R$9:$T$12,2,TRUE)+(Z226-VLOOKUP(Z226,Charge!$R$9:$T$12,1,TRUE))*VLOOKUP(Z226,Charge!$R$9:$T$12,3,TRUE),
VLOOKUP(Z226,Charge!$U$9:$W$12,2,TRUE)+(Z226-VLOOKUP(Z226,Charge!$U$9:$W$12,1,TRUE))*VLOOKUP(Z226,Charge!$U$9:$W$12,3,TRUE)),IF(AND(B226="G4",M226=""),IF(R226="20'",Z226*Charge!$M$25,Z226*Charge!$P$25),IF(AND(B226="G4",M226="DG"),IF(R226="20'",Z226*Charge!$T$25,Z226*Charge!$W$25),0))))))))</f>
        <v>500</v>
      </c>
      <c r="AB226" s="53"/>
      <c r="AC226" s="53"/>
      <c r="AD226" s="56">
        <f>IF(M226="DG",3,IF(N226="RF",3,5))+IF(AND(LEFT(C226,3)="BKK",N226="RF",Q226="KTS"),1,0)+IF(Q226="KHS",1,0)</f>
        <v>5</v>
      </c>
      <c r="AE226" s="57">
        <f>(T226-V226)+1</f>
        <v>46324</v>
      </c>
      <c r="AF226" s="57">
        <f>IF(AB226&gt;IF((V226-W226)&gt;0,V226-W226,0),0,IF(AB226&lt;IF((V226-W226)&gt;0,V226-W226,0),IF((V226-W226)&gt;0,V226-W226,0)-AB226,IF((V226-W226)&gt;0,V226-W226,0)))</f>
        <v>0</v>
      </c>
      <c r="AG226" s="48">
        <f>IF(AND(M226=""),IF(R226="20'",
VLOOKUP(AF226,Charge!$K$31:$M$34,2,TRUE)+(AF226-VLOOKUP(AF226,Charge!$K$31:$M$34,1,TRUE))*VLOOKUP(AF226,Charge!$K$31:$M$34,3,TRUE),
VLOOKUP(AF226,Charge!$N$31:$P$34,2,TRUE)+(AF226-VLOOKUP(AF226,Charge!$N$31:$P$34,1,TRUE))*VLOOKUP(AF226,Charge!$N$31:$P$34,3,TRUE)),
IF(AND(M226="DG"),IF(R226="20'",
VLOOKUP(AF226,Charge!$R$31:$T$34,2,TRUE)+(AF226-VLOOKUP(AF226,Charge!$R$31:$T$34,1,TRUE))*VLOOKUP(AF226,Charge!$R$31:$T$34,3,TRUE),
VLOOKUP(AF226,Charge!$U$31:$W$34,2,TRUE)+(AF226-VLOOKUP(AF226,Charge!$U$31:$W$34,1,TRUE))*VLOOKUP(AF226,Charge!$U$31:$W$34,3,TRUE)),0))</f>
        <v>0</v>
      </c>
      <c r="AH226" s="60"/>
      <c r="AI226" s="60">
        <f>AA226-AH226</f>
        <v>500</v>
      </c>
      <c r="AJ226" s="61"/>
      <c r="AK226" s="55" t="str">
        <f>VLOOKUP(D226,'2.Bookinglist'!A:CT,40,FALSE)</f>
        <v>Dharaporn</v>
      </c>
      <c r="AL226" s="56" t="str">
        <f>VLOOKUP(D226,'2.Bookinglist'!A:CW,101,FALSE)</f>
        <v>2026-10-16</v>
      </c>
      <c r="AM226" s="56" t="str">
        <f>VLOOKUP(D226,'2.Bookinglist'!A:BK,63,FALSE)</f>
        <v>LCHY5</v>
      </c>
      <c r="AN226" s="55" t="str">
        <f>VLOOKUP(D226,'2.Bookinglist'!A:AZ,52,FALSE)</f>
        <v>SURVEY+CY DD.10/10/2026 RTN 16/10/2026 
*PLS CHECK OPEN GATE BEFORE RETURN CTNR*</v>
      </c>
      <c r="AO226" s="55">
        <f>VLOOKUP(D226,'2.Bookinglist'!A:CY,103,FALSE)</f>
        <v>0</v>
      </c>
    </row>
    <row r="227" ht="12.95" customHeight="1" spans="1:41" x14ac:dyDescent="0.25">
      <c r="A227" s="3" t="s">
        <v>369</v>
      </c>
      <c r="B227" s="53" t="str">
        <f>IF(C227=Charge!$M$1,Charge!$J$1,IF(C227=Charge!$M$23,Charge!$J$23,IF(C227=Charge!$M$17,Charge!$J$17,IF(C227=Charge!$N$17,Charge!$J$17,Charge!$J$7))))</f>
        <v>G2</v>
      </c>
      <c r="C227" s="54" t="str">
        <f>VLOOKUP(A227,'1.Loading'!A:R,14,FALSE)</f>
        <v>LCH06</v>
      </c>
      <c r="D227" s="54" t="str">
        <f>VLOOKUP(A227,'1.Loading'!A:R,17,FALSE)</f>
        <v>HASLS22260901418</v>
      </c>
      <c r="E227" s="55" t="str">
        <f>VLOOKUP(D227,'2.Bookinglist'!A:CT,27,FALSE)</f>
        <v>RCL LOGISTICS CO., LTD.</v>
      </c>
      <c r="F227" s="55" t="str">
        <f>VLOOKUP(D227,'2.Bookinglist'!A:CT,28,FALSE)</f>
        <v>SMS CORPORATION CO., LTD.</v>
      </c>
      <c r="G227" s="56" t="str">
        <f>VLOOKUP(D227,'2.Bookinglist'!A:E,5,FALSE)</f>
        <v>THSRP</v>
      </c>
      <c r="H227" s="54" t="str">
        <f>VLOOKUP(D227,'2.Bookinglist'!A:CT,15,FALSE)</f>
        <v>THLCH</v>
      </c>
      <c r="I227" s="54" t="str">
        <f>VLOOKUP(D227,'2.Bookinglist'!A:CT,19,FALSE)</f>
        <v>CNSHA</v>
      </c>
      <c r="J227" s="54">
        <f>VLOOKUP(D227,'2.Bookinglist'!A:CT,26,FALSE)</f>
        <v>0</v>
      </c>
      <c r="K227" s="54" t="str">
        <f>VLOOKUP(A227,'1.Loading'!A:R,5,FALSE)</f>
        <v>22GP</v>
      </c>
      <c r="L227" s="56" t="str">
        <f>VLOOKUP(D227,'2.Bookinglist'!A:CT,85,FALSE)</f>
        <v>CY/CY</v>
      </c>
      <c r="M227" s="56" t="str">
        <f>IF(VLOOKUP(D227,'2.Bookinglist'!A:CT,43,FALSE)=0,"","DG")</f>
        <v/>
      </c>
      <c r="N227" s="56" t="str">
        <f>IF(RIGHT(K227,2)="RE","RF","")</f>
        <v/>
      </c>
      <c r="O227" s="54" t="str">
        <f>VLOOKUP(A227,'1.Loading'!A:R,3,FALSE)</f>
        <v>HMVY</v>
      </c>
      <c r="P227" s="54" t="str">
        <f>VLOOKUP(A227,'1.Loading'!A:R,4,FALSE)</f>
        <v>2609N</v>
      </c>
      <c r="Q227" s="54" t="str">
        <f>VLOOKUP(D227,'2.Bookinglist'!A:CT,12,FALSE)</f>
        <v>PCI2</v>
      </c>
      <c r="R227" s="56" t="str">
        <f>IF(LEFT(K227,2)="22","20'","40'")</f>
        <v>20'</v>
      </c>
      <c r="S227" s="38"/>
      <c r="T227" s="54" t="str">
        <f>VLOOKUP(A227,'1.Loading'!A:R,2,FALSE)</f>
        <v>2026-10-28</v>
      </c>
      <c r="U227" s="57">
        <f>T227-S227</f>
        <v>46323</v>
      </c>
      <c r="V227" s="58"/>
      <c r="W227" s="54" t="str">
        <f>VLOOKUP(A227,'3.GateMove'!A:D,4,FALSE)</f>
        <v>2026-10-13</v>
      </c>
      <c r="X227" s="57">
        <f>((T227-W227)+1)</f>
        <v>16</v>
      </c>
      <c r="Y227" s="59">
        <f>IF(AND(OR(C227="BKK01",C227="BKK04"),L227="CFS/CY"),0,IF(M227="DG",1,IF(LEFT(C227,3)="LCH",7,IF(C227="BKK02",5,3))))</f>
        <v>7</v>
      </c>
      <c r="Z227" s="57">
        <f>IF(IF(AND(AC227="TML",AB227&gt;0),((T227-W227)+1)-AB227,((T227-W227)+1)-Y227)&gt;0,IF(AND(AC227="TML",AB227&gt;0),((T227-W227)+1)-AB227,((T227-W227)+1)-Y227),0)</f>
        <v>9</v>
      </c>
      <c r="AA227" s="48">
        <f>IF(AND(B227="G1",M227=""),IF(R227="20'",
VLOOKUP(Z227,Charge!$K$2:$M$5,2,TRUE)+(Z227-VLOOKUP(Z227,Charge!$K$2:$M$5,1,TRUE))*VLOOKUP(Z227,Charge!$K$2:$M$5,3,TRUE),
VLOOKUP(Z227,Charge!$N$2:$P$5,2,TRUE)+(Z227-VLOOKUP(Z227,Charge!$N$2:$P$5,1,TRUE))*VLOOKUP(Z227,Charge!$N$2:$P$5,3,TRUE)),
IF(AND(B227="G1",M227="DG"),IF(R227="20'",
VLOOKUP(Z227,Charge!$R$2:$T$5,2,TRUE)+(Z227-VLOOKUP(Z227,Charge!$R$2:$T$5,1,TRUE))*VLOOKUP(Z227,Charge!$R$2:$T$5,3,TRUE),
VLOOKUP(Z227,Charge!$U$2:$W$5,2,TRUE)+(Z227-VLOOKUP(Z227,Charge!$U$2:$W$5,1,TRUE))*VLOOKUP(Z227,Charge!$U$2:$W$5,3,TRUE)),
IF(AND(B227="G3",M227=""),IF(R227="20'",
VLOOKUP(Z227,Charge!$K$18:$M$21,2,TRUE)+(Z227-VLOOKUP(Z227,Charge!$K$18:$M$21,1,TRUE))*VLOOKUP(Z227,Charge!$K$18:$M$21,3,TRUE),
VLOOKUP(Z227,Charge!$N$18:$P$21,2,TRUE)+(Z227-VLOOKUP(Z227,Charge!$N$18:$P$21,1,TRUE))*VLOOKUP(Z227,Charge!$N$18:$P$21,3,TRUE)),
IF(AND(B227="G3",M227="DG"),IF(R227="20'",
VLOOKUP(Z227,Charge!$R$18:$T$21,2,TRUE)+(Z227-VLOOKUP(Z227,Charge!$R$18:$T$21,1,TRUE))*VLOOKUP(Z227,Charge!$R$18:$T$21,3,TRUE),
VLOOKUP(Z227,Charge!$U$18:$W$21,2,TRUE)+(Z227-VLOOKUP(Z227,Charge!$U$18:$W$21,1,TRUE))*VLOOKUP(Z227,Charge!$U$18:$W$21,3,TRUE)),
IF(AND(B227="G2",M227=""),IF(R227="20'",
VLOOKUP(Z227,Charge!$K$9:$M$12,2,TRUE)+(Z227-VLOOKUP(Z227,Charge!$K$9:$M$12,1,TRUE))*VLOOKUP(Z227,Charge!$K$9:$M$12,3,TRUE),
VLOOKUP(Z227,Charge!$N$9:$P$12,2,TRUE)+(Z227-VLOOKUP(Z227,Charge!$N$9:$P$12,1,TRUE))*VLOOKUP(Z227,Charge!$N$9:$P$12,3,TRUE)),
IF(AND(B227="G2",M227="DG"),IF(R227="20'",
VLOOKUP(Z227,Charge!$R$9:$T$12,2,TRUE)+(Z227-VLOOKUP(Z227,Charge!$R$9:$T$12,1,TRUE))*VLOOKUP(Z227,Charge!$R$9:$T$12,3,TRUE),
VLOOKUP(Z227,Charge!$U$9:$W$12,2,TRUE)+(Z227-VLOOKUP(Z227,Charge!$U$9:$W$12,1,TRUE))*VLOOKUP(Z227,Charge!$U$9:$W$12,3,TRUE)),IF(AND(B227="G4",M227=""),IF(R227="20'",Z227*Charge!$M$25,Z227*Charge!$P$25),IF(AND(B227="G4",M227="DG"),IF(R227="20'",Z227*Charge!$T$25,Z227*Charge!$W$25),0))))))))</f>
        <v>1375</v>
      </c>
      <c r="AB227" s="53"/>
      <c r="AC227" s="53"/>
      <c r="AD227" s="56">
        <f>IF(M227="DG",3,IF(N227="RF",3,5))+IF(AND(LEFT(C227,3)="BKK",N227="RF",Q227="KTS"),1,0)+IF(Q227="KHS",1,0)</f>
        <v>5</v>
      </c>
      <c r="AE227" s="57">
        <f>(T227-V227)+1</f>
        <v>46324</v>
      </c>
      <c r="AF227" s="57">
        <f>IF(AB227&gt;IF((V227-W227)&gt;0,V227-W227,0),0,IF(AB227&lt;IF((V227-W227)&gt;0,V227-W227,0),IF((V227-W227)&gt;0,V227-W227,0)-AB227,IF((V227-W227)&gt;0,V227-W227,0)))</f>
        <v>0</v>
      </c>
      <c r="AG227" s="48">
        <f>IF(AND(M227=""),IF(R227="20'",
VLOOKUP(AF227,Charge!$K$31:$M$34,2,TRUE)+(AF227-VLOOKUP(AF227,Charge!$K$31:$M$34,1,TRUE))*VLOOKUP(AF227,Charge!$K$31:$M$34,3,TRUE),
VLOOKUP(AF227,Charge!$N$31:$P$34,2,TRUE)+(AF227-VLOOKUP(AF227,Charge!$N$31:$P$34,1,TRUE))*VLOOKUP(AF227,Charge!$N$31:$P$34,3,TRUE)),
IF(AND(M227="DG"),IF(R227="20'",
VLOOKUP(AF227,Charge!$R$31:$T$34,2,TRUE)+(AF227-VLOOKUP(AF227,Charge!$R$31:$T$34,1,TRUE))*VLOOKUP(AF227,Charge!$R$31:$T$34,3,TRUE),
VLOOKUP(AF227,Charge!$U$31:$W$34,2,TRUE)+(AF227-VLOOKUP(AF227,Charge!$U$31:$W$34,1,TRUE))*VLOOKUP(AF227,Charge!$U$31:$W$34,3,TRUE)),0))</f>
        <v>0</v>
      </c>
      <c r="AH227" s="60"/>
      <c r="AI227" s="60">
        <f>AA227-AH227</f>
        <v>1375</v>
      </c>
      <c r="AJ227" s="61"/>
      <c r="AK227" s="55" t="str">
        <f>VLOOKUP(D227,'2.Bookinglist'!A:CT,40,FALSE)</f>
        <v>Pattarapong Saengthong</v>
      </c>
      <c r="AL227" s="56" t="str">
        <f>VLOOKUP(D227,'2.Bookinglist'!A:CW,101,FALSE)</f>
        <v>2026-10-24</v>
      </c>
      <c r="AM227" s="56" t="str">
        <f>VLOOKUP(D227,'2.Bookinglist'!A:BK,63,FALSE)</f>
        <v>BKK25</v>
      </c>
      <c r="AN227" s="55" t="str">
        <f>VLOOKUP(D227,'2.Bookinglist'!A:AZ,52,FALSE)</f>
        <v>Pickup : 2026-10-02, Return @SRP : 2026-10-06 (PAPERLESS CODE : 2829)
CLS TIME @SRP : 06/10/2026 @23.59 </v>
      </c>
      <c r="AO227" s="55" t="str">
        <f>VLOOKUP(D227,'2.Bookinglist'!A:CY,103,FALSE)</f>
        <v>ROLL OVER FROM PREVIOUS VSL SWRG 2609N BY ALLOCATION TEAM MS.TAN APPROVED COST IS UNDER HA DD.13/10</v>
      </c>
    </row>
    <row r="228" ht="12.95" customHeight="1" spans="1:41" x14ac:dyDescent="0.25">
      <c r="A228" s="3" t="s">
        <v>433</v>
      </c>
      <c r="B228" s="53" t="str">
        <f>IF(C228=Charge!$M$1,Charge!$J$1,IF(C228=Charge!$M$23,Charge!$J$23,IF(C228=Charge!$M$17,Charge!$J$17,IF(C228=Charge!$N$17,Charge!$J$17,Charge!$J$7))))</f>
        <v>G2</v>
      </c>
      <c r="C228" s="54" t="str">
        <f>VLOOKUP(A228,'1.Loading'!A:R,14,FALSE)</f>
        <v>LCH06</v>
      </c>
      <c r="D228" s="54" t="str">
        <f>VLOOKUP(A228,'1.Loading'!A:R,17,FALSE)</f>
        <v>HASLS22261000008</v>
      </c>
      <c r="E228" s="55" t="str">
        <f>VLOOKUP(D228,'2.Bookinglist'!A:CT,27,FALSE)</f>
        <v>UBE CHEMICALS (ASIA) PUBLIC COMPANY LIMITED</v>
      </c>
      <c r="F228" s="55" t="str">
        <f>VLOOKUP(D228,'2.Bookinglist'!A:CT,28,FALSE)</f>
        <v>UBE CHEMICALS (ASIA) PUBLIC COMPANY LIMITED</v>
      </c>
      <c r="G228" s="56">
        <f>VLOOKUP(D228,'2.Bookinglist'!A:E,5,FALSE)</f>
        <v>0</v>
      </c>
      <c r="H228" s="54" t="str">
        <f>VLOOKUP(D228,'2.Bookinglist'!A:CT,15,FALSE)</f>
        <v>THLCH</v>
      </c>
      <c r="I228" s="54" t="str">
        <f>VLOOKUP(D228,'2.Bookinglist'!A:CT,19,FALSE)</f>
        <v>KRPUS</v>
      </c>
      <c r="J228" s="54">
        <f>VLOOKUP(D228,'2.Bookinglist'!A:CT,26,FALSE)</f>
        <v>0</v>
      </c>
      <c r="K228" s="54" t="str">
        <f>VLOOKUP(A228,'1.Loading'!A:R,5,FALSE)</f>
        <v>22GP</v>
      </c>
      <c r="L228" s="56" t="str">
        <f>VLOOKUP(D228,'2.Bookinglist'!A:CT,85,FALSE)</f>
        <v>CY/CY</v>
      </c>
      <c r="M228" s="56" t="str">
        <f>IF(VLOOKUP(D228,'2.Bookinglist'!A:CT,43,FALSE)=0,"","DG")</f>
        <v/>
      </c>
      <c r="N228" s="56" t="str">
        <f>IF(RIGHT(K228,2)="RE","RF","")</f>
        <v/>
      </c>
      <c r="O228" s="54" t="str">
        <f>VLOOKUP(A228,'1.Loading'!A:R,3,FALSE)</f>
        <v>HMVY</v>
      </c>
      <c r="P228" s="54" t="str">
        <f>VLOOKUP(A228,'1.Loading'!A:R,4,FALSE)</f>
        <v>2609N</v>
      </c>
      <c r="Q228" s="54" t="str">
        <f>VLOOKUP(D228,'2.Bookinglist'!A:CT,12,FALSE)</f>
        <v>PCI2</v>
      </c>
      <c r="R228" s="56" t="str">
        <f>IF(LEFT(K228,2)="22","20'","40'")</f>
        <v>20'</v>
      </c>
      <c r="S228" s="38"/>
      <c r="T228" s="54" t="str">
        <f>VLOOKUP(A228,'1.Loading'!A:R,2,FALSE)</f>
        <v>2026-10-28</v>
      </c>
      <c r="U228" s="57">
        <f>T228-S228</f>
        <v>46323</v>
      </c>
      <c r="V228" s="58"/>
      <c r="W228" s="54" t="str">
        <f>VLOOKUP(A228,'3.GateMove'!A:D,4,FALSE)</f>
        <v>2026-10-22</v>
      </c>
      <c r="X228" s="57">
        <f>((T228-W228)+1)</f>
        <v>7</v>
      </c>
      <c r="Y228" s="59">
        <f>IF(AND(OR(C228="BKK01",C228="BKK04"),L228="CFS/CY"),0,IF(M228="DG",1,IF(LEFT(C228,3)="LCH",7,IF(C228="BKK02",5,3))))</f>
        <v>7</v>
      </c>
      <c r="Z228" s="57">
        <f>IF(IF(AND(AC228="TML",AB228&gt;0),((T228-W228)+1)-AB228,((T228-W228)+1)-Y228)&gt;0,IF(AND(AC228="TML",AB228&gt;0),((T228-W228)+1)-AB228,((T228-W228)+1)-Y228),0)</f>
        <v>0</v>
      </c>
      <c r="AA228" s="48">
        <f>IF(AND(B228="G1",M228=""),IF(R228="20'",
VLOOKUP(Z228,Charge!$K$2:$M$5,2,TRUE)+(Z228-VLOOKUP(Z228,Charge!$K$2:$M$5,1,TRUE))*VLOOKUP(Z228,Charge!$K$2:$M$5,3,TRUE),
VLOOKUP(Z228,Charge!$N$2:$P$5,2,TRUE)+(Z228-VLOOKUP(Z228,Charge!$N$2:$P$5,1,TRUE))*VLOOKUP(Z228,Charge!$N$2:$P$5,3,TRUE)),
IF(AND(B228="G1",M228="DG"),IF(R228="20'",
VLOOKUP(Z228,Charge!$R$2:$T$5,2,TRUE)+(Z228-VLOOKUP(Z228,Charge!$R$2:$T$5,1,TRUE))*VLOOKUP(Z228,Charge!$R$2:$T$5,3,TRUE),
VLOOKUP(Z228,Charge!$U$2:$W$5,2,TRUE)+(Z228-VLOOKUP(Z228,Charge!$U$2:$W$5,1,TRUE))*VLOOKUP(Z228,Charge!$U$2:$W$5,3,TRUE)),
IF(AND(B228="G3",M228=""),IF(R228="20'",
VLOOKUP(Z228,Charge!$K$18:$M$21,2,TRUE)+(Z228-VLOOKUP(Z228,Charge!$K$18:$M$21,1,TRUE))*VLOOKUP(Z228,Charge!$K$18:$M$21,3,TRUE),
VLOOKUP(Z228,Charge!$N$18:$P$21,2,TRUE)+(Z228-VLOOKUP(Z228,Charge!$N$18:$P$21,1,TRUE))*VLOOKUP(Z228,Charge!$N$18:$P$21,3,TRUE)),
IF(AND(B228="G3",M228="DG"),IF(R228="20'",
VLOOKUP(Z228,Charge!$R$18:$T$21,2,TRUE)+(Z228-VLOOKUP(Z228,Charge!$R$18:$T$21,1,TRUE))*VLOOKUP(Z228,Charge!$R$18:$T$21,3,TRUE),
VLOOKUP(Z228,Charge!$U$18:$W$21,2,TRUE)+(Z228-VLOOKUP(Z228,Charge!$U$18:$W$21,1,TRUE))*VLOOKUP(Z228,Charge!$U$18:$W$21,3,TRUE)),
IF(AND(B228="G2",M228=""),IF(R228="20'",
VLOOKUP(Z228,Charge!$K$9:$M$12,2,TRUE)+(Z228-VLOOKUP(Z228,Charge!$K$9:$M$12,1,TRUE))*VLOOKUP(Z228,Charge!$K$9:$M$12,3,TRUE),
VLOOKUP(Z228,Charge!$N$9:$P$12,2,TRUE)+(Z228-VLOOKUP(Z228,Charge!$N$9:$P$12,1,TRUE))*VLOOKUP(Z228,Charge!$N$9:$P$12,3,TRUE)),
IF(AND(B228="G2",M228="DG"),IF(R228="20'",
VLOOKUP(Z228,Charge!$R$9:$T$12,2,TRUE)+(Z228-VLOOKUP(Z228,Charge!$R$9:$T$12,1,TRUE))*VLOOKUP(Z228,Charge!$R$9:$T$12,3,TRUE),
VLOOKUP(Z228,Charge!$U$9:$W$12,2,TRUE)+(Z228-VLOOKUP(Z228,Charge!$U$9:$W$12,1,TRUE))*VLOOKUP(Z228,Charge!$U$9:$W$12,3,TRUE)),IF(AND(B228="G4",M228=""),IF(R228="20'",Z228*Charge!$M$25,Z228*Charge!$P$25),IF(AND(B228="G4",M228="DG"),IF(R228="20'",Z228*Charge!$T$25,Z228*Charge!$W$25),0))))))))</f>
        <v>0</v>
      </c>
      <c r="AB228" s="53"/>
      <c r="AC228" s="53"/>
      <c r="AD228" s="56">
        <f>IF(M228="DG",3,IF(N228="RF",3,5))+IF(AND(LEFT(C228,3)="BKK",N228="RF",Q228="KTS"),1,0)+IF(Q228="KHS",1,0)</f>
        <v>5</v>
      </c>
      <c r="AE228" s="57">
        <f>(T228-V228)+1</f>
        <v>46324</v>
      </c>
      <c r="AF228" s="57">
        <f>IF(AB228&gt;IF((V228-W228)&gt;0,V228-W228,0),0,IF(AB228&lt;IF((V228-W228)&gt;0,V228-W228,0),IF((V228-W228)&gt;0,V228-W228,0)-AB228,IF((V228-W228)&gt;0,V228-W228,0)))</f>
        <v>0</v>
      </c>
      <c r="AG228" s="48">
        <f>IF(AND(M228=""),IF(R228="20'",
VLOOKUP(AF228,Charge!$K$31:$M$34,2,TRUE)+(AF228-VLOOKUP(AF228,Charge!$K$31:$M$34,1,TRUE))*VLOOKUP(AF228,Charge!$K$31:$M$34,3,TRUE),
VLOOKUP(AF228,Charge!$N$31:$P$34,2,TRUE)+(AF228-VLOOKUP(AF228,Charge!$N$31:$P$34,1,TRUE))*VLOOKUP(AF228,Charge!$N$31:$P$34,3,TRUE)),
IF(AND(M228="DG"),IF(R228="20'",
VLOOKUP(AF228,Charge!$R$31:$T$34,2,TRUE)+(AF228-VLOOKUP(AF228,Charge!$R$31:$T$34,1,TRUE))*VLOOKUP(AF228,Charge!$R$31:$T$34,3,TRUE),
VLOOKUP(AF228,Charge!$U$31:$W$34,2,TRUE)+(AF228-VLOOKUP(AF228,Charge!$U$31:$W$34,1,TRUE))*VLOOKUP(AF228,Charge!$U$31:$W$34,3,TRUE)),0))</f>
        <v>0</v>
      </c>
      <c r="AH228" s="60"/>
      <c r="AI228" s="60">
        <f>AA228-AH228</f>
        <v>0</v>
      </c>
      <c r="AJ228" s="61"/>
      <c r="AK228" s="55" t="str">
        <f>VLOOKUP(D228,'2.Bookinglist'!A:CT,40,FALSE)</f>
        <v>Tarn(Supaporn)</v>
      </c>
      <c r="AL228" s="56" t="str">
        <f>VLOOKUP(D228,'2.Bookinglist'!A:CW,101,FALSE)</f>
        <v>2026-10-27</v>
      </c>
      <c r="AM228" s="56" t="str">
        <f>VLOOKUP(D228,'2.Bookinglist'!A:BK,63,FALSE)</f>
        <v>LCHY5</v>
      </c>
      <c r="AN228" s="55" t="str">
        <f>VLOOKUP(D228,'2.Bookinglist'!A:AZ,52,FALSE)</f>
        <v>CY-RTN 19-21/1/26 
SAP SO : 2002054816</v>
      </c>
      <c r="AO228" s="55">
        <f>VLOOKUP(D228,'2.Bookinglist'!A:CY,103,FALSE)</f>
        <v>0</v>
      </c>
    </row>
    <row r="229" ht="12.95" customHeight="1" spans="1:41" x14ac:dyDescent="0.25">
      <c r="A229" s="3" t="s">
        <v>410</v>
      </c>
      <c r="B229" s="53" t="str">
        <f>IF(C229=Charge!$M$1,Charge!$J$1,IF(C229=Charge!$M$23,Charge!$J$23,IF(C229=Charge!$M$17,Charge!$J$17,IF(C229=Charge!$N$17,Charge!$J$17,Charge!$J$7))))</f>
        <v>G2</v>
      </c>
      <c r="C229" s="54" t="str">
        <f>VLOOKUP(A229,'1.Loading'!A:R,14,FALSE)</f>
        <v>LCH06</v>
      </c>
      <c r="D229" s="54" t="str">
        <f>VLOOKUP(A229,'1.Loading'!A:R,17,FALSE)</f>
        <v>HASLS22261000675</v>
      </c>
      <c r="E229" s="55" t="str">
        <f>VLOOKUP(D229,'2.Bookinglist'!A:CT,27,FALSE)</f>
        <v>UNITED MARINE LOGISTIC CO., LTD.</v>
      </c>
      <c r="F229" s="55" t="str">
        <f>VLOOKUP(D229,'2.Bookinglist'!A:CT,28,FALSE)</f>
        <v>INNOVATIVE FOOD AND BEVERAGE (THAILAND) CO., LTD.</v>
      </c>
      <c r="G229" s="56" t="str">
        <f>VLOOKUP(D229,'2.Bookinglist'!A:E,5,FALSE)</f>
        <v>THSRP</v>
      </c>
      <c r="H229" s="54" t="str">
        <f>VLOOKUP(D229,'2.Bookinglist'!A:CT,15,FALSE)</f>
        <v>THLCH</v>
      </c>
      <c r="I229" s="54" t="str">
        <f>VLOOKUP(D229,'2.Bookinglist'!A:CT,19,FALSE)</f>
        <v>CNSHA</v>
      </c>
      <c r="J229" s="54">
        <f>VLOOKUP(D229,'2.Bookinglist'!A:CT,26,FALSE)</f>
        <v>0</v>
      </c>
      <c r="K229" s="54" t="str">
        <f>VLOOKUP(A229,'1.Loading'!A:R,5,FALSE)</f>
        <v>22GP</v>
      </c>
      <c r="L229" s="56" t="str">
        <f>VLOOKUP(D229,'2.Bookinglist'!A:CT,85,FALSE)</f>
        <v>CY/CY</v>
      </c>
      <c r="M229" s="56" t="str">
        <f>IF(VLOOKUP(D229,'2.Bookinglist'!A:CT,43,FALSE)=0,"","DG")</f>
        <v/>
      </c>
      <c r="N229" s="56" t="str">
        <f>IF(RIGHT(K229,2)="RE","RF","")</f>
        <v/>
      </c>
      <c r="O229" s="54" t="str">
        <f>VLOOKUP(A229,'1.Loading'!A:R,3,FALSE)</f>
        <v>HMVY</v>
      </c>
      <c r="P229" s="54" t="str">
        <f>VLOOKUP(A229,'1.Loading'!A:R,4,FALSE)</f>
        <v>2609N</v>
      </c>
      <c r="Q229" s="54" t="str">
        <f>VLOOKUP(D229,'2.Bookinglist'!A:CT,12,FALSE)</f>
        <v>PCI2</v>
      </c>
      <c r="R229" s="56" t="str">
        <f>IF(LEFT(K229,2)="22","20'","40'")</f>
        <v>20'</v>
      </c>
      <c r="S229" s="38"/>
      <c r="T229" s="54" t="str">
        <f>VLOOKUP(A229,'1.Loading'!A:R,2,FALSE)</f>
        <v>2026-10-28</v>
      </c>
      <c r="U229" s="57">
        <f>T229-S229</f>
        <v>46323</v>
      </c>
      <c r="V229" s="58"/>
      <c r="W229" s="54" t="str">
        <f>VLOOKUP(A229,'3.GateMove'!A:D,4,FALSE)</f>
        <v>2026-10-23</v>
      </c>
      <c r="X229" s="57">
        <f>((T229-W229)+1)</f>
        <v>6</v>
      </c>
      <c r="Y229" s="59">
        <f>IF(AND(OR(C229="BKK01",C229="BKK04"),L229="CFS/CY"),0,IF(M229="DG",1,IF(LEFT(C229,3)="LCH",7,IF(C229="BKK02",5,3))))</f>
        <v>7</v>
      </c>
      <c r="Z229" s="57">
        <f>IF(IF(AND(AC229="TML",AB229&gt;0),((T229-W229)+1)-AB229,((T229-W229)+1)-Y229)&gt;0,IF(AND(AC229="TML",AB229&gt;0),((T229-W229)+1)-AB229,((T229-W229)+1)-Y229),0)</f>
        <v>0</v>
      </c>
      <c r="AA229" s="48">
        <f>IF(AND(B229="G1",M229=""),IF(R229="20'",
VLOOKUP(Z229,Charge!$K$2:$M$5,2,TRUE)+(Z229-VLOOKUP(Z229,Charge!$K$2:$M$5,1,TRUE))*VLOOKUP(Z229,Charge!$K$2:$M$5,3,TRUE),
VLOOKUP(Z229,Charge!$N$2:$P$5,2,TRUE)+(Z229-VLOOKUP(Z229,Charge!$N$2:$P$5,1,TRUE))*VLOOKUP(Z229,Charge!$N$2:$P$5,3,TRUE)),
IF(AND(B229="G1",M229="DG"),IF(R229="20'",
VLOOKUP(Z229,Charge!$R$2:$T$5,2,TRUE)+(Z229-VLOOKUP(Z229,Charge!$R$2:$T$5,1,TRUE))*VLOOKUP(Z229,Charge!$R$2:$T$5,3,TRUE),
VLOOKUP(Z229,Charge!$U$2:$W$5,2,TRUE)+(Z229-VLOOKUP(Z229,Charge!$U$2:$W$5,1,TRUE))*VLOOKUP(Z229,Charge!$U$2:$W$5,3,TRUE)),
IF(AND(B229="G3",M229=""),IF(R229="20'",
VLOOKUP(Z229,Charge!$K$18:$M$21,2,TRUE)+(Z229-VLOOKUP(Z229,Charge!$K$18:$M$21,1,TRUE))*VLOOKUP(Z229,Charge!$K$18:$M$21,3,TRUE),
VLOOKUP(Z229,Charge!$N$18:$P$21,2,TRUE)+(Z229-VLOOKUP(Z229,Charge!$N$18:$P$21,1,TRUE))*VLOOKUP(Z229,Charge!$N$18:$P$21,3,TRUE)),
IF(AND(B229="G3",M229="DG"),IF(R229="20'",
VLOOKUP(Z229,Charge!$R$18:$T$21,2,TRUE)+(Z229-VLOOKUP(Z229,Charge!$R$18:$T$21,1,TRUE))*VLOOKUP(Z229,Charge!$R$18:$T$21,3,TRUE),
VLOOKUP(Z229,Charge!$U$18:$W$21,2,TRUE)+(Z229-VLOOKUP(Z229,Charge!$U$18:$W$21,1,TRUE))*VLOOKUP(Z229,Charge!$U$18:$W$21,3,TRUE)),
IF(AND(B229="G2",M229=""),IF(R229="20'",
VLOOKUP(Z229,Charge!$K$9:$M$12,2,TRUE)+(Z229-VLOOKUP(Z229,Charge!$K$9:$M$12,1,TRUE))*VLOOKUP(Z229,Charge!$K$9:$M$12,3,TRUE),
VLOOKUP(Z229,Charge!$N$9:$P$12,2,TRUE)+(Z229-VLOOKUP(Z229,Charge!$N$9:$P$12,1,TRUE))*VLOOKUP(Z229,Charge!$N$9:$P$12,3,TRUE)),
IF(AND(B229="G2",M229="DG"),IF(R229="20'",
VLOOKUP(Z229,Charge!$R$9:$T$12,2,TRUE)+(Z229-VLOOKUP(Z229,Charge!$R$9:$T$12,1,TRUE))*VLOOKUP(Z229,Charge!$R$9:$T$12,3,TRUE),
VLOOKUP(Z229,Charge!$U$9:$W$12,2,TRUE)+(Z229-VLOOKUP(Z229,Charge!$U$9:$W$12,1,TRUE))*VLOOKUP(Z229,Charge!$U$9:$W$12,3,TRUE)),IF(AND(B229="G4",M229=""),IF(R229="20'",Z229*Charge!$M$25,Z229*Charge!$P$25),IF(AND(B229="G4",M229="DG"),IF(R229="20'",Z229*Charge!$T$25,Z229*Charge!$W$25),0))))))))</f>
        <v>0</v>
      </c>
      <c r="AB229" s="53"/>
      <c r="AC229" s="53"/>
      <c r="AD229" s="56">
        <f>IF(M229="DG",3,IF(N229="RF",3,5))+IF(AND(LEFT(C229,3)="BKK",N229="RF",Q229="KTS"),1,0)+IF(Q229="KHS",1,0)</f>
        <v>5</v>
      </c>
      <c r="AE229" s="57">
        <f>(T229-V229)+1</f>
        <v>46324</v>
      </c>
      <c r="AF229" s="57">
        <f>IF(AB229&gt;IF((V229-W229)&gt;0,V229-W229,0),0,IF(AB229&lt;IF((V229-W229)&gt;0,V229-W229,0),IF((V229-W229)&gt;0,V229-W229,0)-AB229,IF((V229-W229)&gt;0,V229-W229,0)))</f>
        <v>0</v>
      </c>
      <c r="AG229" s="48">
        <f>IF(AND(M229=""),IF(R229="20'",
VLOOKUP(AF229,Charge!$K$31:$M$34,2,TRUE)+(AF229-VLOOKUP(AF229,Charge!$K$31:$M$34,1,TRUE))*VLOOKUP(AF229,Charge!$K$31:$M$34,3,TRUE),
VLOOKUP(AF229,Charge!$N$31:$P$34,2,TRUE)+(AF229-VLOOKUP(AF229,Charge!$N$31:$P$34,1,TRUE))*VLOOKUP(AF229,Charge!$N$31:$P$34,3,TRUE)),
IF(AND(M229="DG"),IF(R229="20'",
VLOOKUP(AF229,Charge!$R$31:$T$34,2,TRUE)+(AF229-VLOOKUP(AF229,Charge!$R$31:$T$34,1,TRUE))*VLOOKUP(AF229,Charge!$R$31:$T$34,3,TRUE),
VLOOKUP(AF229,Charge!$U$31:$W$34,2,TRUE)+(AF229-VLOOKUP(AF229,Charge!$U$31:$W$34,1,TRUE))*VLOOKUP(AF229,Charge!$U$31:$W$34,3,TRUE)),0))</f>
        <v>0</v>
      </c>
      <c r="AH229" s="60"/>
      <c r="AI229" s="60">
        <f>AA229-AH229</f>
        <v>0</v>
      </c>
      <c r="AJ229" s="61"/>
      <c r="AK229" s="55" t="str">
        <f>VLOOKUP(D229,'2.Bookinglist'!A:CT,40,FALSE)</f>
        <v>Nannaapust Sukporntaweewat</v>
      </c>
      <c r="AL229" s="56" t="str">
        <f>VLOOKUP(D229,'2.Bookinglist'!A:CW,101,FALSE)</f>
        <v>2026-10-22</v>
      </c>
      <c r="AM229" s="56" t="str">
        <f>VLOOKUP(D229,'2.Bookinglist'!A:BK,63,FALSE)</f>
        <v>BKK27</v>
      </c>
      <c r="AN229" s="55" t="str">
        <f>VLOOKUP(D229,'2.Bookinglist'!A:AZ,52,FALSE)</f>
        <v>Pickup : 2026-10-16, Return SRP : 2026-10-17 [PAPERLESS CODE 2829]
CLS TIME 19/10/26 @13.00</v>
      </c>
      <c r="AO229" s="55">
        <f>VLOOKUP(D229,'2.Bookinglist'!A:CY,103,FALSE)</f>
        <v>0</v>
      </c>
    </row>
    <row r="230" ht="12.95" customHeight="1" spans="1:41" x14ac:dyDescent="0.25">
      <c r="A230" s="3" t="s">
        <v>405</v>
      </c>
      <c r="B230" s="53" t="str">
        <f>IF(C230=Charge!$M$1,Charge!$J$1,IF(C230=Charge!$M$23,Charge!$J$23,IF(C230=Charge!$M$17,Charge!$J$17,IF(C230=Charge!$N$17,Charge!$J$17,Charge!$J$7))))</f>
        <v>G2</v>
      </c>
      <c r="C230" s="54" t="str">
        <f>VLOOKUP(A230,'1.Loading'!A:R,14,FALSE)</f>
        <v>LCH06</v>
      </c>
      <c r="D230" s="54" t="str">
        <f>VLOOKUP(A230,'1.Loading'!A:R,17,FALSE)</f>
        <v>HASLS22260901900</v>
      </c>
      <c r="E230" s="55" t="str">
        <f>VLOOKUP(D230,'2.Bookinglist'!A:CT,27,FALSE)</f>
        <v>WHA GC LOGISTICS COMPANY LIMITED</v>
      </c>
      <c r="F230" s="55" t="str">
        <f>VLOOKUP(D230,'2.Bookinglist'!A:CT,28,FALSE)</f>
        <v>PTT GLOBAL CHEMICAL PUBLIC COMPANY LIMITED</v>
      </c>
      <c r="G230" s="56">
        <f>VLOOKUP(D230,'2.Bookinglist'!A:E,5,FALSE)</f>
        <v>0</v>
      </c>
      <c r="H230" s="54" t="str">
        <f>VLOOKUP(D230,'2.Bookinglist'!A:CT,15,FALSE)</f>
        <v>THLCH</v>
      </c>
      <c r="I230" s="54" t="str">
        <f>VLOOKUP(D230,'2.Bookinglist'!A:CT,19,FALSE)</f>
        <v>CNSHA</v>
      </c>
      <c r="J230" s="54">
        <f>VLOOKUP(D230,'2.Bookinglist'!A:CT,26,FALSE)</f>
        <v>0</v>
      </c>
      <c r="K230" s="54" t="str">
        <f>VLOOKUP(A230,'1.Loading'!A:R,5,FALSE)</f>
        <v>22GP</v>
      </c>
      <c r="L230" s="56" t="str">
        <f>VLOOKUP(D230,'2.Bookinglist'!A:CT,85,FALSE)</f>
        <v>CY/CY</v>
      </c>
      <c r="M230" s="56" t="str">
        <f>IF(VLOOKUP(D230,'2.Bookinglist'!A:CT,43,FALSE)=0,"","DG")</f>
        <v/>
      </c>
      <c r="N230" s="56" t="str">
        <f>IF(RIGHT(K230,2)="RE","RF","")</f>
        <v/>
      </c>
      <c r="O230" s="54" t="str">
        <f>VLOOKUP(A230,'1.Loading'!A:R,3,FALSE)</f>
        <v>HMVY</v>
      </c>
      <c r="P230" s="54" t="str">
        <f>VLOOKUP(A230,'1.Loading'!A:R,4,FALSE)</f>
        <v>2609N</v>
      </c>
      <c r="Q230" s="54" t="str">
        <f>VLOOKUP(D230,'2.Bookinglist'!A:CT,12,FALSE)</f>
        <v>PCI2</v>
      </c>
      <c r="R230" s="56" t="str">
        <f>IF(LEFT(K230,2)="22","20'","40'")</f>
        <v>20'</v>
      </c>
      <c r="S230" s="38"/>
      <c r="T230" s="54" t="str">
        <f>VLOOKUP(A230,'1.Loading'!A:R,2,FALSE)</f>
        <v>2026-10-28</v>
      </c>
      <c r="U230" s="57">
        <f>T230-S230</f>
        <v>46323</v>
      </c>
      <c r="V230" s="58"/>
      <c r="W230" s="54" t="str">
        <f>VLOOKUP(A230,'3.GateMove'!A:D,4,FALSE)</f>
        <v>2026-10-19</v>
      </c>
      <c r="X230" s="57">
        <f>((T230-W230)+1)</f>
        <v>10</v>
      </c>
      <c r="Y230" s="59">
        <f>IF(AND(OR(C230="BKK01",C230="BKK04"),L230="CFS/CY"),0,IF(M230="DG",1,IF(LEFT(C230,3)="LCH",7,IF(C230="BKK02",5,3))))</f>
        <v>7</v>
      </c>
      <c r="Z230" s="57">
        <f>IF(IF(AND(AC230="TML",AB230&gt;0),((T230-W230)+1)-AB230,((T230-W230)+1)-Y230)&gt;0,IF(AND(AC230="TML",AB230&gt;0),((T230-W230)+1)-AB230,((T230-W230)+1)-Y230),0)</f>
        <v>3</v>
      </c>
      <c r="AA230" s="48">
        <f>IF(AND(B230="G1",M230=""),IF(R230="20'",
VLOOKUP(Z230,Charge!$K$2:$M$5,2,TRUE)+(Z230-VLOOKUP(Z230,Charge!$K$2:$M$5,1,TRUE))*VLOOKUP(Z230,Charge!$K$2:$M$5,3,TRUE),
VLOOKUP(Z230,Charge!$N$2:$P$5,2,TRUE)+(Z230-VLOOKUP(Z230,Charge!$N$2:$P$5,1,TRUE))*VLOOKUP(Z230,Charge!$N$2:$P$5,3,TRUE)),
IF(AND(B230="G1",M230="DG"),IF(R230="20'",
VLOOKUP(Z230,Charge!$R$2:$T$5,2,TRUE)+(Z230-VLOOKUP(Z230,Charge!$R$2:$T$5,1,TRUE))*VLOOKUP(Z230,Charge!$R$2:$T$5,3,TRUE),
VLOOKUP(Z230,Charge!$U$2:$W$5,2,TRUE)+(Z230-VLOOKUP(Z230,Charge!$U$2:$W$5,1,TRUE))*VLOOKUP(Z230,Charge!$U$2:$W$5,3,TRUE)),
IF(AND(B230="G3",M230=""),IF(R230="20'",
VLOOKUP(Z230,Charge!$K$18:$M$21,2,TRUE)+(Z230-VLOOKUP(Z230,Charge!$K$18:$M$21,1,TRUE))*VLOOKUP(Z230,Charge!$K$18:$M$21,3,TRUE),
VLOOKUP(Z230,Charge!$N$18:$P$21,2,TRUE)+(Z230-VLOOKUP(Z230,Charge!$N$18:$P$21,1,TRUE))*VLOOKUP(Z230,Charge!$N$18:$P$21,3,TRUE)),
IF(AND(B230="G3",M230="DG"),IF(R230="20'",
VLOOKUP(Z230,Charge!$R$18:$T$21,2,TRUE)+(Z230-VLOOKUP(Z230,Charge!$R$18:$T$21,1,TRUE))*VLOOKUP(Z230,Charge!$R$18:$T$21,3,TRUE),
VLOOKUP(Z230,Charge!$U$18:$W$21,2,TRUE)+(Z230-VLOOKUP(Z230,Charge!$U$18:$W$21,1,TRUE))*VLOOKUP(Z230,Charge!$U$18:$W$21,3,TRUE)),
IF(AND(B230="G2",M230=""),IF(R230="20'",
VLOOKUP(Z230,Charge!$K$9:$M$12,2,TRUE)+(Z230-VLOOKUP(Z230,Charge!$K$9:$M$12,1,TRUE))*VLOOKUP(Z230,Charge!$K$9:$M$12,3,TRUE),
VLOOKUP(Z230,Charge!$N$9:$P$12,2,TRUE)+(Z230-VLOOKUP(Z230,Charge!$N$9:$P$12,1,TRUE))*VLOOKUP(Z230,Charge!$N$9:$P$12,3,TRUE)),
IF(AND(B230="G2",M230="DG"),IF(R230="20'",
VLOOKUP(Z230,Charge!$R$9:$T$12,2,TRUE)+(Z230-VLOOKUP(Z230,Charge!$R$9:$T$12,1,TRUE))*VLOOKUP(Z230,Charge!$R$9:$T$12,3,TRUE),
VLOOKUP(Z230,Charge!$U$9:$W$12,2,TRUE)+(Z230-VLOOKUP(Z230,Charge!$U$9:$W$12,1,TRUE))*VLOOKUP(Z230,Charge!$U$9:$W$12,3,TRUE)),IF(AND(B230="G4",M230=""),IF(R230="20'",Z230*Charge!$M$25,Z230*Charge!$P$25),IF(AND(B230="G4",M230="DG"),IF(R230="20'",Z230*Charge!$T$25,Z230*Charge!$W$25),0))))))))</f>
        <v>375</v>
      </c>
      <c r="AB230" s="53"/>
      <c r="AC230" s="53"/>
      <c r="AD230" s="56">
        <f>IF(M230="DG",3,IF(N230="RF",3,5))+IF(AND(LEFT(C230,3)="BKK",N230="RF",Q230="KTS"),1,0)+IF(Q230="KHS",1,0)</f>
        <v>5</v>
      </c>
      <c r="AE230" s="57">
        <f>(T230-V230)+1</f>
        <v>46324</v>
      </c>
      <c r="AF230" s="57">
        <f>IF(AB230&gt;IF((V230-W230)&gt;0,V230-W230,0),0,IF(AB230&lt;IF((V230-W230)&gt;0,V230-W230,0),IF((V230-W230)&gt;0,V230-W230,0)-AB230,IF((V230-W230)&gt;0,V230-W230,0)))</f>
        <v>0</v>
      </c>
      <c r="AG230" s="48">
        <f>IF(AND(M230=""),IF(R230="20'",
VLOOKUP(AF230,Charge!$K$31:$M$34,2,TRUE)+(AF230-VLOOKUP(AF230,Charge!$K$31:$M$34,1,TRUE))*VLOOKUP(AF230,Charge!$K$31:$M$34,3,TRUE),
VLOOKUP(AF230,Charge!$N$31:$P$34,2,TRUE)+(AF230-VLOOKUP(AF230,Charge!$N$31:$P$34,1,TRUE))*VLOOKUP(AF230,Charge!$N$31:$P$34,3,TRUE)),
IF(AND(M230="DG"),IF(R230="20'",
VLOOKUP(AF230,Charge!$R$31:$T$34,2,TRUE)+(AF230-VLOOKUP(AF230,Charge!$R$31:$T$34,1,TRUE))*VLOOKUP(AF230,Charge!$R$31:$T$34,3,TRUE),
VLOOKUP(AF230,Charge!$U$31:$W$34,2,TRUE)+(AF230-VLOOKUP(AF230,Charge!$U$31:$W$34,1,TRUE))*VLOOKUP(AF230,Charge!$U$31:$W$34,3,TRUE)),0))</f>
        <v>0</v>
      </c>
      <c r="AH230" s="60"/>
      <c r="AI230" s="60">
        <f>AA230-AH230</f>
        <v>375</v>
      </c>
      <c r="AJ230" s="61"/>
      <c r="AK230" s="55" t="str">
        <f>VLOOKUP(D230,'2.Bookinglist'!A:CT,40,FALSE)</f>
        <v>Dharaporn</v>
      </c>
      <c r="AL230" s="56" t="str">
        <f>VLOOKUP(D230,'2.Bookinglist'!A:CW,101,FALSE)</f>
        <v>2026-10-16</v>
      </c>
      <c r="AM230" s="56" t="str">
        <f>VLOOKUP(D230,'2.Bookinglist'!A:BK,63,FALSE)</f>
        <v>LCHY5</v>
      </c>
      <c r="AN230" s="55" t="str">
        <f>VLOOKUP(D230,'2.Bookinglist'!A:AZ,52,FALSE)</f>
        <v>SURVEY+CY DD.10/10/2026 RTN 16/10/2026 
*PLS CHECK OPEN GATE BEFORE RETURN CTNR*</v>
      </c>
      <c r="AO230" s="55">
        <f>VLOOKUP(D230,'2.Bookinglist'!A:CY,103,FALSE)</f>
        <v>0</v>
      </c>
    </row>
    <row r="231" ht="12.95" customHeight="1" spans="1:41" x14ac:dyDescent="0.25">
      <c r="A231" s="3" t="s">
        <v>438</v>
      </c>
      <c r="B231" s="53" t="str">
        <f>IF(C231=Charge!$M$1,Charge!$J$1,IF(C231=Charge!$M$23,Charge!$J$23,IF(C231=Charge!$M$17,Charge!$J$17,IF(C231=Charge!$N$17,Charge!$J$17,Charge!$J$7))))</f>
        <v>G2</v>
      </c>
      <c r="C231" s="54" t="str">
        <f>VLOOKUP(A231,'1.Loading'!A:R,14,FALSE)</f>
        <v>LCH06</v>
      </c>
      <c r="D231" s="54" t="str">
        <f>VLOOKUP(A231,'1.Loading'!A:R,17,FALSE)</f>
        <v>HASLS22260901496</v>
      </c>
      <c r="E231" s="55" t="str">
        <f>VLOOKUP(D231,'2.Bookinglist'!A:CT,27,FALSE)</f>
        <v>WHA GC LOGISTICS COMPANY LIMITED</v>
      </c>
      <c r="F231" s="55" t="str">
        <f>VLOOKUP(D231,'2.Bookinglist'!A:CT,28,FALSE)</f>
        <v>PTT GLOBAL CHEMICAL PUBLIC COMPANY LIMITED</v>
      </c>
      <c r="G231" s="56">
        <f>VLOOKUP(D231,'2.Bookinglist'!A:E,5,FALSE)</f>
        <v>0</v>
      </c>
      <c r="H231" s="54" t="str">
        <f>VLOOKUP(D231,'2.Bookinglist'!A:CT,15,FALSE)</f>
        <v>THLCH</v>
      </c>
      <c r="I231" s="54" t="str">
        <f>VLOOKUP(D231,'2.Bookinglist'!A:CT,19,FALSE)</f>
        <v>JPNGO</v>
      </c>
      <c r="J231" s="54" t="str">
        <f>VLOOKUP(D231,'2.Bookinglist'!A:CT,26,FALSE)</f>
        <v>KRPUS</v>
      </c>
      <c r="K231" s="54" t="str">
        <f>VLOOKUP(A231,'1.Loading'!A:R,5,FALSE)</f>
        <v>22GP</v>
      </c>
      <c r="L231" s="56" t="str">
        <f>VLOOKUP(D231,'2.Bookinglist'!A:CT,85,FALSE)</f>
        <v>CY/CY</v>
      </c>
      <c r="M231" s="56" t="str">
        <f>IF(VLOOKUP(D231,'2.Bookinglist'!A:CT,43,FALSE)=0,"","DG")</f>
        <v/>
      </c>
      <c r="N231" s="56" t="str">
        <f>IF(RIGHT(K231,2)="RE","RF","")</f>
        <v/>
      </c>
      <c r="O231" s="54" t="str">
        <f>VLOOKUP(A231,'1.Loading'!A:R,3,FALSE)</f>
        <v>HMVY</v>
      </c>
      <c r="P231" s="54" t="str">
        <f>VLOOKUP(A231,'1.Loading'!A:R,4,FALSE)</f>
        <v>2609N</v>
      </c>
      <c r="Q231" s="54" t="str">
        <f>VLOOKUP(D231,'2.Bookinglist'!A:CT,12,FALSE)</f>
        <v>PCI2</v>
      </c>
      <c r="R231" s="56" t="str">
        <f>IF(LEFT(K231,2)="22","20'","40'")</f>
        <v>20'</v>
      </c>
      <c r="S231" s="38"/>
      <c r="T231" s="54" t="str">
        <f>VLOOKUP(A231,'1.Loading'!A:R,2,FALSE)</f>
        <v>2026-10-28</v>
      </c>
      <c r="U231" s="57">
        <f>T231-S231</f>
        <v>46323</v>
      </c>
      <c r="V231" s="58"/>
      <c r="W231" s="54" t="str">
        <f>VLOOKUP(A231,'3.GateMove'!A:D,4,FALSE)</f>
        <v>2026-10-17</v>
      </c>
      <c r="X231" s="57">
        <f>((T231-W231)+1)</f>
        <v>12</v>
      </c>
      <c r="Y231" s="59">
        <f>IF(AND(OR(C231="BKK01",C231="BKK04"),L231="CFS/CY"),0,IF(M231="DG",1,IF(LEFT(C231,3)="LCH",7,IF(C231="BKK02",5,3))))</f>
        <v>7</v>
      </c>
      <c r="Z231" s="57">
        <f>IF(IF(AND(AC231="TML",AB231&gt;0),((T231-W231)+1)-AB231,((T231-W231)+1)-Y231)&gt;0,IF(AND(AC231="TML",AB231&gt;0),((T231-W231)+1)-AB231,((T231-W231)+1)-Y231),0)</f>
        <v>5</v>
      </c>
      <c r="AA231" s="48">
        <f>IF(AND(B231="G1",M231=""),IF(R231="20'",
VLOOKUP(Z231,Charge!$K$2:$M$5,2,TRUE)+(Z231-VLOOKUP(Z231,Charge!$K$2:$M$5,1,TRUE))*VLOOKUP(Z231,Charge!$K$2:$M$5,3,TRUE),
VLOOKUP(Z231,Charge!$N$2:$P$5,2,TRUE)+(Z231-VLOOKUP(Z231,Charge!$N$2:$P$5,1,TRUE))*VLOOKUP(Z231,Charge!$N$2:$P$5,3,TRUE)),
IF(AND(B231="G1",M231="DG"),IF(R231="20'",
VLOOKUP(Z231,Charge!$R$2:$T$5,2,TRUE)+(Z231-VLOOKUP(Z231,Charge!$R$2:$T$5,1,TRUE))*VLOOKUP(Z231,Charge!$R$2:$T$5,3,TRUE),
VLOOKUP(Z231,Charge!$U$2:$W$5,2,TRUE)+(Z231-VLOOKUP(Z231,Charge!$U$2:$W$5,1,TRUE))*VLOOKUP(Z231,Charge!$U$2:$W$5,3,TRUE)),
IF(AND(B231="G3",M231=""),IF(R231="20'",
VLOOKUP(Z231,Charge!$K$18:$M$21,2,TRUE)+(Z231-VLOOKUP(Z231,Charge!$K$18:$M$21,1,TRUE))*VLOOKUP(Z231,Charge!$K$18:$M$21,3,TRUE),
VLOOKUP(Z231,Charge!$N$18:$P$21,2,TRUE)+(Z231-VLOOKUP(Z231,Charge!$N$18:$P$21,1,TRUE))*VLOOKUP(Z231,Charge!$N$18:$P$21,3,TRUE)),
IF(AND(B231="G3",M231="DG"),IF(R231="20'",
VLOOKUP(Z231,Charge!$R$18:$T$21,2,TRUE)+(Z231-VLOOKUP(Z231,Charge!$R$18:$T$21,1,TRUE))*VLOOKUP(Z231,Charge!$R$18:$T$21,3,TRUE),
VLOOKUP(Z231,Charge!$U$18:$W$21,2,TRUE)+(Z231-VLOOKUP(Z231,Charge!$U$18:$W$21,1,TRUE))*VLOOKUP(Z231,Charge!$U$18:$W$21,3,TRUE)),
IF(AND(B231="G2",M231=""),IF(R231="20'",
VLOOKUP(Z231,Charge!$K$9:$M$12,2,TRUE)+(Z231-VLOOKUP(Z231,Charge!$K$9:$M$12,1,TRUE))*VLOOKUP(Z231,Charge!$K$9:$M$12,3,TRUE),
VLOOKUP(Z231,Charge!$N$9:$P$12,2,TRUE)+(Z231-VLOOKUP(Z231,Charge!$N$9:$P$12,1,TRUE))*VLOOKUP(Z231,Charge!$N$9:$P$12,3,TRUE)),
IF(AND(B231="G2",M231="DG"),IF(R231="20'",
VLOOKUP(Z231,Charge!$R$9:$T$12,2,TRUE)+(Z231-VLOOKUP(Z231,Charge!$R$9:$T$12,1,TRUE))*VLOOKUP(Z231,Charge!$R$9:$T$12,3,TRUE),
VLOOKUP(Z231,Charge!$U$9:$W$12,2,TRUE)+(Z231-VLOOKUP(Z231,Charge!$U$9:$W$12,1,TRUE))*VLOOKUP(Z231,Charge!$U$9:$W$12,3,TRUE)),IF(AND(B231="G4",M231=""),IF(R231="20'",Z231*Charge!$M$25,Z231*Charge!$P$25),IF(AND(B231="G4",M231="DG"),IF(R231="20'",Z231*Charge!$T$25,Z231*Charge!$W$25),0))))))))</f>
        <v>625</v>
      </c>
      <c r="AB231" s="53"/>
      <c r="AC231" s="53"/>
      <c r="AD231" s="56">
        <f>IF(M231="DG",3,IF(N231="RF",3,5))+IF(AND(LEFT(C231,3)="BKK",N231="RF",Q231="KTS"),1,0)+IF(Q231="KHS",1,0)</f>
        <v>5</v>
      </c>
      <c r="AE231" s="57">
        <f>(T231-V231)+1</f>
        <v>46324</v>
      </c>
      <c r="AF231" s="57">
        <f>IF(AB231&gt;IF((V231-W231)&gt;0,V231-W231,0),0,IF(AB231&lt;IF((V231-W231)&gt;0,V231-W231,0),IF((V231-W231)&gt;0,V231-W231,0)-AB231,IF((V231-W231)&gt;0,V231-W231,0)))</f>
        <v>0</v>
      </c>
      <c r="AG231" s="48">
        <f>IF(AND(M231=""),IF(R231="20'",
VLOOKUP(AF231,Charge!$K$31:$M$34,2,TRUE)+(AF231-VLOOKUP(AF231,Charge!$K$31:$M$34,1,TRUE))*VLOOKUP(AF231,Charge!$K$31:$M$34,3,TRUE),
VLOOKUP(AF231,Charge!$N$31:$P$34,2,TRUE)+(AF231-VLOOKUP(AF231,Charge!$N$31:$P$34,1,TRUE))*VLOOKUP(AF231,Charge!$N$31:$P$34,3,TRUE)),
IF(AND(M231="DG"),IF(R231="20'",
VLOOKUP(AF231,Charge!$R$31:$T$34,2,TRUE)+(AF231-VLOOKUP(AF231,Charge!$R$31:$T$34,1,TRUE))*VLOOKUP(AF231,Charge!$R$31:$T$34,3,TRUE),
VLOOKUP(AF231,Charge!$U$31:$W$34,2,TRUE)+(AF231-VLOOKUP(AF231,Charge!$U$31:$W$34,1,TRUE))*VLOOKUP(AF231,Charge!$U$31:$W$34,3,TRUE)),0))</f>
        <v>0</v>
      </c>
      <c r="AH231" s="60"/>
      <c r="AI231" s="60">
        <f>AA231-AH231</f>
        <v>625</v>
      </c>
      <c r="AJ231" s="61"/>
      <c r="AK231" s="55" t="str">
        <f>VLOOKUP(D231,'2.Bookinglist'!A:CT,40,FALSE)</f>
        <v>Dharaporn</v>
      </c>
      <c r="AL231" s="56" t="str">
        <f>VLOOKUP(D231,'2.Bookinglist'!A:CW,101,FALSE)</f>
        <v>2026-10-14</v>
      </c>
      <c r="AM231" s="56" t="str">
        <f>VLOOKUP(D231,'2.Bookinglist'!A:BK,63,FALSE)</f>
        <v>LCHY5</v>
      </c>
      <c r="AN231" s="55" t="str">
        <f>VLOOKUP(D231,'2.Bookinglist'!A:AZ,52,FALSE)</f>
        <v>[FIX][FIX][FIX]SURVEY+CY :07/10/2026 RTN :10/10/2026
REQUEST SEA BULK CONTAIER + SURVEY EMPTY BEFORE PICK UP
</v>
      </c>
      <c r="AO231" s="55">
        <f>VLOOKUP(D231,'2.Bookinglist'!A:CY,103,FALSE)</f>
        <v>0</v>
      </c>
    </row>
    <row r="232" ht="12.95" customHeight="1" spans="1:41" x14ac:dyDescent="0.25">
      <c r="A232" s="3" t="s">
        <v>342</v>
      </c>
      <c r="B232" s="53" t="str">
        <f>IF(C232=Charge!$M$1,Charge!$J$1,IF(C232=Charge!$M$23,Charge!$J$23,IF(C232=Charge!$M$17,Charge!$J$17,IF(C232=Charge!$N$17,Charge!$J$17,Charge!$J$7))))</f>
        <v>G2</v>
      </c>
      <c r="C232" s="54" t="str">
        <f>VLOOKUP(A232,'1.Loading'!A:R,14,FALSE)</f>
        <v>LCH06</v>
      </c>
      <c r="D232" s="54" t="str">
        <f>VLOOKUP(A232,'1.Loading'!A:R,17,FALSE)</f>
        <v>HASLS22260902779</v>
      </c>
      <c r="E232" s="55" t="str">
        <f>VLOOKUP(D232,'2.Bookinglist'!A:CT,27,FALSE)</f>
        <v>YQN INTERNATIONAL LOGISTICS (THAILAND) CO., LTD.</v>
      </c>
      <c r="F232" s="55" t="str">
        <f>VLOOKUP(D232,'2.Bookinglist'!A:CT,28,FALSE)</f>
        <v>JINHUA ZINC TECHNOLOGY (THAILAND) CO., LTD.</v>
      </c>
      <c r="G232" s="56">
        <f>VLOOKUP(D232,'2.Bookinglist'!A:E,5,FALSE)</f>
        <v>0</v>
      </c>
      <c r="H232" s="54" t="str">
        <f>VLOOKUP(D232,'2.Bookinglist'!A:CT,15,FALSE)</f>
        <v>THLCH</v>
      </c>
      <c r="I232" s="54" t="str">
        <f>VLOOKUP(D232,'2.Bookinglist'!A:CT,19,FALSE)</f>
        <v>CNSHA</v>
      </c>
      <c r="J232" s="54">
        <f>VLOOKUP(D232,'2.Bookinglist'!A:CT,26,FALSE)</f>
        <v>0</v>
      </c>
      <c r="K232" s="54" t="str">
        <f>VLOOKUP(A232,'1.Loading'!A:R,5,FALSE)</f>
        <v>22GP</v>
      </c>
      <c r="L232" s="56" t="str">
        <f>VLOOKUP(D232,'2.Bookinglist'!A:CT,85,FALSE)</f>
        <v>CY/CY</v>
      </c>
      <c r="M232" s="56" t="str">
        <f>IF(VLOOKUP(D232,'2.Bookinglist'!A:CT,43,FALSE)=0,"","DG")</f>
        <v/>
      </c>
      <c r="N232" s="56" t="str">
        <f>IF(RIGHT(K232,2)="RE","RF","")</f>
        <v/>
      </c>
      <c r="O232" s="54" t="str">
        <f>VLOOKUP(A232,'1.Loading'!A:R,3,FALSE)</f>
        <v>HMVY</v>
      </c>
      <c r="P232" s="54" t="str">
        <f>VLOOKUP(A232,'1.Loading'!A:R,4,FALSE)</f>
        <v>2609N</v>
      </c>
      <c r="Q232" s="54" t="str">
        <f>VLOOKUP(D232,'2.Bookinglist'!A:CT,12,FALSE)</f>
        <v>PCI2</v>
      </c>
      <c r="R232" s="56" t="str">
        <f>IF(LEFT(K232,2)="22","20'","40'")</f>
        <v>20'</v>
      </c>
      <c r="S232" s="38"/>
      <c r="T232" s="54" t="str">
        <f>VLOOKUP(A232,'1.Loading'!A:R,2,FALSE)</f>
        <v>2026-10-28</v>
      </c>
      <c r="U232" s="57">
        <f>T232-S232</f>
        <v>46323</v>
      </c>
      <c r="V232" s="58"/>
      <c r="W232" s="54" t="str">
        <f>VLOOKUP(A232,'3.GateMove'!A:D,4,FALSE)</f>
        <v>2026-10-09</v>
      </c>
      <c r="X232" s="57">
        <f>((T232-W232)+1)</f>
        <v>20</v>
      </c>
      <c r="Y232" s="59">
        <f>IF(AND(OR(C232="BKK01",C232="BKK04"),L232="CFS/CY"),0,IF(M232="DG",1,IF(LEFT(C232,3)="LCH",7,IF(C232="BKK02",5,3))))</f>
        <v>7</v>
      </c>
      <c r="Z232" s="57">
        <f>IF(IF(AND(AC232="TML",AB232&gt;0),((T232-W232)+1)-AB232,((T232-W232)+1)-Y232)&gt;0,IF(AND(AC232="TML",AB232&gt;0),((T232-W232)+1)-AB232,((T232-W232)+1)-Y232),0)</f>
        <v>13</v>
      </c>
      <c r="AA232" s="48">
        <f>IF(AND(B232="G1",M232=""),IF(R232="20'",
VLOOKUP(Z232,Charge!$K$2:$M$5,2,TRUE)+(Z232-VLOOKUP(Z232,Charge!$K$2:$M$5,1,TRUE))*VLOOKUP(Z232,Charge!$K$2:$M$5,3,TRUE),
VLOOKUP(Z232,Charge!$N$2:$P$5,2,TRUE)+(Z232-VLOOKUP(Z232,Charge!$N$2:$P$5,1,TRUE))*VLOOKUP(Z232,Charge!$N$2:$P$5,3,TRUE)),
IF(AND(B232="G1",M232="DG"),IF(R232="20'",
VLOOKUP(Z232,Charge!$R$2:$T$5,2,TRUE)+(Z232-VLOOKUP(Z232,Charge!$R$2:$T$5,1,TRUE))*VLOOKUP(Z232,Charge!$R$2:$T$5,3,TRUE),
VLOOKUP(Z232,Charge!$U$2:$W$5,2,TRUE)+(Z232-VLOOKUP(Z232,Charge!$U$2:$W$5,1,TRUE))*VLOOKUP(Z232,Charge!$U$2:$W$5,3,TRUE)),
IF(AND(B232="G3",M232=""),IF(R232="20'",
VLOOKUP(Z232,Charge!$K$18:$M$21,2,TRUE)+(Z232-VLOOKUP(Z232,Charge!$K$18:$M$21,1,TRUE))*VLOOKUP(Z232,Charge!$K$18:$M$21,3,TRUE),
VLOOKUP(Z232,Charge!$N$18:$P$21,2,TRUE)+(Z232-VLOOKUP(Z232,Charge!$N$18:$P$21,1,TRUE))*VLOOKUP(Z232,Charge!$N$18:$P$21,3,TRUE)),
IF(AND(B232="G3",M232="DG"),IF(R232="20'",
VLOOKUP(Z232,Charge!$R$18:$T$21,2,TRUE)+(Z232-VLOOKUP(Z232,Charge!$R$18:$T$21,1,TRUE))*VLOOKUP(Z232,Charge!$R$18:$T$21,3,TRUE),
VLOOKUP(Z232,Charge!$U$18:$W$21,2,TRUE)+(Z232-VLOOKUP(Z232,Charge!$U$18:$W$21,1,TRUE))*VLOOKUP(Z232,Charge!$U$18:$W$21,3,TRUE)),
IF(AND(B232="G2",M232=""),IF(R232="20'",
VLOOKUP(Z232,Charge!$K$9:$M$12,2,TRUE)+(Z232-VLOOKUP(Z232,Charge!$K$9:$M$12,1,TRUE))*VLOOKUP(Z232,Charge!$K$9:$M$12,3,TRUE),
VLOOKUP(Z232,Charge!$N$9:$P$12,2,TRUE)+(Z232-VLOOKUP(Z232,Charge!$N$9:$P$12,1,TRUE))*VLOOKUP(Z232,Charge!$N$9:$P$12,3,TRUE)),
IF(AND(B232="G2",M232="DG"),IF(R232="20'",
VLOOKUP(Z232,Charge!$R$9:$T$12,2,TRUE)+(Z232-VLOOKUP(Z232,Charge!$R$9:$T$12,1,TRUE))*VLOOKUP(Z232,Charge!$R$9:$T$12,3,TRUE),
VLOOKUP(Z232,Charge!$U$9:$W$12,2,TRUE)+(Z232-VLOOKUP(Z232,Charge!$U$9:$W$12,1,TRUE))*VLOOKUP(Z232,Charge!$U$9:$W$12,3,TRUE)),IF(AND(B232="G4",M232=""),IF(R232="20'",Z232*Charge!$M$25,Z232*Charge!$P$25),IF(AND(B232="G4",M232="DG"),IF(R232="20'",Z232*Charge!$T$25,Z232*Charge!$W$25),0))))))))</f>
        <v>2375</v>
      </c>
      <c r="AB232" s="53"/>
      <c r="AC232" s="53"/>
      <c r="AD232" s="56">
        <f>IF(M232="DG",3,IF(N232="RF",3,5))+IF(AND(LEFT(C232,3)="BKK",N232="RF",Q232="KTS"),1,0)+IF(Q232="KHS",1,0)</f>
        <v>5</v>
      </c>
      <c r="AE232" s="57">
        <f>(T232-V232)+1</f>
        <v>46324</v>
      </c>
      <c r="AF232" s="57">
        <f>IF(AB232&gt;IF((V232-W232)&gt;0,V232-W232,0),0,IF(AB232&lt;IF((V232-W232)&gt;0,V232-W232,0),IF((V232-W232)&gt;0,V232-W232,0)-AB232,IF((V232-W232)&gt;0,V232-W232,0)))</f>
        <v>0</v>
      </c>
      <c r="AG232" s="48">
        <f>IF(AND(M232=""),IF(R232="20'",
VLOOKUP(AF232,Charge!$K$31:$M$34,2,TRUE)+(AF232-VLOOKUP(AF232,Charge!$K$31:$M$34,1,TRUE))*VLOOKUP(AF232,Charge!$K$31:$M$34,3,TRUE),
VLOOKUP(AF232,Charge!$N$31:$P$34,2,TRUE)+(AF232-VLOOKUP(AF232,Charge!$N$31:$P$34,1,TRUE))*VLOOKUP(AF232,Charge!$N$31:$P$34,3,TRUE)),
IF(AND(M232="DG"),IF(R232="20'",
VLOOKUP(AF232,Charge!$R$31:$T$34,2,TRUE)+(AF232-VLOOKUP(AF232,Charge!$R$31:$T$34,1,TRUE))*VLOOKUP(AF232,Charge!$R$31:$T$34,3,TRUE),
VLOOKUP(AF232,Charge!$U$31:$W$34,2,TRUE)+(AF232-VLOOKUP(AF232,Charge!$U$31:$W$34,1,TRUE))*VLOOKUP(AF232,Charge!$U$31:$W$34,3,TRUE)),0))</f>
        <v>0</v>
      </c>
      <c r="AH232" s="60"/>
      <c r="AI232" s="60">
        <f>AA232-AH232</f>
        <v>2375</v>
      </c>
      <c r="AJ232" s="61"/>
      <c r="AK232" s="55" t="str">
        <f>VLOOKUP(D232,'2.Bookinglist'!A:CT,40,FALSE)</f>
        <v>Arunphat W. (Aiw)</v>
      </c>
      <c r="AL232" s="56" t="str">
        <f>VLOOKUP(D232,'2.Bookinglist'!A:CW,101,FALSE)</f>
        <v>2026-10-22</v>
      </c>
      <c r="AM232" s="56" t="str">
        <f>VLOOKUP(D232,'2.Bookinglist'!A:BK,63,FALSE)</f>
        <v>LCHY5</v>
      </c>
      <c r="AN232" s="55" t="str">
        <f>VLOOKUP(D232,'2.Bookinglist'!A:AZ,52,FALSE)</f>
        <v>Pickup : 2026-10-08, Return : 2026-10-09 
 ** PLEASE CHECK OPEN GATE BEFORE RETURN CNTR **
</v>
      </c>
      <c r="AO232" s="55" t="str">
        <f>VLOOKUP(D232,'2.Bookinglist'!A:CY,103,FALSE)</f>
        <v>ROLL OVER FROM PREVIOUS VSL SWRG 2609N BY ALLOCATION TEAM MS.TAN APPROVED COST IS UNDER HA DD.12/10</v>
      </c>
    </row>
    <row r="233" ht="12.95" customHeight="1" spans="1:41" x14ac:dyDescent="0.25">
      <c r="A233" s="3" t="s">
        <v>429</v>
      </c>
      <c r="B233" s="53" t="str">
        <f>IF(C233=Charge!$M$1,Charge!$J$1,IF(C233=Charge!$M$23,Charge!$J$23,IF(C233=Charge!$M$17,Charge!$J$17,IF(C233=Charge!$N$17,Charge!$J$17,Charge!$J$7))))</f>
        <v>G2</v>
      </c>
      <c r="C233" s="54" t="str">
        <f>VLOOKUP(A233,'1.Loading'!A:R,14,FALSE)</f>
        <v>LCH06</v>
      </c>
      <c r="D233" s="54" t="str">
        <f>VLOOKUP(A233,'1.Loading'!A:R,17,FALSE)</f>
        <v>HASLS22261001300</v>
      </c>
      <c r="E233" s="55" t="str">
        <f>VLOOKUP(D233,'2.Bookinglist'!A:CT,27,FALSE)</f>
        <v>TRANS-MAKER CO., LTD.</v>
      </c>
      <c r="F233" s="55" t="str">
        <f>VLOOKUP(D233,'2.Bookinglist'!A:CT,28,FALSE)</f>
        <v>TFL LEDERTECHNIK GMBH</v>
      </c>
      <c r="G233" s="56">
        <f>VLOOKUP(D233,'2.Bookinglist'!A:E,5,FALSE)</f>
        <v>0</v>
      </c>
      <c r="H233" s="54" t="str">
        <f>VLOOKUP(D233,'2.Bookinglist'!A:CT,15,FALSE)</f>
        <v>THLCH</v>
      </c>
      <c r="I233" s="54" t="str">
        <f>VLOOKUP(D233,'2.Bookinglist'!A:CT,19,FALSE)</f>
        <v>CNSHA</v>
      </c>
      <c r="J233" s="54">
        <f>VLOOKUP(D233,'2.Bookinglist'!A:CT,26,FALSE)</f>
        <v>0</v>
      </c>
      <c r="K233" s="54" t="str">
        <f>VLOOKUP(A233,'1.Loading'!A:R,5,FALSE)</f>
        <v>22GP</v>
      </c>
      <c r="L233" s="56" t="str">
        <f>VLOOKUP(D233,'2.Bookinglist'!A:CT,85,FALSE)</f>
        <v>CY/CY</v>
      </c>
      <c r="M233" s="56" t="str">
        <f>IF(VLOOKUP(D233,'2.Bookinglist'!A:CT,43,FALSE)=0,"","DG")</f>
        <v/>
      </c>
      <c r="N233" s="56" t="str">
        <f>IF(RIGHT(K233,2)="RE","RF","")</f>
        <v/>
      </c>
      <c r="O233" s="54" t="str">
        <f>VLOOKUP(A233,'1.Loading'!A:R,3,FALSE)</f>
        <v>HMVY</v>
      </c>
      <c r="P233" s="54" t="str">
        <f>VLOOKUP(A233,'1.Loading'!A:R,4,FALSE)</f>
        <v>2609N</v>
      </c>
      <c r="Q233" s="54" t="str">
        <f>VLOOKUP(D233,'2.Bookinglist'!A:CT,12,FALSE)</f>
        <v>PCI2</v>
      </c>
      <c r="R233" s="56" t="str">
        <f>IF(LEFT(K233,2)="22","20'","40'")</f>
        <v>20'</v>
      </c>
      <c r="S233" s="38"/>
      <c r="T233" s="54" t="str">
        <f>VLOOKUP(A233,'1.Loading'!A:R,2,FALSE)</f>
        <v>2026-10-28</v>
      </c>
      <c r="U233" s="57">
        <f>T233-S233</f>
        <v>46323</v>
      </c>
      <c r="V233" s="58"/>
      <c r="W233" s="54" t="str">
        <f>VLOOKUP(A233,'3.GateMove'!A:D,4,FALSE)</f>
        <v>2026-10-24</v>
      </c>
      <c r="X233" s="57">
        <f>((T233-W233)+1)</f>
        <v>5</v>
      </c>
      <c r="Y233" s="59">
        <f>IF(AND(OR(C233="BKK01",C233="BKK04"),L233="CFS/CY"),0,IF(M233="DG",1,IF(LEFT(C233,3)="LCH",7,IF(C233="BKK02",5,3))))</f>
        <v>7</v>
      </c>
      <c r="Z233" s="57">
        <f>IF(IF(AND(AC233="TML",AB233&gt;0),((T233-W233)+1)-AB233,((T233-W233)+1)-Y233)&gt;0,IF(AND(AC233="TML",AB233&gt;0),((T233-W233)+1)-AB233,((T233-W233)+1)-Y233),0)</f>
        <v>0</v>
      </c>
      <c r="AA233" s="48">
        <f>IF(AND(B233="G1",M233=""),IF(R233="20'",
VLOOKUP(Z233,Charge!$K$2:$M$5,2,TRUE)+(Z233-VLOOKUP(Z233,Charge!$K$2:$M$5,1,TRUE))*VLOOKUP(Z233,Charge!$K$2:$M$5,3,TRUE),
VLOOKUP(Z233,Charge!$N$2:$P$5,2,TRUE)+(Z233-VLOOKUP(Z233,Charge!$N$2:$P$5,1,TRUE))*VLOOKUP(Z233,Charge!$N$2:$P$5,3,TRUE)),
IF(AND(B233="G1",M233="DG"),IF(R233="20'",
VLOOKUP(Z233,Charge!$R$2:$T$5,2,TRUE)+(Z233-VLOOKUP(Z233,Charge!$R$2:$T$5,1,TRUE))*VLOOKUP(Z233,Charge!$R$2:$T$5,3,TRUE),
VLOOKUP(Z233,Charge!$U$2:$W$5,2,TRUE)+(Z233-VLOOKUP(Z233,Charge!$U$2:$W$5,1,TRUE))*VLOOKUP(Z233,Charge!$U$2:$W$5,3,TRUE)),
IF(AND(B233="G3",M233=""),IF(R233="20'",
VLOOKUP(Z233,Charge!$K$18:$M$21,2,TRUE)+(Z233-VLOOKUP(Z233,Charge!$K$18:$M$21,1,TRUE))*VLOOKUP(Z233,Charge!$K$18:$M$21,3,TRUE),
VLOOKUP(Z233,Charge!$N$18:$P$21,2,TRUE)+(Z233-VLOOKUP(Z233,Charge!$N$18:$P$21,1,TRUE))*VLOOKUP(Z233,Charge!$N$18:$P$21,3,TRUE)),
IF(AND(B233="G3",M233="DG"),IF(R233="20'",
VLOOKUP(Z233,Charge!$R$18:$T$21,2,TRUE)+(Z233-VLOOKUP(Z233,Charge!$R$18:$T$21,1,TRUE))*VLOOKUP(Z233,Charge!$R$18:$T$21,3,TRUE),
VLOOKUP(Z233,Charge!$U$18:$W$21,2,TRUE)+(Z233-VLOOKUP(Z233,Charge!$U$18:$W$21,1,TRUE))*VLOOKUP(Z233,Charge!$U$18:$W$21,3,TRUE)),
IF(AND(B233="G2",M233=""),IF(R233="20'",
VLOOKUP(Z233,Charge!$K$9:$M$12,2,TRUE)+(Z233-VLOOKUP(Z233,Charge!$K$9:$M$12,1,TRUE))*VLOOKUP(Z233,Charge!$K$9:$M$12,3,TRUE),
VLOOKUP(Z233,Charge!$N$9:$P$12,2,TRUE)+(Z233-VLOOKUP(Z233,Charge!$N$9:$P$12,1,TRUE))*VLOOKUP(Z233,Charge!$N$9:$P$12,3,TRUE)),
IF(AND(B233="G2",M233="DG"),IF(R233="20'",
VLOOKUP(Z233,Charge!$R$9:$T$12,2,TRUE)+(Z233-VLOOKUP(Z233,Charge!$R$9:$T$12,1,TRUE))*VLOOKUP(Z233,Charge!$R$9:$T$12,3,TRUE),
VLOOKUP(Z233,Charge!$U$9:$W$12,2,TRUE)+(Z233-VLOOKUP(Z233,Charge!$U$9:$W$12,1,TRUE))*VLOOKUP(Z233,Charge!$U$9:$W$12,3,TRUE)),IF(AND(B233="G4",M233=""),IF(R233="20'",Z233*Charge!$M$25,Z233*Charge!$P$25),IF(AND(B233="G4",M233="DG"),IF(R233="20'",Z233*Charge!$T$25,Z233*Charge!$W$25),0))))))))</f>
        <v>0</v>
      </c>
      <c r="AB233" s="53"/>
      <c r="AC233" s="53"/>
      <c r="AD233" s="56">
        <f>IF(M233="DG",3,IF(N233="RF",3,5))+IF(AND(LEFT(C233,3)="BKK",N233="RF",Q233="KTS"),1,0)+IF(Q233="KHS",1,0)</f>
        <v>5</v>
      </c>
      <c r="AE233" s="57">
        <f>(T233-V233)+1</f>
        <v>46324</v>
      </c>
      <c r="AF233" s="57">
        <f>IF(AB233&gt;IF((V233-W233)&gt;0,V233-W233,0),0,IF(AB233&lt;IF((V233-W233)&gt;0,V233-W233,0),IF((V233-W233)&gt;0,V233-W233,0)-AB233,IF((V233-W233)&gt;0,V233-W233,0)))</f>
        <v>0</v>
      </c>
      <c r="AG233" s="48">
        <f>IF(AND(M233=""),IF(R233="20'",
VLOOKUP(AF233,Charge!$K$31:$M$34,2,TRUE)+(AF233-VLOOKUP(AF233,Charge!$K$31:$M$34,1,TRUE))*VLOOKUP(AF233,Charge!$K$31:$M$34,3,TRUE),
VLOOKUP(AF233,Charge!$N$31:$P$34,2,TRUE)+(AF233-VLOOKUP(AF233,Charge!$N$31:$P$34,1,TRUE))*VLOOKUP(AF233,Charge!$N$31:$P$34,3,TRUE)),
IF(AND(M233="DG"),IF(R233="20'",
VLOOKUP(AF233,Charge!$R$31:$T$34,2,TRUE)+(AF233-VLOOKUP(AF233,Charge!$R$31:$T$34,1,TRUE))*VLOOKUP(AF233,Charge!$R$31:$T$34,3,TRUE),
VLOOKUP(AF233,Charge!$U$31:$W$34,2,TRUE)+(AF233-VLOOKUP(AF233,Charge!$U$31:$W$34,1,TRUE))*VLOOKUP(AF233,Charge!$U$31:$W$34,3,TRUE)),0))</f>
        <v>0</v>
      </c>
      <c r="AH233" s="60"/>
      <c r="AI233" s="60">
        <f>AA233-AH233</f>
        <v>0</v>
      </c>
      <c r="AJ233" s="61"/>
      <c r="AK233" s="55" t="str">
        <f>VLOOKUP(D233,'2.Bookinglist'!A:CT,40,FALSE)</f>
        <v>Vilaiporn</v>
      </c>
      <c r="AL233" s="56" t="str">
        <f>VLOOKUP(D233,'2.Bookinglist'!A:CW,101,FALSE)</f>
        <v>2026-10-27</v>
      </c>
      <c r="AM233" s="56" t="str">
        <f>VLOOKUP(D233,'2.Bookinglist'!A:BK,63,FALSE)</f>
        <v>LCHY5</v>
      </c>
      <c r="AN233" s="55" t="str">
        <f>VLOOKUP(D233,'2.Bookinglist'!A:AZ,52,FALSE)</f>
        <v>Pickup : 2026-10-22, Return : 2026-10-24 </v>
      </c>
      <c r="AO233" s="55">
        <f>VLOOKUP(D233,'2.Bookinglist'!A:CY,103,FALSE)</f>
        <v>0</v>
      </c>
    </row>
    <row r="234" ht="12.95" customHeight="1" spans="1:41" x14ac:dyDescent="0.25">
      <c r="A234" s="3" t="s">
        <v>406</v>
      </c>
      <c r="B234" s="53" t="str">
        <f>IF(C234=Charge!$M$1,Charge!$J$1,IF(C234=Charge!$M$23,Charge!$J$23,IF(C234=Charge!$M$17,Charge!$J$17,IF(C234=Charge!$N$17,Charge!$J$17,Charge!$J$7))))</f>
        <v>G2</v>
      </c>
      <c r="C234" s="54" t="str">
        <f>VLOOKUP(A234,'1.Loading'!A:R,14,FALSE)</f>
        <v>LCH06</v>
      </c>
      <c r="D234" s="54" t="str">
        <f>VLOOKUP(A234,'1.Loading'!A:R,17,FALSE)</f>
        <v>HASLS22261001139</v>
      </c>
      <c r="E234" s="55" t="str">
        <f>VLOOKUP(D234,'2.Bookinglist'!A:CT,27,FALSE)</f>
        <v>CTI LOGISTICS CO., LTD.</v>
      </c>
      <c r="F234" s="55" t="str">
        <f>VLOOKUP(D234,'2.Bookinglist'!A:CT,28,FALSE)</f>
        <v>DREAM IMPORT-EXPORT CO.,LTD.</v>
      </c>
      <c r="G234" s="56">
        <f>VLOOKUP(D234,'2.Bookinglist'!A:E,5,FALSE)</f>
        <v>0</v>
      </c>
      <c r="H234" s="54" t="str">
        <f>VLOOKUP(D234,'2.Bookinglist'!A:CT,15,FALSE)</f>
        <v>THLCH</v>
      </c>
      <c r="I234" s="54" t="str">
        <f>VLOOKUP(D234,'2.Bookinglist'!A:CT,19,FALSE)</f>
        <v>CNSHA</v>
      </c>
      <c r="J234" s="54">
        <f>VLOOKUP(D234,'2.Bookinglist'!A:CT,26,FALSE)</f>
        <v>0</v>
      </c>
      <c r="K234" s="54" t="str">
        <f>VLOOKUP(A234,'1.Loading'!A:R,5,FALSE)</f>
        <v>22GP</v>
      </c>
      <c r="L234" s="56" t="str">
        <f>VLOOKUP(D234,'2.Bookinglist'!A:CT,85,FALSE)</f>
        <v>CY/CY</v>
      </c>
      <c r="M234" s="56" t="str">
        <f>IF(VLOOKUP(D234,'2.Bookinglist'!A:CT,43,FALSE)=0,"","DG")</f>
        <v/>
      </c>
      <c r="N234" s="56" t="str">
        <f>IF(RIGHT(K234,2)="RE","RF","")</f>
        <v/>
      </c>
      <c r="O234" s="54" t="str">
        <f>VLOOKUP(A234,'1.Loading'!A:R,3,FALSE)</f>
        <v>HMVY</v>
      </c>
      <c r="P234" s="54" t="str">
        <f>VLOOKUP(A234,'1.Loading'!A:R,4,FALSE)</f>
        <v>2609N</v>
      </c>
      <c r="Q234" s="54" t="str">
        <f>VLOOKUP(D234,'2.Bookinglist'!A:CT,12,FALSE)</f>
        <v>PCI2</v>
      </c>
      <c r="R234" s="56" t="str">
        <f>IF(LEFT(K234,2)="22","20'","40'")</f>
        <v>20'</v>
      </c>
      <c r="S234" s="38"/>
      <c r="T234" s="54" t="str">
        <f>VLOOKUP(A234,'1.Loading'!A:R,2,FALSE)</f>
        <v>2026-10-28</v>
      </c>
      <c r="U234" s="57">
        <f>T234-S234</f>
        <v>46323</v>
      </c>
      <c r="V234" s="58"/>
      <c r="W234" s="54" t="str">
        <f>VLOOKUP(A234,'3.GateMove'!A:D,4,FALSE)</f>
        <v>2026-10-22</v>
      </c>
      <c r="X234" s="57">
        <f>((T234-W234)+1)</f>
        <v>7</v>
      </c>
      <c r="Y234" s="59">
        <f>IF(AND(OR(C234="BKK01",C234="BKK04"),L234="CFS/CY"),0,IF(M234="DG",1,IF(LEFT(C234,3)="LCH",7,IF(C234="BKK02",5,3))))</f>
        <v>7</v>
      </c>
      <c r="Z234" s="57">
        <f>IF(IF(AND(AC234="TML",AB234&gt;0),((T234-W234)+1)-AB234,((T234-W234)+1)-Y234)&gt;0,IF(AND(AC234="TML",AB234&gt;0),((T234-W234)+1)-AB234,((T234-W234)+1)-Y234),0)</f>
        <v>0</v>
      </c>
      <c r="AA234" s="48">
        <f>IF(AND(B234="G1",M234=""),IF(R234="20'",
VLOOKUP(Z234,Charge!$K$2:$M$5,2,TRUE)+(Z234-VLOOKUP(Z234,Charge!$K$2:$M$5,1,TRUE))*VLOOKUP(Z234,Charge!$K$2:$M$5,3,TRUE),
VLOOKUP(Z234,Charge!$N$2:$P$5,2,TRUE)+(Z234-VLOOKUP(Z234,Charge!$N$2:$P$5,1,TRUE))*VLOOKUP(Z234,Charge!$N$2:$P$5,3,TRUE)),
IF(AND(B234="G1",M234="DG"),IF(R234="20'",
VLOOKUP(Z234,Charge!$R$2:$T$5,2,TRUE)+(Z234-VLOOKUP(Z234,Charge!$R$2:$T$5,1,TRUE))*VLOOKUP(Z234,Charge!$R$2:$T$5,3,TRUE),
VLOOKUP(Z234,Charge!$U$2:$W$5,2,TRUE)+(Z234-VLOOKUP(Z234,Charge!$U$2:$W$5,1,TRUE))*VLOOKUP(Z234,Charge!$U$2:$W$5,3,TRUE)),
IF(AND(B234="G3",M234=""),IF(R234="20'",
VLOOKUP(Z234,Charge!$K$18:$M$21,2,TRUE)+(Z234-VLOOKUP(Z234,Charge!$K$18:$M$21,1,TRUE))*VLOOKUP(Z234,Charge!$K$18:$M$21,3,TRUE),
VLOOKUP(Z234,Charge!$N$18:$P$21,2,TRUE)+(Z234-VLOOKUP(Z234,Charge!$N$18:$P$21,1,TRUE))*VLOOKUP(Z234,Charge!$N$18:$P$21,3,TRUE)),
IF(AND(B234="G3",M234="DG"),IF(R234="20'",
VLOOKUP(Z234,Charge!$R$18:$T$21,2,TRUE)+(Z234-VLOOKUP(Z234,Charge!$R$18:$T$21,1,TRUE))*VLOOKUP(Z234,Charge!$R$18:$T$21,3,TRUE),
VLOOKUP(Z234,Charge!$U$18:$W$21,2,TRUE)+(Z234-VLOOKUP(Z234,Charge!$U$18:$W$21,1,TRUE))*VLOOKUP(Z234,Charge!$U$18:$W$21,3,TRUE)),
IF(AND(B234="G2",M234=""),IF(R234="20'",
VLOOKUP(Z234,Charge!$K$9:$M$12,2,TRUE)+(Z234-VLOOKUP(Z234,Charge!$K$9:$M$12,1,TRUE))*VLOOKUP(Z234,Charge!$K$9:$M$12,3,TRUE),
VLOOKUP(Z234,Charge!$N$9:$P$12,2,TRUE)+(Z234-VLOOKUP(Z234,Charge!$N$9:$P$12,1,TRUE))*VLOOKUP(Z234,Charge!$N$9:$P$12,3,TRUE)),
IF(AND(B234="G2",M234="DG"),IF(R234="20'",
VLOOKUP(Z234,Charge!$R$9:$T$12,2,TRUE)+(Z234-VLOOKUP(Z234,Charge!$R$9:$T$12,1,TRUE))*VLOOKUP(Z234,Charge!$R$9:$T$12,3,TRUE),
VLOOKUP(Z234,Charge!$U$9:$W$12,2,TRUE)+(Z234-VLOOKUP(Z234,Charge!$U$9:$W$12,1,TRUE))*VLOOKUP(Z234,Charge!$U$9:$W$12,3,TRUE)),IF(AND(B234="G4",M234=""),IF(R234="20'",Z234*Charge!$M$25,Z234*Charge!$P$25),IF(AND(B234="G4",M234="DG"),IF(R234="20'",Z234*Charge!$T$25,Z234*Charge!$W$25),0))))))))</f>
        <v>0</v>
      </c>
      <c r="AB234" s="53"/>
      <c r="AC234" s="53"/>
      <c r="AD234" s="56">
        <f>IF(M234="DG",3,IF(N234="RF",3,5))+IF(AND(LEFT(C234,3)="BKK",N234="RF",Q234="KTS"),1,0)+IF(Q234="KHS",1,0)</f>
        <v>5</v>
      </c>
      <c r="AE234" s="57">
        <f>(T234-V234)+1</f>
        <v>46324</v>
      </c>
      <c r="AF234" s="57">
        <f>IF(AB234&gt;IF((V234-W234)&gt;0,V234-W234,0),0,IF(AB234&lt;IF((V234-W234)&gt;0,V234-W234,0),IF((V234-W234)&gt;0,V234-W234,0)-AB234,IF((V234-W234)&gt;0,V234-W234,0)))</f>
        <v>0</v>
      </c>
      <c r="AG234" s="48">
        <f>IF(AND(M234=""),IF(R234="20'",
VLOOKUP(AF234,Charge!$K$31:$M$34,2,TRUE)+(AF234-VLOOKUP(AF234,Charge!$K$31:$M$34,1,TRUE))*VLOOKUP(AF234,Charge!$K$31:$M$34,3,TRUE),
VLOOKUP(AF234,Charge!$N$31:$P$34,2,TRUE)+(AF234-VLOOKUP(AF234,Charge!$N$31:$P$34,1,TRUE))*VLOOKUP(AF234,Charge!$N$31:$P$34,3,TRUE)),
IF(AND(M234="DG"),IF(R234="20'",
VLOOKUP(AF234,Charge!$R$31:$T$34,2,TRUE)+(AF234-VLOOKUP(AF234,Charge!$R$31:$T$34,1,TRUE))*VLOOKUP(AF234,Charge!$R$31:$T$34,3,TRUE),
VLOOKUP(AF234,Charge!$U$31:$W$34,2,TRUE)+(AF234-VLOOKUP(AF234,Charge!$U$31:$W$34,1,TRUE))*VLOOKUP(AF234,Charge!$U$31:$W$34,3,TRUE)),0))</f>
        <v>0</v>
      </c>
      <c r="AH234" s="60"/>
      <c r="AI234" s="60">
        <f>AA234-AH234</f>
        <v>0</v>
      </c>
      <c r="AJ234" s="61"/>
      <c r="AK234" s="55" t="str">
        <f>VLOOKUP(D234,'2.Bookinglist'!A:CT,40,FALSE)</f>
        <v>Vilaiporn</v>
      </c>
      <c r="AL234" s="56" t="str">
        <f>VLOOKUP(D234,'2.Bookinglist'!A:CW,101,FALSE)</f>
        <v>2026-10-25</v>
      </c>
      <c r="AM234" s="56" t="str">
        <f>VLOOKUP(D234,'2.Bookinglist'!A:BK,63,FALSE)</f>
        <v>LCHY5</v>
      </c>
      <c r="AN234" s="55" t="str">
        <f>VLOOKUP(D234,'2.Bookinglist'!A:AZ,52,FALSE)</f>
        <v>Pickup : 2026-10-20, Return : 2026-10-22  (HV LOI 17/10/26)</v>
      </c>
      <c r="AO234" s="55">
        <f>VLOOKUP(D234,'2.Bookinglist'!A:CY,103,FALSE)</f>
        <v>0</v>
      </c>
    </row>
    <row r="235" ht="12.95" customHeight="1" spans="1:41" x14ac:dyDescent="0.25">
      <c r="A235" s="3" t="s">
        <v>444</v>
      </c>
      <c r="B235" s="53" t="str">
        <f>IF(C235=Charge!$M$1,Charge!$J$1,IF(C235=Charge!$M$23,Charge!$J$23,IF(C235=Charge!$M$17,Charge!$J$17,IF(C235=Charge!$N$17,Charge!$J$17,Charge!$J$7))))</f>
        <v>G2</v>
      </c>
      <c r="C235" s="54" t="str">
        <f>VLOOKUP(A235,'1.Loading'!A:R,14,FALSE)</f>
        <v>LCH06</v>
      </c>
      <c r="D235" s="54" t="str">
        <f>VLOOKUP(A235,'1.Loading'!A:R,17,FALSE)</f>
        <v>HASLS22261000047</v>
      </c>
      <c r="E235" s="55" t="str">
        <f>VLOOKUP(D235,'2.Bookinglist'!A:CT,27,FALSE)</f>
        <v>SIAM FOOD (2513) CO., LTD.</v>
      </c>
      <c r="F235" s="55" t="str">
        <f>VLOOKUP(D235,'2.Bookinglist'!A:CT,28,FALSE)</f>
        <v>SIAM FOOD (2513) CO., LTD.</v>
      </c>
      <c r="G235" s="56">
        <f>VLOOKUP(D235,'2.Bookinglist'!A:E,5,FALSE)</f>
        <v>0</v>
      </c>
      <c r="H235" s="54" t="str">
        <f>VLOOKUP(D235,'2.Bookinglist'!A:CT,15,FALSE)</f>
        <v>THLCH</v>
      </c>
      <c r="I235" s="54" t="str">
        <f>VLOOKUP(D235,'2.Bookinglist'!A:CT,19,FALSE)</f>
        <v>KRPUS</v>
      </c>
      <c r="J235" s="54">
        <f>VLOOKUP(D235,'2.Bookinglist'!A:CT,26,FALSE)</f>
        <v>0</v>
      </c>
      <c r="K235" s="54" t="str">
        <f>VLOOKUP(A235,'1.Loading'!A:R,5,FALSE)</f>
        <v>22GP</v>
      </c>
      <c r="L235" s="56" t="str">
        <f>VLOOKUP(D235,'2.Bookinglist'!A:CT,85,FALSE)</f>
        <v>CY/CY</v>
      </c>
      <c r="M235" s="56" t="str">
        <f>IF(VLOOKUP(D235,'2.Bookinglist'!A:CT,43,FALSE)=0,"","DG")</f>
        <v/>
      </c>
      <c r="N235" s="56" t="str">
        <f>IF(RIGHT(K235,2)="RE","RF","")</f>
        <v/>
      </c>
      <c r="O235" s="54" t="str">
        <f>VLOOKUP(A235,'1.Loading'!A:R,3,FALSE)</f>
        <v>HMVY</v>
      </c>
      <c r="P235" s="54" t="str">
        <f>VLOOKUP(A235,'1.Loading'!A:R,4,FALSE)</f>
        <v>2609N</v>
      </c>
      <c r="Q235" s="54" t="str">
        <f>VLOOKUP(D235,'2.Bookinglist'!A:CT,12,FALSE)</f>
        <v>PCI2</v>
      </c>
      <c r="R235" s="56" t="str">
        <f>IF(LEFT(K235,2)="22","20'","40'")</f>
        <v>20'</v>
      </c>
      <c r="S235" s="38"/>
      <c r="T235" s="54" t="str">
        <f>VLOOKUP(A235,'1.Loading'!A:R,2,FALSE)</f>
        <v>2026-10-28</v>
      </c>
      <c r="U235" s="57">
        <f>T235-S235</f>
        <v>46323</v>
      </c>
      <c r="V235" s="58"/>
      <c r="W235" s="54" t="str">
        <f>VLOOKUP(A235,'3.GateMove'!A:D,4,FALSE)</f>
        <v>2026-10-22</v>
      </c>
      <c r="X235" s="57">
        <f>((T235-W235)+1)</f>
        <v>7</v>
      </c>
      <c r="Y235" s="59">
        <f>IF(AND(OR(C235="BKK01",C235="BKK04"),L235="CFS/CY"),0,IF(M235="DG",1,IF(LEFT(C235,3)="LCH",7,IF(C235="BKK02",5,3))))</f>
        <v>7</v>
      </c>
      <c r="Z235" s="57">
        <f>IF(IF(AND(AC235="TML",AB235&gt;0),((T235-W235)+1)-AB235,((T235-W235)+1)-Y235)&gt;0,IF(AND(AC235="TML",AB235&gt;0),((T235-W235)+1)-AB235,((T235-W235)+1)-Y235),0)</f>
        <v>0</v>
      </c>
      <c r="AA235" s="48">
        <f>IF(AND(B235="G1",M235=""),IF(R235="20'",
VLOOKUP(Z235,Charge!$K$2:$M$5,2,TRUE)+(Z235-VLOOKUP(Z235,Charge!$K$2:$M$5,1,TRUE))*VLOOKUP(Z235,Charge!$K$2:$M$5,3,TRUE),
VLOOKUP(Z235,Charge!$N$2:$P$5,2,TRUE)+(Z235-VLOOKUP(Z235,Charge!$N$2:$P$5,1,TRUE))*VLOOKUP(Z235,Charge!$N$2:$P$5,3,TRUE)),
IF(AND(B235="G1",M235="DG"),IF(R235="20'",
VLOOKUP(Z235,Charge!$R$2:$T$5,2,TRUE)+(Z235-VLOOKUP(Z235,Charge!$R$2:$T$5,1,TRUE))*VLOOKUP(Z235,Charge!$R$2:$T$5,3,TRUE),
VLOOKUP(Z235,Charge!$U$2:$W$5,2,TRUE)+(Z235-VLOOKUP(Z235,Charge!$U$2:$W$5,1,TRUE))*VLOOKUP(Z235,Charge!$U$2:$W$5,3,TRUE)),
IF(AND(B235="G3",M235=""),IF(R235="20'",
VLOOKUP(Z235,Charge!$K$18:$M$21,2,TRUE)+(Z235-VLOOKUP(Z235,Charge!$K$18:$M$21,1,TRUE))*VLOOKUP(Z235,Charge!$K$18:$M$21,3,TRUE),
VLOOKUP(Z235,Charge!$N$18:$P$21,2,TRUE)+(Z235-VLOOKUP(Z235,Charge!$N$18:$P$21,1,TRUE))*VLOOKUP(Z235,Charge!$N$18:$P$21,3,TRUE)),
IF(AND(B235="G3",M235="DG"),IF(R235="20'",
VLOOKUP(Z235,Charge!$R$18:$T$21,2,TRUE)+(Z235-VLOOKUP(Z235,Charge!$R$18:$T$21,1,TRUE))*VLOOKUP(Z235,Charge!$R$18:$T$21,3,TRUE),
VLOOKUP(Z235,Charge!$U$18:$W$21,2,TRUE)+(Z235-VLOOKUP(Z235,Charge!$U$18:$W$21,1,TRUE))*VLOOKUP(Z235,Charge!$U$18:$W$21,3,TRUE)),
IF(AND(B235="G2",M235=""),IF(R235="20'",
VLOOKUP(Z235,Charge!$K$9:$M$12,2,TRUE)+(Z235-VLOOKUP(Z235,Charge!$K$9:$M$12,1,TRUE))*VLOOKUP(Z235,Charge!$K$9:$M$12,3,TRUE),
VLOOKUP(Z235,Charge!$N$9:$P$12,2,TRUE)+(Z235-VLOOKUP(Z235,Charge!$N$9:$P$12,1,TRUE))*VLOOKUP(Z235,Charge!$N$9:$P$12,3,TRUE)),
IF(AND(B235="G2",M235="DG"),IF(R235="20'",
VLOOKUP(Z235,Charge!$R$9:$T$12,2,TRUE)+(Z235-VLOOKUP(Z235,Charge!$R$9:$T$12,1,TRUE))*VLOOKUP(Z235,Charge!$R$9:$T$12,3,TRUE),
VLOOKUP(Z235,Charge!$U$9:$W$12,2,TRUE)+(Z235-VLOOKUP(Z235,Charge!$U$9:$W$12,1,TRUE))*VLOOKUP(Z235,Charge!$U$9:$W$12,3,TRUE)),IF(AND(B235="G4",M235=""),IF(R235="20'",Z235*Charge!$M$25,Z235*Charge!$P$25),IF(AND(B235="G4",M235="DG"),IF(R235="20'",Z235*Charge!$T$25,Z235*Charge!$W$25),0))))))))</f>
        <v>0</v>
      </c>
      <c r="AB235" s="53"/>
      <c r="AC235" s="53"/>
      <c r="AD235" s="56">
        <f>IF(M235="DG",3,IF(N235="RF",3,5))+IF(AND(LEFT(C235,3)="BKK",N235="RF",Q235="KTS"),1,0)+IF(Q235="KHS",1,0)</f>
        <v>5</v>
      </c>
      <c r="AE235" s="57">
        <f>(T235-V235)+1</f>
        <v>46324</v>
      </c>
      <c r="AF235" s="57">
        <f>IF(AB235&gt;IF((V235-W235)&gt;0,V235-W235,0),0,IF(AB235&lt;IF((V235-W235)&gt;0,V235-W235,0),IF((V235-W235)&gt;0,V235-W235,0)-AB235,IF((V235-W235)&gt;0,V235-W235,0)))</f>
        <v>0</v>
      </c>
      <c r="AG235" s="48">
        <f>IF(AND(M235=""),IF(R235="20'",
VLOOKUP(AF235,Charge!$K$31:$M$34,2,TRUE)+(AF235-VLOOKUP(AF235,Charge!$K$31:$M$34,1,TRUE))*VLOOKUP(AF235,Charge!$K$31:$M$34,3,TRUE),
VLOOKUP(AF235,Charge!$N$31:$P$34,2,TRUE)+(AF235-VLOOKUP(AF235,Charge!$N$31:$P$34,1,TRUE))*VLOOKUP(AF235,Charge!$N$31:$P$34,3,TRUE)),
IF(AND(M235="DG"),IF(R235="20'",
VLOOKUP(AF235,Charge!$R$31:$T$34,2,TRUE)+(AF235-VLOOKUP(AF235,Charge!$R$31:$T$34,1,TRUE))*VLOOKUP(AF235,Charge!$R$31:$T$34,3,TRUE),
VLOOKUP(AF235,Charge!$U$31:$W$34,2,TRUE)+(AF235-VLOOKUP(AF235,Charge!$U$31:$W$34,1,TRUE))*VLOOKUP(AF235,Charge!$U$31:$W$34,3,TRUE)),0))</f>
        <v>0</v>
      </c>
      <c r="AH235" s="60"/>
      <c r="AI235" s="60">
        <f>AA235-AH235</f>
        <v>0</v>
      </c>
      <c r="AJ235" s="61"/>
      <c r="AK235" s="55" t="str">
        <f>VLOOKUP(D235,'2.Bookinglist'!A:CT,40,FALSE)</f>
        <v>Lee suk hyun</v>
      </c>
      <c r="AL235" s="56" t="str">
        <f>VLOOKUP(D235,'2.Bookinglist'!A:CW,101,FALSE)</f>
        <v>2026-10-27</v>
      </c>
      <c r="AM235" s="56" t="str">
        <f>VLOOKUP(D235,'2.Bookinglist'!A:BK,63,FALSE)</f>
        <v>LCHY5</v>
      </c>
      <c r="AN235" s="55" t="str">
        <f>VLOOKUP(D235,'2.Bookinglist'!A:AZ,52,FALSE)</f>
        <v>Pickup : 2026-10-22, Return : 2026-10-23
** PLEASE CHECK OPEN GATE BEFORE RETURN CONTAINER ** </v>
      </c>
      <c r="AO235" s="55">
        <f>VLOOKUP(D235,'2.Bookinglist'!A:CY,103,FALSE)</f>
        <v>0</v>
      </c>
    </row>
    <row r="236" ht="12.95" customHeight="1" spans="1:41" x14ac:dyDescent="0.25">
      <c r="A236" s="3" t="s">
        <v>374</v>
      </c>
      <c r="B236" s="53" t="str">
        <f>IF(C236=Charge!$M$1,Charge!$J$1,IF(C236=Charge!$M$23,Charge!$J$23,IF(C236=Charge!$M$17,Charge!$J$17,IF(C236=Charge!$N$17,Charge!$J$17,Charge!$J$7))))</f>
        <v>G2</v>
      </c>
      <c r="C236" s="54" t="str">
        <f>VLOOKUP(A236,'1.Loading'!A:R,14,FALSE)</f>
        <v>LCH06</v>
      </c>
      <c r="D236" s="54" t="str">
        <f>VLOOKUP(A236,'1.Loading'!A:R,17,FALSE)</f>
        <v>HASLS22260900170</v>
      </c>
      <c r="E236" s="55" t="str">
        <f>VLOOKUP(D236,'2.Bookinglist'!A:CT,27,FALSE)</f>
        <v>PANDA GOGO LOGISTICS CO., LTD.</v>
      </c>
      <c r="F236" s="55" t="str">
        <f>VLOOKUP(D236,'2.Bookinglist'!A:CT,28,FALSE)</f>
        <v>GC-M PTA COMPANY LIMITED</v>
      </c>
      <c r="G236" s="56">
        <f>VLOOKUP(D236,'2.Bookinglist'!A:E,5,FALSE)</f>
        <v>0</v>
      </c>
      <c r="H236" s="54" t="str">
        <f>VLOOKUP(D236,'2.Bookinglist'!A:CT,15,FALSE)</f>
        <v>THLCH</v>
      </c>
      <c r="I236" s="54" t="str">
        <f>VLOOKUP(D236,'2.Bookinglist'!A:CT,19,FALSE)</f>
        <v>JPTRG</v>
      </c>
      <c r="J236" s="54" t="str">
        <f>VLOOKUP(D236,'2.Bookinglist'!A:CT,26,FALSE)</f>
        <v>KRPUS</v>
      </c>
      <c r="K236" s="54" t="str">
        <f>VLOOKUP(A236,'1.Loading'!A:R,5,FALSE)</f>
        <v>22GP</v>
      </c>
      <c r="L236" s="56" t="str">
        <f>VLOOKUP(D236,'2.Bookinglist'!A:CT,85,FALSE)</f>
        <v>CY/CY</v>
      </c>
      <c r="M236" s="56" t="str">
        <f>IF(VLOOKUP(D236,'2.Bookinglist'!A:CT,43,FALSE)=0,"","DG")</f>
        <v/>
      </c>
      <c r="N236" s="56" t="str">
        <f>IF(RIGHT(K236,2)="RE","RF","")</f>
        <v/>
      </c>
      <c r="O236" s="54" t="str">
        <f>VLOOKUP(A236,'1.Loading'!A:R,3,FALSE)</f>
        <v>HMVY</v>
      </c>
      <c r="P236" s="54" t="str">
        <f>VLOOKUP(A236,'1.Loading'!A:R,4,FALSE)</f>
        <v>2609N</v>
      </c>
      <c r="Q236" s="54" t="str">
        <f>VLOOKUP(D236,'2.Bookinglist'!A:CT,12,FALSE)</f>
        <v>PCI2</v>
      </c>
      <c r="R236" s="56" t="str">
        <f>IF(LEFT(K236,2)="22","20'","40'")</f>
        <v>20'</v>
      </c>
      <c r="S236" s="38"/>
      <c r="T236" s="54" t="str">
        <f>VLOOKUP(A236,'1.Loading'!A:R,2,FALSE)</f>
        <v>2026-10-28</v>
      </c>
      <c r="U236" s="57">
        <f>T236-S236</f>
        <v>46323</v>
      </c>
      <c r="V236" s="58"/>
      <c r="W236" s="54" t="str">
        <f>VLOOKUP(A236,'3.GateMove'!A:D,4,FALSE)</f>
        <v>2026-10-18</v>
      </c>
      <c r="X236" s="57">
        <f>((T236-W236)+1)</f>
        <v>11</v>
      </c>
      <c r="Y236" s="59">
        <f>IF(AND(OR(C236="BKK01",C236="BKK04"),L236="CFS/CY"),0,IF(M236="DG",1,IF(LEFT(C236,3)="LCH",7,IF(C236="BKK02",5,3))))</f>
        <v>7</v>
      </c>
      <c r="Z236" s="57">
        <f>IF(IF(AND(AC236="TML",AB236&gt;0),((T236-W236)+1)-AB236,((T236-W236)+1)-Y236)&gt;0,IF(AND(AC236="TML",AB236&gt;0),((T236-W236)+1)-AB236,((T236-W236)+1)-Y236),0)</f>
        <v>4</v>
      </c>
      <c r="AA236" s="48">
        <f>IF(AND(B236="G1",M236=""),IF(R236="20'",
VLOOKUP(Z236,Charge!$K$2:$M$5,2,TRUE)+(Z236-VLOOKUP(Z236,Charge!$K$2:$M$5,1,TRUE))*VLOOKUP(Z236,Charge!$K$2:$M$5,3,TRUE),
VLOOKUP(Z236,Charge!$N$2:$P$5,2,TRUE)+(Z236-VLOOKUP(Z236,Charge!$N$2:$P$5,1,TRUE))*VLOOKUP(Z236,Charge!$N$2:$P$5,3,TRUE)),
IF(AND(B236="G1",M236="DG"),IF(R236="20'",
VLOOKUP(Z236,Charge!$R$2:$T$5,2,TRUE)+(Z236-VLOOKUP(Z236,Charge!$R$2:$T$5,1,TRUE))*VLOOKUP(Z236,Charge!$R$2:$T$5,3,TRUE),
VLOOKUP(Z236,Charge!$U$2:$W$5,2,TRUE)+(Z236-VLOOKUP(Z236,Charge!$U$2:$W$5,1,TRUE))*VLOOKUP(Z236,Charge!$U$2:$W$5,3,TRUE)),
IF(AND(B236="G3",M236=""),IF(R236="20'",
VLOOKUP(Z236,Charge!$K$18:$M$21,2,TRUE)+(Z236-VLOOKUP(Z236,Charge!$K$18:$M$21,1,TRUE))*VLOOKUP(Z236,Charge!$K$18:$M$21,3,TRUE),
VLOOKUP(Z236,Charge!$N$18:$P$21,2,TRUE)+(Z236-VLOOKUP(Z236,Charge!$N$18:$P$21,1,TRUE))*VLOOKUP(Z236,Charge!$N$18:$P$21,3,TRUE)),
IF(AND(B236="G3",M236="DG"),IF(R236="20'",
VLOOKUP(Z236,Charge!$R$18:$T$21,2,TRUE)+(Z236-VLOOKUP(Z236,Charge!$R$18:$T$21,1,TRUE))*VLOOKUP(Z236,Charge!$R$18:$T$21,3,TRUE),
VLOOKUP(Z236,Charge!$U$18:$W$21,2,TRUE)+(Z236-VLOOKUP(Z236,Charge!$U$18:$W$21,1,TRUE))*VLOOKUP(Z236,Charge!$U$18:$W$21,3,TRUE)),
IF(AND(B236="G2",M236=""),IF(R236="20'",
VLOOKUP(Z236,Charge!$K$9:$M$12,2,TRUE)+(Z236-VLOOKUP(Z236,Charge!$K$9:$M$12,1,TRUE))*VLOOKUP(Z236,Charge!$K$9:$M$12,3,TRUE),
VLOOKUP(Z236,Charge!$N$9:$P$12,2,TRUE)+(Z236-VLOOKUP(Z236,Charge!$N$9:$P$12,1,TRUE))*VLOOKUP(Z236,Charge!$N$9:$P$12,3,TRUE)),
IF(AND(B236="G2",M236="DG"),IF(R236="20'",
VLOOKUP(Z236,Charge!$R$9:$T$12,2,TRUE)+(Z236-VLOOKUP(Z236,Charge!$R$9:$T$12,1,TRUE))*VLOOKUP(Z236,Charge!$R$9:$T$12,3,TRUE),
VLOOKUP(Z236,Charge!$U$9:$W$12,2,TRUE)+(Z236-VLOOKUP(Z236,Charge!$U$9:$W$12,1,TRUE))*VLOOKUP(Z236,Charge!$U$9:$W$12,3,TRUE)),IF(AND(B236="G4",M236=""),IF(R236="20'",Z236*Charge!$M$25,Z236*Charge!$P$25),IF(AND(B236="G4",M236="DG"),IF(R236="20'",Z236*Charge!$T$25,Z236*Charge!$W$25),0))))))))</f>
        <v>500</v>
      </c>
      <c r="AB236" s="53"/>
      <c r="AC236" s="53"/>
      <c r="AD236" s="56">
        <f>IF(M236="DG",3,IF(N236="RF",3,5))+IF(AND(LEFT(C236,3)="BKK",N236="RF",Q236="KTS"),1,0)+IF(Q236="KHS",1,0)</f>
        <v>5</v>
      </c>
      <c r="AE236" s="57">
        <f>(T236-V236)+1</f>
        <v>46324</v>
      </c>
      <c r="AF236" s="57">
        <f>IF(AB236&gt;IF((V236-W236)&gt;0,V236-W236,0),0,IF(AB236&lt;IF((V236-W236)&gt;0,V236-W236,0),IF((V236-W236)&gt;0,V236-W236,0)-AB236,IF((V236-W236)&gt;0,V236-W236,0)))</f>
        <v>0</v>
      </c>
      <c r="AG236" s="48">
        <f>IF(AND(M236=""),IF(R236="20'",
VLOOKUP(AF236,Charge!$K$31:$M$34,2,TRUE)+(AF236-VLOOKUP(AF236,Charge!$K$31:$M$34,1,TRUE))*VLOOKUP(AF236,Charge!$K$31:$M$34,3,TRUE),
VLOOKUP(AF236,Charge!$N$31:$P$34,2,TRUE)+(AF236-VLOOKUP(AF236,Charge!$N$31:$P$34,1,TRUE))*VLOOKUP(AF236,Charge!$N$31:$P$34,3,TRUE)),
IF(AND(M236="DG"),IF(R236="20'",
VLOOKUP(AF236,Charge!$R$31:$T$34,2,TRUE)+(AF236-VLOOKUP(AF236,Charge!$R$31:$T$34,1,TRUE))*VLOOKUP(AF236,Charge!$R$31:$T$34,3,TRUE),
VLOOKUP(AF236,Charge!$U$31:$W$34,2,TRUE)+(AF236-VLOOKUP(AF236,Charge!$U$31:$W$34,1,TRUE))*VLOOKUP(AF236,Charge!$U$31:$W$34,3,TRUE)),0))</f>
        <v>0</v>
      </c>
      <c r="AH236" s="60"/>
      <c r="AI236" s="60">
        <f>AA236-AH236</f>
        <v>500</v>
      </c>
      <c r="AJ236" s="61"/>
      <c r="AK236" s="55" t="str">
        <f>VLOOKUP(D236,'2.Bookinglist'!A:CT,40,FALSE)</f>
        <v>Tarn(Supaporn)</v>
      </c>
      <c r="AL236" s="56" t="str">
        <f>VLOOKUP(D236,'2.Bookinglist'!A:CW,101,FALSE)</f>
        <v>2026-10-22</v>
      </c>
      <c r="AM236" s="56" t="str">
        <f>VLOOKUP(D236,'2.Bookinglist'!A:BK,63,FALSE)</f>
        <v>LCHY5</v>
      </c>
      <c r="AN236" s="55" t="str">
        <f>VLOOKUP(D236,'2.Bookinglist'!A:AZ,52,FALSE)</f>
        <v>[FIX]Pickup : 2026-10-14, Return : 2026-10-15 [1ST RTN 16/10/2026 W/O RENT]
** PLEASE CHECK OPEN GATE BEFORE RETURN CONTAINER ** </v>
      </c>
      <c r="AO236" s="55">
        <f>VLOOKUP(D236,'2.Bookinglist'!A:CY,103,FALSE)</f>
        <v>0</v>
      </c>
    </row>
    <row r="237" ht="12.95" customHeight="1" spans="1:41" x14ac:dyDescent="0.25">
      <c r="A237" s="3" t="s">
        <v>308</v>
      </c>
      <c r="B237" s="53" t="str">
        <f>IF(C237=Charge!$M$1,Charge!$J$1,IF(C237=Charge!$M$23,Charge!$J$23,IF(C237=Charge!$M$17,Charge!$J$17,IF(C237=Charge!$N$17,Charge!$J$17,Charge!$J$7))))</f>
        <v>G2</v>
      </c>
      <c r="C237" s="54" t="str">
        <f>VLOOKUP(A237,'1.Loading'!A:R,14,FALSE)</f>
        <v>LCH06</v>
      </c>
      <c r="D237" s="54" t="str">
        <f>VLOOKUP(A237,'1.Loading'!A:R,17,FALSE)</f>
        <v>HASLS22261000613</v>
      </c>
      <c r="E237" s="55" t="str">
        <f>VLOOKUP(D237,'2.Bookinglist'!A:CT,27,FALSE)</f>
        <v>YUSEN LOGISTICS (THAILAND) CO., LTD.</v>
      </c>
      <c r="F237" s="55" t="str">
        <f>VLOOKUP(D237,'2.Bookinglist'!A:CT,28,FALSE)</f>
        <v>KUBOTA ENGINE ( THAILAND ) CO., LTD.</v>
      </c>
      <c r="G237" s="56">
        <f>VLOOKUP(D237,'2.Bookinglist'!A:E,5,FALSE)</f>
        <v>0</v>
      </c>
      <c r="H237" s="54" t="str">
        <f>VLOOKUP(D237,'2.Bookinglist'!A:CT,15,FALSE)</f>
        <v>THLCH</v>
      </c>
      <c r="I237" s="54" t="str">
        <f>VLOOKUP(D237,'2.Bookinglist'!A:CT,19,FALSE)</f>
        <v>CNSHA</v>
      </c>
      <c r="J237" s="54">
        <f>VLOOKUP(D237,'2.Bookinglist'!A:CT,26,FALSE)</f>
        <v>0</v>
      </c>
      <c r="K237" s="54" t="str">
        <f>VLOOKUP(A237,'1.Loading'!A:R,5,FALSE)</f>
        <v>22GP</v>
      </c>
      <c r="L237" s="56" t="str">
        <f>VLOOKUP(D237,'2.Bookinglist'!A:CT,85,FALSE)</f>
        <v>CY/CY</v>
      </c>
      <c r="M237" s="56" t="str">
        <f>IF(VLOOKUP(D237,'2.Bookinglist'!A:CT,43,FALSE)=0,"","DG")</f>
        <v/>
      </c>
      <c r="N237" s="56" t="str">
        <f>IF(RIGHT(K237,2)="RE","RF","")</f>
        <v/>
      </c>
      <c r="O237" s="54" t="str">
        <f>VLOOKUP(A237,'1.Loading'!A:R,3,FALSE)</f>
        <v>HMVY</v>
      </c>
      <c r="P237" s="54" t="str">
        <f>VLOOKUP(A237,'1.Loading'!A:R,4,FALSE)</f>
        <v>2609N</v>
      </c>
      <c r="Q237" s="54" t="str">
        <f>VLOOKUP(D237,'2.Bookinglist'!A:CT,12,FALSE)</f>
        <v>PCI2</v>
      </c>
      <c r="R237" s="56" t="str">
        <f>IF(LEFT(K237,2)="22","20'","40'")</f>
        <v>20'</v>
      </c>
      <c r="S237" s="38"/>
      <c r="T237" s="54" t="str">
        <f>VLOOKUP(A237,'1.Loading'!A:R,2,FALSE)</f>
        <v>2026-10-28</v>
      </c>
      <c r="U237" s="57">
        <f>T237-S237</f>
        <v>46323</v>
      </c>
      <c r="V237" s="58"/>
      <c r="W237" s="54" t="str">
        <f>VLOOKUP(A237,'3.GateMove'!A:D,4,FALSE)</f>
        <v>2026-10-19</v>
      </c>
      <c r="X237" s="57">
        <f>((T237-W237)+1)</f>
        <v>10</v>
      </c>
      <c r="Y237" s="59">
        <f>IF(AND(OR(C237="BKK01",C237="BKK04"),L237="CFS/CY"),0,IF(M237="DG",1,IF(LEFT(C237,3)="LCH",7,IF(C237="BKK02",5,3))))</f>
        <v>7</v>
      </c>
      <c r="Z237" s="57">
        <f>IF(IF(AND(AC237="TML",AB237&gt;0),((T237-W237)+1)-AB237,((T237-W237)+1)-Y237)&gt;0,IF(AND(AC237="TML",AB237&gt;0),((T237-W237)+1)-AB237,((T237-W237)+1)-Y237),0)</f>
        <v>3</v>
      </c>
      <c r="AA237" s="48">
        <f>IF(AND(B237="G1",M237=""),IF(R237="20'",
VLOOKUP(Z237,Charge!$K$2:$M$5,2,TRUE)+(Z237-VLOOKUP(Z237,Charge!$K$2:$M$5,1,TRUE))*VLOOKUP(Z237,Charge!$K$2:$M$5,3,TRUE),
VLOOKUP(Z237,Charge!$N$2:$P$5,2,TRUE)+(Z237-VLOOKUP(Z237,Charge!$N$2:$P$5,1,TRUE))*VLOOKUP(Z237,Charge!$N$2:$P$5,3,TRUE)),
IF(AND(B237="G1",M237="DG"),IF(R237="20'",
VLOOKUP(Z237,Charge!$R$2:$T$5,2,TRUE)+(Z237-VLOOKUP(Z237,Charge!$R$2:$T$5,1,TRUE))*VLOOKUP(Z237,Charge!$R$2:$T$5,3,TRUE),
VLOOKUP(Z237,Charge!$U$2:$W$5,2,TRUE)+(Z237-VLOOKUP(Z237,Charge!$U$2:$W$5,1,TRUE))*VLOOKUP(Z237,Charge!$U$2:$W$5,3,TRUE)),
IF(AND(B237="G3",M237=""),IF(R237="20'",
VLOOKUP(Z237,Charge!$K$18:$M$21,2,TRUE)+(Z237-VLOOKUP(Z237,Charge!$K$18:$M$21,1,TRUE))*VLOOKUP(Z237,Charge!$K$18:$M$21,3,TRUE),
VLOOKUP(Z237,Charge!$N$18:$P$21,2,TRUE)+(Z237-VLOOKUP(Z237,Charge!$N$18:$P$21,1,TRUE))*VLOOKUP(Z237,Charge!$N$18:$P$21,3,TRUE)),
IF(AND(B237="G3",M237="DG"),IF(R237="20'",
VLOOKUP(Z237,Charge!$R$18:$T$21,2,TRUE)+(Z237-VLOOKUP(Z237,Charge!$R$18:$T$21,1,TRUE))*VLOOKUP(Z237,Charge!$R$18:$T$21,3,TRUE),
VLOOKUP(Z237,Charge!$U$18:$W$21,2,TRUE)+(Z237-VLOOKUP(Z237,Charge!$U$18:$W$21,1,TRUE))*VLOOKUP(Z237,Charge!$U$18:$W$21,3,TRUE)),
IF(AND(B237="G2",M237=""),IF(R237="20'",
VLOOKUP(Z237,Charge!$K$9:$M$12,2,TRUE)+(Z237-VLOOKUP(Z237,Charge!$K$9:$M$12,1,TRUE))*VLOOKUP(Z237,Charge!$K$9:$M$12,3,TRUE),
VLOOKUP(Z237,Charge!$N$9:$P$12,2,TRUE)+(Z237-VLOOKUP(Z237,Charge!$N$9:$P$12,1,TRUE))*VLOOKUP(Z237,Charge!$N$9:$P$12,3,TRUE)),
IF(AND(B237="G2",M237="DG"),IF(R237="20'",
VLOOKUP(Z237,Charge!$R$9:$T$12,2,TRUE)+(Z237-VLOOKUP(Z237,Charge!$R$9:$T$12,1,TRUE))*VLOOKUP(Z237,Charge!$R$9:$T$12,3,TRUE),
VLOOKUP(Z237,Charge!$U$9:$W$12,2,TRUE)+(Z237-VLOOKUP(Z237,Charge!$U$9:$W$12,1,TRUE))*VLOOKUP(Z237,Charge!$U$9:$W$12,3,TRUE)),IF(AND(B237="G4",M237=""),IF(R237="20'",Z237*Charge!$M$25,Z237*Charge!$P$25),IF(AND(B237="G4",M237="DG"),IF(R237="20'",Z237*Charge!$T$25,Z237*Charge!$W$25),0))))))))</f>
        <v>375</v>
      </c>
      <c r="AB237" s="53"/>
      <c r="AC237" s="53"/>
      <c r="AD237" s="56">
        <f>IF(M237="DG",3,IF(N237="RF",3,5))+IF(AND(LEFT(C237,3)="BKK",N237="RF",Q237="KTS"),1,0)+IF(Q237="KHS",1,0)</f>
        <v>5</v>
      </c>
      <c r="AE237" s="57">
        <f>(T237-V237)+1</f>
        <v>46324</v>
      </c>
      <c r="AF237" s="57">
        <f>IF(AB237&gt;IF((V237-W237)&gt;0,V237-W237,0),0,IF(AB237&lt;IF((V237-W237)&gt;0,V237-W237,0),IF((V237-W237)&gt;0,V237-W237,0)-AB237,IF((V237-W237)&gt;0,V237-W237,0)))</f>
        <v>0</v>
      </c>
      <c r="AG237" s="48">
        <f>IF(AND(M237=""),IF(R237="20'",
VLOOKUP(AF237,Charge!$K$31:$M$34,2,TRUE)+(AF237-VLOOKUP(AF237,Charge!$K$31:$M$34,1,TRUE))*VLOOKUP(AF237,Charge!$K$31:$M$34,3,TRUE),
VLOOKUP(AF237,Charge!$N$31:$P$34,2,TRUE)+(AF237-VLOOKUP(AF237,Charge!$N$31:$P$34,1,TRUE))*VLOOKUP(AF237,Charge!$N$31:$P$34,3,TRUE)),
IF(AND(M237="DG"),IF(R237="20'",
VLOOKUP(AF237,Charge!$R$31:$T$34,2,TRUE)+(AF237-VLOOKUP(AF237,Charge!$R$31:$T$34,1,TRUE))*VLOOKUP(AF237,Charge!$R$31:$T$34,3,TRUE),
VLOOKUP(AF237,Charge!$U$31:$W$34,2,TRUE)+(AF237-VLOOKUP(AF237,Charge!$U$31:$W$34,1,TRUE))*VLOOKUP(AF237,Charge!$U$31:$W$34,3,TRUE)),0))</f>
        <v>0</v>
      </c>
      <c r="AH237" s="60"/>
      <c r="AI237" s="60">
        <f>AA237-AH237</f>
        <v>375</v>
      </c>
      <c r="AJ237" s="61"/>
      <c r="AK237" s="55" t="str">
        <f>VLOOKUP(D237,'2.Bookinglist'!A:CT,40,FALSE)</f>
        <v>Vilaiporn</v>
      </c>
      <c r="AL237" s="56" t="str">
        <f>VLOOKUP(D237,'2.Bookinglist'!A:CW,101,FALSE)</f>
        <v>2026-10-25</v>
      </c>
      <c r="AM237" s="56" t="str">
        <f>VLOOKUP(D237,'2.Bookinglist'!A:BK,63,FALSE)</f>
        <v>LCHY5</v>
      </c>
      <c r="AN237" s="55" t="str">
        <f>VLOOKUP(D237,'2.Bookinglist'!A:AZ,52,FALSE)</f>
        <v>Pickup : 2026-10-19, Return : 2026-10-19 (1ST RTN DD: 18/10/26 WO/RENT)</v>
      </c>
      <c r="AO237" s="55">
        <f>VLOOKUP(D237,'2.Bookinglist'!A:CY,103,FALSE)</f>
        <v>0</v>
      </c>
    </row>
    <row r="238" ht="12.95" customHeight="1" spans="1:41" x14ac:dyDescent="0.25">
      <c r="A238" s="3" t="s">
        <v>338</v>
      </c>
      <c r="B238" s="53" t="str">
        <f>IF(C238=Charge!$M$1,Charge!$J$1,IF(C238=Charge!$M$23,Charge!$J$23,IF(C238=Charge!$M$17,Charge!$J$17,IF(C238=Charge!$N$17,Charge!$J$17,Charge!$J$7))))</f>
        <v>G2</v>
      </c>
      <c r="C238" s="54" t="str">
        <f>VLOOKUP(A238,'1.Loading'!A:R,14,FALSE)</f>
        <v>LCH06</v>
      </c>
      <c r="D238" s="54" t="str">
        <f>VLOOKUP(A238,'1.Loading'!A:R,17,FALSE)</f>
        <v>HASLS22261000787</v>
      </c>
      <c r="E238" s="55" t="str">
        <f>VLOOKUP(D238,'2.Bookinglist'!A:CT,27,FALSE)</f>
        <v>FREIGHT EXPRESS INTERNATIONAL CO., LTD.</v>
      </c>
      <c r="F238" s="55" t="str">
        <f>VLOOKUP(D238,'2.Bookinglist'!A:CT,28,FALSE)</f>
        <v>MITSUBISHI ELECTRIC THAI AUTO-PARTS CO., LTD.</v>
      </c>
      <c r="G238" s="56">
        <f>VLOOKUP(D238,'2.Bookinglist'!A:E,5,FALSE)</f>
        <v>0</v>
      </c>
      <c r="H238" s="54" t="str">
        <f>VLOOKUP(D238,'2.Bookinglist'!A:CT,15,FALSE)</f>
        <v>THLCH</v>
      </c>
      <c r="I238" s="54" t="str">
        <f>VLOOKUP(D238,'2.Bookinglist'!A:CT,19,FALSE)</f>
        <v>CNSHA</v>
      </c>
      <c r="J238" s="54">
        <f>VLOOKUP(D238,'2.Bookinglist'!A:CT,26,FALSE)</f>
        <v>0</v>
      </c>
      <c r="K238" s="54" t="str">
        <f>VLOOKUP(A238,'1.Loading'!A:R,5,FALSE)</f>
        <v>22GP</v>
      </c>
      <c r="L238" s="56" t="str">
        <f>VLOOKUP(D238,'2.Bookinglist'!A:CT,85,FALSE)</f>
        <v>CY/CY</v>
      </c>
      <c r="M238" s="56" t="str">
        <f>IF(VLOOKUP(D238,'2.Bookinglist'!A:CT,43,FALSE)=0,"","DG")</f>
        <v/>
      </c>
      <c r="N238" s="56" t="str">
        <f>IF(RIGHT(K238,2)="RE","RF","")</f>
        <v/>
      </c>
      <c r="O238" s="54" t="str">
        <f>VLOOKUP(A238,'1.Loading'!A:R,3,FALSE)</f>
        <v>HMVY</v>
      </c>
      <c r="P238" s="54" t="str">
        <f>VLOOKUP(A238,'1.Loading'!A:R,4,FALSE)</f>
        <v>2609N</v>
      </c>
      <c r="Q238" s="54" t="str">
        <f>VLOOKUP(D238,'2.Bookinglist'!A:CT,12,FALSE)</f>
        <v>PCI2</v>
      </c>
      <c r="R238" s="56" t="str">
        <f>IF(LEFT(K238,2)="22","20'","40'")</f>
        <v>20'</v>
      </c>
      <c r="S238" s="38"/>
      <c r="T238" s="54" t="str">
        <f>VLOOKUP(A238,'1.Loading'!A:R,2,FALSE)</f>
        <v>2026-10-28</v>
      </c>
      <c r="U238" s="57">
        <f>T238-S238</f>
        <v>46323</v>
      </c>
      <c r="V238" s="58"/>
      <c r="W238" s="54" t="str">
        <f>VLOOKUP(A238,'3.GateMove'!A:D,4,FALSE)</f>
        <v>2026-10-23</v>
      </c>
      <c r="X238" s="57">
        <f>((T238-W238)+1)</f>
        <v>6</v>
      </c>
      <c r="Y238" s="59">
        <f>IF(AND(OR(C238="BKK01",C238="BKK04"),L238="CFS/CY"),0,IF(M238="DG",1,IF(LEFT(C238,3)="LCH",7,IF(C238="BKK02",5,3))))</f>
        <v>7</v>
      </c>
      <c r="Z238" s="57">
        <f>IF(IF(AND(AC238="TML",AB238&gt;0),((T238-W238)+1)-AB238,((T238-W238)+1)-Y238)&gt;0,IF(AND(AC238="TML",AB238&gt;0),((T238-W238)+1)-AB238,((T238-W238)+1)-Y238),0)</f>
        <v>0</v>
      </c>
      <c r="AA238" s="48">
        <f>IF(AND(B238="G1",M238=""),IF(R238="20'",
VLOOKUP(Z238,Charge!$K$2:$M$5,2,TRUE)+(Z238-VLOOKUP(Z238,Charge!$K$2:$M$5,1,TRUE))*VLOOKUP(Z238,Charge!$K$2:$M$5,3,TRUE),
VLOOKUP(Z238,Charge!$N$2:$P$5,2,TRUE)+(Z238-VLOOKUP(Z238,Charge!$N$2:$P$5,1,TRUE))*VLOOKUP(Z238,Charge!$N$2:$P$5,3,TRUE)),
IF(AND(B238="G1",M238="DG"),IF(R238="20'",
VLOOKUP(Z238,Charge!$R$2:$T$5,2,TRUE)+(Z238-VLOOKUP(Z238,Charge!$R$2:$T$5,1,TRUE))*VLOOKUP(Z238,Charge!$R$2:$T$5,3,TRUE),
VLOOKUP(Z238,Charge!$U$2:$W$5,2,TRUE)+(Z238-VLOOKUP(Z238,Charge!$U$2:$W$5,1,TRUE))*VLOOKUP(Z238,Charge!$U$2:$W$5,3,TRUE)),
IF(AND(B238="G3",M238=""),IF(R238="20'",
VLOOKUP(Z238,Charge!$K$18:$M$21,2,TRUE)+(Z238-VLOOKUP(Z238,Charge!$K$18:$M$21,1,TRUE))*VLOOKUP(Z238,Charge!$K$18:$M$21,3,TRUE),
VLOOKUP(Z238,Charge!$N$18:$P$21,2,TRUE)+(Z238-VLOOKUP(Z238,Charge!$N$18:$P$21,1,TRUE))*VLOOKUP(Z238,Charge!$N$18:$P$21,3,TRUE)),
IF(AND(B238="G3",M238="DG"),IF(R238="20'",
VLOOKUP(Z238,Charge!$R$18:$T$21,2,TRUE)+(Z238-VLOOKUP(Z238,Charge!$R$18:$T$21,1,TRUE))*VLOOKUP(Z238,Charge!$R$18:$T$21,3,TRUE),
VLOOKUP(Z238,Charge!$U$18:$W$21,2,TRUE)+(Z238-VLOOKUP(Z238,Charge!$U$18:$W$21,1,TRUE))*VLOOKUP(Z238,Charge!$U$18:$W$21,3,TRUE)),
IF(AND(B238="G2",M238=""),IF(R238="20'",
VLOOKUP(Z238,Charge!$K$9:$M$12,2,TRUE)+(Z238-VLOOKUP(Z238,Charge!$K$9:$M$12,1,TRUE))*VLOOKUP(Z238,Charge!$K$9:$M$12,3,TRUE),
VLOOKUP(Z238,Charge!$N$9:$P$12,2,TRUE)+(Z238-VLOOKUP(Z238,Charge!$N$9:$P$12,1,TRUE))*VLOOKUP(Z238,Charge!$N$9:$P$12,3,TRUE)),
IF(AND(B238="G2",M238="DG"),IF(R238="20'",
VLOOKUP(Z238,Charge!$R$9:$T$12,2,TRUE)+(Z238-VLOOKUP(Z238,Charge!$R$9:$T$12,1,TRUE))*VLOOKUP(Z238,Charge!$R$9:$T$12,3,TRUE),
VLOOKUP(Z238,Charge!$U$9:$W$12,2,TRUE)+(Z238-VLOOKUP(Z238,Charge!$U$9:$W$12,1,TRUE))*VLOOKUP(Z238,Charge!$U$9:$W$12,3,TRUE)),IF(AND(B238="G4",M238=""),IF(R238="20'",Z238*Charge!$M$25,Z238*Charge!$P$25),IF(AND(B238="G4",M238="DG"),IF(R238="20'",Z238*Charge!$T$25,Z238*Charge!$W$25),0))))))))</f>
        <v>0</v>
      </c>
      <c r="AB238" s="53"/>
      <c r="AC238" s="53"/>
      <c r="AD238" s="56">
        <f>IF(M238="DG",3,IF(N238="RF",3,5))+IF(AND(LEFT(C238,3)="BKK",N238="RF",Q238="KTS"),1,0)+IF(Q238="KHS",1,0)</f>
        <v>5</v>
      </c>
      <c r="AE238" s="57">
        <f>(T238-V238)+1</f>
        <v>46324</v>
      </c>
      <c r="AF238" s="57">
        <f>IF(AB238&gt;IF((V238-W238)&gt;0,V238-W238,0),0,IF(AB238&lt;IF((V238-W238)&gt;0,V238-W238,0),IF((V238-W238)&gt;0,V238-W238,0)-AB238,IF((V238-W238)&gt;0,V238-W238,0)))</f>
        <v>0</v>
      </c>
      <c r="AG238" s="48">
        <f>IF(AND(M238=""),IF(R238="20'",
VLOOKUP(AF238,Charge!$K$31:$M$34,2,TRUE)+(AF238-VLOOKUP(AF238,Charge!$K$31:$M$34,1,TRUE))*VLOOKUP(AF238,Charge!$K$31:$M$34,3,TRUE),
VLOOKUP(AF238,Charge!$N$31:$P$34,2,TRUE)+(AF238-VLOOKUP(AF238,Charge!$N$31:$P$34,1,TRUE))*VLOOKUP(AF238,Charge!$N$31:$P$34,3,TRUE)),
IF(AND(M238="DG"),IF(R238="20'",
VLOOKUP(AF238,Charge!$R$31:$T$34,2,TRUE)+(AF238-VLOOKUP(AF238,Charge!$R$31:$T$34,1,TRUE))*VLOOKUP(AF238,Charge!$R$31:$T$34,3,TRUE),
VLOOKUP(AF238,Charge!$U$31:$W$34,2,TRUE)+(AF238-VLOOKUP(AF238,Charge!$U$31:$W$34,1,TRUE))*VLOOKUP(AF238,Charge!$U$31:$W$34,3,TRUE)),0))</f>
        <v>0</v>
      </c>
      <c r="AH238" s="60"/>
      <c r="AI238" s="60">
        <f>AA238-AH238</f>
        <v>0</v>
      </c>
      <c r="AJ238" s="61"/>
      <c r="AK238" s="55" t="str">
        <f>VLOOKUP(D238,'2.Bookinglist'!A:CT,40,FALSE)</f>
        <v>Arunphat W. (Aiw)</v>
      </c>
      <c r="AL238" s="56" t="str">
        <f>VLOOKUP(D238,'2.Bookinglist'!A:CW,101,FALSE)</f>
        <v>2026-10-22</v>
      </c>
      <c r="AM238" s="56" t="str">
        <f>VLOOKUP(D238,'2.Bookinglist'!A:BK,63,FALSE)</f>
        <v>LCHY5</v>
      </c>
      <c r="AN238" s="55" t="str">
        <f>VLOOKUP(D238,'2.Bookinglist'!A:AZ,52,FALSE)</f>
        <v>Pickup : 2026-10-22, Return : 2026-10-23 (1ST RTN DD: 16/10/26 WO/RENT)</v>
      </c>
      <c r="AO238" s="55">
        <f>VLOOKUP(D238,'2.Bookinglist'!A:CY,103,FALSE)</f>
        <v>0</v>
      </c>
    </row>
    <row r="239" ht="12.95" customHeight="1" spans="1:41" x14ac:dyDescent="0.25">
      <c r="A239" s="3" t="s">
        <v>287</v>
      </c>
      <c r="B239" s="53" t="str">
        <f>IF(C239=Charge!$M$1,Charge!$J$1,IF(C239=Charge!$M$23,Charge!$J$23,IF(C239=Charge!$M$17,Charge!$J$17,IF(C239=Charge!$N$17,Charge!$J$17,Charge!$J$7))))</f>
        <v>G2</v>
      </c>
      <c r="C239" s="54" t="str">
        <f>VLOOKUP(A239,'1.Loading'!A:R,14,FALSE)</f>
        <v>LCH06</v>
      </c>
      <c r="D239" s="54" t="str">
        <f>VLOOKUP(A239,'1.Loading'!A:R,17,FALSE)</f>
        <v>HASLS22261000090</v>
      </c>
      <c r="E239" s="55" t="str">
        <f>VLOOKUP(D239,'2.Bookinglist'!A:CT,27,FALSE)</f>
        <v>WHA GC LOGISTICS COMPANY LIMITED</v>
      </c>
      <c r="F239" s="55" t="str">
        <f>VLOOKUP(D239,'2.Bookinglist'!A:CT,28,FALSE)</f>
        <v>PTT GLOBAL CHEMICAL PUBLIC COMPANY LIMITED</v>
      </c>
      <c r="G239" s="56">
        <f>VLOOKUP(D239,'2.Bookinglist'!A:E,5,FALSE)</f>
        <v>0</v>
      </c>
      <c r="H239" s="54" t="str">
        <f>VLOOKUP(D239,'2.Bookinglist'!A:CT,15,FALSE)</f>
        <v>THLCH</v>
      </c>
      <c r="I239" s="54" t="str">
        <f>VLOOKUP(D239,'2.Bookinglist'!A:CT,19,FALSE)</f>
        <v>JPIYM</v>
      </c>
      <c r="J239" s="54" t="str">
        <f>VLOOKUP(D239,'2.Bookinglist'!A:CT,26,FALSE)</f>
        <v>KRPUS</v>
      </c>
      <c r="K239" s="54" t="str">
        <f>VLOOKUP(A239,'1.Loading'!A:R,5,FALSE)</f>
        <v>22GP</v>
      </c>
      <c r="L239" s="56" t="str">
        <f>VLOOKUP(D239,'2.Bookinglist'!A:CT,85,FALSE)</f>
        <v>CY/CY</v>
      </c>
      <c r="M239" s="56" t="str">
        <f>IF(VLOOKUP(D239,'2.Bookinglist'!A:CT,43,FALSE)=0,"","DG")</f>
        <v/>
      </c>
      <c r="N239" s="56" t="str">
        <f>IF(RIGHT(K239,2)="RE","RF","")</f>
        <v/>
      </c>
      <c r="O239" s="54" t="str">
        <f>VLOOKUP(A239,'1.Loading'!A:R,3,FALSE)</f>
        <v>HMVY</v>
      </c>
      <c r="P239" s="54" t="str">
        <f>VLOOKUP(A239,'1.Loading'!A:R,4,FALSE)</f>
        <v>2609N</v>
      </c>
      <c r="Q239" s="54" t="str">
        <f>VLOOKUP(D239,'2.Bookinglist'!A:CT,12,FALSE)</f>
        <v>PCI2</v>
      </c>
      <c r="R239" s="56" t="str">
        <f>IF(LEFT(K239,2)="22","20'","40'")</f>
        <v>20'</v>
      </c>
      <c r="S239" s="38"/>
      <c r="T239" s="54" t="str">
        <f>VLOOKUP(A239,'1.Loading'!A:R,2,FALSE)</f>
        <v>2026-10-28</v>
      </c>
      <c r="U239" s="57">
        <f>T239-S239</f>
        <v>46323</v>
      </c>
      <c r="V239" s="58"/>
      <c r="W239" s="54" t="str">
        <f>VLOOKUP(A239,'3.GateMove'!A:D,4,FALSE)</f>
        <v>2026-10-24</v>
      </c>
      <c r="X239" s="57">
        <f>((T239-W239)+1)</f>
        <v>5</v>
      </c>
      <c r="Y239" s="59">
        <f>IF(AND(OR(C239="BKK01",C239="BKK04"),L239="CFS/CY"),0,IF(M239="DG",1,IF(LEFT(C239,3)="LCH",7,IF(C239="BKK02",5,3))))</f>
        <v>7</v>
      </c>
      <c r="Z239" s="57">
        <f>IF(IF(AND(AC239="TML",AB239&gt;0),((T239-W239)+1)-AB239,((T239-W239)+1)-Y239)&gt;0,IF(AND(AC239="TML",AB239&gt;0),((T239-W239)+1)-AB239,((T239-W239)+1)-Y239),0)</f>
        <v>0</v>
      </c>
      <c r="AA239" s="48">
        <f>IF(AND(B239="G1",M239=""),IF(R239="20'",
VLOOKUP(Z239,Charge!$K$2:$M$5,2,TRUE)+(Z239-VLOOKUP(Z239,Charge!$K$2:$M$5,1,TRUE))*VLOOKUP(Z239,Charge!$K$2:$M$5,3,TRUE),
VLOOKUP(Z239,Charge!$N$2:$P$5,2,TRUE)+(Z239-VLOOKUP(Z239,Charge!$N$2:$P$5,1,TRUE))*VLOOKUP(Z239,Charge!$N$2:$P$5,3,TRUE)),
IF(AND(B239="G1",M239="DG"),IF(R239="20'",
VLOOKUP(Z239,Charge!$R$2:$T$5,2,TRUE)+(Z239-VLOOKUP(Z239,Charge!$R$2:$T$5,1,TRUE))*VLOOKUP(Z239,Charge!$R$2:$T$5,3,TRUE),
VLOOKUP(Z239,Charge!$U$2:$W$5,2,TRUE)+(Z239-VLOOKUP(Z239,Charge!$U$2:$W$5,1,TRUE))*VLOOKUP(Z239,Charge!$U$2:$W$5,3,TRUE)),
IF(AND(B239="G3",M239=""),IF(R239="20'",
VLOOKUP(Z239,Charge!$K$18:$M$21,2,TRUE)+(Z239-VLOOKUP(Z239,Charge!$K$18:$M$21,1,TRUE))*VLOOKUP(Z239,Charge!$K$18:$M$21,3,TRUE),
VLOOKUP(Z239,Charge!$N$18:$P$21,2,TRUE)+(Z239-VLOOKUP(Z239,Charge!$N$18:$P$21,1,TRUE))*VLOOKUP(Z239,Charge!$N$18:$P$21,3,TRUE)),
IF(AND(B239="G3",M239="DG"),IF(R239="20'",
VLOOKUP(Z239,Charge!$R$18:$T$21,2,TRUE)+(Z239-VLOOKUP(Z239,Charge!$R$18:$T$21,1,TRUE))*VLOOKUP(Z239,Charge!$R$18:$T$21,3,TRUE),
VLOOKUP(Z239,Charge!$U$18:$W$21,2,TRUE)+(Z239-VLOOKUP(Z239,Charge!$U$18:$W$21,1,TRUE))*VLOOKUP(Z239,Charge!$U$18:$W$21,3,TRUE)),
IF(AND(B239="G2",M239=""),IF(R239="20'",
VLOOKUP(Z239,Charge!$K$9:$M$12,2,TRUE)+(Z239-VLOOKUP(Z239,Charge!$K$9:$M$12,1,TRUE))*VLOOKUP(Z239,Charge!$K$9:$M$12,3,TRUE),
VLOOKUP(Z239,Charge!$N$9:$P$12,2,TRUE)+(Z239-VLOOKUP(Z239,Charge!$N$9:$P$12,1,TRUE))*VLOOKUP(Z239,Charge!$N$9:$P$12,3,TRUE)),
IF(AND(B239="G2",M239="DG"),IF(R239="20'",
VLOOKUP(Z239,Charge!$R$9:$T$12,2,TRUE)+(Z239-VLOOKUP(Z239,Charge!$R$9:$T$12,1,TRUE))*VLOOKUP(Z239,Charge!$R$9:$T$12,3,TRUE),
VLOOKUP(Z239,Charge!$U$9:$W$12,2,TRUE)+(Z239-VLOOKUP(Z239,Charge!$U$9:$W$12,1,TRUE))*VLOOKUP(Z239,Charge!$U$9:$W$12,3,TRUE)),IF(AND(B239="G4",M239=""),IF(R239="20'",Z239*Charge!$M$25,Z239*Charge!$P$25),IF(AND(B239="G4",M239="DG"),IF(R239="20'",Z239*Charge!$T$25,Z239*Charge!$W$25),0))))))))</f>
        <v>0</v>
      </c>
      <c r="AB239" s="53"/>
      <c r="AC239" s="53"/>
      <c r="AD239" s="56">
        <f>IF(M239="DG",3,IF(N239="RF",3,5))+IF(AND(LEFT(C239,3)="BKK",N239="RF",Q239="KTS"),1,0)+IF(Q239="KHS",1,0)</f>
        <v>5</v>
      </c>
      <c r="AE239" s="57">
        <f>(T239-V239)+1</f>
        <v>46324</v>
      </c>
      <c r="AF239" s="57">
        <f>IF(AB239&gt;IF((V239-W239)&gt;0,V239-W239,0),0,IF(AB239&lt;IF((V239-W239)&gt;0,V239-W239,0),IF((V239-W239)&gt;0,V239-W239,0)-AB239,IF((V239-W239)&gt;0,V239-W239,0)))</f>
        <v>0</v>
      </c>
      <c r="AG239" s="48">
        <f>IF(AND(M239=""),IF(R239="20'",
VLOOKUP(AF239,Charge!$K$31:$M$34,2,TRUE)+(AF239-VLOOKUP(AF239,Charge!$K$31:$M$34,1,TRUE))*VLOOKUP(AF239,Charge!$K$31:$M$34,3,TRUE),
VLOOKUP(AF239,Charge!$N$31:$P$34,2,TRUE)+(AF239-VLOOKUP(AF239,Charge!$N$31:$P$34,1,TRUE))*VLOOKUP(AF239,Charge!$N$31:$P$34,3,TRUE)),
IF(AND(M239="DG"),IF(R239="20'",
VLOOKUP(AF239,Charge!$R$31:$T$34,2,TRUE)+(AF239-VLOOKUP(AF239,Charge!$R$31:$T$34,1,TRUE))*VLOOKUP(AF239,Charge!$R$31:$T$34,3,TRUE),
VLOOKUP(AF239,Charge!$U$31:$W$34,2,TRUE)+(AF239-VLOOKUP(AF239,Charge!$U$31:$W$34,1,TRUE))*VLOOKUP(AF239,Charge!$U$31:$W$34,3,TRUE)),0))</f>
        <v>0</v>
      </c>
      <c r="AH239" s="60"/>
      <c r="AI239" s="60">
        <f>AA239-AH239</f>
        <v>0</v>
      </c>
      <c r="AJ239" s="61"/>
      <c r="AK239" s="55" t="str">
        <f>VLOOKUP(D239,'2.Bookinglist'!A:CT,40,FALSE)</f>
        <v>Dharaporn</v>
      </c>
      <c r="AL239" s="56" t="str">
        <f>VLOOKUP(D239,'2.Bookinglist'!A:CW,101,FALSE)</f>
        <v>2026-10-27</v>
      </c>
      <c r="AM239" s="56" t="str">
        <f>VLOOKUP(D239,'2.Bookinglist'!A:BK,63,FALSE)</f>
        <v>LCHY5</v>
      </c>
      <c r="AN239" s="55" t="str">
        <f>VLOOKUP(D239,'2.Bookinglist'!A:AZ,52,FALSE)</f>
        <v>[FIX]CY-RTN 21-22/10/26 </v>
      </c>
      <c r="AO239" s="55" t="str">
        <f>VLOOKUP(D239,'2.Bookinglist'!A:CY,103,FALSE)</f>
        <v>ROLL OVER FROM PREVIOUS VSL HAB 2612N BY ALLOCATION TEAM MS.TAN APPROVED COST IS UNDER HA DD.26/10</v>
      </c>
    </row>
    <row r="240" ht="12.95" customHeight="1" spans="1:41" x14ac:dyDescent="0.25">
      <c r="A240" s="3" t="s">
        <v>376</v>
      </c>
      <c r="B240" s="53" t="str">
        <f>IF(C240=Charge!$M$1,Charge!$J$1,IF(C240=Charge!$M$23,Charge!$J$23,IF(C240=Charge!$M$17,Charge!$J$17,IF(C240=Charge!$N$17,Charge!$J$17,Charge!$J$7))))</f>
        <v>G2</v>
      </c>
      <c r="C240" s="54" t="str">
        <f>VLOOKUP(A240,'1.Loading'!A:R,14,FALSE)</f>
        <v>LCH06</v>
      </c>
      <c r="D240" s="54" t="str">
        <f>VLOOKUP(A240,'1.Loading'!A:R,17,FALSE)</f>
        <v>HASLS22260900170</v>
      </c>
      <c r="E240" s="55" t="str">
        <f>VLOOKUP(D240,'2.Bookinglist'!A:CT,27,FALSE)</f>
        <v>PANDA GOGO LOGISTICS CO., LTD.</v>
      </c>
      <c r="F240" s="55" t="str">
        <f>VLOOKUP(D240,'2.Bookinglist'!A:CT,28,FALSE)</f>
        <v>GC-M PTA COMPANY LIMITED</v>
      </c>
      <c r="G240" s="56">
        <f>VLOOKUP(D240,'2.Bookinglist'!A:E,5,FALSE)</f>
        <v>0</v>
      </c>
      <c r="H240" s="54" t="str">
        <f>VLOOKUP(D240,'2.Bookinglist'!A:CT,15,FALSE)</f>
        <v>THLCH</v>
      </c>
      <c r="I240" s="54" t="str">
        <f>VLOOKUP(D240,'2.Bookinglist'!A:CT,19,FALSE)</f>
        <v>JPTRG</v>
      </c>
      <c r="J240" s="54" t="str">
        <f>VLOOKUP(D240,'2.Bookinglist'!A:CT,26,FALSE)</f>
        <v>KRPUS</v>
      </c>
      <c r="K240" s="54" t="str">
        <f>VLOOKUP(A240,'1.Loading'!A:R,5,FALSE)</f>
        <v>22GP</v>
      </c>
      <c r="L240" s="56" t="str">
        <f>VLOOKUP(D240,'2.Bookinglist'!A:CT,85,FALSE)</f>
        <v>CY/CY</v>
      </c>
      <c r="M240" s="56" t="str">
        <f>IF(VLOOKUP(D240,'2.Bookinglist'!A:CT,43,FALSE)=0,"","DG")</f>
        <v/>
      </c>
      <c r="N240" s="56" t="str">
        <f>IF(RIGHT(K240,2)="RE","RF","")</f>
        <v/>
      </c>
      <c r="O240" s="54" t="str">
        <f>VLOOKUP(A240,'1.Loading'!A:R,3,FALSE)</f>
        <v>HMVY</v>
      </c>
      <c r="P240" s="54" t="str">
        <f>VLOOKUP(A240,'1.Loading'!A:R,4,FALSE)</f>
        <v>2609N</v>
      </c>
      <c r="Q240" s="54" t="str">
        <f>VLOOKUP(D240,'2.Bookinglist'!A:CT,12,FALSE)</f>
        <v>PCI2</v>
      </c>
      <c r="R240" s="56" t="str">
        <f>IF(LEFT(K240,2)="22","20'","40'")</f>
        <v>20'</v>
      </c>
      <c r="S240" s="38"/>
      <c r="T240" s="54" t="str">
        <f>VLOOKUP(A240,'1.Loading'!A:R,2,FALSE)</f>
        <v>2026-10-28</v>
      </c>
      <c r="U240" s="57">
        <f>T240-S240</f>
        <v>46323</v>
      </c>
      <c r="V240" s="58"/>
      <c r="W240" s="54" t="str">
        <f>VLOOKUP(A240,'3.GateMove'!A:D,4,FALSE)</f>
        <v>2026-10-18</v>
      </c>
      <c r="X240" s="57">
        <f>((T240-W240)+1)</f>
        <v>11</v>
      </c>
      <c r="Y240" s="59">
        <f>IF(AND(OR(C240="BKK01",C240="BKK04"),L240="CFS/CY"),0,IF(M240="DG",1,IF(LEFT(C240,3)="LCH",7,IF(C240="BKK02",5,3))))</f>
        <v>7</v>
      </c>
      <c r="Z240" s="57">
        <f>IF(IF(AND(AC240="TML",AB240&gt;0),((T240-W240)+1)-AB240,((T240-W240)+1)-Y240)&gt;0,IF(AND(AC240="TML",AB240&gt;0),((T240-W240)+1)-AB240,((T240-W240)+1)-Y240),0)</f>
        <v>4</v>
      </c>
      <c r="AA240" s="48">
        <f>IF(AND(B240="G1",M240=""),IF(R240="20'",
VLOOKUP(Z240,Charge!$K$2:$M$5,2,TRUE)+(Z240-VLOOKUP(Z240,Charge!$K$2:$M$5,1,TRUE))*VLOOKUP(Z240,Charge!$K$2:$M$5,3,TRUE),
VLOOKUP(Z240,Charge!$N$2:$P$5,2,TRUE)+(Z240-VLOOKUP(Z240,Charge!$N$2:$P$5,1,TRUE))*VLOOKUP(Z240,Charge!$N$2:$P$5,3,TRUE)),
IF(AND(B240="G1",M240="DG"),IF(R240="20'",
VLOOKUP(Z240,Charge!$R$2:$T$5,2,TRUE)+(Z240-VLOOKUP(Z240,Charge!$R$2:$T$5,1,TRUE))*VLOOKUP(Z240,Charge!$R$2:$T$5,3,TRUE),
VLOOKUP(Z240,Charge!$U$2:$W$5,2,TRUE)+(Z240-VLOOKUP(Z240,Charge!$U$2:$W$5,1,TRUE))*VLOOKUP(Z240,Charge!$U$2:$W$5,3,TRUE)),
IF(AND(B240="G3",M240=""),IF(R240="20'",
VLOOKUP(Z240,Charge!$K$18:$M$21,2,TRUE)+(Z240-VLOOKUP(Z240,Charge!$K$18:$M$21,1,TRUE))*VLOOKUP(Z240,Charge!$K$18:$M$21,3,TRUE),
VLOOKUP(Z240,Charge!$N$18:$P$21,2,TRUE)+(Z240-VLOOKUP(Z240,Charge!$N$18:$P$21,1,TRUE))*VLOOKUP(Z240,Charge!$N$18:$P$21,3,TRUE)),
IF(AND(B240="G3",M240="DG"),IF(R240="20'",
VLOOKUP(Z240,Charge!$R$18:$T$21,2,TRUE)+(Z240-VLOOKUP(Z240,Charge!$R$18:$T$21,1,TRUE))*VLOOKUP(Z240,Charge!$R$18:$T$21,3,TRUE),
VLOOKUP(Z240,Charge!$U$18:$W$21,2,TRUE)+(Z240-VLOOKUP(Z240,Charge!$U$18:$W$21,1,TRUE))*VLOOKUP(Z240,Charge!$U$18:$W$21,3,TRUE)),
IF(AND(B240="G2",M240=""),IF(R240="20'",
VLOOKUP(Z240,Charge!$K$9:$M$12,2,TRUE)+(Z240-VLOOKUP(Z240,Charge!$K$9:$M$12,1,TRUE))*VLOOKUP(Z240,Charge!$K$9:$M$12,3,TRUE),
VLOOKUP(Z240,Charge!$N$9:$P$12,2,TRUE)+(Z240-VLOOKUP(Z240,Charge!$N$9:$P$12,1,TRUE))*VLOOKUP(Z240,Charge!$N$9:$P$12,3,TRUE)),
IF(AND(B240="G2",M240="DG"),IF(R240="20'",
VLOOKUP(Z240,Charge!$R$9:$T$12,2,TRUE)+(Z240-VLOOKUP(Z240,Charge!$R$9:$T$12,1,TRUE))*VLOOKUP(Z240,Charge!$R$9:$T$12,3,TRUE),
VLOOKUP(Z240,Charge!$U$9:$W$12,2,TRUE)+(Z240-VLOOKUP(Z240,Charge!$U$9:$W$12,1,TRUE))*VLOOKUP(Z240,Charge!$U$9:$W$12,3,TRUE)),IF(AND(B240="G4",M240=""),IF(R240="20'",Z240*Charge!$M$25,Z240*Charge!$P$25),IF(AND(B240="G4",M240="DG"),IF(R240="20'",Z240*Charge!$T$25,Z240*Charge!$W$25),0))))))))</f>
        <v>500</v>
      </c>
      <c r="AB240" s="53"/>
      <c r="AC240" s="53"/>
      <c r="AD240" s="56">
        <f>IF(M240="DG",3,IF(N240="RF",3,5))+IF(AND(LEFT(C240,3)="BKK",N240="RF",Q240="KTS"),1,0)+IF(Q240="KHS",1,0)</f>
        <v>5</v>
      </c>
      <c r="AE240" s="57">
        <f>(T240-V240)+1</f>
        <v>46324</v>
      </c>
      <c r="AF240" s="57">
        <f>IF(AB240&gt;IF((V240-W240)&gt;0,V240-W240,0),0,IF(AB240&lt;IF((V240-W240)&gt;0,V240-W240,0),IF((V240-W240)&gt;0,V240-W240,0)-AB240,IF((V240-W240)&gt;0,V240-W240,0)))</f>
        <v>0</v>
      </c>
      <c r="AG240" s="48">
        <f>IF(AND(M240=""),IF(R240="20'",
VLOOKUP(AF240,Charge!$K$31:$M$34,2,TRUE)+(AF240-VLOOKUP(AF240,Charge!$K$31:$M$34,1,TRUE))*VLOOKUP(AF240,Charge!$K$31:$M$34,3,TRUE),
VLOOKUP(AF240,Charge!$N$31:$P$34,2,TRUE)+(AF240-VLOOKUP(AF240,Charge!$N$31:$P$34,1,TRUE))*VLOOKUP(AF240,Charge!$N$31:$P$34,3,TRUE)),
IF(AND(M240="DG"),IF(R240="20'",
VLOOKUP(AF240,Charge!$R$31:$T$34,2,TRUE)+(AF240-VLOOKUP(AF240,Charge!$R$31:$T$34,1,TRUE))*VLOOKUP(AF240,Charge!$R$31:$T$34,3,TRUE),
VLOOKUP(AF240,Charge!$U$31:$W$34,2,TRUE)+(AF240-VLOOKUP(AF240,Charge!$U$31:$W$34,1,TRUE))*VLOOKUP(AF240,Charge!$U$31:$W$34,3,TRUE)),0))</f>
        <v>0</v>
      </c>
      <c r="AH240" s="60"/>
      <c r="AI240" s="60">
        <f>AA240-AH240</f>
        <v>500</v>
      </c>
      <c r="AJ240" s="61"/>
      <c r="AK240" s="55" t="str">
        <f>VLOOKUP(D240,'2.Bookinglist'!A:CT,40,FALSE)</f>
        <v>Tarn(Supaporn)</v>
      </c>
      <c r="AL240" s="56" t="str">
        <f>VLOOKUP(D240,'2.Bookinglist'!A:CW,101,FALSE)</f>
        <v>2026-10-22</v>
      </c>
      <c r="AM240" s="56" t="str">
        <f>VLOOKUP(D240,'2.Bookinglist'!A:BK,63,FALSE)</f>
        <v>LCHY5</v>
      </c>
      <c r="AN240" s="55" t="str">
        <f>VLOOKUP(D240,'2.Bookinglist'!A:AZ,52,FALSE)</f>
        <v>[FIX]Pickup : 2026-10-14, Return : 2026-10-15 [1ST RTN 16/10/2026 W/O RENT]
** PLEASE CHECK OPEN GATE BEFORE RETURN CONTAINER ** </v>
      </c>
      <c r="AO240" s="55">
        <f>VLOOKUP(D240,'2.Bookinglist'!A:CY,103,FALSE)</f>
        <v>0</v>
      </c>
    </row>
    <row r="241" ht="12.95" customHeight="1" spans="1:41" x14ac:dyDescent="0.25">
      <c r="A241" s="3" t="s">
        <v>351</v>
      </c>
      <c r="B241" s="53" t="str">
        <f>IF(C241=Charge!$M$1,Charge!$J$1,IF(C241=Charge!$M$23,Charge!$J$23,IF(C241=Charge!$M$17,Charge!$J$17,IF(C241=Charge!$N$17,Charge!$J$17,Charge!$J$7))))</f>
        <v>G2</v>
      </c>
      <c r="C241" s="54" t="str">
        <f>VLOOKUP(A241,'1.Loading'!A:R,14,FALSE)</f>
        <v>LCH06</v>
      </c>
      <c r="D241" s="54" t="str">
        <f>VLOOKUP(A241,'1.Loading'!A:R,17,FALSE)</f>
        <v>HASLS22260902149</v>
      </c>
      <c r="E241" s="55" t="str">
        <f>VLOOKUP(D241,'2.Bookinglist'!A:CT,27,FALSE)</f>
        <v>DOUBLE A (1991) PUBLIC COMPANY LIMITED</v>
      </c>
      <c r="F241" s="55" t="str">
        <f>VLOOKUP(D241,'2.Bookinglist'!A:CT,28,FALSE)</f>
        <v>DOUBLE A (1991) PUBLIC COMPANY LIMITED</v>
      </c>
      <c r="G241" s="56">
        <f>VLOOKUP(D241,'2.Bookinglist'!A:E,5,FALSE)</f>
        <v>0</v>
      </c>
      <c r="H241" s="54" t="str">
        <f>VLOOKUP(D241,'2.Bookinglist'!A:CT,15,FALSE)</f>
        <v>THLCH</v>
      </c>
      <c r="I241" s="54" t="str">
        <f>VLOOKUP(D241,'2.Bookinglist'!A:CT,19,FALSE)</f>
        <v>CNSHA</v>
      </c>
      <c r="J241" s="54">
        <f>VLOOKUP(D241,'2.Bookinglist'!A:CT,26,FALSE)</f>
        <v>0</v>
      </c>
      <c r="K241" s="54" t="str">
        <f>VLOOKUP(A241,'1.Loading'!A:R,5,FALSE)</f>
        <v>22GP</v>
      </c>
      <c r="L241" s="56" t="str">
        <f>VLOOKUP(D241,'2.Bookinglist'!A:CT,85,FALSE)</f>
        <v>CY/CY</v>
      </c>
      <c r="M241" s="56" t="str">
        <f>IF(VLOOKUP(D241,'2.Bookinglist'!A:CT,43,FALSE)=0,"","DG")</f>
        <v/>
      </c>
      <c r="N241" s="56" t="str">
        <f>IF(RIGHT(K241,2)="RE","RF","")</f>
        <v/>
      </c>
      <c r="O241" s="54" t="str">
        <f>VLOOKUP(A241,'1.Loading'!A:R,3,FALSE)</f>
        <v>HMVY</v>
      </c>
      <c r="P241" s="54" t="str">
        <f>VLOOKUP(A241,'1.Loading'!A:R,4,FALSE)</f>
        <v>2609N</v>
      </c>
      <c r="Q241" s="54" t="str">
        <f>VLOOKUP(D241,'2.Bookinglist'!A:CT,12,FALSE)</f>
        <v>PCI2</v>
      </c>
      <c r="R241" s="56" t="str">
        <f>IF(LEFT(K241,2)="22","20'","40'")</f>
        <v>20'</v>
      </c>
      <c r="S241" s="38"/>
      <c r="T241" s="54" t="str">
        <f>VLOOKUP(A241,'1.Loading'!A:R,2,FALSE)</f>
        <v>2026-10-28</v>
      </c>
      <c r="U241" s="57">
        <f>T241-S241</f>
        <v>46323</v>
      </c>
      <c r="V241" s="58"/>
      <c r="W241" s="54" t="str">
        <f>VLOOKUP(A241,'3.GateMove'!A:D,4,FALSE)</f>
        <v>2026-10-07</v>
      </c>
      <c r="X241" s="57">
        <f>((T241-W241)+1)</f>
        <v>22</v>
      </c>
      <c r="Y241" s="59">
        <f>IF(AND(OR(C241="BKK01",C241="BKK04"),L241="CFS/CY"),0,IF(M241="DG",1,IF(LEFT(C241,3)="LCH",7,IF(C241="BKK02",5,3))))</f>
        <v>7</v>
      </c>
      <c r="Z241" s="57">
        <f>IF(IF(AND(AC241="TML",AB241&gt;0),((T241-W241)+1)-AB241,((T241-W241)+1)-Y241)&gt;0,IF(AND(AC241="TML",AB241&gt;0),((T241-W241)+1)-AB241,((T241-W241)+1)-Y241),0)</f>
        <v>15</v>
      </c>
      <c r="AA241" s="48">
        <f>IF(AND(B241="G1",M241=""),IF(R241="20'",
VLOOKUP(Z241,Charge!$K$2:$M$5,2,TRUE)+(Z241-VLOOKUP(Z241,Charge!$K$2:$M$5,1,TRUE))*VLOOKUP(Z241,Charge!$K$2:$M$5,3,TRUE),
VLOOKUP(Z241,Charge!$N$2:$P$5,2,TRUE)+(Z241-VLOOKUP(Z241,Charge!$N$2:$P$5,1,TRUE))*VLOOKUP(Z241,Charge!$N$2:$P$5,3,TRUE)),
IF(AND(B241="G1",M241="DG"),IF(R241="20'",
VLOOKUP(Z241,Charge!$R$2:$T$5,2,TRUE)+(Z241-VLOOKUP(Z241,Charge!$R$2:$T$5,1,TRUE))*VLOOKUP(Z241,Charge!$R$2:$T$5,3,TRUE),
VLOOKUP(Z241,Charge!$U$2:$W$5,2,TRUE)+(Z241-VLOOKUP(Z241,Charge!$U$2:$W$5,1,TRUE))*VLOOKUP(Z241,Charge!$U$2:$W$5,3,TRUE)),
IF(AND(B241="G3",M241=""),IF(R241="20'",
VLOOKUP(Z241,Charge!$K$18:$M$21,2,TRUE)+(Z241-VLOOKUP(Z241,Charge!$K$18:$M$21,1,TRUE))*VLOOKUP(Z241,Charge!$K$18:$M$21,3,TRUE),
VLOOKUP(Z241,Charge!$N$18:$P$21,2,TRUE)+(Z241-VLOOKUP(Z241,Charge!$N$18:$P$21,1,TRUE))*VLOOKUP(Z241,Charge!$N$18:$P$21,3,TRUE)),
IF(AND(B241="G3",M241="DG"),IF(R241="20'",
VLOOKUP(Z241,Charge!$R$18:$T$21,2,TRUE)+(Z241-VLOOKUP(Z241,Charge!$R$18:$T$21,1,TRUE))*VLOOKUP(Z241,Charge!$R$18:$T$21,3,TRUE),
VLOOKUP(Z241,Charge!$U$18:$W$21,2,TRUE)+(Z241-VLOOKUP(Z241,Charge!$U$18:$W$21,1,TRUE))*VLOOKUP(Z241,Charge!$U$18:$W$21,3,TRUE)),
IF(AND(B241="G2",M241=""),IF(R241="20'",
VLOOKUP(Z241,Charge!$K$9:$M$12,2,TRUE)+(Z241-VLOOKUP(Z241,Charge!$K$9:$M$12,1,TRUE))*VLOOKUP(Z241,Charge!$K$9:$M$12,3,TRUE),
VLOOKUP(Z241,Charge!$N$9:$P$12,2,TRUE)+(Z241-VLOOKUP(Z241,Charge!$N$9:$P$12,1,TRUE))*VLOOKUP(Z241,Charge!$N$9:$P$12,3,TRUE)),
IF(AND(B241="G2",M241="DG"),IF(R241="20'",
VLOOKUP(Z241,Charge!$R$9:$T$12,2,TRUE)+(Z241-VLOOKUP(Z241,Charge!$R$9:$T$12,1,TRUE))*VLOOKUP(Z241,Charge!$R$9:$T$12,3,TRUE),
VLOOKUP(Z241,Charge!$U$9:$W$12,2,TRUE)+(Z241-VLOOKUP(Z241,Charge!$U$9:$W$12,1,TRUE))*VLOOKUP(Z241,Charge!$U$9:$W$12,3,TRUE)),IF(AND(B241="G4",M241=""),IF(R241="20'",Z241*Charge!$M$25,Z241*Charge!$P$25),IF(AND(B241="G4",M241="DG"),IF(R241="20'",Z241*Charge!$T$25,Z241*Charge!$W$25),0))))))))</f>
        <v>3025</v>
      </c>
      <c r="AB241" s="53"/>
      <c r="AC241" s="53"/>
      <c r="AD241" s="56">
        <f>IF(M241="DG",3,IF(N241="RF",3,5))+IF(AND(LEFT(C241,3)="BKK",N241="RF",Q241="KTS"),1,0)+IF(Q241="KHS",1,0)</f>
        <v>5</v>
      </c>
      <c r="AE241" s="57">
        <f>(T241-V241)+1</f>
        <v>46324</v>
      </c>
      <c r="AF241" s="57">
        <f>IF(AB241&gt;IF((V241-W241)&gt;0,V241-W241,0),0,IF(AB241&lt;IF((V241-W241)&gt;0,V241-W241,0),IF((V241-W241)&gt;0,V241-W241,0)-AB241,IF((V241-W241)&gt;0,V241-W241,0)))</f>
        <v>0</v>
      </c>
      <c r="AG241" s="48">
        <f>IF(AND(M241=""),IF(R241="20'",
VLOOKUP(AF241,Charge!$K$31:$M$34,2,TRUE)+(AF241-VLOOKUP(AF241,Charge!$K$31:$M$34,1,TRUE))*VLOOKUP(AF241,Charge!$K$31:$M$34,3,TRUE),
VLOOKUP(AF241,Charge!$N$31:$P$34,2,TRUE)+(AF241-VLOOKUP(AF241,Charge!$N$31:$P$34,1,TRUE))*VLOOKUP(AF241,Charge!$N$31:$P$34,3,TRUE)),
IF(AND(M241="DG"),IF(R241="20'",
VLOOKUP(AF241,Charge!$R$31:$T$34,2,TRUE)+(AF241-VLOOKUP(AF241,Charge!$R$31:$T$34,1,TRUE))*VLOOKUP(AF241,Charge!$R$31:$T$34,3,TRUE),
VLOOKUP(AF241,Charge!$U$31:$W$34,2,TRUE)+(AF241-VLOOKUP(AF241,Charge!$U$31:$W$34,1,TRUE))*VLOOKUP(AF241,Charge!$U$31:$W$34,3,TRUE)),0))</f>
        <v>0</v>
      </c>
      <c r="AH241" s="60"/>
      <c r="AI241" s="60">
        <f>AA241-AH241</f>
        <v>3025</v>
      </c>
      <c r="AJ241" s="61"/>
      <c r="AK241" s="55" t="str">
        <f>VLOOKUP(D241,'2.Bookinglist'!A:CT,40,FALSE)</f>
        <v>Kanokporn</v>
      </c>
      <c r="AL241" s="56" t="str">
        <f>VLOOKUP(D241,'2.Bookinglist'!A:CW,101,FALSE)</f>
        <v>2026-10-24</v>
      </c>
      <c r="AM241" s="56" t="str">
        <f>VLOOKUP(D241,'2.Bookinglist'!A:BK,63,FALSE)</f>
        <v>LCHY5</v>
      </c>
      <c r="AN241" s="55" t="str">
        <f>VLOOKUP(D241,'2.Bookinglist'!A:AZ,52,FALSE)</f>
        <v>CY-RTN :30-05/10/2026
REF : PI-CN-TH-DA-26100038, PI-CN-TH-DA-26100039, PI-CN-TH-DA-26100040,  PI-CN-TH-DA-26100041
FRT 31/20',40'HQ + FREETIME 21DAYS</v>
      </c>
      <c r="AO241" s="55" t="str">
        <f>VLOOKUP(D241,'2.Bookinglist'!A:CY,103,FALSE)</f>
        <v>ROLL OVER FROM PREVIOUS VSL SWRG 2609N BY ALLOCATION TEAM MS.TAN APPROVED COST IS UNDER HA DD.13/10</v>
      </c>
    </row>
    <row r="242" ht="12.95" customHeight="1" spans="1:41" x14ac:dyDescent="0.25">
      <c r="A242" s="3" t="s">
        <v>377</v>
      </c>
      <c r="B242" s="53" t="str">
        <f>IF(C242=Charge!$M$1,Charge!$J$1,IF(C242=Charge!$M$23,Charge!$J$23,IF(C242=Charge!$M$17,Charge!$J$17,IF(C242=Charge!$N$17,Charge!$J$17,Charge!$J$7))))</f>
        <v>G2</v>
      </c>
      <c r="C242" s="54" t="str">
        <f>VLOOKUP(A242,'1.Loading'!A:R,14,FALSE)</f>
        <v>LCH06</v>
      </c>
      <c r="D242" s="54" t="str">
        <f>VLOOKUP(A242,'1.Loading'!A:R,17,FALSE)</f>
        <v>HASLS22260900170</v>
      </c>
      <c r="E242" s="55" t="str">
        <f>VLOOKUP(D242,'2.Bookinglist'!A:CT,27,FALSE)</f>
        <v>PANDA GOGO LOGISTICS CO., LTD.</v>
      </c>
      <c r="F242" s="55" t="str">
        <f>VLOOKUP(D242,'2.Bookinglist'!A:CT,28,FALSE)</f>
        <v>GC-M PTA COMPANY LIMITED</v>
      </c>
      <c r="G242" s="56">
        <f>VLOOKUP(D242,'2.Bookinglist'!A:E,5,FALSE)</f>
        <v>0</v>
      </c>
      <c r="H242" s="54" t="str">
        <f>VLOOKUP(D242,'2.Bookinglist'!A:CT,15,FALSE)</f>
        <v>THLCH</v>
      </c>
      <c r="I242" s="54" t="str">
        <f>VLOOKUP(D242,'2.Bookinglist'!A:CT,19,FALSE)</f>
        <v>JPTRG</v>
      </c>
      <c r="J242" s="54" t="str">
        <f>VLOOKUP(D242,'2.Bookinglist'!A:CT,26,FALSE)</f>
        <v>KRPUS</v>
      </c>
      <c r="K242" s="54" t="str">
        <f>VLOOKUP(A242,'1.Loading'!A:R,5,FALSE)</f>
        <v>22GP</v>
      </c>
      <c r="L242" s="56" t="str">
        <f>VLOOKUP(D242,'2.Bookinglist'!A:CT,85,FALSE)</f>
        <v>CY/CY</v>
      </c>
      <c r="M242" s="56" t="str">
        <f>IF(VLOOKUP(D242,'2.Bookinglist'!A:CT,43,FALSE)=0,"","DG")</f>
        <v/>
      </c>
      <c r="N242" s="56" t="str">
        <f>IF(RIGHT(K242,2)="RE","RF","")</f>
        <v/>
      </c>
      <c r="O242" s="54" t="str">
        <f>VLOOKUP(A242,'1.Loading'!A:R,3,FALSE)</f>
        <v>HMVY</v>
      </c>
      <c r="P242" s="54" t="str">
        <f>VLOOKUP(A242,'1.Loading'!A:R,4,FALSE)</f>
        <v>2609N</v>
      </c>
      <c r="Q242" s="54" t="str">
        <f>VLOOKUP(D242,'2.Bookinglist'!A:CT,12,FALSE)</f>
        <v>PCI2</v>
      </c>
      <c r="R242" s="56" t="str">
        <f>IF(LEFT(K242,2)="22","20'","40'")</f>
        <v>20'</v>
      </c>
      <c r="S242" s="38"/>
      <c r="T242" s="54" t="str">
        <f>VLOOKUP(A242,'1.Loading'!A:R,2,FALSE)</f>
        <v>2026-10-28</v>
      </c>
      <c r="U242" s="57">
        <f>T242-S242</f>
        <v>46323</v>
      </c>
      <c r="V242" s="58"/>
      <c r="W242" s="54" t="str">
        <f>VLOOKUP(A242,'3.GateMove'!A:D,4,FALSE)</f>
        <v>2026-10-19</v>
      </c>
      <c r="X242" s="57">
        <f>((T242-W242)+1)</f>
        <v>10</v>
      </c>
      <c r="Y242" s="59">
        <f>IF(AND(OR(C242="BKK01",C242="BKK04"),L242="CFS/CY"),0,IF(M242="DG",1,IF(LEFT(C242,3)="LCH",7,IF(C242="BKK02",5,3))))</f>
        <v>7</v>
      </c>
      <c r="Z242" s="57">
        <f>IF(IF(AND(AC242="TML",AB242&gt;0),((T242-W242)+1)-AB242,((T242-W242)+1)-Y242)&gt;0,IF(AND(AC242="TML",AB242&gt;0),((T242-W242)+1)-AB242,((T242-W242)+1)-Y242),0)</f>
        <v>3</v>
      </c>
      <c r="AA242" s="48">
        <f>IF(AND(B242="G1",M242=""),IF(R242="20'",
VLOOKUP(Z242,Charge!$K$2:$M$5,2,TRUE)+(Z242-VLOOKUP(Z242,Charge!$K$2:$M$5,1,TRUE))*VLOOKUP(Z242,Charge!$K$2:$M$5,3,TRUE),
VLOOKUP(Z242,Charge!$N$2:$P$5,2,TRUE)+(Z242-VLOOKUP(Z242,Charge!$N$2:$P$5,1,TRUE))*VLOOKUP(Z242,Charge!$N$2:$P$5,3,TRUE)),
IF(AND(B242="G1",M242="DG"),IF(R242="20'",
VLOOKUP(Z242,Charge!$R$2:$T$5,2,TRUE)+(Z242-VLOOKUP(Z242,Charge!$R$2:$T$5,1,TRUE))*VLOOKUP(Z242,Charge!$R$2:$T$5,3,TRUE),
VLOOKUP(Z242,Charge!$U$2:$W$5,2,TRUE)+(Z242-VLOOKUP(Z242,Charge!$U$2:$W$5,1,TRUE))*VLOOKUP(Z242,Charge!$U$2:$W$5,3,TRUE)),
IF(AND(B242="G3",M242=""),IF(R242="20'",
VLOOKUP(Z242,Charge!$K$18:$M$21,2,TRUE)+(Z242-VLOOKUP(Z242,Charge!$K$18:$M$21,1,TRUE))*VLOOKUP(Z242,Charge!$K$18:$M$21,3,TRUE),
VLOOKUP(Z242,Charge!$N$18:$P$21,2,TRUE)+(Z242-VLOOKUP(Z242,Charge!$N$18:$P$21,1,TRUE))*VLOOKUP(Z242,Charge!$N$18:$P$21,3,TRUE)),
IF(AND(B242="G3",M242="DG"),IF(R242="20'",
VLOOKUP(Z242,Charge!$R$18:$T$21,2,TRUE)+(Z242-VLOOKUP(Z242,Charge!$R$18:$T$21,1,TRUE))*VLOOKUP(Z242,Charge!$R$18:$T$21,3,TRUE),
VLOOKUP(Z242,Charge!$U$18:$W$21,2,TRUE)+(Z242-VLOOKUP(Z242,Charge!$U$18:$W$21,1,TRUE))*VLOOKUP(Z242,Charge!$U$18:$W$21,3,TRUE)),
IF(AND(B242="G2",M242=""),IF(R242="20'",
VLOOKUP(Z242,Charge!$K$9:$M$12,2,TRUE)+(Z242-VLOOKUP(Z242,Charge!$K$9:$M$12,1,TRUE))*VLOOKUP(Z242,Charge!$K$9:$M$12,3,TRUE),
VLOOKUP(Z242,Charge!$N$9:$P$12,2,TRUE)+(Z242-VLOOKUP(Z242,Charge!$N$9:$P$12,1,TRUE))*VLOOKUP(Z242,Charge!$N$9:$P$12,3,TRUE)),
IF(AND(B242="G2",M242="DG"),IF(R242="20'",
VLOOKUP(Z242,Charge!$R$9:$T$12,2,TRUE)+(Z242-VLOOKUP(Z242,Charge!$R$9:$T$12,1,TRUE))*VLOOKUP(Z242,Charge!$R$9:$T$12,3,TRUE),
VLOOKUP(Z242,Charge!$U$9:$W$12,2,TRUE)+(Z242-VLOOKUP(Z242,Charge!$U$9:$W$12,1,TRUE))*VLOOKUP(Z242,Charge!$U$9:$W$12,3,TRUE)),IF(AND(B242="G4",M242=""),IF(R242="20'",Z242*Charge!$M$25,Z242*Charge!$P$25),IF(AND(B242="G4",M242="DG"),IF(R242="20'",Z242*Charge!$T$25,Z242*Charge!$W$25),0))))))))</f>
        <v>375</v>
      </c>
      <c r="AB242" s="53"/>
      <c r="AC242" s="53"/>
      <c r="AD242" s="56">
        <f>IF(M242="DG",3,IF(N242="RF",3,5))+IF(AND(LEFT(C242,3)="BKK",N242="RF",Q242="KTS"),1,0)+IF(Q242="KHS",1,0)</f>
        <v>5</v>
      </c>
      <c r="AE242" s="57">
        <f>(T242-V242)+1</f>
        <v>46324</v>
      </c>
      <c r="AF242" s="57">
        <f>IF(AB242&gt;IF((V242-W242)&gt;0,V242-W242,0),0,IF(AB242&lt;IF((V242-W242)&gt;0,V242-W242,0),IF((V242-W242)&gt;0,V242-W242,0)-AB242,IF((V242-W242)&gt;0,V242-W242,0)))</f>
        <v>0</v>
      </c>
      <c r="AG242" s="48">
        <f>IF(AND(M242=""),IF(R242="20'",
VLOOKUP(AF242,Charge!$K$31:$M$34,2,TRUE)+(AF242-VLOOKUP(AF242,Charge!$K$31:$M$34,1,TRUE))*VLOOKUP(AF242,Charge!$K$31:$M$34,3,TRUE),
VLOOKUP(AF242,Charge!$N$31:$P$34,2,TRUE)+(AF242-VLOOKUP(AF242,Charge!$N$31:$P$34,1,TRUE))*VLOOKUP(AF242,Charge!$N$31:$P$34,3,TRUE)),
IF(AND(M242="DG"),IF(R242="20'",
VLOOKUP(AF242,Charge!$R$31:$T$34,2,TRUE)+(AF242-VLOOKUP(AF242,Charge!$R$31:$T$34,1,TRUE))*VLOOKUP(AF242,Charge!$R$31:$T$34,3,TRUE),
VLOOKUP(AF242,Charge!$U$31:$W$34,2,TRUE)+(AF242-VLOOKUP(AF242,Charge!$U$31:$W$34,1,TRUE))*VLOOKUP(AF242,Charge!$U$31:$W$34,3,TRUE)),0))</f>
        <v>0</v>
      </c>
      <c r="AH242" s="60"/>
      <c r="AI242" s="60">
        <f>AA242-AH242</f>
        <v>375</v>
      </c>
      <c r="AJ242" s="61"/>
      <c r="AK242" s="55" t="str">
        <f>VLOOKUP(D242,'2.Bookinglist'!A:CT,40,FALSE)</f>
        <v>Tarn(Supaporn)</v>
      </c>
      <c r="AL242" s="56" t="str">
        <f>VLOOKUP(D242,'2.Bookinglist'!A:CW,101,FALSE)</f>
        <v>2026-10-22</v>
      </c>
      <c r="AM242" s="56" t="str">
        <f>VLOOKUP(D242,'2.Bookinglist'!A:BK,63,FALSE)</f>
        <v>LCHY5</v>
      </c>
      <c r="AN242" s="55" t="str">
        <f>VLOOKUP(D242,'2.Bookinglist'!A:AZ,52,FALSE)</f>
        <v>[FIX]Pickup : 2026-10-14, Return : 2026-10-15 [1ST RTN 16/10/2026 W/O RENT]
** PLEASE CHECK OPEN GATE BEFORE RETURN CONTAINER ** </v>
      </c>
      <c r="AO242" s="55">
        <f>VLOOKUP(D242,'2.Bookinglist'!A:CY,103,FALSE)</f>
        <v>0</v>
      </c>
    </row>
    <row r="243" ht="12.95" customHeight="1" spans="1:41" x14ac:dyDescent="0.25">
      <c r="A243" s="3" t="s">
        <v>347</v>
      </c>
      <c r="B243" s="53" t="str">
        <f>IF(C243=Charge!$M$1,Charge!$J$1,IF(C243=Charge!$M$23,Charge!$J$23,IF(C243=Charge!$M$17,Charge!$J$17,IF(C243=Charge!$N$17,Charge!$J$17,Charge!$J$7))))</f>
        <v>G2</v>
      </c>
      <c r="C243" s="54" t="str">
        <f>VLOOKUP(A243,'1.Loading'!A:R,14,FALSE)</f>
        <v>LCH06</v>
      </c>
      <c r="D243" s="54" t="str">
        <f>VLOOKUP(A243,'1.Loading'!A:R,17,FALSE)</f>
        <v>HASLS22260902649</v>
      </c>
      <c r="E243" s="55" t="str">
        <f>VLOOKUP(D243,'2.Bookinglist'!A:CT,27,FALSE)</f>
        <v>HAST LOGISTICS CO., LTD.</v>
      </c>
      <c r="F243" s="55" t="str">
        <f>VLOOKUP(D243,'2.Bookinglist'!A:CT,28,FALSE)</f>
        <v>TPT PETROCHEMICALS PUBLIC COMPANY LIMITED</v>
      </c>
      <c r="G243" s="56">
        <f>VLOOKUP(D243,'2.Bookinglist'!A:E,5,FALSE)</f>
        <v>0</v>
      </c>
      <c r="H243" s="54" t="str">
        <f>VLOOKUP(D243,'2.Bookinglist'!A:CT,15,FALSE)</f>
        <v>THLCH</v>
      </c>
      <c r="I243" s="54" t="str">
        <f>VLOOKUP(D243,'2.Bookinglist'!A:CT,19,FALSE)</f>
        <v>JPKIJ</v>
      </c>
      <c r="J243" s="54" t="str">
        <f>VLOOKUP(D243,'2.Bookinglist'!A:CT,26,FALSE)</f>
        <v>KRPUS</v>
      </c>
      <c r="K243" s="54" t="str">
        <f>VLOOKUP(A243,'1.Loading'!A:R,5,FALSE)</f>
        <v>22GP</v>
      </c>
      <c r="L243" s="56" t="str">
        <f>VLOOKUP(D243,'2.Bookinglist'!A:CT,85,FALSE)</f>
        <v>CY/CY</v>
      </c>
      <c r="M243" s="56" t="str">
        <f>IF(VLOOKUP(D243,'2.Bookinglist'!A:CT,43,FALSE)=0,"","DG")</f>
        <v/>
      </c>
      <c r="N243" s="56" t="str">
        <f>IF(RIGHT(K243,2)="RE","RF","")</f>
        <v/>
      </c>
      <c r="O243" s="54" t="str">
        <f>VLOOKUP(A243,'1.Loading'!A:R,3,FALSE)</f>
        <v>HMVY</v>
      </c>
      <c r="P243" s="54" t="str">
        <f>VLOOKUP(A243,'1.Loading'!A:R,4,FALSE)</f>
        <v>2609N</v>
      </c>
      <c r="Q243" s="54" t="str">
        <f>VLOOKUP(D243,'2.Bookinglist'!A:CT,12,FALSE)</f>
        <v>PCI2</v>
      </c>
      <c r="R243" s="56" t="str">
        <f>IF(LEFT(K243,2)="22","20'","40'")</f>
        <v>20'</v>
      </c>
      <c r="S243" s="38"/>
      <c r="T243" s="54" t="str">
        <f>VLOOKUP(A243,'1.Loading'!A:R,2,FALSE)</f>
        <v>2026-10-28</v>
      </c>
      <c r="U243" s="57">
        <f>T243-S243</f>
        <v>46323</v>
      </c>
      <c r="V243" s="58"/>
      <c r="W243" s="54" t="str">
        <f>VLOOKUP(A243,'3.GateMove'!A:D,4,FALSE)</f>
        <v>2026-10-18</v>
      </c>
      <c r="X243" s="57">
        <f>((T243-W243)+1)</f>
        <v>11</v>
      </c>
      <c r="Y243" s="59">
        <f>IF(AND(OR(C243="BKK01",C243="BKK04"),L243="CFS/CY"),0,IF(M243="DG",1,IF(LEFT(C243,3)="LCH",7,IF(C243="BKK02",5,3))))</f>
        <v>7</v>
      </c>
      <c r="Z243" s="57">
        <f>IF(IF(AND(AC243="TML",AB243&gt;0),((T243-W243)+1)-AB243,((T243-W243)+1)-Y243)&gt;0,IF(AND(AC243="TML",AB243&gt;0),((T243-W243)+1)-AB243,((T243-W243)+1)-Y243),0)</f>
        <v>4</v>
      </c>
      <c r="AA243" s="48">
        <f>IF(AND(B243="G1",M243=""),IF(R243="20'",
VLOOKUP(Z243,Charge!$K$2:$M$5,2,TRUE)+(Z243-VLOOKUP(Z243,Charge!$K$2:$M$5,1,TRUE))*VLOOKUP(Z243,Charge!$K$2:$M$5,3,TRUE),
VLOOKUP(Z243,Charge!$N$2:$P$5,2,TRUE)+(Z243-VLOOKUP(Z243,Charge!$N$2:$P$5,1,TRUE))*VLOOKUP(Z243,Charge!$N$2:$P$5,3,TRUE)),
IF(AND(B243="G1",M243="DG"),IF(R243="20'",
VLOOKUP(Z243,Charge!$R$2:$T$5,2,TRUE)+(Z243-VLOOKUP(Z243,Charge!$R$2:$T$5,1,TRUE))*VLOOKUP(Z243,Charge!$R$2:$T$5,3,TRUE),
VLOOKUP(Z243,Charge!$U$2:$W$5,2,TRUE)+(Z243-VLOOKUP(Z243,Charge!$U$2:$W$5,1,TRUE))*VLOOKUP(Z243,Charge!$U$2:$W$5,3,TRUE)),
IF(AND(B243="G3",M243=""),IF(R243="20'",
VLOOKUP(Z243,Charge!$K$18:$M$21,2,TRUE)+(Z243-VLOOKUP(Z243,Charge!$K$18:$M$21,1,TRUE))*VLOOKUP(Z243,Charge!$K$18:$M$21,3,TRUE),
VLOOKUP(Z243,Charge!$N$18:$P$21,2,TRUE)+(Z243-VLOOKUP(Z243,Charge!$N$18:$P$21,1,TRUE))*VLOOKUP(Z243,Charge!$N$18:$P$21,3,TRUE)),
IF(AND(B243="G3",M243="DG"),IF(R243="20'",
VLOOKUP(Z243,Charge!$R$18:$T$21,2,TRUE)+(Z243-VLOOKUP(Z243,Charge!$R$18:$T$21,1,TRUE))*VLOOKUP(Z243,Charge!$R$18:$T$21,3,TRUE),
VLOOKUP(Z243,Charge!$U$18:$W$21,2,TRUE)+(Z243-VLOOKUP(Z243,Charge!$U$18:$W$21,1,TRUE))*VLOOKUP(Z243,Charge!$U$18:$W$21,3,TRUE)),
IF(AND(B243="G2",M243=""),IF(R243="20'",
VLOOKUP(Z243,Charge!$K$9:$M$12,2,TRUE)+(Z243-VLOOKUP(Z243,Charge!$K$9:$M$12,1,TRUE))*VLOOKUP(Z243,Charge!$K$9:$M$12,3,TRUE),
VLOOKUP(Z243,Charge!$N$9:$P$12,2,TRUE)+(Z243-VLOOKUP(Z243,Charge!$N$9:$P$12,1,TRUE))*VLOOKUP(Z243,Charge!$N$9:$P$12,3,TRUE)),
IF(AND(B243="G2",M243="DG"),IF(R243="20'",
VLOOKUP(Z243,Charge!$R$9:$T$12,2,TRUE)+(Z243-VLOOKUP(Z243,Charge!$R$9:$T$12,1,TRUE))*VLOOKUP(Z243,Charge!$R$9:$T$12,3,TRUE),
VLOOKUP(Z243,Charge!$U$9:$W$12,2,TRUE)+(Z243-VLOOKUP(Z243,Charge!$U$9:$W$12,1,TRUE))*VLOOKUP(Z243,Charge!$U$9:$W$12,3,TRUE)),IF(AND(B243="G4",M243=""),IF(R243="20'",Z243*Charge!$M$25,Z243*Charge!$P$25),IF(AND(B243="G4",M243="DG"),IF(R243="20'",Z243*Charge!$T$25,Z243*Charge!$W$25),0))))))))</f>
        <v>500</v>
      </c>
      <c r="AB243" s="53"/>
      <c r="AC243" s="53"/>
      <c r="AD243" s="56">
        <f>IF(M243="DG",3,IF(N243="RF",3,5))+IF(AND(LEFT(C243,3)="BKK",N243="RF",Q243="KTS"),1,0)+IF(Q243="KHS",1,0)</f>
        <v>5</v>
      </c>
      <c r="AE243" s="57">
        <f>(T243-V243)+1</f>
        <v>46324</v>
      </c>
      <c r="AF243" s="57">
        <f>IF(AB243&gt;IF((V243-W243)&gt;0,V243-W243,0),0,IF(AB243&lt;IF((V243-W243)&gt;0,V243-W243,0),IF((V243-W243)&gt;0,V243-W243,0)-AB243,IF((V243-W243)&gt;0,V243-W243,0)))</f>
        <v>0</v>
      </c>
      <c r="AG243" s="48">
        <f>IF(AND(M243=""),IF(R243="20'",
VLOOKUP(AF243,Charge!$K$31:$M$34,2,TRUE)+(AF243-VLOOKUP(AF243,Charge!$K$31:$M$34,1,TRUE))*VLOOKUP(AF243,Charge!$K$31:$M$34,3,TRUE),
VLOOKUP(AF243,Charge!$N$31:$P$34,2,TRUE)+(AF243-VLOOKUP(AF243,Charge!$N$31:$P$34,1,TRUE))*VLOOKUP(AF243,Charge!$N$31:$P$34,3,TRUE)),
IF(AND(M243="DG"),IF(R243="20'",
VLOOKUP(AF243,Charge!$R$31:$T$34,2,TRUE)+(AF243-VLOOKUP(AF243,Charge!$R$31:$T$34,1,TRUE))*VLOOKUP(AF243,Charge!$R$31:$T$34,3,TRUE),
VLOOKUP(AF243,Charge!$U$31:$W$34,2,TRUE)+(AF243-VLOOKUP(AF243,Charge!$U$31:$W$34,1,TRUE))*VLOOKUP(AF243,Charge!$U$31:$W$34,3,TRUE)),0))</f>
        <v>0</v>
      </c>
      <c r="AH243" s="60"/>
      <c r="AI243" s="60">
        <f>AA243-AH243</f>
        <v>500</v>
      </c>
      <c r="AJ243" s="61"/>
      <c r="AK243" s="55" t="str">
        <f>VLOOKUP(D243,'2.Bookinglist'!A:CT,40,FALSE)</f>
        <v>Kanokporn</v>
      </c>
      <c r="AL243" s="56" t="str">
        <f>VLOOKUP(D243,'2.Bookinglist'!A:CW,101,FALSE)</f>
        <v>2026-10-20</v>
      </c>
      <c r="AM243" s="56" t="str">
        <f>VLOOKUP(D243,'2.Bookinglist'!A:BK,63,FALSE)</f>
        <v>LCHY5</v>
      </c>
      <c r="AN243" s="55" t="str">
        <f>VLOOKUP(D243,'2.Bookinglist'!A:AZ,52,FALSE)</f>
        <v>Pickup : 2026-10-15, Return : 2026-10-16  /FIRST DATE CAN RETURN CNTR DD.19/10 W/O RENT
</v>
      </c>
      <c r="AO243" s="55">
        <f>VLOOKUP(D243,'2.Bookinglist'!A:CY,103,FALSE)</f>
        <v>0</v>
      </c>
    </row>
    <row r="244" ht="12.95" customHeight="1" spans="1:41" x14ac:dyDescent="0.25">
      <c r="A244" s="3" t="s">
        <v>375</v>
      </c>
      <c r="B244" s="53" t="str">
        <f>IF(C244=Charge!$M$1,Charge!$J$1,IF(C244=Charge!$M$23,Charge!$J$23,IF(C244=Charge!$M$17,Charge!$J$17,IF(C244=Charge!$N$17,Charge!$J$17,Charge!$J$7))))</f>
        <v>G2</v>
      </c>
      <c r="C244" s="54" t="str">
        <f>VLOOKUP(A244,'1.Loading'!A:R,14,FALSE)</f>
        <v>LCH06</v>
      </c>
      <c r="D244" s="54" t="str">
        <f>VLOOKUP(A244,'1.Loading'!A:R,17,FALSE)</f>
        <v>HASLS22260900170</v>
      </c>
      <c r="E244" s="55" t="str">
        <f>VLOOKUP(D244,'2.Bookinglist'!A:CT,27,FALSE)</f>
        <v>PANDA GOGO LOGISTICS CO., LTD.</v>
      </c>
      <c r="F244" s="55" t="str">
        <f>VLOOKUP(D244,'2.Bookinglist'!A:CT,28,FALSE)</f>
        <v>GC-M PTA COMPANY LIMITED</v>
      </c>
      <c r="G244" s="56">
        <f>VLOOKUP(D244,'2.Bookinglist'!A:E,5,FALSE)</f>
        <v>0</v>
      </c>
      <c r="H244" s="54" t="str">
        <f>VLOOKUP(D244,'2.Bookinglist'!A:CT,15,FALSE)</f>
        <v>THLCH</v>
      </c>
      <c r="I244" s="54" t="str">
        <f>VLOOKUP(D244,'2.Bookinglist'!A:CT,19,FALSE)</f>
        <v>JPTRG</v>
      </c>
      <c r="J244" s="54" t="str">
        <f>VLOOKUP(D244,'2.Bookinglist'!A:CT,26,FALSE)</f>
        <v>KRPUS</v>
      </c>
      <c r="K244" s="54" t="str">
        <f>VLOOKUP(A244,'1.Loading'!A:R,5,FALSE)</f>
        <v>22GP</v>
      </c>
      <c r="L244" s="56" t="str">
        <f>VLOOKUP(D244,'2.Bookinglist'!A:CT,85,FALSE)</f>
        <v>CY/CY</v>
      </c>
      <c r="M244" s="56" t="str">
        <f>IF(VLOOKUP(D244,'2.Bookinglist'!A:CT,43,FALSE)=0,"","DG")</f>
        <v/>
      </c>
      <c r="N244" s="56" t="str">
        <f>IF(RIGHT(K244,2)="RE","RF","")</f>
        <v/>
      </c>
      <c r="O244" s="54" t="str">
        <f>VLOOKUP(A244,'1.Loading'!A:R,3,FALSE)</f>
        <v>HMVY</v>
      </c>
      <c r="P244" s="54" t="str">
        <f>VLOOKUP(A244,'1.Loading'!A:R,4,FALSE)</f>
        <v>2609N</v>
      </c>
      <c r="Q244" s="54" t="str">
        <f>VLOOKUP(D244,'2.Bookinglist'!A:CT,12,FALSE)</f>
        <v>PCI2</v>
      </c>
      <c r="R244" s="56" t="str">
        <f>IF(LEFT(K244,2)="22","20'","40'")</f>
        <v>20'</v>
      </c>
      <c r="S244" s="38"/>
      <c r="T244" s="54" t="str">
        <f>VLOOKUP(A244,'1.Loading'!A:R,2,FALSE)</f>
        <v>2026-10-28</v>
      </c>
      <c r="U244" s="57">
        <f>T244-S244</f>
        <v>46323</v>
      </c>
      <c r="V244" s="58"/>
      <c r="W244" s="54" t="str">
        <f>VLOOKUP(A244,'3.GateMove'!A:D,4,FALSE)</f>
        <v>2026-10-18</v>
      </c>
      <c r="X244" s="57">
        <f>((T244-W244)+1)</f>
        <v>11</v>
      </c>
      <c r="Y244" s="59">
        <f>IF(AND(OR(C244="BKK01",C244="BKK04"),L244="CFS/CY"),0,IF(M244="DG",1,IF(LEFT(C244,3)="LCH",7,IF(C244="BKK02",5,3))))</f>
        <v>7</v>
      </c>
      <c r="Z244" s="57">
        <f>IF(IF(AND(AC244="TML",AB244&gt;0),((T244-W244)+1)-AB244,((T244-W244)+1)-Y244)&gt;0,IF(AND(AC244="TML",AB244&gt;0),((T244-W244)+1)-AB244,((T244-W244)+1)-Y244),0)</f>
        <v>4</v>
      </c>
      <c r="AA244" s="48">
        <f>IF(AND(B244="G1",M244=""),IF(R244="20'",
VLOOKUP(Z244,Charge!$K$2:$M$5,2,TRUE)+(Z244-VLOOKUP(Z244,Charge!$K$2:$M$5,1,TRUE))*VLOOKUP(Z244,Charge!$K$2:$M$5,3,TRUE),
VLOOKUP(Z244,Charge!$N$2:$P$5,2,TRUE)+(Z244-VLOOKUP(Z244,Charge!$N$2:$P$5,1,TRUE))*VLOOKUP(Z244,Charge!$N$2:$P$5,3,TRUE)),
IF(AND(B244="G1",M244="DG"),IF(R244="20'",
VLOOKUP(Z244,Charge!$R$2:$T$5,2,TRUE)+(Z244-VLOOKUP(Z244,Charge!$R$2:$T$5,1,TRUE))*VLOOKUP(Z244,Charge!$R$2:$T$5,3,TRUE),
VLOOKUP(Z244,Charge!$U$2:$W$5,2,TRUE)+(Z244-VLOOKUP(Z244,Charge!$U$2:$W$5,1,TRUE))*VLOOKUP(Z244,Charge!$U$2:$W$5,3,TRUE)),
IF(AND(B244="G3",M244=""),IF(R244="20'",
VLOOKUP(Z244,Charge!$K$18:$M$21,2,TRUE)+(Z244-VLOOKUP(Z244,Charge!$K$18:$M$21,1,TRUE))*VLOOKUP(Z244,Charge!$K$18:$M$21,3,TRUE),
VLOOKUP(Z244,Charge!$N$18:$P$21,2,TRUE)+(Z244-VLOOKUP(Z244,Charge!$N$18:$P$21,1,TRUE))*VLOOKUP(Z244,Charge!$N$18:$P$21,3,TRUE)),
IF(AND(B244="G3",M244="DG"),IF(R244="20'",
VLOOKUP(Z244,Charge!$R$18:$T$21,2,TRUE)+(Z244-VLOOKUP(Z244,Charge!$R$18:$T$21,1,TRUE))*VLOOKUP(Z244,Charge!$R$18:$T$21,3,TRUE),
VLOOKUP(Z244,Charge!$U$18:$W$21,2,TRUE)+(Z244-VLOOKUP(Z244,Charge!$U$18:$W$21,1,TRUE))*VLOOKUP(Z244,Charge!$U$18:$W$21,3,TRUE)),
IF(AND(B244="G2",M244=""),IF(R244="20'",
VLOOKUP(Z244,Charge!$K$9:$M$12,2,TRUE)+(Z244-VLOOKUP(Z244,Charge!$K$9:$M$12,1,TRUE))*VLOOKUP(Z244,Charge!$K$9:$M$12,3,TRUE),
VLOOKUP(Z244,Charge!$N$9:$P$12,2,TRUE)+(Z244-VLOOKUP(Z244,Charge!$N$9:$P$12,1,TRUE))*VLOOKUP(Z244,Charge!$N$9:$P$12,3,TRUE)),
IF(AND(B244="G2",M244="DG"),IF(R244="20'",
VLOOKUP(Z244,Charge!$R$9:$T$12,2,TRUE)+(Z244-VLOOKUP(Z244,Charge!$R$9:$T$12,1,TRUE))*VLOOKUP(Z244,Charge!$R$9:$T$12,3,TRUE),
VLOOKUP(Z244,Charge!$U$9:$W$12,2,TRUE)+(Z244-VLOOKUP(Z244,Charge!$U$9:$W$12,1,TRUE))*VLOOKUP(Z244,Charge!$U$9:$W$12,3,TRUE)),IF(AND(B244="G4",M244=""),IF(R244="20'",Z244*Charge!$M$25,Z244*Charge!$P$25),IF(AND(B244="G4",M244="DG"),IF(R244="20'",Z244*Charge!$T$25,Z244*Charge!$W$25),0))))))))</f>
        <v>500</v>
      </c>
      <c r="AB244" s="53"/>
      <c r="AC244" s="53"/>
      <c r="AD244" s="56">
        <f>IF(M244="DG",3,IF(N244="RF",3,5))+IF(AND(LEFT(C244,3)="BKK",N244="RF",Q244="KTS"),1,0)+IF(Q244="KHS",1,0)</f>
        <v>5</v>
      </c>
      <c r="AE244" s="57">
        <f>(T244-V244)+1</f>
        <v>46324</v>
      </c>
      <c r="AF244" s="57">
        <f>IF(AB244&gt;IF((V244-W244)&gt;0,V244-W244,0),0,IF(AB244&lt;IF((V244-W244)&gt;0,V244-W244,0),IF((V244-W244)&gt;0,V244-W244,0)-AB244,IF((V244-W244)&gt;0,V244-W244,0)))</f>
        <v>0</v>
      </c>
      <c r="AG244" s="48">
        <f>IF(AND(M244=""),IF(R244="20'",
VLOOKUP(AF244,Charge!$K$31:$M$34,2,TRUE)+(AF244-VLOOKUP(AF244,Charge!$K$31:$M$34,1,TRUE))*VLOOKUP(AF244,Charge!$K$31:$M$34,3,TRUE),
VLOOKUP(AF244,Charge!$N$31:$P$34,2,TRUE)+(AF244-VLOOKUP(AF244,Charge!$N$31:$P$34,1,TRUE))*VLOOKUP(AF244,Charge!$N$31:$P$34,3,TRUE)),
IF(AND(M244="DG"),IF(R244="20'",
VLOOKUP(AF244,Charge!$R$31:$T$34,2,TRUE)+(AF244-VLOOKUP(AF244,Charge!$R$31:$T$34,1,TRUE))*VLOOKUP(AF244,Charge!$R$31:$T$34,3,TRUE),
VLOOKUP(AF244,Charge!$U$31:$W$34,2,TRUE)+(AF244-VLOOKUP(AF244,Charge!$U$31:$W$34,1,TRUE))*VLOOKUP(AF244,Charge!$U$31:$W$34,3,TRUE)),0))</f>
        <v>0</v>
      </c>
      <c r="AH244" s="60"/>
      <c r="AI244" s="60">
        <f>AA244-AH244</f>
        <v>500</v>
      </c>
      <c r="AJ244" s="61"/>
      <c r="AK244" s="55" t="str">
        <f>VLOOKUP(D244,'2.Bookinglist'!A:CT,40,FALSE)</f>
        <v>Tarn(Supaporn)</v>
      </c>
      <c r="AL244" s="56" t="str">
        <f>VLOOKUP(D244,'2.Bookinglist'!A:CW,101,FALSE)</f>
        <v>2026-10-22</v>
      </c>
      <c r="AM244" s="56" t="str">
        <f>VLOOKUP(D244,'2.Bookinglist'!A:BK,63,FALSE)</f>
        <v>LCHY5</v>
      </c>
      <c r="AN244" s="55" t="str">
        <f>VLOOKUP(D244,'2.Bookinglist'!A:AZ,52,FALSE)</f>
        <v>[FIX]Pickup : 2026-10-14, Return : 2026-10-15 [1ST RTN 16/10/2026 W/O RENT]
** PLEASE CHECK OPEN GATE BEFORE RETURN CONTAINER ** </v>
      </c>
      <c r="AO244" s="55">
        <f>VLOOKUP(D244,'2.Bookinglist'!A:CY,103,FALSE)</f>
        <v>0</v>
      </c>
    </row>
    <row r="245" ht="12.95" customHeight="1" spans="1:41" x14ac:dyDescent="0.25">
      <c r="A245" s="3" t="s">
        <v>323</v>
      </c>
      <c r="B245" s="53" t="str">
        <f>IF(C245=Charge!$M$1,Charge!$J$1,IF(C245=Charge!$M$23,Charge!$J$23,IF(C245=Charge!$M$17,Charge!$J$17,IF(C245=Charge!$N$17,Charge!$J$17,Charge!$J$7))))</f>
        <v>G2</v>
      </c>
      <c r="C245" s="54" t="str">
        <f>VLOOKUP(A245,'1.Loading'!A:R,14,FALSE)</f>
        <v>LCH06</v>
      </c>
      <c r="D245" s="54" t="str">
        <f>VLOOKUP(A245,'1.Loading'!A:R,17,FALSE)</f>
        <v>HASLS22261000087</v>
      </c>
      <c r="E245" s="55" t="str">
        <f>VLOOKUP(D245,'2.Bookinglist'!A:CT,27,FALSE)</f>
        <v>WHA GC LOGISTICS COMPANY LIMITED</v>
      </c>
      <c r="F245" s="55" t="str">
        <f>VLOOKUP(D245,'2.Bookinglist'!A:CT,28,FALSE)</f>
        <v>PTT GLOBAL CHEMICAL PUBLIC COMPANY LIMITED</v>
      </c>
      <c r="G245" s="56">
        <f>VLOOKUP(D245,'2.Bookinglist'!A:E,5,FALSE)</f>
        <v>0</v>
      </c>
      <c r="H245" s="54" t="str">
        <f>VLOOKUP(D245,'2.Bookinglist'!A:CT,15,FALSE)</f>
        <v>THLCH</v>
      </c>
      <c r="I245" s="54" t="str">
        <f>VLOOKUP(D245,'2.Bookinglist'!A:CT,19,FALSE)</f>
        <v>JPTAK</v>
      </c>
      <c r="J245" s="54" t="str">
        <f>VLOOKUP(D245,'2.Bookinglist'!A:CT,26,FALSE)</f>
        <v>KRPUS</v>
      </c>
      <c r="K245" s="54" t="str">
        <f>VLOOKUP(A245,'1.Loading'!A:R,5,FALSE)</f>
        <v>22GP</v>
      </c>
      <c r="L245" s="56" t="str">
        <f>VLOOKUP(D245,'2.Bookinglist'!A:CT,85,FALSE)</f>
        <v>CY/CY</v>
      </c>
      <c r="M245" s="56" t="str">
        <f>IF(VLOOKUP(D245,'2.Bookinglist'!A:CT,43,FALSE)=0,"","DG")</f>
        <v/>
      </c>
      <c r="N245" s="56" t="str">
        <f>IF(RIGHT(K245,2)="RE","RF","")</f>
        <v/>
      </c>
      <c r="O245" s="54" t="str">
        <f>VLOOKUP(A245,'1.Loading'!A:R,3,FALSE)</f>
        <v>HMVY</v>
      </c>
      <c r="P245" s="54" t="str">
        <f>VLOOKUP(A245,'1.Loading'!A:R,4,FALSE)</f>
        <v>2609N</v>
      </c>
      <c r="Q245" s="54" t="str">
        <f>VLOOKUP(D245,'2.Bookinglist'!A:CT,12,FALSE)</f>
        <v>PCI2</v>
      </c>
      <c r="R245" s="56" t="str">
        <f>IF(LEFT(K245,2)="22","20'","40'")</f>
        <v>20'</v>
      </c>
      <c r="S245" s="38"/>
      <c r="T245" s="54" t="str">
        <f>VLOOKUP(A245,'1.Loading'!A:R,2,FALSE)</f>
        <v>2026-10-28</v>
      </c>
      <c r="U245" s="57">
        <f>T245-S245</f>
        <v>46323</v>
      </c>
      <c r="V245" s="58"/>
      <c r="W245" s="54" t="str">
        <f>VLOOKUP(A245,'3.GateMove'!A:D,4,FALSE)</f>
        <v>2026-10-23</v>
      </c>
      <c r="X245" s="57">
        <f>((T245-W245)+1)</f>
        <v>6</v>
      </c>
      <c r="Y245" s="59">
        <f>IF(AND(OR(C245="BKK01",C245="BKK04"),L245="CFS/CY"),0,IF(M245="DG",1,IF(LEFT(C245,3)="LCH",7,IF(C245="BKK02",5,3))))</f>
        <v>7</v>
      </c>
      <c r="Z245" s="57">
        <f>IF(IF(AND(AC245="TML",AB245&gt;0),((T245-W245)+1)-AB245,((T245-W245)+1)-Y245)&gt;0,IF(AND(AC245="TML",AB245&gt;0),((T245-W245)+1)-AB245,((T245-W245)+1)-Y245),0)</f>
        <v>0</v>
      </c>
      <c r="AA245" s="48">
        <f>IF(AND(B245="G1",M245=""),IF(R245="20'",
VLOOKUP(Z245,Charge!$K$2:$M$5,2,TRUE)+(Z245-VLOOKUP(Z245,Charge!$K$2:$M$5,1,TRUE))*VLOOKUP(Z245,Charge!$K$2:$M$5,3,TRUE),
VLOOKUP(Z245,Charge!$N$2:$P$5,2,TRUE)+(Z245-VLOOKUP(Z245,Charge!$N$2:$P$5,1,TRUE))*VLOOKUP(Z245,Charge!$N$2:$P$5,3,TRUE)),
IF(AND(B245="G1",M245="DG"),IF(R245="20'",
VLOOKUP(Z245,Charge!$R$2:$T$5,2,TRUE)+(Z245-VLOOKUP(Z245,Charge!$R$2:$T$5,1,TRUE))*VLOOKUP(Z245,Charge!$R$2:$T$5,3,TRUE),
VLOOKUP(Z245,Charge!$U$2:$W$5,2,TRUE)+(Z245-VLOOKUP(Z245,Charge!$U$2:$W$5,1,TRUE))*VLOOKUP(Z245,Charge!$U$2:$W$5,3,TRUE)),
IF(AND(B245="G3",M245=""),IF(R245="20'",
VLOOKUP(Z245,Charge!$K$18:$M$21,2,TRUE)+(Z245-VLOOKUP(Z245,Charge!$K$18:$M$21,1,TRUE))*VLOOKUP(Z245,Charge!$K$18:$M$21,3,TRUE),
VLOOKUP(Z245,Charge!$N$18:$P$21,2,TRUE)+(Z245-VLOOKUP(Z245,Charge!$N$18:$P$21,1,TRUE))*VLOOKUP(Z245,Charge!$N$18:$P$21,3,TRUE)),
IF(AND(B245="G3",M245="DG"),IF(R245="20'",
VLOOKUP(Z245,Charge!$R$18:$T$21,2,TRUE)+(Z245-VLOOKUP(Z245,Charge!$R$18:$T$21,1,TRUE))*VLOOKUP(Z245,Charge!$R$18:$T$21,3,TRUE),
VLOOKUP(Z245,Charge!$U$18:$W$21,2,TRUE)+(Z245-VLOOKUP(Z245,Charge!$U$18:$W$21,1,TRUE))*VLOOKUP(Z245,Charge!$U$18:$W$21,3,TRUE)),
IF(AND(B245="G2",M245=""),IF(R245="20'",
VLOOKUP(Z245,Charge!$K$9:$M$12,2,TRUE)+(Z245-VLOOKUP(Z245,Charge!$K$9:$M$12,1,TRUE))*VLOOKUP(Z245,Charge!$K$9:$M$12,3,TRUE),
VLOOKUP(Z245,Charge!$N$9:$P$12,2,TRUE)+(Z245-VLOOKUP(Z245,Charge!$N$9:$P$12,1,TRUE))*VLOOKUP(Z245,Charge!$N$9:$P$12,3,TRUE)),
IF(AND(B245="G2",M245="DG"),IF(R245="20'",
VLOOKUP(Z245,Charge!$R$9:$T$12,2,TRUE)+(Z245-VLOOKUP(Z245,Charge!$R$9:$T$12,1,TRUE))*VLOOKUP(Z245,Charge!$R$9:$T$12,3,TRUE),
VLOOKUP(Z245,Charge!$U$9:$W$12,2,TRUE)+(Z245-VLOOKUP(Z245,Charge!$U$9:$W$12,1,TRUE))*VLOOKUP(Z245,Charge!$U$9:$W$12,3,TRUE)),IF(AND(B245="G4",M245=""),IF(R245="20'",Z245*Charge!$M$25,Z245*Charge!$P$25),IF(AND(B245="G4",M245="DG"),IF(R245="20'",Z245*Charge!$T$25,Z245*Charge!$W$25),0))))))))</f>
        <v>0</v>
      </c>
      <c r="AB245" s="53"/>
      <c r="AC245" s="53"/>
      <c r="AD245" s="56">
        <f>IF(M245="DG",3,IF(N245="RF",3,5))+IF(AND(LEFT(C245,3)="BKK",N245="RF",Q245="KTS"),1,0)+IF(Q245="KHS",1,0)</f>
        <v>5</v>
      </c>
      <c r="AE245" s="57">
        <f>(T245-V245)+1</f>
        <v>46324</v>
      </c>
      <c r="AF245" s="57">
        <f>IF(AB245&gt;IF((V245-W245)&gt;0,V245-W245,0),0,IF(AB245&lt;IF((V245-W245)&gt;0,V245-W245,0),IF((V245-W245)&gt;0,V245-W245,0)-AB245,IF((V245-W245)&gt;0,V245-W245,0)))</f>
        <v>0</v>
      </c>
      <c r="AG245" s="48">
        <f>IF(AND(M245=""),IF(R245="20'",
VLOOKUP(AF245,Charge!$K$31:$M$34,2,TRUE)+(AF245-VLOOKUP(AF245,Charge!$K$31:$M$34,1,TRUE))*VLOOKUP(AF245,Charge!$K$31:$M$34,3,TRUE),
VLOOKUP(AF245,Charge!$N$31:$P$34,2,TRUE)+(AF245-VLOOKUP(AF245,Charge!$N$31:$P$34,1,TRUE))*VLOOKUP(AF245,Charge!$N$31:$P$34,3,TRUE)),
IF(AND(M245="DG"),IF(R245="20'",
VLOOKUP(AF245,Charge!$R$31:$T$34,2,TRUE)+(AF245-VLOOKUP(AF245,Charge!$R$31:$T$34,1,TRUE))*VLOOKUP(AF245,Charge!$R$31:$T$34,3,TRUE),
VLOOKUP(AF245,Charge!$U$31:$W$34,2,TRUE)+(AF245-VLOOKUP(AF245,Charge!$U$31:$W$34,1,TRUE))*VLOOKUP(AF245,Charge!$U$31:$W$34,3,TRUE)),0))</f>
        <v>0</v>
      </c>
      <c r="AH245" s="60"/>
      <c r="AI245" s="60">
        <f>AA245-AH245</f>
        <v>0</v>
      </c>
      <c r="AJ245" s="61"/>
      <c r="AK245" s="55" t="str">
        <f>VLOOKUP(D245,'2.Bookinglist'!A:CT,40,FALSE)</f>
        <v>Dharaporn</v>
      </c>
      <c r="AL245" s="56" t="str">
        <f>VLOOKUP(D245,'2.Bookinglist'!A:CW,101,FALSE)</f>
        <v>2026-10-27</v>
      </c>
      <c r="AM245" s="56" t="str">
        <f>VLOOKUP(D245,'2.Bookinglist'!A:BK,63,FALSE)</f>
        <v>LCHY5</v>
      </c>
      <c r="AN245" s="55" t="str">
        <f>VLOOKUP(D245,'2.Bookinglist'!A:AZ,52,FALSE)</f>
        <v>[FIX][FIX]CY-RTN 16-19/10/26 (PR2610002928 )</v>
      </c>
      <c r="AO245" s="55">
        <f>VLOOKUP(D245,'2.Bookinglist'!A:CY,103,FALSE)</f>
        <v>0</v>
      </c>
    </row>
    <row r="246" ht="12.95" customHeight="1" spans="1:41" x14ac:dyDescent="0.25">
      <c r="A246" s="3" t="s">
        <v>277</v>
      </c>
      <c r="B246" s="53" t="str">
        <f>IF(C246=Charge!$M$1,Charge!$J$1,IF(C246=Charge!$M$23,Charge!$J$23,IF(C246=Charge!$M$17,Charge!$J$17,IF(C246=Charge!$N$17,Charge!$J$17,Charge!$J$7))))</f>
        <v>G2</v>
      </c>
      <c r="C246" s="54" t="str">
        <f>VLOOKUP(A246,'1.Loading'!A:R,14,FALSE)</f>
        <v>LCH06</v>
      </c>
      <c r="D246" s="54" t="str">
        <f>VLOOKUP(A246,'1.Loading'!A:R,17,FALSE)</f>
        <v>HASLS22260900170</v>
      </c>
      <c r="E246" s="55" t="str">
        <f>VLOOKUP(D246,'2.Bookinglist'!A:CT,27,FALSE)</f>
        <v>PANDA GOGO LOGISTICS CO., LTD.</v>
      </c>
      <c r="F246" s="55" t="str">
        <f>VLOOKUP(D246,'2.Bookinglist'!A:CT,28,FALSE)</f>
        <v>GC-M PTA COMPANY LIMITED</v>
      </c>
      <c r="G246" s="56">
        <f>VLOOKUP(D246,'2.Bookinglist'!A:E,5,FALSE)</f>
        <v>0</v>
      </c>
      <c r="H246" s="54" t="str">
        <f>VLOOKUP(D246,'2.Bookinglist'!A:CT,15,FALSE)</f>
        <v>THLCH</v>
      </c>
      <c r="I246" s="54" t="str">
        <f>VLOOKUP(D246,'2.Bookinglist'!A:CT,19,FALSE)</f>
        <v>JPTRG</v>
      </c>
      <c r="J246" s="54" t="str">
        <f>VLOOKUP(D246,'2.Bookinglist'!A:CT,26,FALSE)</f>
        <v>KRPUS</v>
      </c>
      <c r="K246" s="54" t="str">
        <f>VLOOKUP(A246,'1.Loading'!A:R,5,FALSE)</f>
        <v>22GP</v>
      </c>
      <c r="L246" s="56" t="str">
        <f>VLOOKUP(D246,'2.Bookinglist'!A:CT,85,FALSE)</f>
        <v>CY/CY</v>
      </c>
      <c r="M246" s="56" t="str">
        <f>IF(VLOOKUP(D246,'2.Bookinglist'!A:CT,43,FALSE)=0,"","DG")</f>
        <v/>
      </c>
      <c r="N246" s="56" t="str">
        <f>IF(RIGHT(K246,2)="RE","RF","")</f>
        <v/>
      </c>
      <c r="O246" s="54" t="str">
        <f>VLOOKUP(A246,'1.Loading'!A:R,3,FALSE)</f>
        <v>HMVY</v>
      </c>
      <c r="P246" s="54" t="str">
        <f>VLOOKUP(A246,'1.Loading'!A:R,4,FALSE)</f>
        <v>2609N</v>
      </c>
      <c r="Q246" s="54" t="str">
        <f>VLOOKUP(D246,'2.Bookinglist'!A:CT,12,FALSE)</f>
        <v>PCI2</v>
      </c>
      <c r="R246" s="56" t="str">
        <f>IF(LEFT(K246,2)="22","20'","40'")</f>
        <v>20'</v>
      </c>
      <c r="S246" s="38"/>
      <c r="T246" s="54" t="str">
        <f>VLOOKUP(A246,'1.Loading'!A:R,2,FALSE)</f>
        <v>2026-10-28</v>
      </c>
      <c r="U246" s="57">
        <f>T246-S246</f>
        <v>46323</v>
      </c>
      <c r="V246" s="58"/>
      <c r="W246" s="54" t="str">
        <f>VLOOKUP(A246,'3.GateMove'!A:D,4,FALSE)</f>
        <v>2026-10-18</v>
      </c>
      <c r="X246" s="57">
        <f>((T246-W246)+1)</f>
        <v>11</v>
      </c>
      <c r="Y246" s="59">
        <f>IF(AND(OR(C246="BKK01",C246="BKK04"),L246="CFS/CY"),0,IF(M246="DG",1,IF(LEFT(C246,3)="LCH",7,IF(C246="BKK02",5,3))))</f>
        <v>7</v>
      </c>
      <c r="Z246" s="57">
        <f>IF(IF(AND(AC246="TML",AB246&gt;0),((T246-W246)+1)-AB246,((T246-W246)+1)-Y246)&gt;0,IF(AND(AC246="TML",AB246&gt;0),((T246-W246)+1)-AB246,((T246-W246)+1)-Y246),0)</f>
        <v>4</v>
      </c>
      <c r="AA246" s="48">
        <f>IF(AND(B246="G1",M246=""),IF(R246="20'",
VLOOKUP(Z246,Charge!$K$2:$M$5,2,TRUE)+(Z246-VLOOKUP(Z246,Charge!$K$2:$M$5,1,TRUE))*VLOOKUP(Z246,Charge!$K$2:$M$5,3,TRUE),
VLOOKUP(Z246,Charge!$N$2:$P$5,2,TRUE)+(Z246-VLOOKUP(Z246,Charge!$N$2:$P$5,1,TRUE))*VLOOKUP(Z246,Charge!$N$2:$P$5,3,TRUE)),
IF(AND(B246="G1",M246="DG"),IF(R246="20'",
VLOOKUP(Z246,Charge!$R$2:$T$5,2,TRUE)+(Z246-VLOOKUP(Z246,Charge!$R$2:$T$5,1,TRUE))*VLOOKUP(Z246,Charge!$R$2:$T$5,3,TRUE),
VLOOKUP(Z246,Charge!$U$2:$W$5,2,TRUE)+(Z246-VLOOKUP(Z246,Charge!$U$2:$W$5,1,TRUE))*VLOOKUP(Z246,Charge!$U$2:$W$5,3,TRUE)),
IF(AND(B246="G3",M246=""),IF(R246="20'",
VLOOKUP(Z246,Charge!$K$18:$M$21,2,TRUE)+(Z246-VLOOKUP(Z246,Charge!$K$18:$M$21,1,TRUE))*VLOOKUP(Z246,Charge!$K$18:$M$21,3,TRUE),
VLOOKUP(Z246,Charge!$N$18:$P$21,2,TRUE)+(Z246-VLOOKUP(Z246,Charge!$N$18:$P$21,1,TRUE))*VLOOKUP(Z246,Charge!$N$18:$P$21,3,TRUE)),
IF(AND(B246="G3",M246="DG"),IF(R246="20'",
VLOOKUP(Z246,Charge!$R$18:$T$21,2,TRUE)+(Z246-VLOOKUP(Z246,Charge!$R$18:$T$21,1,TRUE))*VLOOKUP(Z246,Charge!$R$18:$T$21,3,TRUE),
VLOOKUP(Z246,Charge!$U$18:$W$21,2,TRUE)+(Z246-VLOOKUP(Z246,Charge!$U$18:$W$21,1,TRUE))*VLOOKUP(Z246,Charge!$U$18:$W$21,3,TRUE)),
IF(AND(B246="G2",M246=""),IF(R246="20'",
VLOOKUP(Z246,Charge!$K$9:$M$12,2,TRUE)+(Z246-VLOOKUP(Z246,Charge!$K$9:$M$12,1,TRUE))*VLOOKUP(Z246,Charge!$K$9:$M$12,3,TRUE),
VLOOKUP(Z246,Charge!$N$9:$P$12,2,TRUE)+(Z246-VLOOKUP(Z246,Charge!$N$9:$P$12,1,TRUE))*VLOOKUP(Z246,Charge!$N$9:$P$12,3,TRUE)),
IF(AND(B246="G2",M246="DG"),IF(R246="20'",
VLOOKUP(Z246,Charge!$R$9:$T$12,2,TRUE)+(Z246-VLOOKUP(Z246,Charge!$R$9:$T$12,1,TRUE))*VLOOKUP(Z246,Charge!$R$9:$T$12,3,TRUE),
VLOOKUP(Z246,Charge!$U$9:$W$12,2,TRUE)+(Z246-VLOOKUP(Z246,Charge!$U$9:$W$12,1,TRUE))*VLOOKUP(Z246,Charge!$U$9:$W$12,3,TRUE)),IF(AND(B246="G4",M246=""),IF(R246="20'",Z246*Charge!$M$25,Z246*Charge!$P$25),IF(AND(B246="G4",M246="DG"),IF(R246="20'",Z246*Charge!$T$25,Z246*Charge!$W$25),0))))))))</f>
        <v>500</v>
      </c>
      <c r="AB246" s="53"/>
      <c r="AC246" s="53"/>
      <c r="AD246" s="56">
        <f>IF(M246="DG",3,IF(N246="RF",3,5))+IF(AND(LEFT(C246,3)="BKK",N246="RF",Q246="KTS"),1,0)+IF(Q246="KHS",1,0)</f>
        <v>5</v>
      </c>
      <c r="AE246" s="57">
        <f>(T246-V246)+1</f>
        <v>46324</v>
      </c>
      <c r="AF246" s="57">
        <f>IF(AB246&gt;IF((V246-W246)&gt;0,V246-W246,0),0,IF(AB246&lt;IF((V246-W246)&gt;0,V246-W246,0),IF((V246-W246)&gt;0,V246-W246,0)-AB246,IF((V246-W246)&gt;0,V246-W246,0)))</f>
        <v>0</v>
      </c>
      <c r="AG246" s="48">
        <f>IF(AND(M246=""),IF(R246="20'",
VLOOKUP(AF246,Charge!$K$31:$M$34,2,TRUE)+(AF246-VLOOKUP(AF246,Charge!$K$31:$M$34,1,TRUE))*VLOOKUP(AF246,Charge!$K$31:$M$34,3,TRUE),
VLOOKUP(AF246,Charge!$N$31:$P$34,2,TRUE)+(AF246-VLOOKUP(AF246,Charge!$N$31:$P$34,1,TRUE))*VLOOKUP(AF246,Charge!$N$31:$P$34,3,TRUE)),
IF(AND(M246="DG"),IF(R246="20'",
VLOOKUP(AF246,Charge!$R$31:$T$34,2,TRUE)+(AF246-VLOOKUP(AF246,Charge!$R$31:$T$34,1,TRUE))*VLOOKUP(AF246,Charge!$R$31:$T$34,3,TRUE),
VLOOKUP(AF246,Charge!$U$31:$W$34,2,TRUE)+(AF246-VLOOKUP(AF246,Charge!$U$31:$W$34,1,TRUE))*VLOOKUP(AF246,Charge!$U$31:$W$34,3,TRUE)),0))</f>
        <v>0</v>
      </c>
      <c r="AH246" s="60"/>
      <c r="AI246" s="60">
        <f>AA246-AH246</f>
        <v>500</v>
      </c>
      <c r="AJ246" s="61"/>
      <c r="AK246" s="55" t="str">
        <f>VLOOKUP(D246,'2.Bookinglist'!A:CT,40,FALSE)</f>
        <v>Tarn(Supaporn)</v>
      </c>
      <c r="AL246" s="56" t="str">
        <f>VLOOKUP(D246,'2.Bookinglist'!A:CW,101,FALSE)</f>
        <v>2026-10-22</v>
      </c>
      <c r="AM246" s="56" t="str">
        <f>VLOOKUP(D246,'2.Bookinglist'!A:BK,63,FALSE)</f>
        <v>LCHY5</v>
      </c>
      <c r="AN246" s="55" t="str">
        <f>VLOOKUP(D246,'2.Bookinglist'!A:AZ,52,FALSE)</f>
        <v>[FIX]Pickup : 2026-10-14, Return : 2026-10-15 [1ST RTN 16/10/2026 W/O RENT]
** PLEASE CHECK OPEN GATE BEFORE RETURN CONTAINER ** </v>
      </c>
      <c r="AO246" s="55">
        <f>VLOOKUP(D246,'2.Bookinglist'!A:CY,103,FALSE)</f>
        <v>0</v>
      </c>
    </row>
    <row r="247" ht="12.95" customHeight="1" spans="1:41" x14ac:dyDescent="0.25">
      <c r="A247" s="3" t="s">
        <v>352</v>
      </c>
      <c r="B247" s="53" t="str">
        <f>IF(C247=Charge!$M$1,Charge!$J$1,IF(C247=Charge!$M$23,Charge!$J$23,IF(C247=Charge!$M$17,Charge!$J$17,IF(C247=Charge!$N$17,Charge!$J$17,Charge!$J$7))))</f>
        <v>G2</v>
      </c>
      <c r="C247" s="54" t="str">
        <f>VLOOKUP(A247,'1.Loading'!A:R,14,FALSE)</f>
        <v>LCH06</v>
      </c>
      <c r="D247" s="54" t="str">
        <f>VLOOKUP(A247,'1.Loading'!A:R,17,FALSE)</f>
        <v>HASLS22260902149</v>
      </c>
      <c r="E247" s="55" t="str">
        <f>VLOOKUP(D247,'2.Bookinglist'!A:CT,27,FALSE)</f>
        <v>DOUBLE A (1991) PUBLIC COMPANY LIMITED</v>
      </c>
      <c r="F247" s="55" t="str">
        <f>VLOOKUP(D247,'2.Bookinglist'!A:CT,28,FALSE)</f>
        <v>DOUBLE A (1991) PUBLIC COMPANY LIMITED</v>
      </c>
      <c r="G247" s="56">
        <f>VLOOKUP(D247,'2.Bookinglist'!A:E,5,FALSE)</f>
        <v>0</v>
      </c>
      <c r="H247" s="54" t="str">
        <f>VLOOKUP(D247,'2.Bookinglist'!A:CT,15,FALSE)</f>
        <v>THLCH</v>
      </c>
      <c r="I247" s="54" t="str">
        <f>VLOOKUP(D247,'2.Bookinglist'!A:CT,19,FALSE)</f>
        <v>CNSHA</v>
      </c>
      <c r="J247" s="54">
        <f>VLOOKUP(D247,'2.Bookinglist'!A:CT,26,FALSE)</f>
        <v>0</v>
      </c>
      <c r="K247" s="54" t="str">
        <f>VLOOKUP(A247,'1.Loading'!A:R,5,FALSE)</f>
        <v>22GP</v>
      </c>
      <c r="L247" s="56" t="str">
        <f>VLOOKUP(D247,'2.Bookinglist'!A:CT,85,FALSE)</f>
        <v>CY/CY</v>
      </c>
      <c r="M247" s="56" t="str">
        <f>IF(VLOOKUP(D247,'2.Bookinglist'!A:CT,43,FALSE)=0,"","DG")</f>
        <v/>
      </c>
      <c r="N247" s="56" t="str">
        <f>IF(RIGHT(K247,2)="RE","RF","")</f>
        <v/>
      </c>
      <c r="O247" s="54" t="str">
        <f>VLOOKUP(A247,'1.Loading'!A:R,3,FALSE)</f>
        <v>HMVY</v>
      </c>
      <c r="P247" s="54" t="str">
        <f>VLOOKUP(A247,'1.Loading'!A:R,4,FALSE)</f>
        <v>2609N</v>
      </c>
      <c r="Q247" s="54" t="str">
        <f>VLOOKUP(D247,'2.Bookinglist'!A:CT,12,FALSE)</f>
        <v>PCI2</v>
      </c>
      <c r="R247" s="56" t="str">
        <f>IF(LEFT(K247,2)="22","20'","40'")</f>
        <v>20'</v>
      </c>
      <c r="S247" s="38"/>
      <c r="T247" s="54" t="str">
        <f>VLOOKUP(A247,'1.Loading'!A:R,2,FALSE)</f>
        <v>2026-10-28</v>
      </c>
      <c r="U247" s="57">
        <f>T247-S247</f>
        <v>46323</v>
      </c>
      <c r="V247" s="58"/>
      <c r="W247" s="54" t="str">
        <f>VLOOKUP(A247,'3.GateMove'!A:D,4,FALSE)</f>
        <v>2026-10-07</v>
      </c>
      <c r="X247" s="57">
        <f>((T247-W247)+1)</f>
        <v>22</v>
      </c>
      <c r="Y247" s="59">
        <f>IF(AND(OR(C247="BKK01",C247="BKK04"),L247="CFS/CY"),0,IF(M247="DG",1,IF(LEFT(C247,3)="LCH",7,IF(C247="BKK02",5,3))))</f>
        <v>7</v>
      </c>
      <c r="Z247" s="57">
        <f>IF(IF(AND(AC247="TML",AB247&gt;0),((T247-W247)+1)-AB247,((T247-W247)+1)-Y247)&gt;0,IF(AND(AC247="TML",AB247&gt;0),((T247-W247)+1)-AB247,((T247-W247)+1)-Y247),0)</f>
        <v>15</v>
      </c>
      <c r="AA247" s="48">
        <f>IF(AND(B247="G1",M247=""),IF(R247="20'",
VLOOKUP(Z247,Charge!$K$2:$M$5,2,TRUE)+(Z247-VLOOKUP(Z247,Charge!$K$2:$M$5,1,TRUE))*VLOOKUP(Z247,Charge!$K$2:$M$5,3,TRUE),
VLOOKUP(Z247,Charge!$N$2:$P$5,2,TRUE)+(Z247-VLOOKUP(Z247,Charge!$N$2:$P$5,1,TRUE))*VLOOKUP(Z247,Charge!$N$2:$P$5,3,TRUE)),
IF(AND(B247="G1",M247="DG"),IF(R247="20'",
VLOOKUP(Z247,Charge!$R$2:$T$5,2,TRUE)+(Z247-VLOOKUP(Z247,Charge!$R$2:$T$5,1,TRUE))*VLOOKUP(Z247,Charge!$R$2:$T$5,3,TRUE),
VLOOKUP(Z247,Charge!$U$2:$W$5,2,TRUE)+(Z247-VLOOKUP(Z247,Charge!$U$2:$W$5,1,TRUE))*VLOOKUP(Z247,Charge!$U$2:$W$5,3,TRUE)),
IF(AND(B247="G3",M247=""),IF(R247="20'",
VLOOKUP(Z247,Charge!$K$18:$M$21,2,TRUE)+(Z247-VLOOKUP(Z247,Charge!$K$18:$M$21,1,TRUE))*VLOOKUP(Z247,Charge!$K$18:$M$21,3,TRUE),
VLOOKUP(Z247,Charge!$N$18:$P$21,2,TRUE)+(Z247-VLOOKUP(Z247,Charge!$N$18:$P$21,1,TRUE))*VLOOKUP(Z247,Charge!$N$18:$P$21,3,TRUE)),
IF(AND(B247="G3",M247="DG"),IF(R247="20'",
VLOOKUP(Z247,Charge!$R$18:$T$21,2,TRUE)+(Z247-VLOOKUP(Z247,Charge!$R$18:$T$21,1,TRUE))*VLOOKUP(Z247,Charge!$R$18:$T$21,3,TRUE),
VLOOKUP(Z247,Charge!$U$18:$W$21,2,TRUE)+(Z247-VLOOKUP(Z247,Charge!$U$18:$W$21,1,TRUE))*VLOOKUP(Z247,Charge!$U$18:$W$21,3,TRUE)),
IF(AND(B247="G2",M247=""),IF(R247="20'",
VLOOKUP(Z247,Charge!$K$9:$M$12,2,TRUE)+(Z247-VLOOKUP(Z247,Charge!$K$9:$M$12,1,TRUE))*VLOOKUP(Z247,Charge!$K$9:$M$12,3,TRUE),
VLOOKUP(Z247,Charge!$N$9:$P$12,2,TRUE)+(Z247-VLOOKUP(Z247,Charge!$N$9:$P$12,1,TRUE))*VLOOKUP(Z247,Charge!$N$9:$P$12,3,TRUE)),
IF(AND(B247="G2",M247="DG"),IF(R247="20'",
VLOOKUP(Z247,Charge!$R$9:$T$12,2,TRUE)+(Z247-VLOOKUP(Z247,Charge!$R$9:$T$12,1,TRUE))*VLOOKUP(Z247,Charge!$R$9:$T$12,3,TRUE),
VLOOKUP(Z247,Charge!$U$9:$W$12,2,TRUE)+(Z247-VLOOKUP(Z247,Charge!$U$9:$W$12,1,TRUE))*VLOOKUP(Z247,Charge!$U$9:$W$12,3,TRUE)),IF(AND(B247="G4",M247=""),IF(R247="20'",Z247*Charge!$M$25,Z247*Charge!$P$25),IF(AND(B247="G4",M247="DG"),IF(R247="20'",Z247*Charge!$T$25,Z247*Charge!$W$25),0))))))))</f>
        <v>3025</v>
      </c>
      <c r="AB247" s="53"/>
      <c r="AC247" s="53"/>
      <c r="AD247" s="56">
        <f>IF(M247="DG",3,IF(N247="RF",3,5))+IF(AND(LEFT(C247,3)="BKK",N247="RF",Q247="KTS"),1,0)+IF(Q247="KHS",1,0)</f>
        <v>5</v>
      </c>
      <c r="AE247" s="57">
        <f>(T247-V247)+1</f>
        <v>46324</v>
      </c>
      <c r="AF247" s="57">
        <f>IF(AB247&gt;IF((V247-W247)&gt;0,V247-W247,0),0,IF(AB247&lt;IF((V247-W247)&gt;0,V247-W247,0),IF((V247-W247)&gt;0,V247-W247,0)-AB247,IF((V247-W247)&gt;0,V247-W247,0)))</f>
        <v>0</v>
      </c>
      <c r="AG247" s="48">
        <f>IF(AND(M247=""),IF(R247="20'",
VLOOKUP(AF247,Charge!$K$31:$M$34,2,TRUE)+(AF247-VLOOKUP(AF247,Charge!$K$31:$M$34,1,TRUE))*VLOOKUP(AF247,Charge!$K$31:$M$34,3,TRUE),
VLOOKUP(AF247,Charge!$N$31:$P$34,2,TRUE)+(AF247-VLOOKUP(AF247,Charge!$N$31:$P$34,1,TRUE))*VLOOKUP(AF247,Charge!$N$31:$P$34,3,TRUE)),
IF(AND(M247="DG"),IF(R247="20'",
VLOOKUP(AF247,Charge!$R$31:$T$34,2,TRUE)+(AF247-VLOOKUP(AF247,Charge!$R$31:$T$34,1,TRUE))*VLOOKUP(AF247,Charge!$R$31:$T$34,3,TRUE),
VLOOKUP(AF247,Charge!$U$31:$W$34,2,TRUE)+(AF247-VLOOKUP(AF247,Charge!$U$31:$W$34,1,TRUE))*VLOOKUP(AF247,Charge!$U$31:$W$34,3,TRUE)),0))</f>
        <v>0</v>
      </c>
      <c r="AH247" s="60"/>
      <c r="AI247" s="60">
        <f>AA247-AH247</f>
        <v>3025</v>
      </c>
      <c r="AJ247" s="61"/>
      <c r="AK247" s="55" t="str">
        <f>VLOOKUP(D247,'2.Bookinglist'!A:CT,40,FALSE)</f>
        <v>Kanokporn</v>
      </c>
      <c r="AL247" s="56" t="str">
        <f>VLOOKUP(D247,'2.Bookinglist'!A:CW,101,FALSE)</f>
        <v>2026-10-24</v>
      </c>
      <c r="AM247" s="56" t="str">
        <f>VLOOKUP(D247,'2.Bookinglist'!A:BK,63,FALSE)</f>
        <v>LCHY5</v>
      </c>
      <c r="AN247" s="55" t="str">
        <f>VLOOKUP(D247,'2.Bookinglist'!A:AZ,52,FALSE)</f>
        <v>CY-RTN :30-05/10/2026
REF : PI-CN-TH-DA-26100038, PI-CN-TH-DA-26100039, PI-CN-TH-DA-26100040,  PI-CN-TH-DA-26100041
FRT 31/20',40'HQ + FREETIME 21DAYS</v>
      </c>
      <c r="AO247" s="55" t="str">
        <f>VLOOKUP(D247,'2.Bookinglist'!A:CY,103,FALSE)</f>
        <v>ROLL OVER FROM PREVIOUS VSL SWRG 2609N BY ALLOCATION TEAM MS.TAN APPROVED COST IS UNDER HA DD.13/10</v>
      </c>
    </row>
    <row r="248" ht="12.95" customHeight="1" spans="1:41" x14ac:dyDescent="0.25">
      <c r="A248" s="3" t="s">
        <v>373</v>
      </c>
      <c r="B248" s="53" t="str">
        <f>IF(C248=Charge!$M$1,Charge!$J$1,IF(C248=Charge!$M$23,Charge!$J$23,IF(C248=Charge!$M$17,Charge!$J$17,IF(C248=Charge!$N$17,Charge!$J$17,Charge!$J$7))))</f>
        <v>G2</v>
      </c>
      <c r="C248" s="54" t="str">
        <f>VLOOKUP(A248,'1.Loading'!A:R,14,FALSE)</f>
        <v>LCH06</v>
      </c>
      <c r="D248" s="54" t="str">
        <f>VLOOKUP(A248,'1.Loading'!A:R,17,FALSE)</f>
        <v>HASLS22260900170</v>
      </c>
      <c r="E248" s="55" t="str">
        <f>VLOOKUP(D248,'2.Bookinglist'!A:CT,27,FALSE)</f>
        <v>PANDA GOGO LOGISTICS CO., LTD.</v>
      </c>
      <c r="F248" s="55" t="str">
        <f>VLOOKUP(D248,'2.Bookinglist'!A:CT,28,FALSE)</f>
        <v>GC-M PTA COMPANY LIMITED</v>
      </c>
      <c r="G248" s="56">
        <f>VLOOKUP(D248,'2.Bookinglist'!A:E,5,FALSE)</f>
        <v>0</v>
      </c>
      <c r="H248" s="54" t="str">
        <f>VLOOKUP(D248,'2.Bookinglist'!A:CT,15,FALSE)</f>
        <v>THLCH</v>
      </c>
      <c r="I248" s="54" t="str">
        <f>VLOOKUP(D248,'2.Bookinglist'!A:CT,19,FALSE)</f>
        <v>JPTRG</v>
      </c>
      <c r="J248" s="54" t="str">
        <f>VLOOKUP(D248,'2.Bookinglist'!A:CT,26,FALSE)</f>
        <v>KRPUS</v>
      </c>
      <c r="K248" s="54" t="str">
        <f>VLOOKUP(A248,'1.Loading'!A:R,5,FALSE)</f>
        <v>22GP</v>
      </c>
      <c r="L248" s="56" t="str">
        <f>VLOOKUP(D248,'2.Bookinglist'!A:CT,85,FALSE)</f>
        <v>CY/CY</v>
      </c>
      <c r="M248" s="56" t="str">
        <f>IF(VLOOKUP(D248,'2.Bookinglist'!A:CT,43,FALSE)=0,"","DG")</f>
        <v/>
      </c>
      <c r="N248" s="56" t="str">
        <f>IF(RIGHT(K248,2)="RE","RF","")</f>
        <v/>
      </c>
      <c r="O248" s="54" t="str">
        <f>VLOOKUP(A248,'1.Loading'!A:R,3,FALSE)</f>
        <v>HMVY</v>
      </c>
      <c r="P248" s="54" t="str">
        <f>VLOOKUP(A248,'1.Loading'!A:R,4,FALSE)</f>
        <v>2609N</v>
      </c>
      <c r="Q248" s="54" t="str">
        <f>VLOOKUP(D248,'2.Bookinglist'!A:CT,12,FALSE)</f>
        <v>PCI2</v>
      </c>
      <c r="R248" s="56" t="str">
        <f>IF(LEFT(K248,2)="22","20'","40'")</f>
        <v>20'</v>
      </c>
      <c r="S248" s="38"/>
      <c r="T248" s="54" t="str">
        <f>VLOOKUP(A248,'1.Loading'!A:R,2,FALSE)</f>
        <v>2026-10-28</v>
      </c>
      <c r="U248" s="57">
        <f>T248-S248</f>
        <v>46323</v>
      </c>
      <c r="V248" s="58"/>
      <c r="W248" s="54" t="str">
        <f>VLOOKUP(A248,'3.GateMove'!A:D,4,FALSE)</f>
        <v>2026-10-18</v>
      </c>
      <c r="X248" s="57">
        <f>((T248-W248)+1)</f>
        <v>11</v>
      </c>
      <c r="Y248" s="59">
        <f>IF(AND(OR(C248="BKK01",C248="BKK04"),L248="CFS/CY"),0,IF(M248="DG",1,IF(LEFT(C248,3)="LCH",7,IF(C248="BKK02",5,3))))</f>
        <v>7</v>
      </c>
      <c r="Z248" s="57">
        <f>IF(IF(AND(AC248="TML",AB248&gt;0),((T248-W248)+1)-AB248,((T248-W248)+1)-Y248)&gt;0,IF(AND(AC248="TML",AB248&gt;0),((T248-W248)+1)-AB248,((T248-W248)+1)-Y248),0)</f>
        <v>4</v>
      </c>
      <c r="AA248" s="48">
        <f>IF(AND(B248="G1",M248=""),IF(R248="20'",
VLOOKUP(Z248,Charge!$K$2:$M$5,2,TRUE)+(Z248-VLOOKUP(Z248,Charge!$K$2:$M$5,1,TRUE))*VLOOKUP(Z248,Charge!$K$2:$M$5,3,TRUE),
VLOOKUP(Z248,Charge!$N$2:$P$5,2,TRUE)+(Z248-VLOOKUP(Z248,Charge!$N$2:$P$5,1,TRUE))*VLOOKUP(Z248,Charge!$N$2:$P$5,3,TRUE)),
IF(AND(B248="G1",M248="DG"),IF(R248="20'",
VLOOKUP(Z248,Charge!$R$2:$T$5,2,TRUE)+(Z248-VLOOKUP(Z248,Charge!$R$2:$T$5,1,TRUE))*VLOOKUP(Z248,Charge!$R$2:$T$5,3,TRUE),
VLOOKUP(Z248,Charge!$U$2:$W$5,2,TRUE)+(Z248-VLOOKUP(Z248,Charge!$U$2:$W$5,1,TRUE))*VLOOKUP(Z248,Charge!$U$2:$W$5,3,TRUE)),
IF(AND(B248="G3",M248=""),IF(R248="20'",
VLOOKUP(Z248,Charge!$K$18:$M$21,2,TRUE)+(Z248-VLOOKUP(Z248,Charge!$K$18:$M$21,1,TRUE))*VLOOKUP(Z248,Charge!$K$18:$M$21,3,TRUE),
VLOOKUP(Z248,Charge!$N$18:$P$21,2,TRUE)+(Z248-VLOOKUP(Z248,Charge!$N$18:$P$21,1,TRUE))*VLOOKUP(Z248,Charge!$N$18:$P$21,3,TRUE)),
IF(AND(B248="G3",M248="DG"),IF(R248="20'",
VLOOKUP(Z248,Charge!$R$18:$T$21,2,TRUE)+(Z248-VLOOKUP(Z248,Charge!$R$18:$T$21,1,TRUE))*VLOOKUP(Z248,Charge!$R$18:$T$21,3,TRUE),
VLOOKUP(Z248,Charge!$U$18:$W$21,2,TRUE)+(Z248-VLOOKUP(Z248,Charge!$U$18:$W$21,1,TRUE))*VLOOKUP(Z248,Charge!$U$18:$W$21,3,TRUE)),
IF(AND(B248="G2",M248=""),IF(R248="20'",
VLOOKUP(Z248,Charge!$K$9:$M$12,2,TRUE)+(Z248-VLOOKUP(Z248,Charge!$K$9:$M$12,1,TRUE))*VLOOKUP(Z248,Charge!$K$9:$M$12,3,TRUE),
VLOOKUP(Z248,Charge!$N$9:$P$12,2,TRUE)+(Z248-VLOOKUP(Z248,Charge!$N$9:$P$12,1,TRUE))*VLOOKUP(Z248,Charge!$N$9:$P$12,3,TRUE)),
IF(AND(B248="G2",M248="DG"),IF(R248="20'",
VLOOKUP(Z248,Charge!$R$9:$T$12,2,TRUE)+(Z248-VLOOKUP(Z248,Charge!$R$9:$T$12,1,TRUE))*VLOOKUP(Z248,Charge!$R$9:$T$12,3,TRUE),
VLOOKUP(Z248,Charge!$U$9:$W$12,2,TRUE)+(Z248-VLOOKUP(Z248,Charge!$U$9:$W$12,1,TRUE))*VLOOKUP(Z248,Charge!$U$9:$W$12,3,TRUE)),IF(AND(B248="G4",M248=""),IF(R248="20'",Z248*Charge!$M$25,Z248*Charge!$P$25),IF(AND(B248="G4",M248="DG"),IF(R248="20'",Z248*Charge!$T$25,Z248*Charge!$W$25),0))))))))</f>
        <v>500</v>
      </c>
      <c r="AB248" s="53"/>
      <c r="AC248" s="53"/>
      <c r="AD248" s="56">
        <f>IF(M248="DG",3,IF(N248="RF",3,5))+IF(AND(LEFT(C248,3)="BKK",N248="RF",Q248="KTS"),1,0)+IF(Q248="KHS",1,0)</f>
        <v>5</v>
      </c>
      <c r="AE248" s="57">
        <f>(T248-V248)+1</f>
        <v>46324</v>
      </c>
      <c r="AF248" s="57">
        <f>IF(AB248&gt;IF((V248-W248)&gt;0,V248-W248,0),0,IF(AB248&lt;IF((V248-W248)&gt;0,V248-W248,0),IF((V248-W248)&gt;0,V248-W248,0)-AB248,IF((V248-W248)&gt;0,V248-W248,0)))</f>
        <v>0</v>
      </c>
      <c r="AG248" s="48">
        <f>IF(AND(M248=""),IF(R248="20'",
VLOOKUP(AF248,Charge!$K$31:$M$34,2,TRUE)+(AF248-VLOOKUP(AF248,Charge!$K$31:$M$34,1,TRUE))*VLOOKUP(AF248,Charge!$K$31:$M$34,3,TRUE),
VLOOKUP(AF248,Charge!$N$31:$P$34,2,TRUE)+(AF248-VLOOKUP(AF248,Charge!$N$31:$P$34,1,TRUE))*VLOOKUP(AF248,Charge!$N$31:$P$34,3,TRUE)),
IF(AND(M248="DG"),IF(R248="20'",
VLOOKUP(AF248,Charge!$R$31:$T$34,2,TRUE)+(AF248-VLOOKUP(AF248,Charge!$R$31:$T$34,1,TRUE))*VLOOKUP(AF248,Charge!$R$31:$T$34,3,TRUE),
VLOOKUP(AF248,Charge!$U$31:$W$34,2,TRUE)+(AF248-VLOOKUP(AF248,Charge!$U$31:$W$34,1,TRUE))*VLOOKUP(AF248,Charge!$U$31:$W$34,3,TRUE)),0))</f>
        <v>0</v>
      </c>
      <c r="AH248" s="60"/>
      <c r="AI248" s="60">
        <f>AA248-AH248</f>
        <v>500</v>
      </c>
      <c r="AJ248" s="61"/>
      <c r="AK248" s="55" t="str">
        <f>VLOOKUP(D248,'2.Bookinglist'!A:CT,40,FALSE)</f>
        <v>Tarn(Supaporn)</v>
      </c>
      <c r="AL248" s="56" t="str">
        <f>VLOOKUP(D248,'2.Bookinglist'!A:CW,101,FALSE)</f>
        <v>2026-10-22</v>
      </c>
      <c r="AM248" s="56" t="str">
        <f>VLOOKUP(D248,'2.Bookinglist'!A:BK,63,FALSE)</f>
        <v>LCHY5</v>
      </c>
      <c r="AN248" s="55" t="str">
        <f>VLOOKUP(D248,'2.Bookinglist'!A:AZ,52,FALSE)</f>
        <v>[FIX]Pickup : 2026-10-14, Return : 2026-10-15 [1ST RTN 16/10/2026 W/O RENT]
** PLEASE CHECK OPEN GATE BEFORE RETURN CONTAINER ** </v>
      </c>
      <c r="AO248" s="55">
        <f>VLOOKUP(D248,'2.Bookinglist'!A:CY,103,FALSE)</f>
        <v>0</v>
      </c>
    </row>
    <row r="249" ht="12.95" customHeight="1" spans="1:41" x14ac:dyDescent="0.25">
      <c r="A249" s="3" t="s">
        <v>286</v>
      </c>
      <c r="B249" s="53" t="str">
        <f>IF(C249=Charge!$M$1,Charge!$J$1,IF(C249=Charge!$M$23,Charge!$J$23,IF(C249=Charge!$M$17,Charge!$J$17,IF(C249=Charge!$N$17,Charge!$J$17,Charge!$J$7))))</f>
        <v>G2</v>
      </c>
      <c r="C249" s="54" t="str">
        <f>VLOOKUP(A249,'1.Loading'!A:R,14,FALSE)</f>
        <v>LCH06</v>
      </c>
      <c r="D249" s="54" t="str">
        <f>VLOOKUP(A249,'1.Loading'!A:R,17,FALSE)</f>
        <v>HASLS22261000090</v>
      </c>
      <c r="E249" s="55" t="str">
        <f>VLOOKUP(D249,'2.Bookinglist'!A:CT,27,FALSE)</f>
        <v>WHA GC LOGISTICS COMPANY LIMITED</v>
      </c>
      <c r="F249" s="55" t="str">
        <f>VLOOKUP(D249,'2.Bookinglist'!A:CT,28,FALSE)</f>
        <v>PTT GLOBAL CHEMICAL PUBLIC COMPANY LIMITED</v>
      </c>
      <c r="G249" s="56">
        <f>VLOOKUP(D249,'2.Bookinglist'!A:E,5,FALSE)</f>
        <v>0</v>
      </c>
      <c r="H249" s="54" t="str">
        <f>VLOOKUP(D249,'2.Bookinglist'!A:CT,15,FALSE)</f>
        <v>THLCH</v>
      </c>
      <c r="I249" s="54" t="str">
        <f>VLOOKUP(D249,'2.Bookinglist'!A:CT,19,FALSE)</f>
        <v>JPIYM</v>
      </c>
      <c r="J249" s="54" t="str">
        <f>VLOOKUP(D249,'2.Bookinglist'!A:CT,26,FALSE)</f>
        <v>KRPUS</v>
      </c>
      <c r="K249" s="54" t="str">
        <f>VLOOKUP(A249,'1.Loading'!A:R,5,FALSE)</f>
        <v>22GP</v>
      </c>
      <c r="L249" s="56" t="str">
        <f>VLOOKUP(D249,'2.Bookinglist'!A:CT,85,FALSE)</f>
        <v>CY/CY</v>
      </c>
      <c r="M249" s="56" t="str">
        <f>IF(VLOOKUP(D249,'2.Bookinglist'!A:CT,43,FALSE)=0,"","DG")</f>
        <v/>
      </c>
      <c r="N249" s="56" t="str">
        <f>IF(RIGHT(K249,2)="RE","RF","")</f>
        <v/>
      </c>
      <c r="O249" s="54" t="str">
        <f>VLOOKUP(A249,'1.Loading'!A:R,3,FALSE)</f>
        <v>HMVY</v>
      </c>
      <c r="P249" s="54" t="str">
        <f>VLOOKUP(A249,'1.Loading'!A:R,4,FALSE)</f>
        <v>2609N</v>
      </c>
      <c r="Q249" s="54" t="str">
        <f>VLOOKUP(D249,'2.Bookinglist'!A:CT,12,FALSE)</f>
        <v>PCI2</v>
      </c>
      <c r="R249" s="56" t="str">
        <f>IF(LEFT(K249,2)="22","20'","40'")</f>
        <v>20'</v>
      </c>
      <c r="S249" s="38"/>
      <c r="T249" s="54" t="str">
        <f>VLOOKUP(A249,'1.Loading'!A:R,2,FALSE)</f>
        <v>2026-10-28</v>
      </c>
      <c r="U249" s="57">
        <f>T249-S249</f>
        <v>46323</v>
      </c>
      <c r="V249" s="58"/>
      <c r="W249" s="54" t="str">
        <f>VLOOKUP(A249,'3.GateMove'!A:D,4,FALSE)</f>
        <v>2026-10-24</v>
      </c>
      <c r="X249" s="57">
        <f>((T249-W249)+1)</f>
        <v>5</v>
      </c>
      <c r="Y249" s="59">
        <f>IF(AND(OR(C249="BKK01",C249="BKK04"),L249="CFS/CY"),0,IF(M249="DG",1,IF(LEFT(C249,3)="LCH",7,IF(C249="BKK02",5,3))))</f>
        <v>7</v>
      </c>
      <c r="Z249" s="57">
        <f>IF(IF(AND(AC249="TML",AB249&gt;0),((T249-W249)+1)-AB249,((T249-W249)+1)-Y249)&gt;0,IF(AND(AC249="TML",AB249&gt;0),((T249-W249)+1)-AB249,((T249-W249)+1)-Y249),0)</f>
        <v>0</v>
      </c>
      <c r="AA249" s="48">
        <f>IF(AND(B249="G1",M249=""),IF(R249="20'",
VLOOKUP(Z249,Charge!$K$2:$M$5,2,TRUE)+(Z249-VLOOKUP(Z249,Charge!$K$2:$M$5,1,TRUE))*VLOOKUP(Z249,Charge!$K$2:$M$5,3,TRUE),
VLOOKUP(Z249,Charge!$N$2:$P$5,2,TRUE)+(Z249-VLOOKUP(Z249,Charge!$N$2:$P$5,1,TRUE))*VLOOKUP(Z249,Charge!$N$2:$P$5,3,TRUE)),
IF(AND(B249="G1",M249="DG"),IF(R249="20'",
VLOOKUP(Z249,Charge!$R$2:$T$5,2,TRUE)+(Z249-VLOOKUP(Z249,Charge!$R$2:$T$5,1,TRUE))*VLOOKUP(Z249,Charge!$R$2:$T$5,3,TRUE),
VLOOKUP(Z249,Charge!$U$2:$W$5,2,TRUE)+(Z249-VLOOKUP(Z249,Charge!$U$2:$W$5,1,TRUE))*VLOOKUP(Z249,Charge!$U$2:$W$5,3,TRUE)),
IF(AND(B249="G3",M249=""),IF(R249="20'",
VLOOKUP(Z249,Charge!$K$18:$M$21,2,TRUE)+(Z249-VLOOKUP(Z249,Charge!$K$18:$M$21,1,TRUE))*VLOOKUP(Z249,Charge!$K$18:$M$21,3,TRUE),
VLOOKUP(Z249,Charge!$N$18:$P$21,2,TRUE)+(Z249-VLOOKUP(Z249,Charge!$N$18:$P$21,1,TRUE))*VLOOKUP(Z249,Charge!$N$18:$P$21,3,TRUE)),
IF(AND(B249="G3",M249="DG"),IF(R249="20'",
VLOOKUP(Z249,Charge!$R$18:$T$21,2,TRUE)+(Z249-VLOOKUP(Z249,Charge!$R$18:$T$21,1,TRUE))*VLOOKUP(Z249,Charge!$R$18:$T$21,3,TRUE),
VLOOKUP(Z249,Charge!$U$18:$W$21,2,TRUE)+(Z249-VLOOKUP(Z249,Charge!$U$18:$W$21,1,TRUE))*VLOOKUP(Z249,Charge!$U$18:$W$21,3,TRUE)),
IF(AND(B249="G2",M249=""),IF(R249="20'",
VLOOKUP(Z249,Charge!$K$9:$M$12,2,TRUE)+(Z249-VLOOKUP(Z249,Charge!$K$9:$M$12,1,TRUE))*VLOOKUP(Z249,Charge!$K$9:$M$12,3,TRUE),
VLOOKUP(Z249,Charge!$N$9:$P$12,2,TRUE)+(Z249-VLOOKUP(Z249,Charge!$N$9:$P$12,1,TRUE))*VLOOKUP(Z249,Charge!$N$9:$P$12,3,TRUE)),
IF(AND(B249="G2",M249="DG"),IF(R249="20'",
VLOOKUP(Z249,Charge!$R$9:$T$12,2,TRUE)+(Z249-VLOOKUP(Z249,Charge!$R$9:$T$12,1,TRUE))*VLOOKUP(Z249,Charge!$R$9:$T$12,3,TRUE),
VLOOKUP(Z249,Charge!$U$9:$W$12,2,TRUE)+(Z249-VLOOKUP(Z249,Charge!$U$9:$W$12,1,TRUE))*VLOOKUP(Z249,Charge!$U$9:$W$12,3,TRUE)),IF(AND(B249="G4",M249=""),IF(R249="20'",Z249*Charge!$M$25,Z249*Charge!$P$25),IF(AND(B249="G4",M249="DG"),IF(R249="20'",Z249*Charge!$T$25,Z249*Charge!$W$25),0))))))))</f>
        <v>0</v>
      </c>
      <c r="AB249" s="53"/>
      <c r="AC249" s="53"/>
      <c r="AD249" s="56">
        <f>IF(M249="DG",3,IF(N249="RF",3,5))+IF(AND(LEFT(C249,3)="BKK",N249="RF",Q249="KTS"),1,0)+IF(Q249="KHS",1,0)</f>
        <v>5</v>
      </c>
      <c r="AE249" s="57">
        <f>(T249-V249)+1</f>
        <v>46324</v>
      </c>
      <c r="AF249" s="57">
        <f>IF(AB249&gt;IF((V249-W249)&gt;0,V249-W249,0),0,IF(AB249&lt;IF((V249-W249)&gt;0,V249-W249,0),IF((V249-W249)&gt;0,V249-W249,0)-AB249,IF((V249-W249)&gt;0,V249-W249,0)))</f>
        <v>0</v>
      </c>
      <c r="AG249" s="48">
        <f>IF(AND(M249=""),IF(R249="20'",
VLOOKUP(AF249,Charge!$K$31:$M$34,2,TRUE)+(AF249-VLOOKUP(AF249,Charge!$K$31:$M$34,1,TRUE))*VLOOKUP(AF249,Charge!$K$31:$M$34,3,TRUE),
VLOOKUP(AF249,Charge!$N$31:$P$34,2,TRUE)+(AF249-VLOOKUP(AF249,Charge!$N$31:$P$34,1,TRUE))*VLOOKUP(AF249,Charge!$N$31:$P$34,3,TRUE)),
IF(AND(M249="DG"),IF(R249="20'",
VLOOKUP(AF249,Charge!$R$31:$T$34,2,TRUE)+(AF249-VLOOKUP(AF249,Charge!$R$31:$T$34,1,TRUE))*VLOOKUP(AF249,Charge!$R$31:$T$34,3,TRUE),
VLOOKUP(AF249,Charge!$U$31:$W$34,2,TRUE)+(AF249-VLOOKUP(AF249,Charge!$U$31:$W$34,1,TRUE))*VLOOKUP(AF249,Charge!$U$31:$W$34,3,TRUE)),0))</f>
        <v>0</v>
      </c>
      <c r="AH249" s="60"/>
      <c r="AI249" s="60">
        <f>AA249-AH249</f>
        <v>0</v>
      </c>
      <c r="AJ249" s="61"/>
      <c r="AK249" s="55" t="str">
        <f>VLOOKUP(D249,'2.Bookinglist'!A:CT,40,FALSE)</f>
        <v>Dharaporn</v>
      </c>
      <c r="AL249" s="56" t="str">
        <f>VLOOKUP(D249,'2.Bookinglist'!A:CW,101,FALSE)</f>
        <v>2026-10-27</v>
      </c>
      <c r="AM249" s="56" t="str">
        <f>VLOOKUP(D249,'2.Bookinglist'!A:BK,63,FALSE)</f>
        <v>LCHY5</v>
      </c>
      <c r="AN249" s="55" t="str">
        <f>VLOOKUP(D249,'2.Bookinglist'!A:AZ,52,FALSE)</f>
        <v>[FIX]CY-RTN 21-22/10/26 </v>
      </c>
      <c r="AO249" s="55" t="str">
        <f>VLOOKUP(D249,'2.Bookinglist'!A:CY,103,FALSE)</f>
        <v>ROLL OVER FROM PREVIOUS VSL HAB 2612N BY ALLOCATION TEAM MS.TAN APPROVED COST IS UNDER HA DD.26/10</v>
      </c>
    </row>
    <row r="250" ht="12.95" customHeight="1" spans="1:41" x14ac:dyDescent="0.25">
      <c r="A250" s="3" t="s">
        <v>318</v>
      </c>
      <c r="B250" s="53" t="str">
        <f>IF(C250=Charge!$M$1,Charge!$J$1,IF(C250=Charge!$M$23,Charge!$J$23,IF(C250=Charge!$M$17,Charge!$J$17,IF(C250=Charge!$N$17,Charge!$J$17,Charge!$J$7))))</f>
        <v>G2</v>
      </c>
      <c r="C250" s="54" t="str">
        <f>VLOOKUP(A250,'1.Loading'!A:R,14,FALSE)</f>
        <v>LCH06</v>
      </c>
      <c r="D250" s="54" t="str">
        <f>VLOOKUP(A250,'1.Loading'!A:R,17,FALSE)</f>
        <v>HASLS22260901522</v>
      </c>
      <c r="E250" s="55" t="str">
        <f>VLOOKUP(D250,'2.Bookinglist'!A:CT,27,FALSE)</f>
        <v>WHA GC LOGISTICS COMPANY LIMITED</v>
      </c>
      <c r="F250" s="55" t="str">
        <f>VLOOKUP(D250,'2.Bookinglist'!A:CT,28,FALSE)</f>
        <v>PTT GLOBAL CHEMICAL PUBLIC COMPANY LIMITED</v>
      </c>
      <c r="G250" s="56">
        <f>VLOOKUP(D250,'2.Bookinglist'!A:E,5,FALSE)</f>
        <v>0</v>
      </c>
      <c r="H250" s="54" t="str">
        <f>VLOOKUP(D250,'2.Bookinglist'!A:CT,15,FALSE)</f>
        <v>THLCH</v>
      </c>
      <c r="I250" s="54" t="str">
        <f>VLOOKUP(D250,'2.Bookinglist'!A:CT,19,FALSE)</f>
        <v>JPKIJ</v>
      </c>
      <c r="J250" s="54" t="str">
        <f>VLOOKUP(D250,'2.Bookinglist'!A:CT,26,FALSE)</f>
        <v>KRPUS</v>
      </c>
      <c r="K250" s="54" t="str">
        <f>VLOOKUP(A250,'1.Loading'!A:R,5,FALSE)</f>
        <v>22GP</v>
      </c>
      <c r="L250" s="56" t="str">
        <f>VLOOKUP(D250,'2.Bookinglist'!A:CT,85,FALSE)</f>
        <v>CY/CY</v>
      </c>
      <c r="M250" s="56" t="str">
        <f>IF(VLOOKUP(D250,'2.Bookinglist'!A:CT,43,FALSE)=0,"","DG")</f>
        <v/>
      </c>
      <c r="N250" s="56" t="str">
        <f>IF(RIGHT(K250,2)="RE","RF","")</f>
        <v/>
      </c>
      <c r="O250" s="54" t="str">
        <f>VLOOKUP(A250,'1.Loading'!A:R,3,FALSE)</f>
        <v>HMVY</v>
      </c>
      <c r="P250" s="54" t="str">
        <f>VLOOKUP(A250,'1.Loading'!A:R,4,FALSE)</f>
        <v>2609N</v>
      </c>
      <c r="Q250" s="54" t="str">
        <f>VLOOKUP(D250,'2.Bookinglist'!A:CT,12,FALSE)</f>
        <v>PCI2</v>
      </c>
      <c r="R250" s="56" t="str">
        <f>IF(LEFT(K250,2)="22","20'","40'")</f>
        <v>20'</v>
      </c>
      <c r="S250" s="38"/>
      <c r="T250" s="54" t="str">
        <f>VLOOKUP(A250,'1.Loading'!A:R,2,FALSE)</f>
        <v>2026-10-28</v>
      </c>
      <c r="U250" s="57">
        <f>T250-S250</f>
        <v>46323</v>
      </c>
      <c r="V250" s="58"/>
      <c r="W250" s="54" t="str">
        <f>VLOOKUP(A250,'3.GateMove'!A:D,4,FALSE)</f>
        <v>2026-10-10</v>
      </c>
      <c r="X250" s="57">
        <f>((T250-W250)+1)</f>
        <v>19</v>
      </c>
      <c r="Y250" s="59">
        <f>IF(AND(OR(C250="BKK01",C250="BKK04"),L250="CFS/CY"),0,IF(M250="DG",1,IF(LEFT(C250,3)="LCH",7,IF(C250="BKK02",5,3))))</f>
        <v>7</v>
      </c>
      <c r="Z250" s="57">
        <f>IF(IF(AND(AC250="TML",AB250&gt;0),((T250-W250)+1)-AB250,((T250-W250)+1)-Y250)&gt;0,IF(AND(AC250="TML",AB250&gt;0),((T250-W250)+1)-AB250,((T250-W250)+1)-Y250),0)</f>
        <v>12</v>
      </c>
      <c r="AA250" s="48">
        <f>IF(AND(B250="G1",M250=""),IF(R250="20'",
VLOOKUP(Z250,Charge!$K$2:$M$5,2,TRUE)+(Z250-VLOOKUP(Z250,Charge!$K$2:$M$5,1,TRUE))*VLOOKUP(Z250,Charge!$K$2:$M$5,3,TRUE),
VLOOKUP(Z250,Charge!$N$2:$P$5,2,TRUE)+(Z250-VLOOKUP(Z250,Charge!$N$2:$P$5,1,TRUE))*VLOOKUP(Z250,Charge!$N$2:$P$5,3,TRUE)),
IF(AND(B250="G1",M250="DG"),IF(R250="20'",
VLOOKUP(Z250,Charge!$R$2:$T$5,2,TRUE)+(Z250-VLOOKUP(Z250,Charge!$R$2:$T$5,1,TRUE))*VLOOKUP(Z250,Charge!$R$2:$T$5,3,TRUE),
VLOOKUP(Z250,Charge!$U$2:$W$5,2,TRUE)+(Z250-VLOOKUP(Z250,Charge!$U$2:$W$5,1,TRUE))*VLOOKUP(Z250,Charge!$U$2:$W$5,3,TRUE)),
IF(AND(B250="G3",M250=""),IF(R250="20'",
VLOOKUP(Z250,Charge!$K$18:$M$21,2,TRUE)+(Z250-VLOOKUP(Z250,Charge!$K$18:$M$21,1,TRUE))*VLOOKUP(Z250,Charge!$K$18:$M$21,3,TRUE),
VLOOKUP(Z250,Charge!$N$18:$P$21,2,TRUE)+(Z250-VLOOKUP(Z250,Charge!$N$18:$P$21,1,TRUE))*VLOOKUP(Z250,Charge!$N$18:$P$21,3,TRUE)),
IF(AND(B250="G3",M250="DG"),IF(R250="20'",
VLOOKUP(Z250,Charge!$R$18:$T$21,2,TRUE)+(Z250-VLOOKUP(Z250,Charge!$R$18:$T$21,1,TRUE))*VLOOKUP(Z250,Charge!$R$18:$T$21,3,TRUE),
VLOOKUP(Z250,Charge!$U$18:$W$21,2,TRUE)+(Z250-VLOOKUP(Z250,Charge!$U$18:$W$21,1,TRUE))*VLOOKUP(Z250,Charge!$U$18:$W$21,3,TRUE)),
IF(AND(B250="G2",M250=""),IF(R250="20'",
VLOOKUP(Z250,Charge!$K$9:$M$12,2,TRUE)+(Z250-VLOOKUP(Z250,Charge!$K$9:$M$12,1,TRUE))*VLOOKUP(Z250,Charge!$K$9:$M$12,3,TRUE),
VLOOKUP(Z250,Charge!$N$9:$P$12,2,TRUE)+(Z250-VLOOKUP(Z250,Charge!$N$9:$P$12,1,TRUE))*VLOOKUP(Z250,Charge!$N$9:$P$12,3,TRUE)),
IF(AND(B250="G2",M250="DG"),IF(R250="20'",
VLOOKUP(Z250,Charge!$R$9:$T$12,2,TRUE)+(Z250-VLOOKUP(Z250,Charge!$R$9:$T$12,1,TRUE))*VLOOKUP(Z250,Charge!$R$9:$T$12,3,TRUE),
VLOOKUP(Z250,Charge!$U$9:$W$12,2,TRUE)+(Z250-VLOOKUP(Z250,Charge!$U$9:$W$12,1,TRUE))*VLOOKUP(Z250,Charge!$U$9:$W$12,3,TRUE)),IF(AND(B250="G4",M250=""),IF(R250="20'",Z250*Charge!$M$25,Z250*Charge!$P$25),IF(AND(B250="G4",M250="DG"),IF(R250="20'",Z250*Charge!$T$25,Z250*Charge!$W$25),0))))))))</f>
        <v>2125</v>
      </c>
      <c r="AB250" s="53"/>
      <c r="AC250" s="53"/>
      <c r="AD250" s="56">
        <f>IF(M250="DG",3,IF(N250="RF",3,5))+IF(AND(LEFT(C250,3)="BKK",N250="RF",Q250="KTS"),1,0)+IF(Q250="KHS",1,0)</f>
        <v>5</v>
      </c>
      <c r="AE250" s="57">
        <f>(T250-V250)+1</f>
        <v>46324</v>
      </c>
      <c r="AF250" s="57">
        <f>IF(AB250&gt;IF((V250-W250)&gt;0,V250-W250,0),0,IF(AB250&lt;IF((V250-W250)&gt;0,V250-W250,0),IF((V250-W250)&gt;0,V250-W250,0)-AB250,IF((V250-W250)&gt;0,V250-W250,0)))</f>
        <v>0</v>
      </c>
      <c r="AG250" s="48">
        <f>IF(AND(M250=""),IF(R250="20'",
VLOOKUP(AF250,Charge!$K$31:$M$34,2,TRUE)+(AF250-VLOOKUP(AF250,Charge!$K$31:$M$34,1,TRUE))*VLOOKUP(AF250,Charge!$K$31:$M$34,3,TRUE),
VLOOKUP(AF250,Charge!$N$31:$P$34,2,TRUE)+(AF250-VLOOKUP(AF250,Charge!$N$31:$P$34,1,TRUE))*VLOOKUP(AF250,Charge!$N$31:$P$34,3,TRUE)),
IF(AND(M250="DG"),IF(R250="20'",
VLOOKUP(AF250,Charge!$R$31:$T$34,2,TRUE)+(AF250-VLOOKUP(AF250,Charge!$R$31:$T$34,1,TRUE))*VLOOKUP(AF250,Charge!$R$31:$T$34,3,TRUE),
VLOOKUP(AF250,Charge!$U$31:$W$34,2,TRUE)+(AF250-VLOOKUP(AF250,Charge!$U$31:$W$34,1,TRUE))*VLOOKUP(AF250,Charge!$U$31:$W$34,3,TRUE)),0))</f>
        <v>0</v>
      </c>
      <c r="AH250" s="60"/>
      <c r="AI250" s="60">
        <f>AA250-AH250</f>
        <v>2125</v>
      </c>
      <c r="AJ250" s="61"/>
      <c r="AK250" s="55" t="str">
        <f>VLOOKUP(D250,'2.Bookinglist'!A:CT,40,FALSE)</f>
        <v>Dharaporn</v>
      </c>
      <c r="AL250" s="56" t="str">
        <f>VLOOKUP(D250,'2.Bookinglist'!A:CW,101,FALSE)</f>
        <v>2026-10-14</v>
      </c>
      <c r="AM250" s="56" t="str">
        <f>VLOOKUP(D250,'2.Bookinglist'!A:BK,63,FALSE)</f>
        <v>LCHY5</v>
      </c>
      <c r="AN250" s="55" t="str">
        <f>VLOOKUP(D250,'2.Bookinglist'!A:AZ,52,FALSE)</f>
        <v>CY-RTN 02-08/10/26 (PR2610002955)
*PLS CHECK OPEN GATE BEFORE RETURN CTNR*</v>
      </c>
      <c r="AO250" s="55">
        <f>VLOOKUP(D250,'2.Bookinglist'!A:CY,103,FALSE)</f>
        <v>0</v>
      </c>
    </row>
    <row r="251" ht="12.95" customHeight="1" spans="1:41" x14ac:dyDescent="0.25">
      <c r="A251" s="3" t="s">
        <v>457</v>
      </c>
      <c r="B251" s="53" t="str">
        <f>IF(C251=Charge!$M$1,Charge!$J$1,IF(C251=Charge!$M$23,Charge!$J$23,IF(C251=Charge!$M$17,Charge!$J$17,IF(C251=Charge!$N$17,Charge!$J$17,Charge!$J$7))))</f>
        <v>G2</v>
      </c>
      <c r="C251" s="54" t="str">
        <f>VLOOKUP(A251,'1.Loading'!A:R,14,FALSE)</f>
        <v>LCH06</v>
      </c>
      <c r="D251" s="54" t="str">
        <f>VLOOKUP(A251,'1.Loading'!A:R,17,FALSE)</f>
        <v>HASLS22260900170</v>
      </c>
      <c r="E251" s="55" t="str">
        <f>VLOOKUP(D251,'2.Bookinglist'!A:CT,27,FALSE)</f>
        <v>PANDA GOGO LOGISTICS CO., LTD.</v>
      </c>
      <c r="F251" s="55" t="str">
        <f>VLOOKUP(D251,'2.Bookinglist'!A:CT,28,FALSE)</f>
        <v>GC-M PTA COMPANY LIMITED</v>
      </c>
      <c r="G251" s="56">
        <f>VLOOKUP(D251,'2.Bookinglist'!A:E,5,FALSE)</f>
        <v>0</v>
      </c>
      <c r="H251" s="54" t="str">
        <f>VLOOKUP(D251,'2.Bookinglist'!A:CT,15,FALSE)</f>
        <v>THLCH</v>
      </c>
      <c r="I251" s="54" t="str">
        <f>VLOOKUP(D251,'2.Bookinglist'!A:CT,19,FALSE)</f>
        <v>JPTRG</v>
      </c>
      <c r="J251" s="54" t="str">
        <f>VLOOKUP(D251,'2.Bookinglist'!A:CT,26,FALSE)</f>
        <v>KRPUS</v>
      </c>
      <c r="K251" s="54" t="str">
        <f>VLOOKUP(A251,'1.Loading'!A:R,5,FALSE)</f>
        <v>22GP</v>
      </c>
      <c r="L251" s="56" t="str">
        <f>VLOOKUP(D251,'2.Bookinglist'!A:CT,85,FALSE)</f>
        <v>CY/CY</v>
      </c>
      <c r="M251" s="56" t="str">
        <f>IF(VLOOKUP(D251,'2.Bookinglist'!A:CT,43,FALSE)=0,"","DG")</f>
        <v/>
      </c>
      <c r="N251" s="56" t="str">
        <f>IF(RIGHT(K251,2)="RE","RF","")</f>
        <v/>
      </c>
      <c r="O251" s="54" t="str">
        <f>VLOOKUP(A251,'1.Loading'!A:R,3,FALSE)</f>
        <v>HMVY</v>
      </c>
      <c r="P251" s="54" t="str">
        <f>VLOOKUP(A251,'1.Loading'!A:R,4,FALSE)</f>
        <v>2609N</v>
      </c>
      <c r="Q251" s="54" t="str">
        <f>VLOOKUP(D251,'2.Bookinglist'!A:CT,12,FALSE)</f>
        <v>PCI2</v>
      </c>
      <c r="R251" s="56" t="str">
        <f>IF(LEFT(K251,2)="22","20'","40'")</f>
        <v>20'</v>
      </c>
      <c r="S251" s="38"/>
      <c r="T251" s="54" t="str">
        <f>VLOOKUP(A251,'1.Loading'!A:R,2,FALSE)</f>
        <v>2026-10-28</v>
      </c>
      <c r="U251" s="57">
        <f>T251-S251</f>
        <v>46323</v>
      </c>
      <c r="V251" s="58"/>
      <c r="W251" s="54" t="str">
        <f>VLOOKUP(A251,'3.GateMove'!A:D,4,FALSE)</f>
        <v>2026-10-18</v>
      </c>
      <c r="X251" s="57">
        <f>((T251-W251)+1)</f>
        <v>11</v>
      </c>
      <c r="Y251" s="59">
        <f>IF(AND(OR(C251="BKK01",C251="BKK04"),L251="CFS/CY"),0,IF(M251="DG",1,IF(LEFT(C251,3)="LCH",7,IF(C251="BKK02",5,3))))</f>
        <v>7</v>
      </c>
      <c r="Z251" s="57">
        <f>IF(IF(AND(AC251="TML",AB251&gt;0),((T251-W251)+1)-AB251,((T251-W251)+1)-Y251)&gt;0,IF(AND(AC251="TML",AB251&gt;0),((T251-W251)+1)-AB251,((T251-W251)+1)-Y251),0)</f>
        <v>4</v>
      </c>
      <c r="AA251" s="48">
        <f>IF(AND(B251="G1",M251=""),IF(R251="20'",
VLOOKUP(Z251,Charge!$K$2:$M$5,2,TRUE)+(Z251-VLOOKUP(Z251,Charge!$K$2:$M$5,1,TRUE))*VLOOKUP(Z251,Charge!$K$2:$M$5,3,TRUE),
VLOOKUP(Z251,Charge!$N$2:$P$5,2,TRUE)+(Z251-VLOOKUP(Z251,Charge!$N$2:$P$5,1,TRUE))*VLOOKUP(Z251,Charge!$N$2:$P$5,3,TRUE)),
IF(AND(B251="G1",M251="DG"),IF(R251="20'",
VLOOKUP(Z251,Charge!$R$2:$T$5,2,TRUE)+(Z251-VLOOKUP(Z251,Charge!$R$2:$T$5,1,TRUE))*VLOOKUP(Z251,Charge!$R$2:$T$5,3,TRUE),
VLOOKUP(Z251,Charge!$U$2:$W$5,2,TRUE)+(Z251-VLOOKUP(Z251,Charge!$U$2:$W$5,1,TRUE))*VLOOKUP(Z251,Charge!$U$2:$W$5,3,TRUE)),
IF(AND(B251="G3",M251=""),IF(R251="20'",
VLOOKUP(Z251,Charge!$K$18:$M$21,2,TRUE)+(Z251-VLOOKUP(Z251,Charge!$K$18:$M$21,1,TRUE))*VLOOKUP(Z251,Charge!$K$18:$M$21,3,TRUE),
VLOOKUP(Z251,Charge!$N$18:$P$21,2,TRUE)+(Z251-VLOOKUP(Z251,Charge!$N$18:$P$21,1,TRUE))*VLOOKUP(Z251,Charge!$N$18:$P$21,3,TRUE)),
IF(AND(B251="G3",M251="DG"),IF(R251="20'",
VLOOKUP(Z251,Charge!$R$18:$T$21,2,TRUE)+(Z251-VLOOKUP(Z251,Charge!$R$18:$T$21,1,TRUE))*VLOOKUP(Z251,Charge!$R$18:$T$21,3,TRUE),
VLOOKUP(Z251,Charge!$U$18:$W$21,2,TRUE)+(Z251-VLOOKUP(Z251,Charge!$U$18:$W$21,1,TRUE))*VLOOKUP(Z251,Charge!$U$18:$W$21,3,TRUE)),
IF(AND(B251="G2",M251=""),IF(R251="20'",
VLOOKUP(Z251,Charge!$K$9:$M$12,2,TRUE)+(Z251-VLOOKUP(Z251,Charge!$K$9:$M$12,1,TRUE))*VLOOKUP(Z251,Charge!$K$9:$M$12,3,TRUE),
VLOOKUP(Z251,Charge!$N$9:$P$12,2,TRUE)+(Z251-VLOOKUP(Z251,Charge!$N$9:$P$12,1,TRUE))*VLOOKUP(Z251,Charge!$N$9:$P$12,3,TRUE)),
IF(AND(B251="G2",M251="DG"),IF(R251="20'",
VLOOKUP(Z251,Charge!$R$9:$T$12,2,TRUE)+(Z251-VLOOKUP(Z251,Charge!$R$9:$T$12,1,TRUE))*VLOOKUP(Z251,Charge!$R$9:$T$12,3,TRUE),
VLOOKUP(Z251,Charge!$U$9:$W$12,2,TRUE)+(Z251-VLOOKUP(Z251,Charge!$U$9:$W$12,1,TRUE))*VLOOKUP(Z251,Charge!$U$9:$W$12,3,TRUE)),IF(AND(B251="G4",M251=""),IF(R251="20'",Z251*Charge!$M$25,Z251*Charge!$P$25),IF(AND(B251="G4",M251="DG"),IF(R251="20'",Z251*Charge!$T$25,Z251*Charge!$W$25),0))))))))</f>
        <v>500</v>
      </c>
      <c r="AB251" s="53"/>
      <c r="AC251" s="53"/>
      <c r="AD251" s="56">
        <f>IF(M251="DG",3,IF(N251="RF",3,5))+IF(AND(LEFT(C251,3)="BKK",N251="RF",Q251="KTS"),1,0)+IF(Q251="KHS",1,0)</f>
        <v>5</v>
      </c>
      <c r="AE251" s="57">
        <f>(T251-V251)+1</f>
        <v>46324</v>
      </c>
      <c r="AF251" s="57">
        <f>IF(AB251&gt;IF((V251-W251)&gt;0,V251-W251,0),0,IF(AB251&lt;IF((V251-W251)&gt;0,V251-W251,0),IF((V251-W251)&gt;0,V251-W251,0)-AB251,IF((V251-W251)&gt;0,V251-W251,0)))</f>
        <v>0</v>
      </c>
      <c r="AG251" s="48">
        <f>IF(AND(M251=""),IF(R251="20'",
VLOOKUP(AF251,Charge!$K$31:$M$34,2,TRUE)+(AF251-VLOOKUP(AF251,Charge!$K$31:$M$34,1,TRUE))*VLOOKUP(AF251,Charge!$K$31:$M$34,3,TRUE),
VLOOKUP(AF251,Charge!$N$31:$P$34,2,TRUE)+(AF251-VLOOKUP(AF251,Charge!$N$31:$P$34,1,TRUE))*VLOOKUP(AF251,Charge!$N$31:$P$34,3,TRUE)),
IF(AND(M251="DG"),IF(R251="20'",
VLOOKUP(AF251,Charge!$R$31:$T$34,2,TRUE)+(AF251-VLOOKUP(AF251,Charge!$R$31:$T$34,1,TRUE))*VLOOKUP(AF251,Charge!$R$31:$T$34,3,TRUE),
VLOOKUP(AF251,Charge!$U$31:$W$34,2,TRUE)+(AF251-VLOOKUP(AF251,Charge!$U$31:$W$34,1,TRUE))*VLOOKUP(AF251,Charge!$U$31:$W$34,3,TRUE)),0))</f>
        <v>0</v>
      </c>
      <c r="AH251" s="60"/>
      <c r="AI251" s="60">
        <f>AA251-AH251</f>
        <v>500</v>
      </c>
      <c r="AJ251" s="61"/>
      <c r="AK251" s="55" t="str">
        <f>VLOOKUP(D251,'2.Bookinglist'!A:CT,40,FALSE)</f>
        <v>Tarn(Supaporn)</v>
      </c>
      <c r="AL251" s="56" t="str">
        <f>VLOOKUP(D251,'2.Bookinglist'!A:CW,101,FALSE)</f>
        <v>2026-10-22</v>
      </c>
      <c r="AM251" s="56" t="str">
        <f>VLOOKUP(D251,'2.Bookinglist'!A:BK,63,FALSE)</f>
        <v>LCHY5</v>
      </c>
      <c r="AN251" s="55" t="str">
        <f>VLOOKUP(D251,'2.Bookinglist'!A:AZ,52,FALSE)</f>
        <v>[FIX]Pickup : 2026-10-14, Return : 2026-10-15 [1ST RTN 16/10/2026 W/O RENT]
** PLEASE CHECK OPEN GATE BEFORE RETURN CONTAINER ** </v>
      </c>
      <c r="AO251" s="55">
        <f>VLOOKUP(D251,'2.Bookinglist'!A:CY,103,FALSE)</f>
        <v>0</v>
      </c>
    </row>
    <row r="252" ht="12.95" customHeight="1" spans="1:41" x14ac:dyDescent="0.25">
      <c r="A252" s="3" t="s">
        <v>365</v>
      </c>
      <c r="B252" s="53" t="str">
        <f>IF(C252=Charge!$M$1,Charge!$J$1,IF(C252=Charge!$M$23,Charge!$J$23,IF(C252=Charge!$M$17,Charge!$J$17,IF(C252=Charge!$N$17,Charge!$J$17,Charge!$J$7))))</f>
        <v>G2</v>
      </c>
      <c r="C252" s="54" t="str">
        <f>VLOOKUP(A252,'1.Loading'!A:R,14,FALSE)</f>
        <v>LCH06</v>
      </c>
      <c r="D252" s="54" t="str">
        <f>VLOOKUP(A252,'1.Loading'!A:R,17,FALSE)</f>
        <v>HASLS22260900170</v>
      </c>
      <c r="E252" s="55" t="str">
        <f>VLOOKUP(D252,'2.Bookinglist'!A:CT,27,FALSE)</f>
        <v>PANDA GOGO LOGISTICS CO., LTD.</v>
      </c>
      <c r="F252" s="55" t="str">
        <f>VLOOKUP(D252,'2.Bookinglist'!A:CT,28,FALSE)</f>
        <v>GC-M PTA COMPANY LIMITED</v>
      </c>
      <c r="G252" s="56">
        <f>VLOOKUP(D252,'2.Bookinglist'!A:E,5,FALSE)</f>
        <v>0</v>
      </c>
      <c r="H252" s="54" t="str">
        <f>VLOOKUP(D252,'2.Bookinglist'!A:CT,15,FALSE)</f>
        <v>THLCH</v>
      </c>
      <c r="I252" s="54" t="str">
        <f>VLOOKUP(D252,'2.Bookinglist'!A:CT,19,FALSE)</f>
        <v>JPTRG</v>
      </c>
      <c r="J252" s="54" t="str">
        <f>VLOOKUP(D252,'2.Bookinglist'!A:CT,26,FALSE)</f>
        <v>KRPUS</v>
      </c>
      <c r="K252" s="54" t="str">
        <f>VLOOKUP(A252,'1.Loading'!A:R,5,FALSE)</f>
        <v>22GP</v>
      </c>
      <c r="L252" s="56" t="str">
        <f>VLOOKUP(D252,'2.Bookinglist'!A:CT,85,FALSE)</f>
        <v>CY/CY</v>
      </c>
      <c r="M252" s="56" t="str">
        <f>IF(VLOOKUP(D252,'2.Bookinglist'!A:CT,43,FALSE)=0,"","DG")</f>
        <v/>
      </c>
      <c r="N252" s="56" t="str">
        <f>IF(RIGHT(K252,2)="RE","RF","")</f>
        <v/>
      </c>
      <c r="O252" s="54" t="str">
        <f>VLOOKUP(A252,'1.Loading'!A:R,3,FALSE)</f>
        <v>HMVY</v>
      </c>
      <c r="P252" s="54" t="str">
        <f>VLOOKUP(A252,'1.Loading'!A:R,4,FALSE)</f>
        <v>2609N</v>
      </c>
      <c r="Q252" s="54" t="str">
        <f>VLOOKUP(D252,'2.Bookinglist'!A:CT,12,FALSE)</f>
        <v>PCI2</v>
      </c>
      <c r="R252" s="56" t="str">
        <f>IF(LEFT(K252,2)="22","20'","40'")</f>
        <v>20'</v>
      </c>
      <c r="S252" s="38"/>
      <c r="T252" s="54" t="str">
        <f>VLOOKUP(A252,'1.Loading'!A:R,2,FALSE)</f>
        <v>2026-10-28</v>
      </c>
      <c r="U252" s="57">
        <f>T252-S252</f>
        <v>46323</v>
      </c>
      <c r="V252" s="58"/>
      <c r="W252" s="54" t="str">
        <f>VLOOKUP(A252,'3.GateMove'!A:D,4,FALSE)</f>
        <v>2026-10-19</v>
      </c>
      <c r="X252" s="57">
        <f>((T252-W252)+1)</f>
        <v>10</v>
      </c>
      <c r="Y252" s="59">
        <f>IF(AND(OR(C252="BKK01",C252="BKK04"),L252="CFS/CY"),0,IF(M252="DG",1,IF(LEFT(C252,3)="LCH",7,IF(C252="BKK02",5,3))))</f>
        <v>7</v>
      </c>
      <c r="Z252" s="57">
        <f>IF(IF(AND(AC252="TML",AB252&gt;0),((T252-W252)+1)-AB252,((T252-W252)+1)-Y252)&gt;0,IF(AND(AC252="TML",AB252&gt;0),((T252-W252)+1)-AB252,((T252-W252)+1)-Y252),0)</f>
        <v>3</v>
      </c>
      <c r="AA252" s="48">
        <f>IF(AND(B252="G1",M252=""),IF(R252="20'",
VLOOKUP(Z252,Charge!$K$2:$M$5,2,TRUE)+(Z252-VLOOKUP(Z252,Charge!$K$2:$M$5,1,TRUE))*VLOOKUP(Z252,Charge!$K$2:$M$5,3,TRUE),
VLOOKUP(Z252,Charge!$N$2:$P$5,2,TRUE)+(Z252-VLOOKUP(Z252,Charge!$N$2:$P$5,1,TRUE))*VLOOKUP(Z252,Charge!$N$2:$P$5,3,TRUE)),
IF(AND(B252="G1",M252="DG"),IF(R252="20'",
VLOOKUP(Z252,Charge!$R$2:$T$5,2,TRUE)+(Z252-VLOOKUP(Z252,Charge!$R$2:$T$5,1,TRUE))*VLOOKUP(Z252,Charge!$R$2:$T$5,3,TRUE),
VLOOKUP(Z252,Charge!$U$2:$W$5,2,TRUE)+(Z252-VLOOKUP(Z252,Charge!$U$2:$W$5,1,TRUE))*VLOOKUP(Z252,Charge!$U$2:$W$5,3,TRUE)),
IF(AND(B252="G3",M252=""),IF(R252="20'",
VLOOKUP(Z252,Charge!$K$18:$M$21,2,TRUE)+(Z252-VLOOKUP(Z252,Charge!$K$18:$M$21,1,TRUE))*VLOOKUP(Z252,Charge!$K$18:$M$21,3,TRUE),
VLOOKUP(Z252,Charge!$N$18:$P$21,2,TRUE)+(Z252-VLOOKUP(Z252,Charge!$N$18:$P$21,1,TRUE))*VLOOKUP(Z252,Charge!$N$18:$P$21,3,TRUE)),
IF(AND(B252="G3",M252="DG"),IF(R252="20'",
VLOOKUP(Z252,Charge!$R$18:$T$21,2,TRUE)+(Z252-VLOOKUP(Z252,Charge!$R$18:$T$21,1,TRUE))*VLOOKUP(Z252,Charge!$R$18:$T$21,3,TRUE),
VLOOKUP(Z252,Charge!$U$18:$W$21,2,TRUE)+(Z252-VLOOKUP(Z252,Charge!$U$18:$W$21,1,TRUE))*VLOOKUP(Z252,Charge!$U$18:$W$21,3,TRUE)),
IF(AND(B252="G2",M252=""),IF(R252="20'",
VLOOKUP(Z252,Charge!$K$9:$M$12,2,TRUE)+(Z252-VLOOKUP(Z252,Charge!$K$9:$M$12,1,TRUE))*VLOOKUP(Z252,Charge!$K$9:$M$12,3,TRUE),
VLOOKUP(Z252,Charge!$N$9:$P$12,2,TRUE)+(Z252-VLOOKUP(Z252,Charge!$N$9:$P$12,1,TRUE))*VLOOKUP(Z252,Charge!$N$9:$P$12,3,TRUE)),
IF(AND(B252="G2",M252="DG"),IF(R252="20'",
VLOOKUP(Z252,Charge!$R$9:$T$12,2,TRUE)+(Z252-VLOOKUP(Z252,Charge!$R$9:$T$12,1,TRUE))*VLOOKUP(Z252,Charge!$R$9:$T$12,3,TRUE),
VLOOKUP(Z252,Charge!$U$9:$W$12,2,TRUE)+(Z252-VLOOKUP(Z252,Charge!$U$9:$W$12,1,TRUE))*VLOOKUP(Z252,Charge!$U$9:$W$12,3,TRUE)),IF(AND(B252="G4",M252=""),IF(R252="20'",Z252*Charge!$M$25,Z252*Charge!$P$25),IF(AND(B252="G4",M252="DG"),IF(R252="20'",Z252*Charge!$T$25,Z252*Charge!$W$25),0))))))))</f>
        <v>375</v>
      </c>
      <c r="AB252" s="53"/>
      <c r="AC252" s="53"/>
      <c r="AD252" s="56">
        <f>IF(M252="DG",3,IF(N252="RF",3,5))+IF(AND(LEFT(C252,3)="BKK",N252="RF",Q252="KTS"),1,0)+IF(Q252="KHS",1,0)</f>
        <v>5</v>
      </c>
      <c r="AE252" s="57">
        <f>(T252-V252)+1</f>
        <v>46324</v>
      </c>
      <c r="AF252" s="57">
        <f>IF(AB252&gt;IF((V252-W252)&gt;0,V252-W252,0),0,IF(AB252&lt;IF((V252-W252)&gt;0,V252-W252,0),IF((V252-W252)&gt;0,V252-W252,0)-AB252,IF((V252-W252)&gt;0,V252-W252,0)))</f>
        <v>0</v>
      </c>
      <c r="AG252" s="48">
        <f>IF(AND(M252=""),IF(R252="20'",
VLOOKUP(AF252,Charge!$K$31:$M$34,2,TRUE)+(AF252-VLOOKUP(AF252,Charge!$K$31:$M$34,1,TRUE))*VLOOKUP(AF252,Charge!$K$31:$M$34,3,TRUE),
VLOOKUP(AF252,Charge!$N$31:$P$34,2,TRUE)+(AF252-VLOOKUP(AF252,Charge!$N$31:$P$34,1,TRUE))*VLOOKUP(AF252,Charge!$N$31:$P$34,3,TRUE)),
IF(AND(M252="DG"),IF(R252="20'",
VLOOKUP(AF252,Charge!$R$31:$T$34,2,TRUE)+(AF252-VLOOKUP(AF252,Charge!$R$31:$T$34,1,TRUE))*VLOOKUP(AF252,Charge!$R$31:$T$34,3,TRUE),
VLOOKUP(AF252,Charge!$U$31:$W$34,2,TRUE)+(AF252-VLOOKUP(AF252,Charge!$U$31:$W$34,1,TRUE))*VLOOKUP(AF252,Charge!$U$31:$W$34,3,TRUE)),0))</f>
        <v>0</v>
      </c>
      <c r="AH252" s="60"/>
      <c r="AI252" s="60">
        <f>AA252-AH252</f>
        <v>375</v>
      </c>
      <c r="AJ252" s="61"/>
      <c r="AK252" s="55" t="str">
        <f>VLOOKUP(D252,'2.Bookinglist'!A:CT,40,FALSE)</f>
        <v>Tarn(Supaporn)</v>
      </c>
      <c r="AL252" s="56" t="str">
        <f>VLOOKUP(D252,'2.Bookinglist'!A:CW,101,FALSE)</f>
        <v>2026-10-22</v>
      </c>
      <c r="AM252" s="56" t="str">
        <f>VLOOKUP(D252,'2.Bookinglist'!A:BK,63,FALSE)</f>
        <v>LCHY5</v>
      </c>
      <c r="AN252" s="55" t="str">
        <f>VLOOKUP(D252,'2.Bookinglist'!A:AZ,52,FALSE)</f>
        <v>[FIX]Pickup : 2026-10-14, Return : 2026-10-15 [1ST RTN 16/10/2026 W/O RENT]
** PLEASE CHECK OPEN GATE BEFORE RETURN CONTAINER ** </v>
      </c>
      <c r="AO252" s="55">
        <f>VLOOKUP(D252,'2.Bookinglist'!A:CY,103,FALSE)</f>
        <v>0</v>
      </c>
    </row>
    <row r="253" ht="12.95" customHeight="1" spans="1:41" x14ac:dyDescent="0.25">
      <c r="A253" s="3" t="s">
        <v>310</v>
      </c>
      <c r="B253" s="53" t="str">
        <f>IF(C253=Charge!$M$1,Charge!$J$1,IF(C253=Charge!$M$23,Charge!$J$23,IF(C253=Charge!$M$17,Charge!$J$17,IF(C253=Charge!$N$17,Charge!$J$17,Charge!$J$7))))</f>
        <v>G2</v>
      </c>
      <c r="C253" s="54" t="str">
        <f>VLOOKUP(A253,'1.Loading'!A:R,14,FALSE)</f>
        <v>LCH06</v>
      </c>
      <c r="D253" s="54" t="str">
        <f>VLOOKUP(A253,'1.Loading'!A:R,17,FALSE)</f>
        <v>HASLS22260802485</v>
      </c>
      <c r="E253" s="55" t="str">
        <f>VLOOKUP(D253,'2.Bookinglist'!A:CT,27,FALSE)</f>
        <v>WHA GC LOGISTICS COMPANY LIMITED</v>
      </c>
      <c r="F253" s="55" t="str">
        <f>VLOOKUP(D253,'2.Bookinglist'!A:CT,28,FALSE)</f>
        <v>PTT GLOBAL CHEMICAL PUBLIC COMPANY LIMITED</v>
      </c>
      <c r="G253" s="56">
        <f>VLOOKUP(D253,'2.Bookinglist'!A:E,5,FALSE)</f>
        <v>0</v>
      </c>
      <c r="H253" s="54" t="str">
        <f>VLOOKUP(D253,'2.Bookinglist'!A:CT,15,FALSE)</f>
        <v>THLCH</v>
      </c>
      <c r="I253" s="54" t="str">
        <f>VLOOKUP(D253,'2.Bookinglist'!A:CT,19,FALSE)</f>
        <v>JPSBS</v>
      </c>
      <c r="J253" s="54" t="str">
        <f>VLOOKUP(D253,'2.Bookinglist'!A:CT,26,FALSE)</f>
        <v>KRPUS</v>
      </c>
      <c r="K253" s="54" t="str">
        <f>VLOOKUP(A253,'1.Loading'!A:R,5,FALSE)</f>
        <v>22GP</v>
      </c>
      <c r="L253" s="56" t="str">
        <f>VLOOKUP(D253,'2.Bookinglist'!A:CT,85,FALSE)</f>
        <v>CY/CY</v>
      </c>
      <c r="M253" s="56" t="str">
        <f>IF(VLOOKUP(D253,'2.Bookinglist'!A:CT,43,FALSE)=0,"","DG")</f>
        <v/>
      </c>
      <c r="N253" s="56" t="str">
        <f>IF(RIGHT(K253,2)="RE","RF","")</f>
        <v/>
      </c>
      <c r="O253" s="54" t="str">
        <f>VLOOKUP(A253,'1.Loading'!A:R,3,FALSE)</f>
        <v>HMVY</v>
      </c>
      <c r="P253" s="54" t="str">
        <f>VLOOKUP(A253,'1.Loading'!A:R,4,FALSE)</f>
        <v>2609N</v>
      </c>
      <c r="Q253" s="54" t="str">
        <f>VLOOKUP(D253,'2.Bookinglist'!A:CT,12,FALSE)</f>
        <v>PCI2</v>
      </c>
      <c r="R253" s="56" t="str">
        <f>IF(LEFT(K253,2)="22","20'","40'")</f>
        <v>20'</v>
      </c>
      <c r="S253" s="38"/>
      <c r="T253" s="54" t="str">
        <f>VLOOKUP(A253,'1.Loading'!A:R,2,FALSE)</f>
        <v>2026-10-28</v>
      </c>
      <c r="U253" s="57">
        <f>T253-S253</f>
        <v>46323</v>
      </c>
      <c r="V253" s="58"/>
      <c r="W253" s="54" t="str">
        <f>VLOOKUP(A253,'3.GateMove'!A:D,4,FALSE)</f>
        <v>2026-10-20</v>
      </c>
      <c r="X253" s="57">
        <f>((T253-W253)+1)</f>
        <v>9</v>
      </c>
      <c r="Y253" s="59">
        <f>IF(AND(OR(C253="BKK01",C253="BKK04"),L253="CFS/CY"),0,IF(M253="DG",1,IF(LEFT(C253,3)="LCH",7,IF(C253="BKK02",5,3))))</f>
        <v>7</v>
      </c>
      <c r="Z253" s="57">
        <f>IF(IF(AND(AC253="TML",AB253&gt;0),((T253-W253)+1)-AB253,((T253-W253)+1)-Y253)&gt;0,IF(AND(AC253="TML",AB253&gt;0),((T253-W253)+1)-AB253,((T253-W253)+1)-Y253),0)</f>
        <v>2</v>
      </c>
      <c r="AA253" s="48">
        <f>IF(AND(B253="G1",M253=""),IF(R253="20'",
VLOOKUP(Z253,Charge!$K$2:$M$5,2,TRUE)+(Z253-VLOOKUP(Z253,Charge!$K$2:$M$5,1,TRUE))*VLOOKUP(Z253,Charge!$K$2:$M$5,3,TRUE),
VLOOKUP(Z253,Charge!$N$2:$P$5,2,TRUE)+(Z253-VLOOKUP(Z253,Charge!$N$2:$P$5,1,TRUE))*VLOOKUP(Z253,Charge!$N$2:$P$5,3,TRUE)),
IF(AND(B253="G1",M253="DG"),IF(R253="20'",
VLOOKUP(Z253,Charge!$R$2:$T$5,2,TRUE)+(Z253-VLOOKUP(Z253,Charge!$R$2:$T$5,1,TRUE))*VLOOKUP(Z253,Charge!$R$2:$T$5,3,TRUE),
VLOOKUP(Z253,Charge!$U$2:$W$5,2,TRUE)+(Z253-VLOOKUP(Z253,Charge!$U$2:$W$5,1,TRUE))*VLOOKUP(Z253,Charge!$U$2:$W$5,3,TRUE)),
IF(AND(B253="G3",M253=""),IF(R253="20'",
VLOOKUP(Z253,Charge!$K$18:$M$21,2,TRUE)+(Z253-VLOOKUP(Z253,Charge!$K$18:$M$21,1,TRUE))*VLOOKUP(Z253,Charge!$K$18:$M$21,3,TRUE),
VLOOKUP(Z253,Charge!$N$18:$P$21,2,TRUE)+(Z253-VLOOKUP(Z253,Charge!$N$18:$P$21,1,TRUE))*VLOOKUP(Z253,Charge!$N$18:$P$21,3,TRUE)),
IF(AND(B253="G3",M253="DG"),IF(R253="20'",
VLOOKUP(Z253,Charge!$R$18:$T$21,2,TRUE)+(Z253-VLOOKUP(Z253,Charge!$R$18:$T$21,1,TRUE))*VLOOKUP(Z253,Charge!$R$18:$T$21,3,TRUE),
VLOOKUP(Z253,Charge!$U$18:$W$21,2,TRUE)+(Z253-VLOOKUP(Z253,Charge!$U$18:$W$21,1,TRUE))*VLOOKUP(Z253,Charge!$U$18:$W$21,3,TRUE)),
IF(AND(B253="G2",M253=""),IF(R253="20'",
VLOOKUP(Z253,Charge!$K$9:$M$12,2,TRUE)+(Z253-VLOOKUP(Z253,Charge!$K$9:$M$12,1,TRUE))*VLOOKUP(Z253,Charge!$K$9:$M$12,3,TRUE),
VLOOKUP(Z253,Charge!$N$9:$P$12,2,TRUE)+(Z253-VLOOKUP(Z253,Charge!$N$9:$P$12,1,TRUE))*VLOOKUP(Z253,Charge!$N$9:$P$12,3,TRUE)),
IF(AND(B253="G2",M253="DG"),IF(R253="20'",
VLOOKUP(Z253,Charge!$R$9:$T$12,2,TRUE)+(Z253-VLOOKUP(Z253,Charge!$R$9:$T$12,1,TRUE))*VLOOKUP(Z253,Charge!$R$9:$T$12,3,TRUE),
VLOOKUP(Z253,Charge!$U$9:$W$12,2,TRUE)+(Z253-VLOOKUP(Z253,Charge!$U$9:$W$12,1,TRUE))*VLOOKUP(Z253,Charge!$U$9:$W$12,3,TRUE)),IF(AND(B253="G4",M253=""),IF(R253="20'",Z253*Charge!$M$25,Z253*Charge!$P$25),IF(AND(B253="G4",M253="DG"),IF(R253="20'",Z253*Charge!$T$25,Z253*Charge!$W$25),0))))))))</f>
        <v>250</v>
      </c>
      <c r="AB253" s="53"/>
      <c r="AC253" s="53"/>
      <c r="AD253" s="56">
        <f>IF(M253="DG",3,IF(N253="RF",3,5))+IF(AND(LEFT(C253,3)="BKK",N253="RF",Q253="KTS"),1,0)+IF(Q253="KHS",1,0)</f>
        <v>5</v>
      </c>
      <c r="AE253" s="57">
        <f>(T253-V253)+1</f>
        <v>46324</v>
      </c>
      <c r="AF253" s="57">
        <f>IF(AB253&gt;IF((V253-W253)&gt;0,V253-W253,0),0,IF(AB253&lt;IF((V253-W253)&gt;0,V253-W253,0),IF((V253-W253)&gt;0,V253-W253,0)-AB253,IF((V253-W253)&gt;0,V253-W253,0)))</f>
        <v>0</v>
      </c>
      <c r="AG253" s="48">
        <f>IF(AND(M253=""),IF(R253="20'",
VLOOKUP(AF253,Charge!$K$31:$M$34,2,TRUE)+(AF253-VLOOKUP(AF253,Charge!$K$31:$M$34,1,TRUE))*VLOOKUP(AF253,Charge!$K$31:$M$34,3,TRUE),
VLOOKUP(AF253,Charge!$N$31:$P$34,2,TRUE)+(AF253-VLOOKUP(AF253,Charge!$N$31:$P$34,1,TRUE))*VLOOKUP(AF253,Charge!$N$31:$P$34,3,TRUE)),
IF(AND(M253="DG"),IF(R253="20'",
VLOOKUP(AF253,Charge!$R$31:$T$34,2,TRUE)+(AF253-VLOOKUP(AF253,Charge!$R$31:$T$34,1,TRUE))*VLOOKUP(AF253,Charge!$R$31:$T$34,3,TRUE),
VLOOKUP(AF253,Charge!$U$31:$W$34,2,TRUE)+(AF253-VLOOKUP(AF253,Charge!$U$31:$W$34,1,TRUE))*VLOOKUP(AF253,Charge!$U$31:$W$34,3,TRUE)),0))</f>
        <v>0</v>
      </c>
      <c r="AH253" s="60"/>
      <c r="AI253" s="60">
        <f>AA253-AH253</f>
        <v>250</v>
      </c>
      <c r="AJ253" s="61"/>
      <c r="AK253" s="55" t="str">
        <f>VLOOKUP(D253,'2.Bookinglist'!A:CT,40,FALSE)</f>
        <v>Dharaporn</v>
      </c>
      <c r="AL253" s="56" t="str">
        <f>VLOOKUP(D253,'2.Bookinglist'!A:CW,101,FALSE)</f>
        <v>2026-10-18</v>
      </c>
      <c r="AM253" s="56" t="str">
        <f>VLOOKUP(D253,'2.Bookinglist'!A:BK,63,FALSE)</f>
        <v>LCH28</v>
      </c>
      <c r="AN253" s="55" t="str">
        <f>VLOOKUP(D253,'2.Bookinglist'!A:AZ,52,FALSE)</f>
        <v>[FIX][FIX]CY-RTN 08-12/10/26 (1ST RETURN 14/10/26)</v>
      </c>
      <c r="AO253" s="55">
        <f>VLOOKUP(D253,'2.Bookinglist'!A:CY,103,FALSE)</f>
        <v>0</v>
      </c>
    </row>
    <row r="254" ht="12.95" customHeight="1" spans="1:41" x14ac:dyDescent="0.25">
      <c r="A254" s="3" t="s">
        <v>295</v>
      </c>
      <c r="B254" s="53" t="str">
        <f>IF(C254=Charge!$M$1,Charge!$J$1,IF(C254=Charge!$M$23,Charge!$J$23,IF(C254=Charge!$M$17,Charge!$J$17,IF(C254=Charge!$N$17,Charge!$J$17,Charge!$J$7))))</f>
        <v>G2</v>
      </c>
      <c r="C254" s="54" t="str">
        <f>VLOOKUP(A254,'1.Loading'!A:R,14,FALSE)</f>
        <v>LCH06</v>
      </c>
      <c r="D254" s="54" t="str">
        <f>VLOOKUP(A254,'1.Loading'!A:R,17,FALSE)</f>
        <v>HASLS22261001155</v>
      </c>
      <c r="E254" s="55" t="str">
        <f>VLOOKUP(D254,'2.Bookinglist'!A:CT,27,FALSE)</f>
        <v>AGC VINYTHAI PUBLIC COMPANY LIMITED</v>
      </c>
      <c r="F254" s="55" t="str">
        <f>VLOOKUP(D254,'2.Bookinglist'!A:CT,28,FALSE)</f>
        <v>AGC VINYTHAI PUBLIC COMPANY LIMITED</v>
      </c>
      <c r="G254" s="56">
        <f>VLOOKUP(D254,'2.Bookinglist'!A:E,5,FALSE)</f>
        <v>0</v>
      </c>
      <c r="H254" s="54" t="str">
        <f>VLOOKUP(D254,'2.Bookinglist'!A:CT,15,FALSE)</f>
        <v>THLCH</v>
      </c>
      <c r="I254" s="54" t="str">
        <f>VLOOKUP(D254,'2.Bookinglist'!A:CT,19,FALSE)</f>
        <v>CNSHA</v>
      </c>
      <c r="J254" s="54">
        <f>VLOOKUP(D254,'2.Bookinglist'!A:CT,26,FALSE)</f>
        <v>0</v>
      </c>
      <c r="K254" s="54" t="str">
        <f>VLOOKUP(A254,'1.Loading'!A:R,5,FALSE)</f>
        <v>22GP</v>
      </c>
      <c r="L254" s="56" t="str">
        <f>VLOOKUP(D254,'2.Bookinglist'!A:CT,85,FALSE)</f>
        <v>CY/CY</v>
      </c>
      <c r="M254" s="56" t="str">
        <f>IF(VLOOKUP(D254,'2.Bookinglist'!A:CT,43,FALSE)=0,"","DG")</f>
        <v/>
      </c>
      <c r="N254" s="56" t="str">
        <f>IF(RIGHT(K254,2)="RE","RF","")</f>
        <v/>
      </c>
      <c r="O254" s="54" t="str">
        <f>VLOOKUP(A254,'1.Loading'!A:R,3,FALSE)</f>
        <v>HMVY</v>
      </c>
      <c r="P254" s="54" t="str">
        <f>VLOOKUP(A254,'1.Loading'!A:R,4,FALSE)</f>
        <v>2609N</v>
      </c>
      <c r="Q254" s="54" t="str">
        <f>VLOOKUP(D254,'2.Bookinglist'!A:CT,12,FALSE)</f>
        <v>PCI2</v>
      </c>
      <c r="R254" s="56" t="str">
        <f>IF(LEFT(K254,2)="22","20'","40'")</f>
        <v>20'</v>
      </c>
      <c r="S254" s="38"/>
      <c r="T254" s="54" t="str">
        <f>VLOOKUP(A254,'1.Loading'!A:R,2,FALSE)</f>
        <v>2026-10-28</v>
      </c>
      <c r="U254" s="57">
        <f>T254-S254</f>
        <v>46323</v>
      </c>
      <c r="V254" s="58"/>
      <c r="W254" s="54" t="str">
        <f>VLOOKUP(A254,'3.GateMove'!A:D,4,FALSE)</f>
        <v>2026-10-22</v>
      </c>
      <c r="X254" s="57">
        <f>((T254-W254)+1)</f>
        <v>7</v>
      </c>
      <c r="Y254" s="59">
        <f>IF(AND(OR(C254="BKK01",C254="BKK04"),L254="CFS/CY"),0,IF(M254="DG",1,IF(LEFT(C254,3)="LCH",7,IF(C254="BKK02",5,3))))</f>
        <v>7</v>
      </c>
      <c r="Z254" s="57">
        <f>IF(IF(AND(AC254="TML",AB254&gt;0),((T254-W254)+1)-AB254,((T254-W254)+1)-Y254)&gt;0,IF(AND(AC254="TML",AB254&gt;0),((T254-W254)+1)-AB254,((T254-W254)+1)-Y254),0)</f>
        <v>0</v>
      </c>
      <c r="AA254" s="48">
        <f>IF(AND(B254="G1",M254=""),IF(R254="20'",
VLOOKUP(Z254,Charge!$K$2:$M$5,2,TRUE)+(Z254-VLOOKUP(Z254,Charge!$K$2:$M$5,1,TRUE))*VLOOKUP(Z254,Charge!$K$2:$M$5,3,TRUE),
VLOOKUP(Z254,Charge!$N$2:$P$5,2,TRUE)+(Z254-VLOOKUP(Z254,Charge!$N$2:$P$5,1,TRUE))*VLOOKUP(Z254,Charge!$N$2:$P$5,3,TRUE)),
IF(AND(B254="G1",M254="DG"),IF(R254="20'",
VLOOKUP(Z254,Charge!$R$2:$T$5,2,TRUE)+(Z254-VLOOKUP(Z254,Charge!$R$2:$T$5,1,TRUE))*VLOOKUP(Z254,Charge!$R$2:$T$5,3,TRUE),
VLOOKUP(Z254,Charge!$U$2:$W$5,2,TRUE)+(Z254-VLOOKUP(Z254,Charge!$U$2:$W$5,1,TRUE))*VLOOKUP(Z254,Charge!$U$2:$W$5,3,TRUE)),
IF(AND(B254="G3",M254=""),IF(R254="20'",
VLOOKUP(Z254,Charge!$K$18:$M$21,2,TRUE)+(Z254-VLOOKUP(Z254,Charge!$K$18:$M$21,1,TRUE))*VLOOKUP(Z254,Charge!$K$18:$M$21,3,TRUE),
VLOOKUP(Z254,Charge!$N$18:$P$21,2,TRUE)+(Z254-VLOOKUP(Z254,Charge!$N$18:$P$21,1,TRUE))*VLOOKUP(Z254,Charge!$N$18:$P$21,3,TRUE)),
IF(AND(B254="G3",M254="DG"),IF(R254="20'",
VLOOKUP(Z254,Charge!$R$18:$T$21,2,TRUE)+(Z254-VLOOKUP(Z254,Charge!$R$18:$T$21,1,TRUE))*VLOOKUP(Z254,Charge!$R$18:$T$21,3,TRUE),
VLOOKUP(Z254,Charge!$U$18:$W$21,2,TRUE)+(Z254-VLOOKUP(Z254,Charge!$U$18:$W$21,1,TRUE))*VLOOKUP(Z254,Charge!$U$18:$W$21,3,TRUE)),
IF(AND(B254="G2",M254=""),IF(R254="20'",
VLOOKUP(Z254,Charge!$K$9:$M$12,2,TRUE)+(Z254-VLOOKUP(Z254,Charge!$K$9:$M$12,1,TRUE))*VLOOKUP(Z254,Charge!$K$9:$M$12,3,TRUE),
VLOOKUP(Z254,Charge!$N$9:$P$12,2,TRUE)+(Z254-VLOOKUP(Z254,Charge!$N$9:$P$12,1,TRUE))*VLOOKUP(Z254,Charge!$N$9:$P$12,3,TRUE)),
IF(AND(B254="G2",M254="DG"),IF(R254="20'",
VLOOKUP(Z254,Charge!$R$9:$T$12,2,TRUE)+(Z254-VLOOKUP(Z254,Charge!$R$9:$T$12,1,TRUE))*VLOOKUP(Z254,Charge!$R$9:$T$12,3,TRUE),
VLOOKUP(Z254,Charge!$U$9:$W$12,2,TRUE)+(Z254-VLOOKUP(Z254,Charge!$U$9:$W$12,1,TRUE))*VLOOKUP(Z254,Charge!$U$9:$W$12,3,TRUE)),IF(AND(B254="G4",M254=""),IF(R254="20'",Z254*Charge!$M$25,Z254*Charge!$P$25),IF(AND(B254="G4",M254="DG"),IF(R254="20'",Z254*Charge!$T$25,Z254*Charge!$W$25),0))))))))</f>
        <v>0</v>
      </c>
      <c r="AB254" s="53"/>
      <c r="AC254" s="53"/>
      <c r="AD254" s="56">
        <f>IF(M254="DG",3,IF(N254="RF",3,5))+IF(AND(LEFT(C254,3)="BKK",N254="RF",Q254="KTS"),1,0)+IF(Q254="KHS",1,0)</f>
        <v>5</v>
      </c>
      <c r="AE254" s="57">
        <f>(T254-V254)+1</f>
        <v>46324</v>
      </c>
      <c r="AF254" s="57">
        <f>IF(AB254&gt;IF((V254-W254)&gt;0,V254-W254,0),0,IF(AB254&lt;IF((V254-W254)&gt;0,V254-W254,0),IF((V254-W254)&gt;0,V254-W254,0)-AB254,IF((V254-W254)&gt;0,V254-W254,0)))</f>
        <v>0</v>
      </c>
      <c r="AG254" s="48">
        <f>IF(AND(M254=""),IF(R254="20'",
VLOOKUP(AF254,Charge!$K$31:$M$34,2,TRUE)+(AF254-VLOOKUP(AF254,Charge!$K$31:$M$34,1,TRUE))*VLOOKUP(AF254,Charge!$K$31:$M$34,3,TRUE),
VLOOKUP(AF254,Charge!$N$31:$P$34,2,TRUE)+(AF254-VLOOKUP(AF254,Charge!$N$31:$P$34,1,TRUE))*VLOOKUP(AF254,Charge!$N$31:$P$34,3,TRUE)),
IF(AND(M254="DG"),IF(R254="20'",
VLOOKUP(AF254,Charge!$R$31:$T$34,2,TRUE)+(AF254-VLOOKUP(AF254,Charge!$R$31:$T$34,1,TRUE))*VLOOKUP(AF254,Charge!$R$31:$T$34,3,TRUE),
VLOOKUP(AF254,Charge!$U$31:$W$34,2,TRUE)+(AF254-VLOOKUP(AF254,Charge!$U$31:$W$34,1,TRUE))*VLOOKUP(AF254,Charge!$U$31:$W$34,3,TRUE)),0))</f>
        <v>0</v>
      </c>
      <c r="AH254" s="60"/>
      <c r="AI254" s="60">
        <f>AA254-AH254</f>
        <v>0</v>
      </c>
      <c r="AJ254" s="61"/>
      <c r="AK254" s="55" t="str">
        <f>VLOOKUP(D254,'2.Bookinglist'!A:CT,40,FALSE)</f>
        <v>Nannaapust Sukporntaweewat</v>
      </c>
      <c r="AL254" s="56" t="str">
        <f>VLOOKUP(D254,'2.Bookinglist'!A:CW,101,FALSE)</f>
        <v>2026-10-25</v>
      </c>
      <c r="AM254" s="56" t="str">
        <f>VLOOKUP(D254,'2.Bookinglist'!A:BK,63,FALSE)</f>
        <v>LCHY5</v>
      </c>
      <c r="AN254" s="55" t="str">
        <f>VLOOKUP(D254,'2.Bookinglist'!A:AZ,52,FALSE)</f>
        <v>Pickup : 2026-10-21, Return : 2026-10-22 </v>
      </c>
      <c r="AO254" s="55">
        <f>VLOOKUP(D254,'2.Bookinglist'!A:CY,103,FALSE)</f>
        <v>0</v>
      </c>
    </row>
    <row r="255" ht="12.95" customHeight="1" spans="1:41" x14ac:dyDescent="0.25">
      <c r="A255" s="3" t="s">
        <v>366</v>
      </c>
      <c r="B255" s="53" t="str">
        <f>IF(C255=Charge!$M$1,Charge!$J$1,IF(C255=Charge!$M$23,Charge!$J$23,IF(C255=Charge!$M$17,Charge!$J$17,IF(C255=Charge!$N$17,Charge!$J$17,Charge!$J$7))))</f>
        <v>G2</v>
      </c>
      <c r="C255" s="54" t="str">
        <f>VLOOKUP(A255,'1.Loading'!A:R,14,FALSE)</f>
        <v>LCH06</v>
      </c>
      <c r="D255" s="54" t="str">
        <f>VLOOKUP(A255,'1.Loading'!A:R,17,FALSE)</f>
        <v>HASLS22260900170</v>
      </c>
      <c r="E255" s="55" t="str">
        <f>VLOOKUP(D255,'2.Bookinglist'!A:CT,27,FALSE)</f>
        <v>PANDA GOGO LOGISTICS CO., LTD.</v>
      </c>
      <c r="F255" s="55" t="str">
        <f>VLOOKUP(D255,'2.Bookinglist'!A:CT,28,FALSE)</f>
        <v>GC-M PTA COMPANY LIMITED</v>
      </c>
      <c r="G255" s="56">
        <f>VLOOKUP(D255,'2.Bookinglist'!A:E,5,FALSE)</f>
        <v>0</v>
      </c>
      <c r="H255" s="54" t="str">
        <f>VLOOKUP(D255,'2.Bookinglist'!A:CT,15,FALSE)</f>
        <v>THLCH</v>
      </c>
      <c r="I255" s="54" t="str">
        <f>VLOOKUP(D255,'2.Bookinglist'!A:CT,19,FALSE)</f>
        <v>JPTRG</v>
      </c>
      <c r="J255" s="54" t="str">
        <f>VLOOKUP(D255,'2.Bookinglist'!A:CT,26,FALSE)</f>
        <v>KRPUS</v>
      </c>
      <c r="K255" s="54" t="str">
        <f>VLOOKUP(A255,'1.Loading'!A:R,5,FALSE)</f>
        <v>22GP</v>
      </c>
      <c r="L255" s="56" t="str">
        <f>VLOOKUP(D255,'2.Bookinglist'!A:CT,85,FALSE)</f>
        <v>CY/CY</v>
      </c>
      <c r="M255" s="56" t="str">
        <f>IF(VLOOKUP(D255,'2.Bookinglist'!A:CT,43,FALSE)=0,"","DG")</f>
        <v/>
      </c>
      <c r="N255" s="56" t="str">
        <f>IF(RIGHT(K255,2)="RE","RF","")</f>
        <v/>
      </c>
      <c r="O255" s="54" t="str">
        <f>VLOOKUP(A255,'1.Loading'!A:R,3,FALSE)</f>
        <v>HMVY</v>
      </c>
      <c r="P255" s="54" t="str">
        <f>VLOOKUP(A255,'1.Loading'!A:R,4,FALSE)</f>
        <v>2609N</v>
      </c>
      <c r="Q255" s="54" t="str">
        <f>VLOOKUP(D255,'2.Bookinglist'!A:CT,12,FALSE)</f>
        <v>PCI2</v>
      </c>
      <c r="R255" s="56" t="str">
        <f>IF(LEFT(K255,2)="22","20'","40'")</f>
        <v>20'</v>
      </c>
      <c r="S255" s="38"/>
      <c r="T255" s="54" t="str">
        <f>VLOOKUP(A255,'1.Loading'!A:R,2,FALSE)</f>
        <v>2026-10-28</v>
      </c>
      <c r="U255" s="57">
        <f>T255-S255</f>
        <v>46323</v>
      </c>
      <c r="V255" s="58"/>
      <c r="W255" s="54" t="str">
        <f>VLOOKUP(A255,'3.GateMove'!A:D,4,FALSE)</f>
        <v>2026-10-18</v>
      </c>
      <c r="X255" s="57">
        <f>((T255-W255)+1)</f>
        <v>11</v>
      </c>
      <c r="Y255" s="59">
        <f>IF(AND(OR(C255="BKK01",C255="BKK04"),L255="CFS/CY"),0,IF(M255="DG",1,IF(LEFT(C255,3)="LCH",7,IF(C255="BKK02",5,3))))</f>
        <v>7</v>
      </c>
      <c r="Z255" s="57">
        <f>IF(IF(AND(AC255="TML",AB255&gt;0),((T255-W255)+1)-AB255,((T255-W255)+1)-Y255)&gt;0,IF(AND(AC255="TML",AB255&gt;0),((T255-W255)+1)-AB255,((T255-W255)+1)-Y255),0)</f>
        <v>4</v>
      </c>
      <c r="AA255" s="48">
        <f>IF(AND(B255="G1",M255=""),IF(R255="20'",
VLOOKUP(Z255,Charge!$K$2:$M$5,2,TRUE)+(Z255-VLOOKUP(Z255,Charge!$K$2:$M$5,1,TRUE))*VLOOKUP(Z255,Charge!$K$2:$M$5,3,TRUE),
VLOOKUP(Z255,Charge!$N$2:$P$5,2,TRUE)+(Z255-VLOOKUP(Z255,Charge!$N$2:$P$5,1,TRUE))*VLOOKUP(Z255,Charge!$N$2:$P$5,3,TRUE)),
IF(AND(B255="G1",M255="DG"),IF(R255="20'",
VLOOKUP(Z255,Charge!$R$2:$T$5,2,TRUE)+(Z255-VLOOKUP(Z255,Charge!$R$2:$T$5,1,TRUE))*VLOOKUP(Z255,Charge!$R$2:$T$5,3,TRUE),
VLOOKUP(Z255,Charge!$U$2:$W$5,2,TRUE)+(Z255-VLOOKUP(Z255,Charge!$U$2:$W$5,1,TRUE))*VLOOKUP(Z255,Charge!$U$2:$W$5,3,TRUE)),
IF(AND(B255="G3",M255=""),IF(R255="20'",
VLOOKUP(Z255,Charge!$K$18:$M$21,2,TRUE)+(Z255-VLOOKUP(Z255,Charge!$K$18:$M$21,1,TRUE))*VLOOKUP(Z255,Charge!$K$18:$M$21,3,TRUE),
VLOOKUP(Z255,Charge!$N$18:$P$21,2,TRUE)+(Z255-VLOOKUP(Z255,Charge!$N$18:$P$21,1,TRUE))*VLOOKUP(Z255,Charge!$N$18:$P$21,3,TRUE)),
IF(AND(B255="G3",M255="DG"),IF(R255="20'",
VLOOKUP(Z255,Charge!$R$18:$T$21,2,TRUE)+(Z255-VLOOKUP(Z255,Charge!$R$18:$T$21,1,TRUE))*VLOOKUP(Z255,Charge!$R$18:$T$21,3,TRUE),
VLOOKUP(Z255,Charge!$U$18:$W$21,2,TRUE)+(Z255-VLOOKUP(Z255,Charge!$U$18:$W$21,1,TRUE))*VLOOKUP(Z255,Charge!$U$18:$W$21,3,TRUE)),
IF(AND(B255="G2",M255=""),IF(R255="20'",
VLOOKUP(Z255,Charge!$K$9:$M$12,2,TRUE)+(Z255-VLOOKUP(Z255,Charge!$K$9:$M$12,1,TRUE))*VLOOKUP(Z255,Charge!$K$9:$M$12,3,TRUE),
VLOOKUP(Z255,Charge!$N$9:$P$12,2,TRUE)+(Z255-VLOOKUP(Z255,Charge!$N$9:$P$12,1,TRUE))*VLOOKUP(Z255,Charge!$N$9:$P$12,3,TRUE)),
IF(AND(B255="G2",M255="DG"),IF(R255="20'",
VLOOKUP(Z255,Charge!$R$9:$T$12,2,TRUE)+(Z255-VLOOKUP(Z255,Charge!$R$9:$T$12,1,TRUE))*VLOOKUP(Z255,Charge!$R$9:$T$12,3,TRUE),
VLOOKUP(Z255,Charge!$U$9:$W$12,2,TRUE)+(Z255-VLOOKUP(Z255,Charge!$U$9:$W$12,1,TRUE))*VLOOKUP(Z255,Charge!$U$9:$W$12,3,TRUE)),IF(AND(B255="G4",M255=""),IF(R255="20'",Z255*Charge!$M$25,Z255*Charge!$P$25),IF(AND(B255="G4",M255="DG"),IF(R255="20'",Z255*Charge!$T$25,Z255*Charge!$W$25),0))))))))</f>
        <v>500</v>
      </c>
      <c r="AB255" s="53"/>
      <c r="AC255" s="53"/>
      <c r="AD255" s="56">
        <f>IF(M255="DG",3,IF(N255="RF",3,5))+IF(AND(LEFT(C255,3)="BKK",N255="RF",Q255="KTS"),1,0)+IF(Q255="KHS",1,0)</f>
        <v>5</v>
      </c>
      <c r="AE255" s="57">
        <f>(T255-V255)+1</f>
        <v>46324</v>
      </c>
      <c r="AF255" s="57">
        <f>IF(AB255&gt;IF((V255-W255)&gt;0,V255-W255,0),0,IF(AB255&lt;IF((V255-W255)&gt;0,V255-W255,0),IF((V255-W255)&gt;0,V255-W255,0)-AB255,IF((V255-W255)&gt;0,V255-W255,0)))</f>
        <v>0</v>
      </c>
      <c r="AG255" s="48">
        <f>IF(AND(M255=""),IF(R255="20'",
VLOOKUP(AF255,Charge!$K$31:$M$34,2,TRUE)+(AF255-VLOOKUP(AF255,Charge!$K$31:$M$34,1,TRUE))*VLOOKUP(AF255,Charge!$K$31:$M$34,3,TRUE),
VLOOKUP(AF255,Charge!$N$31:$P$34,2,TRUE)+(AF255-VLOOKUP(AF255,Charge!$N$31:$P$34,1,TRUE))*VLOOKUP(AF255,Charge!$N$31:$P$34,3,TRUE)),
IF(AND(M255="DG"),IF(R255="20'",
VLOOKUP(AF255,Charge!$R$31:$T$34,2,TRUE)+(AF255-VLOOKUP(AF255,Charge!$R$31:$T$34,1,TRUE))*VLOOKUP(AF255,Charge!$R$31:$T$34,3,TRUE),
VLOOKUP(AF255,Charge!$U$31:$W$34,2,TRUE)+(AF255-VLOOKUP(AF255,Charge!$U$31:$W$34,1,TRUE))*VLOOKUP(AF255,Charge!$U$31:$W$34,3,TRUE)),0))</f>
        <v>0</v>
      </c>
      <c r="AH255" s="60"/>
      <c r="AI255" s="60">
        <f>AA255-AH255</f>
        <v>500</v>
      </c>
      <c r="AJ255" s="61"/>
      <c r="AK255" s="55" t="str">
        <f>VLOOKUP(D255,'2.Bookinglist'!A:CT,40,FALSE)</f>
        <v>Tarn(Supaporn)</v>
      </c>
      <c r="AL255" s="56" t="str">
        <f>VLOOKUP(D255,'2.Bookinglist'!A:CW,101,FALSE)</f>
        <v>2026-10-22</v>
      </c>
      <c r="AM255" s="56" t="str">
        <f>VLOOKUP(D255,'2.Bookinglist'!A:BK,63,FALSE)</f>
        <v>LCHY5</v>
      </c>
      <c r="AN255" s="55" t="str">
        <f>VLOOKUP(D255,'2.Bookinglist'!A:AZ,52,FALSE)</f>
        <v>[FIX]Pickup : 2026-10-14, Return : 2026-10-15 [1ST RTN 16/10/2026 W/O RENT]
** PLEASE CHECK OPEN GATE BEFORE RETURN CONTAINER ** </v>
      </c>
      <c r="AO255" s="55">
        <f>VLOOKUP(D255,'2.Bookinglist'!A:CY,103,FALSE)</f>
        <v>0</v>
      </c>
    </row>
    <row r="256" ht="12.95" customHeight="1" spans="1:41" x14ac:dyDescent="0.25">
      <c r="A256" s="3" t="s">
        <v>275</v>
      </c>
      <c r="B256" s="53" t="str">
        <f>IF(C256=Charge!$M$1,Charge!$J$1,IF(C256=Charge!$M$23,Charge!$J$23,IF(C256=Charge!$M$17,Charge!$J$17,IF(C256=Charge!$N$17,Charge!$J$17,Charge!$J$7))))</f>
        <v>G2</v>
      </c>
      <c r="C256" s="54" t="str">
        <f>VLOOKUP(A256,'1.Loading'!A:R,14,FALSE)</f>
        <v>LCH06</v>
      </c>
      <c r="D256" s="54" t="str">
        <f>VLOOKUP(A256,'1.Loading'!A:R,17,FALSE)</f>
        <v>HASLS22260900170</v>
      </c>
      <c r="E256" s="55" t="str">
        <f>VLOOKUP(D256,'2.Bookinglist'!A:CT,27,FALSE)</f>
        <v>PANDA GOGO LOGISTICS CO., LTD.</v>
      </c>
      <c r="F256" s="55" t="str">
        <f>VLOOKUP(D256,'2.Bookinglist'!A:CT,28,FALSE)</f>
        <v>GC-M PTA COMPANY LIMITED</v>
      </c>
      <c r="G256" s="56">
        <f>VLOOKUP(D256,'2.Bookinglist'!A:E,5,FALSE)</f>
        <v>0</v>
      </c>
      <c r="H256" s="54" t="str">
        <f>VLOOKUP(D256,'2.Bookinglist'!A:CT,15,FALSE)</f>
        <v>THLCH</v>
      </c>
      <c r="I256" s="54" t="str">
        <f>VLOOKUP(D256,'2.Bookinglist'!A:CT,19,FALSE)</f>
        <v>JPTRG</v>
      </c>
      <c r="J256" s="54" t="str">
        <f>VLOOKUP(D256,'2.Bookinglist'!A:CT,26,FALSE)</f>
        <v>KRPUS</v>
      </c>
      <c r="K256" s="54" t="str">
        <f>VLOOKUP(A256,'1.Loading'!A:R,5,FALSE)</f>
        <v>22GP</v>
      </c>
      <c r="L256" s="56" t="str">
        <f>VLOOKUP(D256,'2.Bookinglist'!A:CT,85,FALSE)</f>
        <v>CY/CY</v>
      </c>
      <c r="M256" s="56" t="str">
        <f>IF(VLOOKUP(D256,'2.Bookinglist'!A:CT,43,FALSE)=0,"","DG")</f>
        <v/>
      </c>
      <c r="N256" s="56" t="str">
        <f>IF(RIGHT(K256,2)="RE","RF","")</f>
        <v/>
      </c>
      <c r="O256" s="54" t="str">
        <f>VLOOKUP(A256,'1.Loading'!A:R,3,FALSE)</f>
        <v>HMVY</v>
      </c>
      <c r="P256" s="54" t="str">
        <f>VLOOKUP(A256,'1.Loading'!A:R,4,FALSE)</f>
        <v>2609N</v>
      </c>
      <c r="Q256" s="54" t="str">
        <f>VLOOKUP(D256,'2.Bookinglist'!A:CT,12,FALSE)</f>
        <v>PCI2</v>
      </c>
      <c r="R256" s="56" t="str">
        <f>IF(LEFT(K256,2)="22","20'","40'")</f>
        <v>20'</v>
      </c>
      <c r="S256" s="38"/>
      <c r="T256" s="54" t="str">
        <f>VLOOKUP(A256,'1.Loading'!A:R,2,FALSE)</f>
        <v>2026-10-28</v>
      </c>
      <c r="U256" s="57">
        <f>T256-S256</f>
        <v>46323</v>
      </c>
      <c r="V256" s="58"/>
      <c r="W256" s="54" t="str">
        <f>VLOOKUP(A256,'3.GateMove'!A:D,4,FALSE)</f>
        <v>2026-10-18</v>
      </c>
      <c r="X256" s="57">
        <f>((T256-W256)+1)</f>
        <v>11</v>
      </c>
      <c r="Y256" s="59">
        <f>IF(AND(OR(C256="BKK01",C256="BKK04"),L256="CFS/CY"),0,IF(M256="DG",1,IF(LEFT(C256,3)="LCH",7,IF(C256="BKK02",5,3))))</f>
        <v>7</v>
      </c>
      <c r="Z256" s="57">
        <f>IF(IF(AND(AC256="TML",AB256&gt;0),((T256-W256)+1)-AB256,((T256-W256)+1)-Y256)&gt;0,IF(AND(AC256="TML",AB256&gt;0),((T256-W256)+1)-AB256,((T256-W256)+1)-Y256),0)</f>
        <v>4</v>
      </c>
      <c r="AA256" s="48">
        <f>IF(AND(B256="G1",M256=""),IF(R256="20'",
VLOOKUP(Z256,Charge!$K$2:$M$5,2,TRUE)+(Z256-VLOOKUP(Z256,Charge!$K$2:$M$5,1,TRUE))*VLOOKUP(Z256,Charge!$K$2:$M$5,3,TRUE),
VLOOKUP(Z256,Charge!$N$2:$P$5,2,TRUE)+(Z256-VLOOKUP(Z256,Charge!$N$2:$P$5,1,TRUE))*VLOOKUP(Z256,Charge!$N$2:$P$5,3,TRUE)),
IF(AND(B256="G1",M256="DG"),IF(R256="20'",
VLOOKUP(Z256,Charge!$R$2:$T$5,2,TRUE)+(Z256-VLOOKUP(Z256,Charge!$R$2:$T$5,1,TRUE))*VLOOKUP(Z256,Charge!$R$2:$T$5,3,TRUE),
VLOOKUP(Z256,Charge!$U$2:$W$5,2,TRUE)+(Z256-VLOOKUP(Z256,Charge!$U$2:$W$5,1,TRUE))*VLOOKUP(Z256,Charge!$U$2:$W$5,3,TRUE)),
IF(AND(B256="G3",M256=""),IF(R256="20'",
VLOOKUP(Z256,Charge!$K$18:$M$21,2,TRUE)+(Z256-VLOOKUP(Z256,Charge!$K$18:$M$21,1,TRUE))*VLOOKUP(Z256,Charge!$K$18:$M$21,3,TRUE),
VLOOKUP(Z256,Charge!$N$18:$P$21,2,TRUE)+(Z256-VLOOKUP(Z256,Charge!$N$18:$P$21,1,TRUE))*VLOOKUP(Z256,Charge!$N$18:$P$21,3,TRUE)),
IF(AND(B256="G3",M256="DG"),IF(R256="20'",
VLOOKUP(Z256,Charge!$R$18:$T$21,2,TRUE)+(Z256-VLOOKUP(Z256,Charge!$R$18:$T$21,1,TRUE))*VLOOKUP(Z256,Charge!$R$18:$T$21,3,TRUE),
VLOOKUP(Z256,Charge!$U$18:$W$21,2,TRUE)+(Z256-VLOOKUP(Z256,Charge!$U$18:$W$21,1,TRUE))*VLOOKUP(Z256,Charge!$U$18:$W$21,3,TRUE)),
IF(AND(B256="G2",M256=""),IF(R256="20'",
VLOOKUP(Z256,Charge!$K$9:$M$12,2,TRUE)+(Z256-VLOOKUP(Z256,Charge!$K$9:$M$12,1,TRUE))*VLOOKUP(Z256,Charge!$K$9:$M$12,3,TRUE),
VLOOKUP(Z256,Charge!$N$9:$P$12,2,TRUE)+(Z256-VLOOKUP(Z256,Charge!$N$9:$P$12,1,TRUE))*VLOOKUP(Z256,Charge!$N$9:$P$12,3,TRUE)),
IF(AND(B256="G2",M256="DG"),IF(R256="20'",
VLOOKUP(Z256,Charge!$R$9:$T$12,2,TRUE)+(Z256-VLOOKUP(Z256,Charge!$R$9:$T$12,1,TRUE))*VLOOKUP(Z256,Charge!$R$9:$T$12,3,TRUE),
VLOOKUP(Z256,Charge!$U$9:$W$12,2,TRUE)+(Z256-VLOOKUP(Z256,Charge!$U$9:$W$12,1,TRUE))*VLOOKUP(Z256,Charge!$U$9:$W$12,3,TRUE)),IF(AND(B256="G4",M256=""),IF(R256="20'",Z256*Charge!$M$25,Z256*Charge!$P$25),IF(AND(B256="G4",M256="DG"),IF(R256="20'",Z256*Charge!$T$25,Z256*Charge!$W$25),0))))))))</f>
        <v>500</v>
      </c>
      <c r="AB256" s="53"/>
      <c r="AC256" s="53"/>
      <c r="AD256" s="56">
        <f>IF(M256="DG",3,IF(N256="RF",3,5))+IF(AND(LEFT(C256,3)="BKK",N256="RF",Q256="KTS"),1,0)+IF(Q256="KHS",1,0)</f>
        <v>5</v>
      </c>
      <c r="AE256" s="57">
        <f>(T256-V256)+1</f>
        <v>46324</v>
      </c>
      <c r="AF256" s="57">
        <f>IF(AB256&gt;IF((V256-W256)&gt;0,V256-W256,0),0,IF(AB256&lt;IF((V256-W256)&gt;0,V256-W256,0),IF((V256-W256)&gt;0,V256-W256,0)-AB256,IF((V256-W256)&gt;0,V256-W256,0)))</f>
        <v>0</v>
      </c>
      <c r="AG256" s="48">
        <f>IF(AND(M256=""),IF(R256="20'",
VLOOKUP(AF256,Charge!$K$31:$M$34,2,TRUE)+(AF256-VLOOKUP(AF256,Charge!$K$31:$M$34,1,TRUE))*VLOOKUP(AF256,Charge!$K$31:$M$34,3,TRUE),
VLOOKUP(AF256,Charge!$N$31:$P$34,2,TRUE)+(AF256-VLOOKUP(AF256,Charge!$N$31:$P$34,1,TRUE))*VLOOKUP(AF256,Charge!$N$31:$P$34,3,TRUE)),
IF(AND(M256="DG"),IF(R256="20'",
VLOOKUP(AF256,Charge!$R$31:$T$34,2,TRUE)+(AF256-VLOOKUP(AF256,Charge!$R$31:$T$34,1,TRUE))*VLOOKUP(AF256,Charge!$R$31:$T$34,3,TRUE),
VLOOKUP(AF256,Charge!$U$31:$W$34,2,TRUE)+(AF256-VLOOKUP(AF256,Charge!$U$31:$W$34,1,TRUE))*VLOOKUP(AF256,Charge!$U$31:$W$34,3,TRUE)),0))</f>
        <v>0</v>
      </c>
      <c r="AH256" s="60"/>
      <c r="AI256" s="60">
        <f>AA256-AH256</f>
        <v>500</v>
      </c>
      <c r="AJ256" s="61"/>
      <c r="AK256" s="55" t="str">
        <f>VLOOKUP(D256,'2.Bookinglist'!A:CT,40,FALSE)</f>
        <v>Tarn(Supaporn)</v>
      </c>
      <c r="AL256" s="56" t="str">
        <f>VLOOKUP(D256,'2.Bookinglist'!A:CW,101,FALSE)</f>
        <v>2026-10-22</v>
      </c>
      <c r="AM256" s="56" t="str">
        <f>VLOOKUP(D256,'2.Bookinglist'!A:BK,63,FALSE)</f>
        <v>LCHY5</v>
      </c>
      <c r="AN256" s="55" t="str">
        <f>VLOOKUP(D256,'2.Bookinglist'!A:AZ,52,FALSE)</f>
        <v>[FIX]Pickup : 2026-10-14, Return : 2026-10-15 [1ST RTN 16/10/2026 W/O RENT]
** PLEASE CHECK OPEN GATE BEFORE RETURN CONTAINER ** </v>
      </c>
      <c r="AO256" s="55">
        <f>VLOOKUP(D256,'2.Bookinglist'!A:CY,103,FALSE)</f>
        <v>0</v>
      </c>
    </row>
    <row r="257" ht="12.95" customHeight="1" spans="1:41" x14ac:dyDescent="0.25">
      <c r="A257" s="3" t="s">
        <v>367</v>
      </c>
      <c r="B257" s="53" t="str">
        <f>IF(C257=Charge!$M$1,Charge!$J$1,IF(C257=Charge!$M$23,Charge!$J$23,IF(C257=Charge!$M$17,Charge!$J$17,IF(C257=Charge!$N$17,Charge!$J$17,Charge!$J$7))))</f>
        <v>G2</v>
      </c>
      <c r="C257" s="54" t="str">
        <f>VLOOKUP(A257,'1.Loading'!A:R,14,FALSE)</f>
        <v>LCH06</v>
      </c>
      <c r="D257" s="54" t="str">
        <f>VLOOKUP(A257,'1.Loading'!A:R,17,FALSE)</f>
        <v>HASLS22260900170</v>
      </c>
      <c r="E257" s="55" t="str">
        <f>VLOOKUP(D257,'2.Bookinglist'!A:CT,27,FALSE)</f>
        <v>PANDA GOGO LOGISTICS CO., LTD.</v>
      </c>
      <c r="F257" s="55" t="str">
        <f>VLOOKUP(D257,'2.Bookinglist'!A:CT,28,FALSE)</f>
        <v>GC-M PTA COMPANY LIMITED</v>
      </c>
      <c r="G257" s="56">
        <f>VLOOKUP(D257,'2.Bookinglist'!A:E,5,FALSE)</f>
        <v>0</v>
      </c>
      <c r="H257" s="54" t="str">
        <f>VLOOKUP(D257,'2.Bookinglist'!A:CT,15,FALSE)</f>
        <v>THLCH</v>
      </c>
      <c r="I257" s="54" t="str">
        <f>VLOOKUP(D257,'2.Bookinglist'!A:CT,19,FALSE)</f>
        <v>JPTRG</v>
      </c>
      <c r="J257" s="54" t="str">
        <f>VLOOKUP(D257,'2.Bookinglist'!A:CT,26,FALSE)</f>
        <v>KRPUS</v>
      </c>
      <c r="K257" s="54" t="str">
        <f>VLOOKUP(A257,'1.Loading'!A:R,5,FALSE)</f>
        <v>22GP</v>
      </c>
      <c r="L257" s="56" t="str">
        <f>VLOOKUP(D257,'2.Bookinglist'!A:CT,85,FALSE)</f>
        <v>CY/CY</v>
      </c>
      <c r="M257" s="56" t="str">
        <f>IF(VLOOKUP(D257,'2.Bookinglist'!A:CT,43,FALSE)=0,"","DG")</f>
        <v/>
      </c>
      <c r="N257" s="56" t="str">
        <f>IF(RIGHT(K257,2)="RE","RF","")</f>
        <v/>
      </c>
      <c r="O257" s="54" t="str">
        <f>VLOOKUP(A257,'1.Loading'!A:R,3,FALSE)</f>
        <v>HMVY</v>
      </c>
      <c r="P257" s="54" t="str">
        <f>VLOOKUP(A257,'1.Loading'!A:R,4,FALSE)</f>
        <v>2609N</v>
      </c>
      <c r="Q257" s="54" t="str">
        <f>VLOOKUP(D257,'2.Bookinglist'!A:CT,12,FALSE)</f>
        <v>PCI2</v>
      </c>
      <c r="R257" s="56" t="str">
        <f>IF(LEFT(K257,2)="22","20'","40'")</f>
        <v>20'</v>
      </c>
      <c r="S257" s="38"/>
      <c r="T257" s="54" t="str">
        <f>VLOOKUP(A257,'1.Loading'!A:R,2,FALSE)</f>
        <v>2026-10-28</v>
      </c>
      <c r="U257" s="57">
        <f>T257-S257</f>
        <v>46323</v>
      </c>
      <c r="V257" s="58"/>
      <c r="W257" s="54" t="str">
        <f>VLOOKUP(A257,'3.GateMove'!A:D,4,FALSE)</f>
        <v>2026-10-19</v>
      </c>
      <c r="X257" s="57">
        <f>((T257-W257)+1)</f>
        <v>10</v>
      </c>
      <c r="Y257" s="59">
        <f>IF(AND(OR(C257="BKK01",C257="BKK04"),L257="CFS/CY"),0,IF(M257="DG",1,IF(LEFT(C257,3)="LCH",7,IF(C257="BKK02",5,3))))</f>
        <v>7</v>
      </c>
      <c r="Z257" s="57">
        <f>IF(IF(AND(AC257="TML",AB257&gt;0),((T257-W257)+1)-AB257,((T257-W257)+1)-Y257)&gt;0,IF(AND(AC257="TML",AB257&gt;0),((T257-W257)+1)-AB257,((T257-W257)+1)-Y257),0)</f>
        <v>3</v>
      </c>
      <c r="AA257" s="48">
        <f>IF(AND(B257="G1",M257=""),IF(R257="20'",
VLOOKUP(Z257,Charge!$K$2:$M$5,2,TRUE)+(Z257-VLOOKUP(Z257,Charge!$K$2:$M$5,1,TRUE))*VLOOKUP(Z257,Charge!$K$2:$M$5,3,TRUE),
VLOOKUP(Z257,Charge!$N$2:$P$5,2,TRUE)+(Z257-VLOOKUP(Z257,Charge!$N$2:$P$5,1,TRUE))*VLOOKUP(Z257,Charge!$N$2:$P$5,3,TRUE)),
IF(AND(B257="G1",M257="DG"),IF(R257="20'",
VLOOKUP(Z257,Charge!$R$2:$T$5,2,TRUE)+(Z257-VLOOKUP(Z257,Charge!$R$2:$T$5,1,TRUE))*VLOOKUP(Z257,Charge!$R$2:$T$5,3,TRUE),
VLOOKUP(Z257,Charge!$U$2:$W$5,2,TRUE)+(Z257-VLOOKUP(Z257,Charge!$U$2:$W$5,1,TRUE))*VLOOKUP(Z257,Charge!$U$2:$W$5,3,TRUE)),
IF(AND(B257="G3",M257=""),IF(R257="20'",
VLOOKUP(Z257,Charge!$K$18:$M$21,2,TRUE)+(Z257-VLOOKUP(Z257,Charge!$K$18:$M$21,1,TRUE))*VLOOKUP(Z257,Charge!$K$18:$M$21,3,TRUE),
VLOOKUP(Z257,Charge!$N$18:$P$21,2,TRUE)+(Z257-VLOOKUP(Z257,Charge!$N$18:$P$21,1,TRUE))*VLOOKUP(Z257,Charge!$N$18:$P$21,3,TRUE)),
IF(AND(B257="G3",M257="DG"),IF(R257="20'",
VLOOKUP(Z257,Charge!$R$18:$T$21,2,TRUE)+(Z257-VLOOKUP(Z257,Charge!$R$18:$T$21,1,TRUE))*VLOOKUP(Z257,Charge!$R$18:$T$21,3,TRUE),
VLOOKUP(Z257,Charge!$U$18:$W$21,2,TRUE)+(Z257-VLOOKUP(Z257,Charge!$U$18:$W$21,1,TRUE))*VLOOKUP(Z257,Charge!$U$18:$W$21,3,TRUE)),
IF(AND(B257="G2",M257=""),IF(R257="20'",
VLOOKUP(Z257,Charge!$K$9:$M$12,2,TRUE)+(Z257-VLOOKUP(Z257,Charge!$K$9:$M$12,1,TRUE))*VLOOKUP(Z257,Charge!$K$9:$M$12,3,TRUE),
VLOOKUP(Z257,Charge!$N$9:$P$12,2,TRUE)+(Z257-VLOOKUP(Z257,Charge!$N$9:$P$12,1,TRUE))*VLOOKUP(Z257,Charge!$N$9:$P$12,3,TRUE)),
IF(AND(B257="G2",M257="DG"),IF(R257="20'",
VLOOKUP(Z257,Charge!$R$9:$T$12,2,TRUE)+(Z257-VLOOKUP(Z257,Charge!$R$9:$T$12,1,TRUE))*VLOOKUP(Z257,Charge!$R$9:$T$12,3,TRUE),
VLOOKUP(Z257,Charge!$U$9:$W$12,2,TRUE)+(Z257-VLOOKUP(Z257,Charge!$U$9:$W$12,1,TRUE))*VLOOKUP(Z257,Charge!$U$9:$W$12,3,TRUE)),IF(AND(B257="G4",M257=""),IF(R257="20'",Z257*Charge!$M$25,Z257*Charge!$P$25),IF(AND(B257="G4",M257="DG"),IF(R257="20'",Z257*Charge!$T$25,Z257*Charge!$W$25),0))))))))</f>
        <v>375</v>
      </c>
      <c r="AB257" s="53"/>
      <c r="AC257" s="53"/>
      <c r="AD257" s="56">
        <f>IF(M257="DG",3,IF(N257="RF",3,5))+IF(AND(LEFT(C257,3)="BKK",N257="RF",Q257="KTS"),1,0)+IF(Q257="KHS",1,0)</f>
        <v>5</v>
      </c>
      <c r="AE257" s="57">
        <f>(T257-V257)+1</f>
        <v>46324</v>
      </c>
      <c r="AF257" s="57">
        <f>IF(AB257&gt;IF((V257-W257)&gt;0,V257-W257,0),0,IF(AB257&lt;IF((V257-W257)&gt;0,V257-W257,0),IF((V257-W257)&gt;0,V257-W257,0)-AB257,IF((V257-W257)&gt;0,V257-W257,0)))</f>
        <v>0</v>
      </c>
      <c r="AG257" s="48">
        <f>IF(AND(M257=""),IF(R257="20'",
VLOOKUP(AF257,Charge!$K$31:$M$34,2,TRUE)+(AF257-VLOOKUP(AF257,Charge!$K$31:$M$34,1,TRUE))*VLOOKUP(AF257,Charge!$K$31:$M$34,3,TRUE),
VLOOKUP(AF257,Charge!$N$31:$P$34,2,TRUE)+(AF257-VLOOKUP(AF257,Charge!$N$31:$P$34,1,TRUE))*VLOOKUP(AF257,Charge!$N$31:$P$34,3,TRUE)),
IF(AND(M257="DG"),IF(R257="20'",
VLOOKUP(AF257,Charge!$R$31:$T$34,2,TRUE)+(AF257-VLOOKUP(AF257,Charge!$R$31:$T$34,1,TRUE))*VLOOKUP(AF257,Charge!$R$31:$T$34,3,TRUE),
VLOOKUP(AF257,Charge!$U$31:$W$34,2,TRUE)+(AF257-VLOOKUP(AF257,Charge!$U$31:$W$34,1,TRUE))*VLOOKUP(AF257,Charge!$U$31:$W$34,3,TRUE)),0))</f>
        <v>0</v>
      </c>
      <c r="AH257" s="60"/>
      <c r="AI257" s="60">
        <f>AA257-AH257</f>
        <v>375</v>
      </c>
      <c r="AJ257" s="61"/>
      <c r="AK257" s="55" t="str">
        <f>VLOOKUP(D257,'2.Bookinglist'!A:CT,40,FALSE)</f>
        <v>Tarn(Supaporn)</v>
      </c>
      <c r="AL257" s="56" t="str">
        <f>VLOOKUP(D257,'2.Bookinglist'!A:CW,101,FALSE)</f>
        <v>2026-10-22</v>
      </c>
      <c r="AM257" s="56" t="str">
        <f>VLOOKUP(D257,'2.Bookinglist'!A:BK,63,FALSE)</f>
        <v>LCHY5</v>
      </c>
      <c r="AN257" s="55" t="str">
        <f>VLOOKUP(D257,'2.Bookinglist'!A:AZ,52,FALSE)</f>
        <v>[FIX]Pickup : 2026-10-14, Return : 2026-10-15 [1ST RTN 16/10/2026 W/O RENT]
** PLEASE CHECK OPEN GATE BEFORE RETURN CONTAINER ** </v>
      </c>
      <c r="AO257" s="55">
        <f>VLOOKUP(D257,'2.Bookinglist'!A:CY,103,FALSE)</f>
        <v>0</v>
      </c>
    </row>
    <row r="258" ht="12.95" customHeight="1" spans="1:41" x14ac:dyDescent="0.25">
      <c r="A258" s="3" t="s">
        <v>368</v>
      </c>
      <c r="B258" s="53" t="str">
        <f>IF(C258=Charge!$M$1,Charge!$J$1,IF(C258=Charge!$M$23,Charge!$J$23,IF(C258=Charge!$M$17,Charge!$J$17,IF(C258=Charge!$N$17,Charge!$J$17,Charge!$J$7))))</f>
        <v>G2</v>
      </c>
      <c r="C258" s="54" t="str">
        <f>VLOOKUP(A258,'1.Loading'!A:R,14,FALSE)</f>
        <v>LCH06</v>
      </c>
      <c r="D258" s="54" t="str">
        <f>VLOOKUP(A258,'1.Loading'!A:R,17,FALSE)</f>
        <v>HASLS22260900170</v>
      </c>
      <c r="E258" s="55" t="str">
        <f>VLOOKUP(D258,'2.Bookinglist'!A:CT,27,FALSE)</f>
        <v>PANDA GOGO LOGISTICS CO., LTD.</v>
      </c>
      <c r="F258" s="55" t="str">
        <f>VLOOKUP(D258,'2.Bookinglist'!A:CT,28,FALSE)</f>
        <v>GC-M PTA COMPANY LIMITED</v>
      </c>
      <c r="G258" s="56">
        <f>VLOOKUP(D258,'2.Bookinglist'!A:E,5,FALSE)</f>
        <v>0</v>
      </c>
      <c r="H258" s="54" t="str">
        <f>VLOOKUP(D258,'2.Bookinglist'!A:CT,15,FALSE)</f>
        <v>THLCH</v>
      </c>
      <c r="I258" s="54" t="str">
        <f>VLOOKUP(D258,'2.Bookinglist'!A:CT,19,FALSE)</f>
        <v>JPTRG</v>
      </c>
      <c r="J258" s="54" t="str">
        <f>VLOOKUP(D258,'2.Bookinglist'!A:CT,26,FALSE)</f>
        <v>KRPUS</v>
      </c>
      <c r="K258" s="54" t="str">
        <f>VLOOKUP(A258,'1.Loading'!A:R,5,FALSE)</f>
        <v>22GP</v>
      </c>
      <c r="L258" s="56" t="str">
        <f>VLOOKUP(D258,'2.Bookinglist'!A:CT,85,FALSE)</f>
        <v>CY/CY</v>
      </c>
      <c r="M258" s="56" t="str">
        <f>IF(VLOOKUP(D258,'2.Bookinglist'!A:CT,43,FALSE)=0,"","DG")</f>
        <v/>
      </c>
      <c r="N258" s="56" t="str">
        <f>IF(RIGHT(K258,2)="RE","RF","")</f>
        <v/>
      </c>
      <c r="O258" s="54" t="str">
        <f>VLOOKUP(A258,'1.Loading'!A:R,3,FALSE)</f>
        <v>HMVY</v>
      </c>
      <c r="P258" s="54" t="str">
        <f>VLOOKUP(A258,'1.Loading'!A:R,4,FALSE)</f>
        <v>2609N</v>
      </c>
      <c r="Q258" s="54" t="str">
        <f>VLOOKUP(D258,'2.Bookinglist'!A:CT,12,FALSE)</f>
        <v>PCI2</v>
      </c>
      <c r="R258" s="56" t="str">
        <f>IF(LEFT(K258,2)="22","20'","40'")</f>
        <v>20'</v>
      </c>
      <c r="S258" s="38"/>
      <c r="T258" s="54" t="str">
        <f>VLOOKUP(A258,'1.Loading'!A:R,2,FALSE)</f>
        <v>2026-10-28</v>
      </c>
      <c r="U258" s="57">
        <f>T258-S258</f>
        <v>46323</v>
      </c>
      <c r="V258" s="58"/>
      <c r="W258" s="54" t="str">
        <f>VLOOKUP(A258,'3.GateMove'!A:D,4,FALSE)</f>
        <v>2026-10-19</v>
      </c>
      <c r="X258" s="57">
        <f>((T258-W258)+1)</f>
        <v>10</v>
      </c>
      <c r="Y258" s="59">
        <f>IF(AND(OR(C258="BKK01",C258="BKK04"),L258="CFS/CY"),0,IF(M258="DG",1,IF(LEFT(C258,3)="LCH",7,IF(C258="BKK02",5,3))))</f>
        <v>7</v>
      </c>
      <c r="Z258" s="57">
        <f>IF(IF(AND(AC258="TML",AB258&gt;0),((T258-W258)+1)-AB258,((T258-W258)+1)-Y258)&gt;0,IF(AND(AC258="TML",AB258&gt;0),((T258-W258)+1)-AB258,((T258-W258)+1)-Y258),0)</f>
        <v>3</v>
      </c>
      <c r="AA258" s="48">
        <f>IF(AND(B258="G1",M258=""),IF(R258="20'",
VLOOKUP(Z258,Charge!$K$2:$M$5,2,TRUE)+(Z258-VLOOKUP(Z258,Charge!$K$2:$M$5,1,TRUE))*VLOOKUP(Z258,Charge!$K$2:$M$5,3,TRUE),
VLOOKUP(Z258,Charge!$N$2:$P$5,2,TRUE)+(Z258-VLOOKUP(Z258,Charge!$N$2:$P$5,1,TRUE))*VLOOKUP(Z258,Charge!$N$2:$P$5,3,TRUE)),
IF(AND(B258="G1",M258="DG"),IF(R258="20'",
VLOOKUP(Z258,Charge!$R$2:$T$5,2,TRUE)+(Z258-VLOOKUP(Z258,Charge!$R$2:$T$5,1,TRUE))*VLOOKUP(Z258,Charge!$R$2:$T$5,3,TRUE),
VLOOKUP(Z258,Charge!$U$2:$W$5,2,TRUE)+(Z258-VLOOKUP(Z258,Charge!$U$2:$W$5,1,TRUE))*VLOOKUP(Z258,Charge!$U$2:$W$5,3,TRUE)),
IF(AND(B258="G3",M258=""),IF(R258="20'",
VLOOKUP(Z258,Charge!$K$18:$M$21,2,TRUE)+(Z258-VLOOKUP(Z258,Charge!$K$18:$M$21,1,TRUE))*VLOOKUP(Z258,Charge!$K$18:$M$21,3,TRUE),
VLOOKUP(Z258,Charge!$N$18:$P$21,2,TRUE)+(Z258-VLOOKUP(Z258,Charge!$N$18:$P$21,1,TRUE))*VLOOKUP(Z258,Charge!$N$18:$P$21,3,TRUE)),
IF(AND(B258="G3",M258="DG"),IF(R258="20'",
VLOOKUP(Z258,Charge!$R$18:$T$21,2,TRUE)+(Z258-VLOOKUP(Z258,Charge!$R$18:$T$21,1,TRUE))*VLOOKUP(Z258,Charge!$R$18:$T$21,3,TRUE),
VLOOKUP(Z258,Charge!$U$18:$W$21,2,TRUE)+(Z258-VLOOKUP(Z258,Charge!$U$18:$W$21,1,TRUE))*VLOOKUP(Z258,Charge!$U$18:$W$21,3,TRUE)),
IF(AND(B258="G2",M258=""),IF(R258="20'",
VLOOKUP(Z258,Charge!$K$9:$M$12,2,TRUE)+(Z258-VLOOKUP(Z258,Charge!$K$9:$M$12,1,TRUE))*VLOOKUP(Z258,Charge!$K$9:$M$12,3,TRUE),
VLOOKUP(Z258,Charge!$N$9:$P$12,2,TRUE)+(Z258-VLOOKUP(Z258,Charge!$N$9:$P$12,1,TRUE))*VLOOKUP(Z258,Charge!$N$9:$P$12,3,TRUE)),
IF(AND(B258="G2",M258="DG"),IF(R258="20'",
VLOOKUP(Z258,Charge!$R$9:$T$12,2,TRUE)+(Z258-VLOOKUP(Z258,Charge!$R$9:$T$12,1,TRUE))*VLOOKUP(Z258,Charge!$R$9:$T$12,3,TRUE),
VLOOKUP(Z258,Charge!$U$9:$W$12,2,TRUE)+(Z258-VLOOKUP(Z258,Charge!$U$9:$W$12,1,TRUE))*VLOOKUP(Z258,Charge!$U$9:$W$12,3,TRUE)),IF(AND(B258="G4",M258=""),IF(R258="20'",Z258*Charge!$M$25,Z258*Charge!$P$25),IF(AND(B258="G4",M258="DG"),IF(R258="20'",Z258*Charge!$T$25,Z258*Charge!$W$25),0))))))))</f>
        <v>375</v>
      </c>
      <c r="AB258" s="53"/>
      <c r="AC258" s="53"/>
      <c r="AD258" s="56">
        <f>IF(M258="DG",3,IF(N258="RF",3,5))+IF(AND(LEFT(C258,3)="BKK",N258="RF",Q258="KTS"),1,0)+IF(Q258="KHS",1,0)</f>
        <v>5</v>
      </c>
      <c r="AE258" s="57">
        <f>(T258-V258)+1</f>
        <v>46324</v>
      </c>
      <c r="AF258" s="57">
        <f>IF(AB258&gt;IF((V258-W258)&gt;0,V258-W258,0),0,IF(AB258&lt;IF((V258-W258)&gt;0,V258-W258,0),IF((V258-W258)&gt;0,V258-W258,0)-AB258,IF((V258-W258)&gt;0,V258-W258,0)))</f>
        <v>0</v>
      </c>
      <c r="AG258" s="48">
        <f>IF(AND(M258=""),IF(R258="20'",
VLOOKUP(AF258,Charge!$K$31:$M$34,2,TRUE)+(AF258-VLOOKUP(AF258,Charge!$K$31:$M$34,1,TRUE))*VLOOKUP(AF258,Charge!$K$31:$M$34,3,TRUE),
VLOOKUP(AF258,Charge!$N$31:$P$34,2,TRUE)+(AF258-VLOOKUP(AF258,Charge!$N$31:$P$34,1,TRUE))*VLOOKUP(AF258,Charge!$N$31:$P$34,3,TRUE)),
IF(AND(M258="DG"),IF(R258="20'",
VLOOKUP(AF258,Charge!$R$31:$T$34,2,TRUE)+(AF258-VLOOKUP(AF258,Charge!$R$31:$T$34,1,TRUE))*VLOOKUP(AF258,Charge!$R$31:$T$34,3,TRUE),
VLOOKUP(AF258,Charge!$U$31:$W$34,2,TRUE)+(AF258-VLOOKUP(AF258,Charge!$U$31:$W$34,1,TRUE))*VLOOKUP(AF258,Charge!$U$31:$W$34,3,TRUE)),0))</f>
        <v>0</v>
      </c>
      <c r="AH258" s="60"/>
      <c r="AI258" s="60">
        <f>AA258-AH258</f>
        <v>375</v>
      </c>
      <c r="AJ258" s="61"/>
      <c r="AK258" s="55" t="str">
        <f>VLOOKUP(D258,'2.Bookinglist'!A:CT,40,FALSE)</f>
        <v>Tarn(Supaporn)</v>
      </c>
      <c r="AL258" s="56" t="str">
        <f>VLOOKUP(D258,'2.Bookinglist'!A:CW,101,FALSE)</f>
        <v>2026-10-22</v>
      </c>
      <c r="AM258" s="56" t="str">
        <f>VLOOKUP(D258,'2.Bookinglist'!A:BK,63,FALSE)</f>
        <v>LCHY5</v>
      </c>
      <c r="AN258" s="55" t="str">
        <f>VLOOKUP(D258,'2.Bookinglist'!A:AZ,52,FALSE)</f>
        <v>[FIX]Pickup : 2026-10-14, Return : 2026-10-15 [1ST RTN 16/10/2026 W/O RENT]
** PLEASE CHECK OPEN GATE BEFORE RETURN CONTAINER ** </v>
      </c>
      <c r="AO258" s="55">
        <f>VLOOKUP(D258,'2.Bookinglist'!A:CY,103,FALSE)</f>
        <v>0</v>
      </c>
    </row>
    <row r="259" ht="12.95" customHeight="1" spans="1:41" x14ac:dyDescent="0.25">
      <c r="A259" s="3" t="s">
        <v>301</v>
      </c>
      <c r="B259" s="53" t="str">
        <f>IF(C259=Charge!$M$1,Charge!$J$1,IF(C259=Charge!$M$23,Charge!$J$23,IF(C259=Charge!$M$17,Charge!$J$17,IF(C259=Charge!$N$17,Charge!$J$17,Charge!$J$7))))</f>
        <v>G2</v>
      </c>
      <c r="C259" s="54" t="str">
        <f>VLOOKUP(A259,'1.Loading'!A:R,14,FALSE)</f>
        <v>LCH06</v>
      </c>
      <c r="D259" s="54" t="str">
        <f>VLOOKUP(A259,'1.Loading'!A:R,17,FALSE)</f>
        <v>HASLS22260900170</v>
      </c>
      <c r="E259" s="55" t="str">
        <f>VLOOKUP(D259,'2.Bookinglist'!A:CT,27,FALSE)</f>
        <v>PANDA GOGO LOGISTICS CO., LTD.</v>
      </c>
      <c r="F259" s="55" t="str">
        <f>VLOOKUP(D259,'2.Bookinglist'!A:CT,28,FALSE)</f>
        <v>GC-M PTA COMPANY LIMITED</v>
      </c>
      <c r="G259" s="56">
        <f>VLOOKUP(D259,'2.Bookinglist'!A:E,5,FALSE)</f>
        <v>0</v>
      </c>
      <c r="H259" s="54" t="str">
        <f>VLOOKUP(D259,'2.Bookinglist'!A:CT,15,FALSE)</f>
        <v>THLCH</v>
      </c>
      <c r="I259" s="54" t="str">
        <f>VLOOKUP(D259,'2.Bookinglist'!A:CT,19,FALSE)</f>
        <v>JPTRG</v>
      </c>
      <c r="J259" s="54" t="str">
        <f>VLOOKUP(D259,'2.Bookinglist'!A:CT,26,FALSE)</f>
        <v>KRPUS</v>
      </c>
      <c r="K259" s="54" t="str">
        <f>VLOOKUP(A259,'1.Loading'!A:R,5,FALSE)</f>
        <v>22GP</v>
      </c>
      <c r="L259" s="56" t="str">
        <f>VLOOKUP(D259,'2.Bookinglist'!A:CT,85,FALSE)</f>
        <v>CY/CY</v>
      </c>
      <c r="M259" s="56" t="str">
        <f>IF(VLOOKUP(D259,'2.Bookinglist'!A:CT,43,FALSE)=0,"","DG")</f>
        <v/>
      </c>
      <c r="N259" s="56" t="str">
        <f>IF(RIGHT(K259,2)="RE","RF","")</f>
        <v/>
      </c>
      <c r="O259" s="54" t="str">
        <f>VLOOKUP(A259,'1.Loading'!A:R,3,FALSE)</f>
        <v>HMVY</v>
      </c>
      <c r="P259" s="54" t="str">
        <f>VLOOKUP(A259,'1.Loading'!A:R,4,FALSE)</f>
        <v>2609N</v>
      </c>
      <c r="Q259" s="54" t="str">
        <f>VLOOKUP(D259,'2.Bookinglist'!A:CT,12,FALSE)</f>
        <v>PCI2</v>
      </c>
      <c r="R259" s="56" t="str">
        <f>IF(LEFT(K259,2)="22","20'","40'")</f>
        <v>20'</v>
      </c>
      <c r="S259" s="38"/>
      <c r="T259" s="54" t="str">
        <f>VLOOKUP(A259,'1.Loading'!A:R,2,FALSE)</f>
        <v>2026-10-28</v>
      </c>
      <c r="U259" s="57">
        <f>T259-S259</f>
        <v>46323</v>
      </c>
      <c r="V259" s="58"/>
      <c r="W259" s="54" t="str">
        <f>VLOOKUP(A259,'3.GateMove'!A:D,4,FALSE)</f>
        <v>2026-10-18</v>
      </c>
      <c r="X259" s="57">
        <f>((T259-W259)+1)</f>
        <v>11</v>
      </c>
      <c r="Y259" s="59">
        <f>IF(AND(OR(C259="BKK01",C259="BKK04"),L259="CFS/CY"),0,IF(M259="DG",1,IF(LEFT(C259,3)="LCH",7,IF(C259="BKK02",5,3))))</f>
        <v>7</v>
      </c>
      <c r="Z259" s="57">
        <f>IF(IF(AND(AC259="TML",AB259&gt;0),((T259-W259)+1)-AB259,((T259-W259)+1)-Y259)&gt;0,IF(AND(AC259="TML",AB259&gt;0),((T259-W259)+1)-AB259,((T259-W259)+1)-Y259),0)</f>
        <v>4</v>
      </c>
      <c r="AA259" s="48">
        <f>IF(AND(B259="G1",M259=""),IF(R259="20'",
VLOOKUP(Z259,Charge!$K$2:$M$5,2,TRUE)+(Z259-VLOOKUP(Z259,Charge!$K$2:$M$5,1,TRUE))*VLOOKUP(Z259,Charge!$K$2:$M$5,3,TRUE),
VLOOKUP(Z259,Charge!$N$2:$P$5,2,TRUE)+(Z259-VLOOKUP(Z259,Charge!$N$2:$P$5,1,TRUE))*VLOOKUP(Z259,Charge!$N$2:$P$5,3,TRUE)),
IF(AND(B259="G1",M259="DG"),IF(R259="20'",
VLOOKUP(Z259,Charge!$R$2:$T$5,2,TRUE)+(Z259-VLOOKUP(Z259,Charge!$R$2:$T$5,1,TRUE))*VLOOKUP(Z259,Charge!$R$2:$T$5,3,TRUE),
VLOOKUP(Z259,Charge!$U$2:$W$5,2,TRUE)+(Z259-VLOOKUP(Z259,Charge!$U$2:$W$5,1,TRUE))*VLOOKUP(Z259,Charge!$U$2:$W$5,3,TRUE)),
IF(AND(B259="G3",M259=""),IF(R259="20'",
VLOOKUP(Z259,Charge!$K$18:$M$21,2,TRUE)+(Z259-VLOOKUP(Z259,Charge!$K$18:$M$21,1,TRUE))*VLOOKUP(Z259,Charge!$K$18:$M$21,3,TRUE),
VLOOKUP(Z259,Charge!$N$18:$P$21,2,TRUE)+(Z259-VLOOKUP(Z259,Charge!$N$18:$P$21,1,TRUE))*VLOOKUP(Z259,Charge!$N$18:$P$21,3,TRUE)),
IF(AND(B259="G3",M259="DG"),IF(R259="20'",
VLOOKUP(Z259,Charge!$R$18:$T$21,2,TRUE)+(Z259-VLOOKUP(Z259,Charge!$R$18:$T$21,1,TRUE))*VLOOKUP(Z259,Charge!$R$18:$T$21,3,TRUE),
VLOOKUP(Z259,Charge!$U$18:$W$21,2,TRUE)+(Z259-VLOOKUP(Z259,Charge!$U$18:$W$21,1,TRUE))*VLOOKUP(Z259,Charge!$U$18:$W$21,3,TRUE)),
IF(AND(B259="G2",M259=""),IF(R259="20'",
VLOOKUP(Z259,Charge!$K$9:$M$12,2,TRUE)+(Z259-VLOOKUP(Z259,Charge!$K$9:$M$12,1,TRUE))*VLOOKUP(Z259,Charge!$K$9:$M$12,3,TRUE),
VLOOKUP(Z259,Charge!$N$9:$P$12,2,TRUE)+(Z259-VLOOKUP(Z259,Charge!$N$9:$P$12,1,TRUE))*VLOOKUP(Z259,Charge!$N$9:$P$12,3,TRUE)),
IF(AND(B259="G2",M259="DG"),IF(R259="20'",
VLOOKUP(Z259,Charge!$R$9:$T$12,2,TRUE)+(Z259-VLOOKUP(Z259,Charge!$R$9:$T$12,1,TRUE))*VLOOKUP(Z259,Charge!$R$9:$T$12,3,TRUE),
VLOOKUP(Z259,Charge!$U$9:$W$12,2,TRUE)+(Z259-VLOOKUP(Z259,Charge!$U$9:$W$12,1,TRUE))*VLOOKUP(Z259,Charge!$U$9:$W$12,3,TRUE)),IF(AND(B259="G4",M259=""),IF(R259="20'",Z259*Charge!$M$25,Z259*Charge!$P$25),IF(AND(B259="G4",M259="DG"),IF(R259="20'",Z259*Charge!$T$25,Z259*Charge!$W$25),0))))))))</f>
        <v>500</v>
      </c>
      <c r="AB259" s="53"/>
      <c r="AC259" s="53"/>
      <c r="AD259" s="56">
        <f>IF(M259="DG",3,IF(N259="RF",3,5))+IF(AND(LEFT(C259,3)="BKK",N259="RF",Q259="KTS"),1,0)+IF(Q259="KHS",1,0)</f>
        <v>5</v>
      </c>
      <c r="AE259" s="57">
        <f>(T259-V259)+1</f>
        <v>46324</v>
      </c>
      <c r="AF259" s="57">
        <f>IF(AB259&gt;IF((V259-W259)&gt;0,V259-W259,0),0,IF(AB259&lt;IF((V259-W259)&gt;0,V259-W259,0),IF((V259-W259)&gt;0,V259-W259,0)-AB259,IF((V259-W259)&gt;0,V259-W259,0)))</f>
        <v>0</v>
      </c>
      <c r="AG259" s="48">
        <f>IF(AND(M259=""),IF(R259="20'",
VLOOKUP(AF259,Charge!$K$31:$M$34,2,TRUE)+(AF259-VLOOKUP(AF259,Charge!$K$31:$M$34,1,TRUE))*VLOOKUP(AF259,Charge!$K$31:$M$34,3,TRUE),
VLOOKUP(AF259,Charge!$N$31:$P$34,2,TRUE)+(AF259-VLOOKUP(AF259,Charge!$N$31:$P$34,1,TRUE))*VLOOKUP(AF259,Charge!$N$31:$P$34,3,TRUE)),
IF(AND(M259="DG"),IF(R259="20'",
VLOOKUP(AF259,Charge!$R$31:$T$34,2,TRUE)+(AF259-VLOOKUP(AF259,Charge!$R$31:$T$34,1,TRUE))*VLOOKUP(AF259,Charge!$R$31:$T$34,3,TRUE),
VLOOKUP(AF259,Charge!$U$31:$W$34,2,TRUE)+(AF259-VLOOKUP(AF259,Charge!$U$31:$W$34,1,TRUE))*VLOOKUP(AF259,Charge!$U$31:$W$34,3,TRUE)),0))</f>
        <v>0</v>
      </c>
      <c r="AH259" s="60"/>
      <c r="AI259" s="60">
        <f>AA259-AH259</f>
        <v>500</v>
      </c>
      <c r="AJ259" s="61"/>
      <c r="AK259" s="55" t="str">
        <f>VLOOKUP(D259,'2.Bookinglist'!A:CT,40,FALSE)</f>
        <v>Tarn(Supaporn)</v>
      </c>
      <c r="AL259" s="56" t="str">
        <f>VLOOKUP(D259,'2.Bookinglist'!A:CW,101,FALSE)</f>
        <v>2026-10-22</v>
      </c>
      <c r="AM259" s="56" t="str">
        <f>VLOOKUP(D259,'2.Bookinglist'!A:BK,63,FALSE)</f>
        <v>LCHY5</v>
      </c>
      <c r="AN259" s="55" t="str">
        <f>VLOOKUP(D259,'2.Bookinglist'!A:AZ,52,FALSE)</f>
        <v>[FIX]Pickup : 2026-10-14, Return : 2026-10-15 [1ST RTN 16/10/2026 W/O RENT]
** PLEASE CHECK OPEN GATE BEFORE RETURN CONTAINER ** </v>
      </c>
      <c r="AO259" s="55">
        <f>VLOOKUP(D259,'2.Bookinglist'!A:CY,103,FALSE)</f>
        <v>0</v>
      </c>
    </row>
    <row r="260" ht="12.95" customHeight="1" spans="1:41" x14ac:dyDescent="0.25">
      <c r="A260" s="3" t="s">
        <v>450</v>
      </c>
      <c r="B260" s="53" t="str">
        <f>IF(C260=Charge!$M$1,Charge!$J$1,IF(C260=Charge!$M$23,Charge!$J$23,IF(C260=Charge!$M$17,Charge!$J$17,IF(C260=Charge!$N$17,Charge!$J$17,Charge!$J$7))))</f>
        <v>G2</v>
      </c>
      <c r="C260" s="54" t="str">
        <f>VLOOKUP(A260,'1.Loading'!A:R,14,FALSE)</f>
        <v>LCH06</v>
      </c>
      <c r="D260" s="54" t="str">
        <f>VLOOKUP(A260,'1.Loading'!A:R,17,FALSE)</f>
        <v>HASLS22261000347</v>
      </c>
      <c r="E260" s="55" t="str">
        <f>VLOOKUP(D260,'2.Bookinglist'!A:CT,27,FALSE)</f>
        <v>DOW CHEMICAL THAILAND LTD.</v>
      </c>
      <c r="F260" s="55" t="str">
        <f>VLOOKUP(D260,'2.Bookinglist'!A:CT,28,FALSE)</f>
        <v>SIAM POLYETHYLENE CO., LTD.</v>
      </c>
      <c r="G260" s="56">
        <f>VLOOKUP(D260,'2.Bookinglist'!A:E,5,FALSE)</f>
        <v>0</v>
      </c>
      <c r="H260" s="54" t="str">
        <f>VLOOKUP(D260,'2.Bookinglist'!A:CT,15,FALSE)</f>
        <v>THLCH</v>
      </c>
      <c r="I260" s="54" t="str">
        <f>VLOOKUP(D260,'2.Bookinglist'!A:CT,19,FALSE)</f>
        <v>JPNGO</v>
      </c>
      <c r="J260" s="54" t="str">
        <f>VLOOKUP(D260,'2.Bookinglist'!A:CT,26,FALSE)</f>
        <v>KRPUS</v>
      </c>
      <c r="K260" s="54" t="str">
        <f>VLOOKUP(A260,'1.Loading'!A:R,5,FALSE)</f>
        <v>22GP</v>
      </c>
      <c r="L260" s="56" t="str">
        <f>VLOOKUP(D260,'2.Bookinglist'!A:CT,85,FALSE)</f>
        <v>CY/CY</v>
      </c>
      <c r="M260" s="56" t="str">
        <f>IF(VLOOKUP(D260,'2.Bookinglist'!A:CT,43,FALSE)=0,"","DG")</f>
        <v/>
      </c>
      <c r="N260" s="56" t="str">
        <f>IF(RIGHT(K260,2)="RE","RF","")</f>
        <v/>
      </c>
      <c r="O260" s="54" t="str">
        <f>VLOOKUP(A260,'1.Loading'!A:R,3,FALSE)</f>
        <v>HMVY</v>
      </c>
      <c r="P260" s="54" t="str">
        <f>VLOOKUP(A260,'1.Loading'!A:R,4,FALSE)</f>
        <v>2609N</v>
      </c>
      <c r="Q260" s="54" t="str">
        <f>VLOOKUP(D260,'2.Bookinglist'!A:CT,12,FALSE)</f>
        <v>PCI2</v>
      </c>
      <c r="R260" s="56" t="str">
        <f>IF(LEFT(K260,2)="22","20'","40'")</f>
        <v>20'</v>
      </c>
      <c r="S260" s="38"/>
      <c r="T260" s="54" t="str">
        <f>VLOOKUP(A260,'1.Loading'!A:R,2,FALSE)</f>
        <v>2026-10-28</v>
      </c>
      <c r="U260" s="57">
        <f>T260-S260</f>
        <v>46323</v>
      </c>
      <c r="V260" s="58"/>
      <c r="W260" s="54" t="str">
        <f>VLOOKUP(A260,'3.GateMove'!A:D,4,FALSE)</f>
        <v>2026-10-23</v>
      </c>
      <c r="X260" s="57">
        <f>((T260-W260)+1)</f>
        <v>6</v>
      </c>
      <c r="Y260" s="59">
        <f>IF(AND(OR(C260="BKK01",C260="BKK04"),L260="CFS/CY"),0,IF(M260="DG",1,IF(LEFT(C260,3)="LCH",7,IF(C260="BKK02",5,3))))</f>
        <v>7</v>
      </c>
      <c r="Z260" s="57">
        <f>IF(IF(AND(AC260="TML",AB260&gt;0),((T260-W260)+1)-AB260,((T260-W260)+1)-Y260)&gt;0,IF(AND(AC260="TML",AB260&gt;0),((T260-W260)+1)-AB260,((T260-W260)+1)-Y260),0)</f>
        <v>0</v>
      </c>
      <c r="AA260" s="48">
        <f>IF(AND(B260="G1",M260=""),IF(R260="20'",
VLOOKUP(Z260,Charge!$K$2:$M$5,2,TRUE)+(Z260-VLOOKUP(Z260,Charge!$K$2:$M$5,1,TRUE))*VLOOKUP(Z260,Charge!$K$2:$M$5,3,TRUE),
VLOOKUP(Z260,Charge!$N$2:$P$5,2,TRUE)+(Z260-VLOOKUP(Z260,Charge!$N$2:$P$5,1,TRUE))*VLOOKUP(Z260,Charge!$N$2:$P$5,3,TRUE)),
IF(AND(B260="G1",M260="DG"),IF(R260="20'",
VLOOKUP(Z260,Charge!$R$2:$T$5,2,TRUE)+(Z260-VLOOKUP(Z260,Charge!$R$2:$T$5,1,TRUE))*VLOOKUP(Z260,Charge!$R$2:$T$5,3,TRUE),
VLOOKUP(Z260,Charge!$U$2:$W$5,2,TRUE)+(Z260-VLOOKUP(Z260,Charge!$U$2:$W$5,1,TRUE))*VLOOKUP(Z260,Charge!$U$2:$W$5,3,TRUE)),
IF(AND(B260="G3",M260=""),IF(R260="20'",
VLOOKUP(Z260,Charge!$K$18:$M$21,2,TRUE)+(Z260-VLOOKUP(Z260,Charge!$K$18:$M$21,1,TRUE))*VLOOKUP(Z260,Charge!$K$18:$M$21,3,TRUE),
VLOOKUP(Z260,Charge!$N$18:$P$21,2,TRUE)+(Z260-VLOOKUP(Z260,Charge!$N$18:$P$21,1,TRUE))*VLOOKUP(Z260,Charge!$N$18:$P$21,3,TRUE)),
IF(AND(B260="G3",M260="DG"),IF(R260="20'",
VLOOKUP(Z260,Charge!$R$18:$T$21,2,TRUE)+(Z260-VLOOKUP(Z260,Charge!$R$18:$T$21,1,TRUE))*VLOOKUP(Z260,Charge!$R$18:$T$21,3,TRUE),
VLOOKUP(Z260,Charge!$U$18:$W$21,2,TRUE)+(Z260-VLOOKUP(Z260,Charge!$U$18:$W$21,1,TRUE))*VLOOKUP(Z260,Charge!$U$18:$W$21,3,TRUE)),
IF(AND(B260="G2",M260=""),IF(R260="20'",
VLOOKUP(Z260,Charge!$K$9:$M$12,2,TRUE)+(Z260-VLOOKUP(Z260,Charge!$K$9:$M$12,1,TRUE))*VLOOKUP(Z260,Charge!$K$9:$M$12,3,TRUE),
VLOOKUP(Z260,Charge!$N$9:$P$12,2,TRUE)+(Z260-VLOOKUP(Z260,Charge!$N$9:$P$12,1,TRUE))*VLOOKUP(Z260,Charge!$N$9:$P$12,3,TRUE)),
IF(AND(B260="G2",M260="DG"),IF(R260="20'",
VLOOKUP(Z260,Charge!$R$9:$T$12,2,TRUE)+(Z260-VLOOKUP(Z260,Charge!$R$9:$T$12,1,TRUE))*VLOOKUP(Z260,Charge!$R$9:$T$12,3,TRUE),
VLOOKUP(Z260,Charge!$U$9:$W$12,2,TRUE)+(Z260-VLOOKUP(Z260,Charge!$U$9:$W$12,1,TRUE))*VLOOKUP(Z260,Charge!$U$9:$W$12,3,TRUE)),IF(AND(B260="G4",M260=""),IF(R260="20'",Z260*Charge!$M$25,Z260*Charge!$P$25),IF(AND(B260="G4",M260="DG"),IF(R260="20'",Z260*Charge!$T$25,Z260*Charge!$W$25),0))))))))</f>
        <v>0</v>
      </c>
      <c r="AB260" s="53"/>
      <c r="AC260" s="53"/>
      <c r="AD260" s="56">
        <f>IF(M260="DG",3,IF(N260="RF",3,5))+IF(AND(LEFT(C260,3)="BKK",N260="RF",Q260="KTS"),1,0)+IF(Q260="KHS",1,0)</f>
        <v>5</v>
      </c>
      <c r="AE260" s="57">
        <f>(T260-V260)+1</f>
        <v>46324</v>
      </c>
      <c r="AF260" s="57">
        <f>IF(AB260&gt;IF((V260-W260)&gt;0,V260-W260,0),0,IF(AB260&lt;IF((V260-W260)&gt;0,V260-W260,0),IF((V260-W260)&gt;0,V260-W260,0)-AB260,IF((V260-W260)&gt;0,V260-W260,0)))</f>
        <v>0</v>
      </c>
      <c r="AG260" s="48">
        <f>IF(AND(M260=""),IF(R260="20'",
VLOOKUP(AF260,Charge!$K$31:$M$34,2,TRUE)+(AF260-VLOOKUP(AF260,Charge!$K$31:$M$34,1,TRUE))*VLOOKUP(AF260,Charge!$K$31:$M$34,3,TRUE),
VLOOKUP(AF260,Charge!$N$31:$P$34,2,TRUE)+(AF260-VLOOKUP(AF260,Charge!$N$31:$P$34,1,TRUE))*VLOOKUP(AF260,Charge!$N$31:$P$34,3,TRUE)),
IF(AND(M260="DG"),IF(R260="20'",
VLOOKUP(AF260,Charge!$R$31:$T$34,2,TRUE)+(AF260-VLOOKUP(AF260,Charge!$R$31:$T$34,1,TRUE))*VLOOKUP(AF260,Charge!$R$31:$T$34,3,TRUE),
VLOOKUP(AF260,Charge!$U$31:$W$34,2,TRUE)+(AF260-VLOOKUP(AF260,Charge!$U$31:$W$34,1,TRUE))*VLOOKUP(AF260,Charge!$U$31:$W$34,3,TRUE)),0))</f>
        <v>0</v>
      </c>
      <c r="AH260" s="60"/>
      <c r="AI260" s="60">
        <f>AA260-AH260</f>
        <v>0</v>
      </c>
      <c r="AJ260" s="61"/>
      <c r="AK260" s="55" t="str">
        <f>VLOOKUP(D260,'2.Bookinglist'!A:CT,40,FALSE)</f>
        <v>SEO JI YEONG</v>
      </c>
      <c r="AL260" s="56" t="str">
        <f>VLOOKUP(D260,'2.Bookinglist'!A:CW,101,FALSE)</f>
        <v>2026-10-27</v>
      </c>
      <c r="AM260" s="56" t="str">
        <f>VLOOKUP(D260,'2.Bookinglist'!A:BK,63,FALSE)</f>
        <v>LCHY5</v>
      </c>
      <c r="AN260" s="55" t="str">
        <f>VLOOKUP(D260,'2.Bookinglist'!A:AZ,52,FALSE)</f>
        <v>[FIX]Pickup : 2026-10-19, Return : 2026-10-22
** PLEASE CHECK OPEN GATE BEFORE RETURN CONTAINER **
</v>
      </c>
      <c r="AO260" s="55">
        <f>VLOOKUP(D260,'2.Bookinglist'!A:CY,103,FALSE)</f>
        <v>0</v>
      </c>
    </row>
    <row r="261" ht="12.95" customHeight="1" spans="1:41" x14ac:dyDescent="0.25">
      <c r="A261" s="3" t="s">
        <v>302</v>
      </c>
      <c r="B261" s="53" t="str">
        <f>IF(C261=Charge!$M$1,Charge!$J$1,IF(C261=Charge!$M$23,Charge!$J$23,IF(C261=Charge!$M$17,Charge!$J$17,IF(C261=Charge!$N$17,Charge!$J$17,Charge!$J$7))))</f>
        <v>G2</v>
      </c>
      <c r="C261" s="54" t="str">
        <f>VLOOKUP(A261,'1.Loading'!A:R,14,FALSE)</f>
        <v>LCH06</v>
      </c>
      <c r="D261" s="54" t="str">
        <f>VLOOKUP(A261,'1.Loading'!A:R,17,FALSE)</f>
        <v>HASLS22260900170</v>
      </c>
      <c r="E261" s="55" t="str">
        <f>VLOOKUP(D261,'2.Bookinglist'!A:CT,27,FALSE)</f>
        <v>PANDA GOGO LOGISTICS CO., LTD.</v>
      </c>
      <c r="F261" s="55" t="str">
        <f>VLOOKUP(D261,'2.Bookinglist'!A:CT,28,FALSE)</f>
        <v>GC-M PTA COMPANY LIMITED</v>
      </c>
      <c r="G261" s="56">
        <f>VLOOKUP(D261,'2.Bookinglist'!A:E,5,FALSE)</f>
        <v>0</v>
      </c>
      <c r="H261" s="54" t="str">
        <f>VLOOKUP(D261,'2.Bookinglist'!A:CT,15,FALSE)</f>
        <v>THLCH</v>
      </c>
      <c r="I261" s="54" t="str">
        <f>VLOOKUP(D261,'2.Bookinglist'!A:CT,19,FALSE)</f>
        <v>JPTRG</v>
      </c>
      <c r="J261" s="54" t="str">
        <f>VLOOKUP(D261,'2.Bookinglist'!A:CT,26,FALSE)</f>
        <v>KRPUS</v>
      </c>
      <c r="K261" s="54" t="str">
        <f>VLOOKUP(A261,'1.Loading'!A:R,5,FALSE)</f>
        <v>22GP</v>
      </c>
      <c r="L261" s="56" t="str">
        <f>VLOOKUP(D261,'2.Bookinglist'!A:CT,85,FALSE)</f>
        <v>CY/CY</v>
      </c>
      <c r="M261" s="56" t="str">
        <f>IF(VLOOKUP(D261,'2.Bookinglist'!A:CT,43,FALSE)=0,"","DG")</f>
        <v/>
      </c>
      <c r="N261" s="56" t="str">
        <f>IF(RIGHT(K261,2)="RE","RF","")</f>
        <v/>
      </c>
      <c r="O261" s="54" t="str">
        <f>VLOOKUP(A261,'1.Loading'!A:R,3,FALSE)</f>
        <v>HMVY</v>
      </c>
      <c r="P261" s="54" t="str">
        <f>VLOOKUP(A261,'1.Loading'!A:R,4,FALSE)</f>
        <v>2609N</v>
      </c>
      <c r="Q261" s="54" t="str">
        <f>VLOOKUP(D261,'2.Bookinglist'!A:CT,12,FALSE)</f>
        <v>PCI2</v>
      </c>
      <c r="R261" s="56" t="str">
        <f>IF(LEFT(K261,2)="22","20'","40'")</f>
        <v>20'</v>
      </c>
      <c r="S261" s="38"/>
      <c r="T261" s="54" t="str">
        <f>VLOOKUP(A261,'1.Loading'!A:R,2,FALSE)</f>
        <v>2026-10-28</v>
      </c>
      <c r="U261" s="57">
        <f>T261-S261</f>
        <v>46323</v>
      </c>
      <c r="V261" s="58"/>
      <c r="W261" s="54" t="str">
        <f>VLOOKUP(A261,'3.GateMove'!A:D,4,FALSE)</f>
        <v>2026-10-18</v>
      </c>
      <c r="X261" s="57">
        <f>((T261-W261)+1)</f>
        <v>11</v>
      </c>
      <c r="Y261" s="59">
        <f>IF(AND(OR(C261="BKK01",C261="BKK04"),L261="CFS/CY"),0,IF(M261="DG",1,IF(LEFT(C261,3)="LCH",7,IF(C261="BKK02",5,3))))</f>
        <v>7</v>
      </c>
      <c r="Z261" s="57">
        <f>IF(IF(AND(AC261="TML",AB261&gt;0),((T261-W261)+1)-AB261,((T261-W261)+1)-Y261)&gt;0,IF(AND(AC261="TML",AB261&gt;0),((T261-W261)+1)-AB261,((T261-W261)+1)-Y261),0)</f>
        <v>4</v>
      </c>
      <c r="AA261" s="48">
        <f>IF(AND(B261="G1",M261=""),IF(R261="20'",
VLOOKUP(Z261,Charge!$K$2:$M$5,2,TRUE)+(Z261-VLOOKUP(Z261,Charge!$K$2:$M$5,1,TRUE))*VLOOKUP(Z261,Charge!$K$2:$M$5,3,TRUE),
VLOOKUP(Z261,Charge!$N$2:$P$5,2,TRUE)+(Z261-VLOOKUP(Z261,Charge!$N$2:$P$5,1,TRUE))*VLOOKUP(Z261,Charge!$N$2:$P$5,3,TRUE)),
IF(AND(B261="G1",M261="DG"),IF(R261="20'",
VLOOKUP(Z261,Charge!$R$2:$T$5,2,TRUE)+(Z261-VLOOKUP(Z261,Charge!$R$2:$T$5,1,TRUE))*VLOOKUP(Z261,Charge!$R$2:$T$5,3,TRUE),
VLOOKUP(Z261,Charge!$U$2:$W$5,2,TRUE)+(Z261-VLOOKUP(Z261,Charge!$U$2:$W$5,1,TRUE))*VLOOKUP(Z261,Charge!$U$2:$W$5,3,TRUE)),
IF(AND(B261="G3",M261=""),IF(R261="20'",
VLOOKUP(Z261,Charge!$K$18:$M$21,2,TRUE)+(Z261-VLOOKUP(Z261,Charge!$K$18:$M$21,1,TRUE))*VLOOKUP(Z261,Charge!$K$18:$M$21,3,TRUE),
VLOOKUP(Z261,Charge!$N$18:$P$21,2,TRUE)+(Z261-VLOOKUP(Z261,Charge!$N$18:$P$21,1,TRUE))*VLOOKUP(Z261,Charge!$N$18:$P$21,3,TRUE)),
IF(AND(B261="G3",M261="DG"),IF(R261="20'",
VLOOKUP(Z261,Charge!$R$18:$T$21,2,TRUE)+(Z261-VLOOKUP(Z261,Charge!$R$18:$T$21,1,TRUE))*VLOOKUP(Z261,Charge!$R$18:$T$21,3,TRUE),
VLOOKUP(Z261,Charge!$U$18:$W$21,2,TRUE)+(Z261-VLOOKUP(Z261,Charge!$U$18:$W$21,1,TRUE))*VLOOKUP(Z261,Charge!$U$18:$W$21,3,TRUE)),
IF(AND(B261="G2",M261=""),IF(R261="20'",
VLOOKUP(Z261,Charge!$K$9:$M$12,2,TRUE)+(Z261-VLOOKUP(Z261,Charge!$K$9:$M$12,1,TRUE))*VLOOKUP(Z261,Charge!$K$9:$M$12,3,TRUE),
VLOOKUP(Z261,Charge!$N$9:$P$12,2,TRUE)+(Z261-VLOOKUP(Z261,Charge!$N$9:$P$12,1,TRUE))*VLOOKUP(Z261,Charge!$N$9:$P$12,3,TRUE)),
IF(AND(B261="G2",M261="DG"),IF(R261="20'",
VLOOKUP(Z261,Charge!$R$9:$T$12,2,TRUE)+(Z261-VLOOKUP(Z261,Charge!$R$9:$T$12,1,TRUE))*VLOOKUP(Z261,Charge!$R$9:$T$12,3,TRUE),
VLOOKUP(Z261,Charge!$U$9:$W$12,2,TRUE)+(Z261-VLOOKUP(Z261,Charge!$U$9:$W$12,1,TRUE))*VLOOKUP(Z261,Charge!$U$9:$W$12,3,TRUE)),IF(AND(B261="G4",M261=""),IF(R261="20'",Z261*Charge!$M$25,Z261*Charge!$P$25),IF(AND(B261="G4",M261="DG"),IF(R261="20'",Z261*Charge!$T$25,Z261*Charge!$W$25),0))))))))</f>
        <v>500</v>
      </c>
      <c r="AB261" s="53"/>
      <c r="AC261" s="53"/>
      <c r="AD261" s="56">
        <f>IF(M261="DG",3,IF(N261="RF",3,5))+IF(AND(LEFT(C261,3)="BKK",N261="RF",Q261="KTS"),1,0)+IF(Q261="KHS",1,0)</f>
        <v>5</v>
      </c>
      <c r="AE261" s="57">
        <f>(T261-V261)+1</f>
        <v>46324</v>
      </c>
      <c r="AF261" s="57">
        <f>IF(AB261&gt;IF((V261-W261)&gt;0,V261-W261,0),0,IF(AB261&lt;IF((V261-W261)&gt;0,V261-W261,0),IF((V261-W261)&gt;0,V261-W261,0)-AB261,IF((V261-W261)&gt;0,V261-W261,0)))</f>
        <v>0</v>
      </c>
      <c r="AG261" s="48">
        <f>IF(AND(M261=""),IF(R261="20'",
VLOOKUP(AF261,Charge!$K$31:$M$34,2,TRUE)+(AF261-VLOOKUP(AF261,Charge!$K$31:$M$34,1,TRUE))*VLOOKUP(AF261,Charge!$K$31:$M$34,3,TRUE),
VLOOKUP(AF261,Charge!$N$31:$P$34,2,TRUE)+(AF261-VLOOKUP(AF261,Charge!$N$31:$P$34,1,TRUE))*VLOOKUP(AF261,Charge!$N$31:$P$34,3,TRUE)),
IF(AND(M261="DG"),IF(R261="20'",
VLOOKUP(AF261,Charge!$R$31:$T$34,2,TRUE)+(AF261-VLOOKUP(AF261,Charge!$R$31:$T$34,1,TRUE))*VLOOKUP(AF261,Charge!$R$31:$T$34,3,TRUE),
VLOOKUP(AF261,Charge!$U$31:$W$34,2,TRUE)+(AF261-VLOOKUP(AF261,Charge!$U$31:$W$34,1,TRUE))*VLOOKUP(AF261,Charge!$U$31:$W$34,3,TRUE)),0))</f>
        <v>0</v>
      </c>
      <c r="AH261" s="60"/>
      <c r="AI261" s="60">
        <f>AA261-AH261</f>
        <v>500</v>
      </c>
      <c r="AJ261" s="61"/>
      <c r="AK261" s="55" t="str">
        <f>VLOOKUP(D261,'2.Bookinglist'!A:CT,40,FALSE)</f>
        <v>Tarn(Supaporn)</v>
      </c>
      <c r="AL261" s="56" t="str">
        <f>VLOOKUP(D261,'2.Bookinglist'!A:CW,101,FALSE)</f>
        <v>2026-10-22</v>
      </c>
      <c r="AM261" s="56" t="str">
        <f>VLOOKUP(D261,'2.Bookinglist'!A:BK,63,FALSE)</f>
        <v>LCHY5</v>
      </c>
      <c r="AN261" s="55" t="str">
        <f>VLOOKUP(D261,'2.Bookinglist'!A:AZ,52,FALSE)</f>
        <v>[FIX]Pickup : 2026-10-14, Return : 2026-10-15 [1ST RTN 16/10/2026 W/O RENT]
** PLEASE CHECK OPEN GATE BEFORE RETURN CONTAINER ** </v>
      </c>
      <c r="AO261" s="55">
        <f>VLOOKUP(D261,'2.Bookinglist'!A:CY,103,FALSE)</f>
        <v>0</v>
      </c>
    </row>
    <row r="262" ht="12.95" customHeight="1" spans="1:41" x14ac:dyDescent="0.25">
      <c r="A262" s="3" t="s">
        <v>288</v>
      </c>
      <c r="B262" s="53" t="str">
        <f>IF(C262=Charge!$M$1,Charge!$J$1,IF(C262=Charge!$M$23,Charge!$J$23,IF(C262=Charge!$M$17,Charge!$J$17,IF(C262=Charge!$N$17,Charge!$J$17,Charge!$J$7))))</f>
        <v>G2</v>
      </c>
      <c r="C262" s="54" t="str">
        <f>VLOOKUP(A262,'1.Loading'!A:R,14,FALSE)</f>
        <v>LCH06</v>
      </c>
      <c r="D262" s="54" t="str">
        <f>VLOOKUP(A262,'1.Loading'!A:R,17,FALSE)</f>
        <v>HASLS22260900170</v>
      </c>
      <c r="E262" s="55" t="str">
        <f>VLOOKUP(D262,'2.Bookinglist'!A:CT,27,FALSE)</f>
        <v>PANDA GOGO LOGISTICS CO., LTD.</v>
      </c>
      <c r="F262" s="55" t="str">
        <f>VLOOKUP(D262,'2.Bookinglist'!A:CT,28,FALSE)</f>
        <v>GC-M PTA COMPANY LIMITED</v>
      </c>
      <c r="G262" s="56">
        <f>VLOOKUP(D262,'2.Bookinglist'!A:E,5,FALSE)</f>
        <v>0</v>
      </c>
      <c r="H262" s="54" t="str">
        <f>VLOOKUP(D262,'2.Bookinglist'!A:CT,15,FALSE)</f>
        <v>THLCH</v>
      </c>
      <c r="I262" s="54" t="str">
        <f>VLOOKUP(D262,'2.Bookinglist'!A:CT,19,FALSE)</f>
        <v>JPTRG</v>
      </c>
      <c r="J262" s="54" t="str">
        <f>VLOOKUP(D262,'2.Bookinglist'!A:CT,26,FALSE)</f>
        <v>KRPUS</v>
      </c>
      <c r="K262" s="54" t="str">
        <f>VLOOKUP(A262,'1.Loading'!A:R,5,FALSE)</f>
        <v>22GP</v>
      </c>
      <c r="L262" s="56" t="str">
        <f>VLOOKUP(D262,'2.Bookinglist'!A:CT,85,FALSE)</f>
        <v>CY/CY</v>
      </c>
      <c r="M262" s="56" t="str">
        <f>IF(VLOOKUP(D262,'2.Bookinglist'!A:CT,43,FALSE)=0,"","DG")</f>
        <v/>
      </c>
      <c r="N262" s="56" t="str">
        <f>IF(RIGHT(K262,2)="RE","RF","")</f>
        <v/>
      </c>
      <c r="O262" s="54" t="str">
        <f>VLOOKUP(A262,'1.Loading'!A:R,3,FALSE)</f>
        <v>HMVY</v>
      </c>
      <c r="P262" s="54" t="str">
        <f>VLOOKUP(A262,'1.Loading'!A:R,4,FALSE)</f>
        <v>2609N</v>
      </c>
      <c r="Q262" s="54" t="str">
        <f>VLOOKUP(D262,'2.Bookinglist'!A:CT,12,FALSE)</f>
        <v>PCI2</v>
      </c>
      <c r="R262" s="56" t="str">
        <f>IF(LEFT(K262,2)="22","20'","40'")</f>
        <v>20'</v>
      </c>
      <c r="S262" s="38"/>
      <c r="T262" s="54" t="str">
        <f>VLOOKUP(A262,'1.Loading'!A:R,2,FALSE)</f>
        <v>2026-10-28</v>
      </c>
      <c r="U262" s="57">
        <f>T262-S262</f>
        <v>46323</v>
      </c>
      <c r="V262" s="58"/>
      <c r="W262" s="54" t="str">
        <f>VLOOKUP(A262,'3.GateMove'!A:D,4,FALSE)</f>
        <v>2026-10-19</v>
      </c>
      <c r="X262" s="57">
        <f>((T262-W262)+1)</f>
        <v>10</v>
      </c>
      <c r="Y262" s="59">
        <f>IF(AND(OR(C262="BKK01",C262="BKK04"),L262="CFS/CY"),0,IF(M262="DG",1,IF(LEFT(C262,3)="LCH",7,IF(C262="BKK02",5,3))))</f>
        <v>7</v>
      </c>
      <c r="Z262" s="57">
        <f>IF(IF(AND(AC262="TML",AB262&gt;0),((T262-W262)+1)-AB262,((T262-W262)+1)-Y262)&gt;0,IF(AND(AC262="TML",AB262&gt;0),((T262-W262)+1)-AB262,((T262-W262)+1)-Y262),0)</f>
        <v>3</v>
      </c>
      <c r="AA262" s="48">
        <f>IF(AND(B262="G1",M262=""),IF(R262="20'",
VLOOKUP(Z262,Charge!$K$2:$M$5,2,TRUE)+(Z262-VLOOKUP(Z262,Charge!$K$2:$M$5,1,TRUE))*VLOOKUP(Z262,Charge!$K$2:$M$5,3,TRUE),
VLOOKUP(Z262,Charge!$N$2:$P$5,2,TRUE)+(Z262-VLOOKUP(Z262,Charge!$N$2:$P$5,1,TRUE))*VLOOKUP(Z262,Charge!$N$2:$P$5,3,TRUE)),
IF(AND(B262="G1",M262="DG"),IF(R262="20'",
VLOOKUP(Z262,Charge!$R$2:$T$5,2,TRUE)+(Z262-VLOOKUP(Z262,Charge!$R$2:$T$5,1,TRUE))*VLOOKUP(Z262,Charge!$R$2:$T$5,3,TRUE),
VLOOKUP(Z262,Charge!$U$2:$W$5,2,TRUE)+(Z262-VLOOKUP(Z262,Charge!$U$2:$W$5,1,TRUE))*VLOOKUP(Z262,Charge!$U$2:$W$5,3,TRUE)),
IF(AND(B262="G3",M262=""),IF(R262="20'",
VLOOKUP(Z262,Charge!$K$18:$M$21,2,TRUE)+(Z262-VLOOKUP(Z262,Charge!$K$18:$M$21,1,TRUE))*VLOOKUP(Z262,Charge!$K$18:$M$21,3,TRUE),
VLOOKUP(Z262,Charge!$N$18:$P$21,2,TRUE)+(Z262-VLOOKUP(Z262,Charge!$N$18:$P$21,1,TRUE))*VLOOKUP(Z262,Charge!$N$18:$P$21,3,TRUE)),
IF(AND(B262="G3",M262="DG"),IF(R262="20'",
VLOOKUP(Z262,Charge!$R$18:$T$21,2,TRUE)+(Z262-VLOOKUP(Z262,Charge!$R$18:$T$21,1,TRUE))*VLOOKUP(Z262,Charge!$R$18:$T$21,3,TRUE),
VLOOKUP(Z262,Charge!$U$18:$W$21,2,TRUE)+(Z262-VLOOKUP(Z262,Charge!$U$18:$W$21,1,TRUE))*VLOOKUP(Z262,Charge!$U$18:$W$21,3,TRUE)),
IF(AND(B262="G2",M262=""),IF(R262="20'",
VLOOKUP(Z262,Charge!$K$9:$M$12,2,TRUE)+(Z262-VLOOKUP(Z262,Charge!$K$9:$M$12,1,TRUE))*VLOOKUP(Z262,Charge!$K$9:$M$12,3,TRUE),
VLOOKUP(Z262,Charge!$N$9:$P$12,2,TRUE)+(Z262-VLOOKUP(Z262,Charge!$N$9:$P$12,1,TRUE))*VLOOKUP(Z262,Charge!$N$9:$P$12,3,TRUE)),
IF(AND(B262="G2",M262="DG"),IF(R262="20'",
VLOOKUP(Z262,Charge!$R$9:$T$12,2,TRUE)+(Z262-VLOOKUP(Z262,Charge!$R$9:$T$12,1,TRUE))*VLOOKUP(Z262,Charge!$R$9:$T$12,3,TRUE),
VLOOKUP(Z262,Charge!$U$9:$W$12,2,TRUE)+(Z262-VLOOKUP(Z262,Charge!$U$9:$W$12,1,TRUE))*VLOOKUP(Z262,Charge!$U$9:$W$12,3,TRUE)),IF(AND(B262="G4",M262=""),IF(R262="20'",Z262*Charge!$M$25,Z262*Charge!$P$25),IF(AND(B262="G4",M262="DG"),IF(R262="20'",Z262*Charge!$T$25,Z262*Charge!$W$25),0))))))))</f>
        <v>375</v>
      </c>
      <c r="AB262" s="53"/>
      <c r="AC262" s="53"/>
      <c r="AD262" s="56">
        <f>IF(M262="DG",3,IF(N262="RF",3,5))+IF(AND(LEFT(C262,3)="BKK",N262="RF",Q262="KTS"),1,0)+IF(Q262="KHS",1,0)</f>
        <v>5</v>
      </c>
      <c r="AE262" s="57">
        <f>(T262-V262)+1</f>
        <v>46324</v>
      </c>
      <c r="AF262" s="57">
        <f>IF(AB262&gt;IF((V262-W262)&gt;0,V262-W262,0),0,IF(AB262&lt;IF((V262-W262)&gt;0,V262-W262,0),IF((V262-W262)&gt;0,V262-W262,0)-AB262,IF((V262-W262)&gt;0,V262-W262,0)))</f>
        <v>0</v>
      </c>
      <c r="AG262" s="48">
        <f>IF(AND(M262=""),IF(R262="20'",
VLOOKUP(AF262,Charge!$K$31:$M$34,2,TRUE)+(AF262-VLOOKUP(AF262,Charge!$K$31:$M$34,1,TRUE))*VLOOKUP(AF262,Charge!$K$31:$M$34,3,TRUE),
VLOOKUP(AF262,Charge!$N$31:$P$34,2,TRUE)+(AF262-VLOOKUP(AF262,Charge!$N$31:$P$34,1,TRUE))*VLOOKUP(AF262,Charge!$N$31:$P$34,3,TRUE)),
IF(AND(M262="DG"),IF(R262="20'",
VLOOKUP(AF262,Charge!$R$31:$T$34,2,TRUE)+(AF262-VLOOKUP(AF262,Charge!$R$31:$T$34,1,TRUE))*VLOOKUP(AF262,Charge!$R$31:$T$34,3,TRUE),
VLOOKUP(AF262,Charge!$U$31:$W$34,2,TRUE)+(AF262-VLOOKUP(AF262,Charge!$U$31:$W$34,1,TRUE))*VLOOKUP(AF262,Charge!$U$31:$W$34,3,TRUE)),0))</f>
        <v>0</v>
      </c>
      <c r="AH262" s="60"/>
      <c r="AI262" s="60">
        <f>AA262-AH262</f>
        <v>375</v>
      </c>
      <c r="AJ262" s="61"/>
      <c r="AK262" s="55" t="str">
        <f>VLOOKUP(D262,'2.Bookinglist'!A:CT,40,FALSE)</f>
        <v>Tarn(Supaporn)</v>
      </c>
      <c r="AL262" s="56" t="str">
        <f>VLOOKUP(D262,'2.Bookinglist'!A:CW,101,FALSE)</f>
        <v>2026-10-22</v>
      </c>
      <c r="AM262" s="56" t="str">
        <f>VLOOKUP(D262,'2.Bookinglist'!A:BK,63,FALSE)</f>
        <v>LCHY5</v>
      </c>
      <c r="AN262" s="55" t="str">
        <f>VLOOKUP(D262,'2.Bookinglist'!A:AZ,52,FALSE)</f>
        <v>[FIX]Pickup : 2026-10-14, Return : 2026-10-15 [1ST RTN 16/10/2026 W/O RENT]
** PLEASE CHECK OPEN GATE BEFORE RETURN CONTAINER ** </v>
      </c>
      <c r="AO262" s="55">
        <f>VLOOKUP(D262,'2.Bookinglist'!A:CY,103,FALSE)</f>
        <v>0</v>
      </c>
    </row>
    <row r="263" ht="12.95" customHeight="1" spans="1:41" x14ac:dyDescent="0.25">
      <c r="A263" s="3" t="s">
        <v>424</v>
      </c>
      <c r="B263" s="53" t="str">
        <f>IF(C263=Charge!$M$1,Charge!$J$1,IF(C263=Charge!$M$23,Charge!$J$23,IF(C263=Charge!$M$17,Charge!$J$17,IF(C263=Charge!$N$17,Charge!$J$17,Charge!$J$7))))</f>
        <v>G2</v>
      </c>
      <c r="C263" s="54" t="str">
        <f>VLOOKUP(A263,'1.Loading'!A:R,14,FALSE)</f>
        <v>LCH06</v>
      </c>
      <c r="D263" s="54" t="str">
        <f>VLOOKUP(A263,'1.Loading'!A:R,17,FALSE)</f>
        <v>HASLS22260901911</v>
      </c>
      <c r="E263" s="55" t="str">
        <f>VLOOKUP(D263,'2.Bookinglist'!A:CT,27,FALSE)</f>
        <v>MITSUBISHI LOGISTICS (THAILAND) CO., LTD.</v>
      </c>
      <c r="F263" s="55" t="str">
        <f>VLOOKUP(D263,'2.Bookinglist'!A:CT,28,FALSE)</f>
        <v>SHIN-ETSU SILICONES (THAILAND) LTD.</v>
      </c>
      <c r="G263" s="56">
        <f>VLOOKUP(D263,'2.Bookinglist'!A:E,5,FALSE)</f>
        <v>0</v>
      </c>
      <c r="H263" s="54" t="str">
        <f>VLOOKUP(D263,'2.Bookinglist'!A:CT,15,FALSE)</f>
        <v>THLCH</v>
      </c>
      <c r="I263" s="54" t="str">
        <f>VLOOKUP(D263,'2.Bookinglist'!A:CT,19,FALSE)</f>
        <v>CNSHA</v>
      </c>
      <c r="J263" s="54">
        <f>VLOOKUP(D263,'2.Bookinglist'!A:CT,26,FALSE)</f>
        <v>0</v>
      </c>
      <c r="K263" s="54" t="str">
        <f>VLOOKUP(A263,'1.Loading'!A:R,5,FALSE)</f>
        <v>22GP</v>
      </c>
      <c r="L263" s="56" t="str">
        <f>VLOOKUP(D263,'2.Bookinglist'!A:CT,85,FALSE)</f>
        <v>CY/CY</v>
      </c>
      <c r="M263" s="56" t="str">
        <f>IF(VLOOKUP(D263,'2.Bookinglist'!A:CT,43,FALSE)=0,"","DG")</f>
        <v/>
      </c>
      <c r="N263" s="56" t="str">
        <f>IF(RIGHT(K263,2)="RE","RF","")</f>
        <v/>
      </c>
      <c r="O263" s="54" t="str">
        <f>VLOOKUP(A263,'1.Loading'!A:R,3,FALSE)</f>
        <v>HMVY</v>
      </c>
      <c r="P263" s="54" t="str">
        <f>VLOOKUP(A263,'1.Loading'!A:R,4,FALSE)</f>
        <v>2609N</v>
      </c>
      <c r="Q263" s="54" t="str">
        <f>VLOOKUP(D263,'2.Bookinglist'!A:CT,12,FALSE)</f>
        <v>PCI2</v>
      </c>
      <c r="R263" s="56" t="str">
        <f>IF(LEFT(K263,2)="22","20'","40'")</f>
        <v>20'</v>
      </c>
      <c r="S263" s="38"/>
      <c r="T263" s="54" t="str">
        <f>VLOOKUP(A263,'1.Loading'!A:R,2,FALSE)</f>
        <v>2026-10-28</v>
      </c>
      <c r="U263" s="57">
        <f>T263-S263</f>
        <v>46323</v>
      </c>
      <c r="V263" s="58"/>
      <c r="W263" s="54" t="str">
        <f>VLOOKUP(A263,'3.GateMove'!A:D,4,FALSE)</f>
        <v>2026-10-10</v>
      </c>
      <c r="X263" s="57">
        <f>((T263-W263)+1)</f>
        <v>19</v>
      </c>
      <c r="Y263" s="59">
        <f>IF(AND(OR(C263="BKK01",C263="BKK04"),L263="CFS/CY"),0,IF(M263="DG",1,IF(LEFT(C263,3)="LCH",7,IF(C263="BKK02",5,3))))</f>
        <v>7</v>
      </c>
      <c r="Z263" s="57">
        <f>IF(IF(AND(AC263="TML",AB263&gt;0),((T263-W263)+1)-AB263,((T263-W263)+1)-Y263)&gt;0,IF(AND(AC263="TML",AB263&gt;0),((T263-W263)+1)-AB263,((T263-W263)+1)-Y263),0)</f>
        <v>12</v>
      </c>
      <c r="AA263" s="48">
        <f>IF(AND(B263="G1",M263=""),IF(R263="20'",
VLOOKUP(Z263,Charge!$K$2:$M$5,2,TRUE)+(Z263-VLOOKUP(Z263,Charge!$K$2:$M$5,1,TRUE))*VLOOKUP(Z263,Charge!$K$2:$M$5,3,TRUE),
VLOOKUP(Z263,Charge!$N$2:$P$5,2,TRUE)+(Z263-VLOOKUP(Z263,Charge!$N$2:$P$5,1,TRUE))*VLOOKUP(Z263,Charge!$N$2:$P$5,3,TRUE)),
IF(AND(B263="G1",M263="DG"),IF(R263="20'",
VLOOKUP(Z263,Charge!$R$2:$T$5,2,TRUE)+(Z263-VLOOKUP(Z263,Charge!$R$2:$T$5,1,TRUE))*VLOOKUP(Z263,Charge!$R$2:$T$5,3,TRUE),
VLOOKUP(Z263,Charge!$U$2:$W$5,2,TRUE)+(Z263-VLOOKUP(Z263,Charge!$U$2:$W$5,1,TRUE))*VLOOKUP(Z263,Charge!$U$2:$W$5,3,TRUE)),
IF(AND(B263="G3",M263=""),IF(R263="20'",
VLOOKUP(Z263,Charge!$K$18:$M$21,2,TRUE)+(Z263-VLOOKUP(Z263,Charge!$K$18:$M$21,1,TRUE))*VLOOKUP(Z263,Charge!$K$18:$M$21,3,TRUE),
VLOOKUP(Z263,Charge!$N$18:$P$21,2,TRUE)+(Z263-VLOOKUP(Z263,Charge!$N$18:$P$21,1,TRUE))*VLOOKUP(Z263,Charge!$N$18:$P$21,3,TRUE)),
IF(AND(B263="G3",M263="DG"),IF(R263="20'",
VLOOKUP(Z263,Charge!$R$18:$T$21,2,TRUE)+(Z263-VLOOKUP(Z263,Charge!$R$18:$T$21,1,TRUE))*VLOOKUP(Z263,Charge!$R$18:$T$21,3,TRUE),
VLOOKUP(Z263,Charge!$U$18:$W$21,2,TRUE)+(Z263-VLOOKUP(Z263,Charge!$U$18:$W$21,1,TRUE))*VLOOKUP(Z263,Charge!$U$18:$W$21,3,TRUE)),
IF(AND(B263="G2",M263=""),IF(R263="20'",
VLOOKUP(Z263,Charge!$K$9:$M$12,2,TRUE)+(Z263-VLOOKUP(Z263,Charge!$K$9:$M$12,1,TRUE))*VLOOKUP(Z263,Charge!$K$9:$M$12,3,TRUE),
VLOOKUP(Z263,Charge!$N$9:$P$12,2,TRUE)+(Z263-VLOOKUP(Z263,Charge!$N$9:$P$12,1,TRUE))*VLOOKUP(Z263,Charge!$N$9:$P$12,3,TRUE)),
IF(AND(B263="G2",M263="DG"),IF(R263="20'",
VLOOKUP(Z263,Charge!$R$9:$T$12,2,TRUE)+(Z263-VLOOKUP(Z263,Charge!$R$9:$T$12,1,TRUE))*VLOOKUP(Z263,Charge!$R$9:$T$12,3,TRUE),
VLOOKUP(Z263,Charge!$U$9:$W$12,2,TRUE)+(Z263-VLOOKUP(Z263,Charge!$U$9:$W$12,1,TRUE))*VLOOKUP(Z263,Charge!$U$9:$W$12,3,TRUE)),IF(AND(B263="G4",M263=""),IF(R263="20'",Z263*Charge!$M$25,Z263*Charge!$P$25),IF(AND(B263="G4",M263="DG"),IF(R263="20'",Z263*Charge!$T$25,Z263*Charge!$W$25),0))))))))</f>
        <v>2125</v>
      </c>
      <c r="AB263" s="53"/>
      <c r="AC263" s="53"/>
      <c r="AD263" s="56">
        <f>IF(M263="DG",3,IF(N263="RF",3,5))+IF(AND(LEFT(C263,3)="BKK",N263="RF",Q263="KTS"),1,0)+IF(Q263="KHS",1,0)</f>
        <v>5</v>
      </c>
      <c r="AE263" s="57">
        <f>(T263-V263)+1</f>
        <v>46324</v>
      </c>
      <c r="AF263" s="57">
        <f>IF(AB263&gt;IF((V263-W263)&gt;0,V263-W263,0),0,IF(AB263&lt;IF((V263-W263)&gt;0,V263-W263,0),IF((V263-W263)&gt;0,V263-W263,0)-AB263,IF((V263-W263)&gt;0,V263-W263,0)))</f>
        <v>0</v>
      </c>
      <c r="AG263" s="48">
        <f>IF(AND(M263=""),IF(R263="20'",
VLOOKUP(AF263,Charge!$K$31:$M$34,2,TRUE)+(AF263-VLOOKUP(AF263,Charge!$K$31:$M$34,1,TRUE))*VLOOKUP(AF263,Charge!$K$31:$M$34,3,TRUE),
VLOOKUP(AF263,Charge!$N$31:$P$34,2,TRUE)+(AF263-VLOOKUP(AF263,Charge!$N$31:$P$34,1,TRUE))*VLOOKUP(AF263,Charge!$N$31:$P$34,3,TRUE)),
IF(AND(M263="DG"),IF(R263="20'",
VLOOKUP(AF263,Charge!$R$31:$T$34,2,TRUE)+(AF263-VLOOKUP(AF263,Charge!$R$31:$T$34,1,TRUE))*VLOOKUP(AF263,Charge!$R$31:$T$34,3,TRUE),
VLOOKUP(AF263,Charge!$U$31:$W$34,2,TRUE)+(AF263-VLOOKUP(AF263,Charge!$U$31:$W$34,1,TRUE))*VLOOKUP(AF263,Charge!$U$31:$W$34,3,TRUE)),0))</f>
        <v>0</v>
      </c>
      <c r="AH263" s="60"/>
      <c r="AI263" s="60">
        <f>AA263-AH263</f>
        <v>2125</v>
      </c>
      <c r="AJ263" s="61"/>
      <c r="AK263" s="55" t="str">
        <f>VLOOKUP(D263,'2.Bookinglist'!A:CT,40,FALSE)</f>
        <v>Pattarapong Saengthong</v>
      </c>
      <c r="AL263" s="56" t="str">
        <f>VLOOKUP(D263,'2.Bookinglist'!A:CW,101,FALSE)</f>
        <v>2026-10-24</v>
      </c>
      <c r="AM263" s="56" t="str">
        <f>VLOOKUP(D263,'2.Bookinglist'!A:BK,63,FALSE)</f>
        <v>LCHY5</v>
      </c>
      <c r="AN263" s="55" t="str">
        <f>VLOOKUP(D263,'2.Bookinglist'!A:AZ,52,FALSE)</f>
        <v>Pickup : 2026-10-08, Return : 2026-10-09 [1ST RTN 09/10/2026 W/O RENT]</v>
      </c>
      <c r="AO263" s="55" t="str">
        <f>VLOOKUP(D263,'2.Bookinglist'!A:CY,103,FALSE)</f>
        <v>ROLL OVER FROM PREVIOUS VSL SWRG 2609N BY ALLOCATION TEAM MS.TAN APPROVED COST IS UNDER HA DD.13/10</v>
      </c>
    </row>
    <row r="264" ht="12.95" customHeight="1" spans="1:41" x14ac:dyDescent="0.25">
      <c r="A264" s="3" t="s">
        <v>278</v>
      </c>
      <c r="B264" s="53" t="str">
        <f>IF(C264=Charge!$M$1,Charge!$J$1,IF(C264=Charge!$M$23,Charge!$J$23,IF(C264=Charge!$M$17,Charge!$J$17,IF(C264=Charge!$N$17,Charge!$J$17,Charge!$J$7))))</f>
        <v>G2</v>
      </c>
      <c r="C264" s="54" t="str">
        <f>VLOOKUP(A264,'1.Loading'!A:R,14,FALSE)</f>
        <v>LCH06</v>
      </c>
      <c r="D264" s="54" t="str">
        <f>VLOOKUP(A264,'1.Loading'!A:R,17,FALSE)</f>
        <v>HASLS22261000090</v>
      </c>
      <c r="E264" s="55" t="str">
        <f>VLOOKUP(D264,'2.Bookinglist'!A:CT,27,FALSE)</f>
        <v>WHA GC LOGISTICS COMPANY LIMITED</v>
      </c>
      <c r="F264" s="55" t="str">
        <f>VLOOKUP(D264,'2.Bookinglist'!A:CT,28,FALSE)</f>
        <v>PTT GLOBAL CHEMICAL PUBLIC COMPANY LIMITED</v>
      </c>
      <c r="G264" s="56">
        <f>VLOOKUP(D264,'2.Bookinglist'!A:E,5,FALSE)</f>
        <v>0</v>
      </c>
      <c r="H264" s="54" t="str">
        <f>VLOOKUP(D264,'2.Bookinglist'!A:CT,15,FALSE)</f>
        <v>THLCH</v>
      </c>
      <c r="I264" s="54" t="str">
        <f>VLOOKUP(D264,'2.Bookinglist'!A:CT,19,FALSE)</f>
        <v>JPIYM</v>
      </c>
      <c r="J264" s="54" t="str">
        <f>VLOOKUP(D264,'2.Bookinglist'!A:CT,26,FALSE)</f>
        <v>KRPUS</v>
      </c>
      <c r="K264" s="54" t="str">
        <f>VLOOKUP(A264,'1.Loading'!A:R,5,FALSE)</f>
        <v>22GP</v>
      </c>
      <c r="L264" s="56" t="str">
        <f>VLOOKUP(D264,'2.Bookinglist'!A:CT,85,FALSE)</f>
        <v>CY/CY</v>
      </c>
      <c r="M264" s="56" t="str">
        <f>IF(VLOOKUP(D264,'2.Bookinglist'!A:CT,43,FALSE)=0,"","DG")</f>
        <v/>
      </c>
      <c r="N264" s="56" t="str">
        <f>IF(RIGHT(K264,2)="RE","RF","")</f>
        <v/>
      </c>
      <c r="O264" s="54" t="str">
        <f>VLOOKUP(A264,'1.Loading'!A:R,3,FALSE)</f>
        <v>HMVY</v>
      </c>
      <c r="P264" s="54" t="str">
        <f>VLOOKUP(A264,'1.Loading'!A:R,4,FALSE)</f>
        <v>2609N</v>
      </c>
      <c r="Q264" s="54" t="str">
        <f>VLOOKUP(D264,'2.Bookinglist'!A:CT,12,FALSE)</f>
        <v>PCI2</v>
      </c>
      <c r="R264" s="56" t="str">
        <f>IF(LEFT(K264,2)="22","20'","40'")</f>
        <v>20'</v>
      </c>
      <c r="S264" s="38"/>
      <c r="T264" s="54" t="str">
        <f>VLOOKUP(A264,'1.Loading'!A:R,2,FALSE)</f>
        <v>2026-10-28</v>
      </c>
      <c r="U264" s="57">
        <f>T264-S264</f>
        <v>46323</v>
      </c>
      <c r="V264" s="58"/>
      <c r="W264" s="54" t="str">
        <f>VLOOKUP(A264,'3.GateMove'!A:D,4,FALSE)</f>
        <v>2026-10-25</v>
      </c>
      <c r="X264" s="57">
        <f>((T264-W264)+1)</f>
        <v>4</v>
      </c>
      <c r="Y264" s="59">
        <f>IF(AND(OR(C264="BKK01",C264="BKK04"),L264="CFS/CY"),0,IF(M264="DG",1,IF(LEFT(C264,3)="LCH",7,IF(C264="BKK02",5,3))))</f>
        <v>7</v>
      </c>
      <c r="Z264" s="57">
        <f>IF(IF(AND(AC264="TML",AB264&gt;0),((T264-W264)+1)-AB264,((T264-W264)+1)-Y264)&gt;0,IF(AND(AC264="TML",AB264&gt;0),((T264-W264)+1)-AB264,((T264-W264)+1)-Y264),0)</f>
        <v>0</v>
      </c>
      <c r="AA264" s="48">
        <f>IF(AND(B264="G1",M264=""),IF(R264="20'",
VLOOKUP(Z264,Charge!$K$2:$M$5,2,TRUE)+(Z264-VLOOKUP(Z264,Charge!$K$2:$M$5,1,TRUE))*VLOOKUP(Z264,Charge!$K$2:$M$5,3,TRUE),
VLOOKUP(Z264,Charge!$N$2:$P$5,2,TRUE)+(Z264-VLOOKUP(Z264,Charge!$N$2:$P$5,1,TRUE))*VLOOKUP(Z264,Charge!$N$2:$P$5,3,TRUE)),
IF(AND(B264="G1",M264="DG"),IF(R264="20'",
VLOOKUP(Z264,Charge!$R$2:$T$5,2,TRUE)+(Z264-VLOOKUP(Z264,Charge!$R$2:$T$5,1,TRUE))*VLOOKUP(Z264,Charge!$R$2:$T$5,3,TRUE),
VLOOKUP(Z264,Charge!$U$2:$W$5,2,TRUE)+(Z264-VLOOKUP(Z264,Charge!$U$2:$W$5,1,TRUE))*VLOOKUP(Z264,Charge!$U$2:$W$5,3,TRUE)),
IF(AND(B264="G3",M264=""),IF(R264="20'",
VLOOKUP(Z264,Charge!$K$18:$M$21,2,TRUE)+(Z264-VLOOKUP(Z264,Charge!$K$18:$M$21,1,TRUE))*VLOOKUP(Z264,Charge!$K$18:$M$21,3,TRUE),
VLOOKUP(Z264,Charge!$N$18:$P$21,2,TRUE)+(Z264-VLOOKUP(Z264,Charge!$N$18:$P$21,1,TRUE))*VLOOKUP(Z264,Charge!$N$18:$P$21,3,TRUE)),
IF(AND(B264="G3",M264="DG"),IF(R264="20'",
VLOOKUP(Z264,Charge!$R$18:$T$21,2,TRUE)+(Z264-VLOOKUP(Z264,Charge!$R$18:$T$21,1,TRUE))*VLOOKUP(Z264,Charge!$R$18:$T$21,3,TRUE),
VLOOKUP(Z264,Charge!$U$18:$W$21,2,TRUE)+(Z264-VLOOKUP(Z264,Charge!$U$18:$W$21,1,TRUE))*VLOOKUP(Z264,Charge!$U$18:$W$21,3,TRUE)),
IF(AND(B264="G2",M264=""),IF(R264="20'",
VLOOKUP(Z264,Charge!$K$9:$M$12,2,TRUE)+(Z264-VLOOKUP(Z264,Charge!$K$9:$M$12,1,TRUE))*VLOOKUP(Z264,Charge!$K$9:$M$12,3,TRUE),
VLOOKUP(Z264,Charge!$N$9:$P$12,2,TRUE)+(Z264-VLOOKUP(Z264,Charge!$N$9:$P$12,1,TRUE))*VLOOKUP(Z264,Charge!$N$9:$P$12,3,TRUE)),
IF(AND(B264="G2",M264="DG"),IF(R264="20'",
VLOOKUP(Z264,Charge!$R$9:$T$12,2,TRUE)+(Z264-VLOOKUP(Z264,Charge!$R$9:$T$12,1,TRUE))*VLOOKUP(Z264,Charge!$R$9:$T$12,3,TRUE),
VLOOKUP(Z264,Charge!$U$9:$W$12,2,TRUE)+(Z264-VLOOKUP(Z264,Charge!$U$9:$W$12,1,TRUE))*VLOOKUP(Z264,Charge!$U$9:$W$12,3,TRUE)),IF(AND(B264="G4",M264=""),IF(R264="20'",Z264*Charge!$M$25,Z264*Charge!$P$25),IF(AND(B264="G4",M264="DG"),IF(R264="20'",Z264*Charge!$T$25,Z264*Charge!$W$25),0))))))))</f>
        <v>0</v>
      </c>
      <c r="AB264" s="53"/>
      <c r="AC264" s="53"/>
      <c r="AD264" s="56">
        <f>IF(M264="DG",3,IF(N264="RF",3,5))+IF(AND(LEFT(C264,3)="BKK",N264="RF",Q264="KTS"),1,0)+IF(Q264="KHS",1,0)</f>
        <v>5</v>
      </c>
      <c r="AE264" s="57">
        <f>(T264-V264)+1</f>
        <v>46324</v>
      </c>
      <c r="AF264" s="57">
        <f>IF(AB264&gt;IF((V264-W264)&gt;0,V264-W264,0),0,IF(AB264&lt;IF((V264-W264)&gt;0,V264-W264,0),IF((V264-W264)&gt;0,V264-W264,0)-AB264,IF((V264-W264)&gt;0,V264-W264,0)))</f>
        <v>0</v>
      </c>
      <c r="AG264" s="48">
        <f>IF(AND(M264=""),IF(R264="20'",
VLOOKUP(AF264,Charge!$K$31:$M$34,2,TRUE)+(AF264-VLOOKUP(AF264,Charge!$K$31:$M$34,1,TRUE))*VLOOKUP(AF264,Charge!$K$31:$M$34,3,TRUE),
VLOOKUP(AF264,Charge!$N$31:$P$34,2,TRUE)+(AF264-VLOOKUP(AF264,Charge!$N$31:$P$34,1,TRUE))*VLOOKUP(AF264,Charge!$N$31:$P$34,3,TRUE)),
IF(AND(M264="DG"),IF(R264="20'",
VLOOKUP(AF264,Charge!$R$31:$T$34,2,TRUE)+(AF264-VLOOKUP(AF264,Charge!$R$31:$T$34,1,TRUE))*VLOOKUP(AF264,Charge!$R$31:$T$34,3,TRUE),
VLOOKUP(AF264,Charge!$U$31:$W$34,2,TRUE)+(AF264-VLOOKUP(AF264,Charge!$U$31:$W$34,1,TRUE))*VLOOKUP(AF264,Charge!$U$31:$W$34,3,TRUE)),0))</f>
        <v>0</v>
      </c>
      <c r="AH264" s="60"/>
      <c r="AI264" s="60">
        <f>AA264-AH264</f>
        <v>0</v>
      </c>
      <c r="AJ264" s="61"/>
      <c r="AK264" s="55" t="str">
        <f>VLOOKUP(D264,'2.Bookinglist'!A:CT,40,FALSE)</f>
        <v>Dharaporn</v>
      </c>
      <c r="AL264" s="56" t="str">
        <f>VLOOKUP(D264,'2.Bookinglist'!A:CW,101,FALSE)</f>
        <v>2026-10-27</v>
      </c>
      <c r="AM264" s="56" t="str">
        <f>VLOOKUP(D264,'2.Bookinglist'!A:BK,63,FALSE)</f>
        <v>LCHY5</v>
      </c>
      <c r="AN264" s="55" t="str">
        <f>VLOOKUP(D264,'2.Bookinglist'!A:AZ,52,FALSE)</f>
        <v>[FIX]CY-RTN 21-22/10/26 </v>
      </c>
      <c r="AO264" s="55" t="str">
        <f>VLOOKUP(D264,'2.Bookinglist'!A:CY,103,FALSE)</f>
        <v>ROLL OVER FROM PREVIOUS VSL HAB 2612N BY ALLOCATION TEAM MS.TAN APPROVED COST IS UNDER HA DD.26/10</v>
      </c>
    </row>
    <row r="265" ht="12.95" customHeight="1" spans="1:41" x14ac:dyDescent="0.25">
      <c r="A265" s="3" t="s">
        <v>378</v>
      </c>
      <c r="B265" s="53" t="str">
        <f>IF(C265=Charge!$M$1,Charge!$J$1,IF(C265=Charge!$M$23,Charge!$J$23,IF(C265=Charge!$M$17,Charge!$J$17,IF(C265=Charge!$N$17,Charge!$J$17,Charge!$J$7))))</f>
        <v>G2</v>
      </c>
      <c r="C265" s="54" t="str">
        <f>VLOOKUP(A265,'1.Loading'!A:R,14,FALSE)</f>
        <v>LCH06</v>
      </c>
      <c r="D265" s="54" t="str">
        <f>VLOOKUP(A265,'1.Loading'!A:R,17,FALSE)</f>
        <v>HASLS22261001309</v>
      </c>
      <c r="E265" s="55" t="str">
        <f>VLOOKUP(D265,'2.Bookinglist'!A:CT,27,FALSE)</f>
        <v>YUSEN LOGISTICS (THAILAND) CO., LTD.</v>
      </c>
      <c r="F265" s="55" t="str">
        <f>VLOOKUP(D265,'2.Bookinglist'!A:CT,28,FALSE)</f>
        <v>YUSEN LOGISTICS (THAILAND) CO.,LTD.</v>
      </c>
      <c r="G265" s="56" t="str">
        <f>VLOOKUP(D265,'2.Bookinglist'!A:E,5,FALSE)</f>
        <v>THSRP</v>
      </c>
      <c r="H265" s="54" t="str">
        <f>VLOOKUP(D265,'2.Bookinglist'!A:CT,15,FALSE)</f>
        <v>THLCH</v>
      </c>
      <c r="I265" s="54" t="str">
        <f>VLOOKUP(D265,'2.Bookinglist'!A:CT,19,FALSE)</f>
        <v>CNSHA</v>
      </c>
      <c r="J265" s="54">
        <f>VLOOKUP(D265,'2.Bookinglist'!A:CT,26,FALSE)</f>
        <v>0</v>
      </c>
      <c r="K265" s="54" t="str">
        <f>VLOOKUP(A265,'1.Loading'!A:R,5,FALSE)</f>
        <v>22GP</v>
      </c>
      <c r="L265" s="56" t="str">
        <f>VLOOKUP(D265,'2.Bookinglist'!A:CT,85,FALSE)</f>
        <v>CY/CY</v>
      </c>
      <c r="M265" s="56" t="str">
        <f>IF(VLOOKUP(D265,'2.Bookinglist'!A:CT,43,FALSE)=0,"","DG")</f>
        <v/>
      </c>
      <c r="N265" s="56" t="str">
        <f>IF(RIGHT(K265,2)="RE","RF","")</f>
        <v/>
      </c>
      <c r="O265" s="54" t="str">
        <f>VLOOKUP(A265,'1.Loading'!A:R,3,FALSE)</f>
        <v>HMVY</v>
      </c>
      <c r="P265" s="54" t="str">
        <f>VLOOKUP(A265,'1.Loading'!A:R,4,FALSE)</f>
        <v>2609N</v>
      </c>
      <c r="Q265" s="54" t="str">
        <f>VLOOKUP(D265,'2.Bookinglist'!A:CT,12,FALSE)</f>
        <v>PCI2</v>
      </c>
      <c r="R265" s="56" t="str">
        <f>IF(LEFT(K265,2)="22","20'","40'")</f>
        <v>20'</v>
      </c>
      <c r="S265" s="38"/>
      <c r="T265" s="54" t="str">
        <f>VLOOKUP(A265,'1.Loading'!A:R,2,FALSE)</f>
        <v>2026-10-28</v>
      </c>
      <c r="U265" s="57">
        <f>T265-S265</f>
        <v>46323</v>
      </c>
      <c r="V265" s="58"/>
      <c r="W265" s="54" t="str">
        <f>VLOOKUP(A265,'3.GateMove'!A:D,4,FALSE)</f>
        <v>2026-10-23</v>
      </c>
      <c r="X265" s="57">
        <f>((T265-W265)+1)</f>
        <v>6</v>
      </c>
      <c r="Y265" s="59">
        <f>IF(AND(OR(C265="BKK01",C265="BKK04"),L265="CFS/CY"),0,IF(M265="DG",1,IF(LEFT(C265,3)="LCH",7,IF(C265="BKK02",5,3))))</f>
        <v>7</v>
      </c>
      <c r="Z265" s="57">
        <f>IF(IF(AND(AC265="TML",AB265&gt;0),((T265-W265)+1)-AB265,((T265-W265)+1)-Y265)&gt;0,IF(AND(AC265="TML",AB265&gt;0),((T265-W265)+1)-AB265,((T265-W265)+1)-Y265),0)</f>
        <v>0</v>
      </c>
      <c r="AA265" s="48">
        <f>IF(AND(B265="G1",M265=""),IF(R265="20'",
VLOOKUP(Z265,Charge!$K$2:$M$5,2,TRUE)+(Z265-VLOOKUP(Z265,Charge!$K$2:$M$5,1,TRUE))*VLOOKUP(Z265,Charge!$K$2:$M$5,3,TRUE),
VLOOKUP(Z265,Charge!$N$2:$P$5,2,TRUE)+(Z265-VLOOKUP(Z265,Charge!$N$2:$P$5,1,TRUE))*VLOOKUP(Z265,Charge!$N$2:$P$5,3,TRUE)),
IF(AND(B265="G1",M265="DG"),IF(R265="20'",
VLOOKUP(Z265,Charge!$R$2:$T$5,2,TRUE)+(Z265-VLOOKUP(Z265,Charge!$R$2:$T$5,1,TRUE))*VLOOKUP(Z265,Charge!$R$2:$T$5,3,TRUE),
VLOOKUP(Z265,Charge!$U$2:$W$5,2,TRUE)+(Z265-VLOOKUP(Z265,Charge!$U$2:$W$5,1,TRUE))*VLOOKUP(Z265,Charge!$U$2:$W$5,3,TRUE)),
IF(AND(B265="G3",M265=""),IF(R265="20'",
VLOOKUP(Z265,Charge!$K$18:$M$21,2,TRUE)+(Z265-VLOOKUP(Z265,Charge!$K$18:$M$21,1,TRUE))*VLOOKUP(Z265,Charge!$K$18:$M$21,3,TRUE),
VLOOKUP(Z265,Charge!$N$18:$P$21,2,TRUE)+(Z265-VLOOKUP(Z265,Charge!$N$18:$P$21,1,TRUE))*VLOOKUP(Z265,Charge!$N$18:$P$21,3,TRUE)),
IF(AND(B265="G3",M265="DG"),IF(R265="20'",
VLOOKUP(Z265,Charge!$R$18:$T$21,2,TRUE)+(Z265-VLOOKUP(Z265,Charge!$R$18:$T$21,1,TRUE))*VLOOKUP(Z265,Charge!$R$18:$T$21,3,TRUE),
VLOOKUP(Z265,Charge!$U$18:$W$21,2,TRUE)+(Z265-VLOOKUP(Z265,Charge!$U$18:$W$21,1,TRUE))*VLOOKUP(Z265,Charge!$U$18:$W$21,3,TRUE)),
IF(AND(B265="G2",M265=""),IF(R265="20'",
VLOOKUP(Z265,Charge!$K$9:$M$12,2,TRUE)+(Z265-VLOOKUP(Z265,Charge!$K$9:$M$12,1,TRUE))*VLOOKUP(Z265,Charge!$K$9:$M$12,3,TRUE),
VLOOKUP(Z265,Charge!$N$9:$P$12,2,TRUE)+(Z265-VLOOKUP(Z265,Charge!$N$9:$P$12,1,TRUE))*VLOOKUP(Z265,Charge!$N$9:$P$12,3,TRUE)),
IF(AND(B265="G2",M265="DG"),IF(R265="20'",
VLOOKUP(Z265,Charge!$R$9:$T$12,2,TRUE)+(Z265-VLOOKUP(Z265,Charge!$R$9:$T$12,1,TRUE))*VLOOKUP(Z265,Charge!$R$9:$T$12,3,TRUE),
VLOOKUP(Z265,Charge!$U$9:$W$12,2,TRUE)+(Z265-VLOOKUP(Z265,Charge!$U$9:$W$12,1,TRUE))*VLOOKUP(Z265,Charge!$U$9:$W$12,3,TRUE)),IF(AND(B265="G4",M265=""),IF(R265="20'",Z265*Charge!$M$25,Z265*Charge!$P$25),IF(AND(B265="G4",M265="DG"),IF(R265="20'",Z265*Charge!$T$25,Z265*Charge!$W$25),0))))))))</f>
        <v>0</v>
      </c>
      <c r="AB265" s="53"/>
      <c r="AC265" s="53"/>
      <c r="AD265" s="56">
        <f>IF(M265="DG",3,IF(N265="RF",3,5))+IF(AND(LEFT(C265,3)="BKK",N265="RF",Q265="KTS"),1,0)+IF(Q265="KHS",1,0)</f>
        <v>5</v>
      </c>
      <c r="AE265" s="57">
        <f>(T265-V265)+1</f>
        <v>46324</v>
      </c>
      <c r="AF265" s="57">
        <f>IF(AB265&gt;IF((V265-W265)&gt;0,V265-W265,0),0,IF(AB265&lt;IF((V265-W265)&gt;0,V265-W265,0),IF((V265-W265)&gt;0,V265-W265,0)-AB265,IF((V265-W265)&gt;0,V265-W265,0)))</f>
        <v>0</v>
      </c>
      <c r="AG265" s="48">
        <f>IF(AND(M265=""),IF(R265="20'",
VLOOKUP(AF265,Charge!$K$31:$M$34,2,TRUE)+(AF265-VLOOKUP(AF265,Charge!$K$31:$M$34,1,TRUE))*VLOOKUP(AF265,Charge!$K$31:$M$34,3,TRUE),
VLOOKUP(AF265,Charge!$N$31:$P$34,2,TRUE)+(AF265-VLOOKUP(AF265,Charge!$N$31:$P$34,1,TRUE))*VLOOKUP(AF265,Charge!$N$31:$P$34,3,TRUE)),
IF(AND(M265="DG"),IF(R265="20'",
VLOOKUP(AF265,Charge!$R$31:$T$34,2,TRUE)+(AF265-VLOOKUP(AF265,Charge!$R$31:$T$34,1,TRUE))*VLOOKUP(AF265,Charge!$R$31:$T$34,3,TRUE),
VLOOKUP(AF265,Charge!$U$31:$W$34,2,TRUE)+(AF265-VLOOKUP(AF265,Charge!$U$31:$W$34,1,TRUE))*VLOOKUP(AF265,Charge!$U$31:$W$34,3,TRUE)),0))</f>
        <v>0</v>
      </c>
      <c r="AH265" s="60"/>
      <c r="AI265" s="60">
        <f>AA265-AH265</f>
        <v>0</v>
      </c>
      <c r="AJ265" s="61"/>
      <c r="AK265" s="55" t="str">
        <f>VLOOKUP(D265,'2.Bookinglist'!A:CT,40,FALSE)</f>
        <v>Vilaiporn</v>
      </c>
      <c r="AL265" s="56" t="str">
        <f>VLOOKUP(D265,'2.Bookinglist'!A:CW,101,FALSE)</f>
        <v>2026-10-27</v>
      </c>
      <c r="AM265" s="56" t="str">
        <f>VLOOKUP(D265,'2.Bookinglist'!A:BK,63,FALSE)</f>
        <v>BKK27</v>
      </c>
      <c r="AN265" s="55" t="str">
        <f>VLOOKUP(D265,'2.Bookinglist'!A:AZ,52,FALSE)</f>
        <v>Pickup : 2026-10-21, Return SRP : 2026-10-21 [PAPERLESS CODE 2829]
CLS TIME 24/10/26 @18.00</v>
      </c>
      <c r="AO265" s="55">
        <f>VLOOKUP(D265,'2.Bookinglist'!A:CY,103,FALSE)</f>
        <v>0</v>
      </c>
    </row>
    <row r="266" ht="12.95" customHeight="1" spans="1:41" x14ac:dyDescent="0.25">
      <c r="A266" s="3" t="s">
        <v>428</v>
      </c>
      <c r="B266" s="53" t="str">
        <f>IF(C266=Charge!$M$1,Charge!$J$1,IF(C266=Charge!$M$23,Charge!$J$23,IF(C266=Charge!$M$17,Charge!$J$17,IF(C266=Charge!$N$17,Charge!$J$17,Charge!$J$7))))</f>
        <v>G2</v>
      </c>
      <c r="C266" s="54" t="str">
        <f>VLOOKUP(A266,'1.Loading'!A:R,14,FALSE)</f>
        <v>LCH06</v>
      </c>
      <c r="D266" s="54" t="str">
        <f>VLOOKUP(A266,'1.Loading'!A:R,17,FALSE)</f>
        <v>HASLS22260901911</v>
      </c>
      <c r="E266" s="55" t="str">
        <f>VLOOKUP(D266,'2.Bookinglist'!A:CT,27,FALSE)</f>
        <v>MITSUBISHI LOGISTICS (THAILAND) CO., LTD.</v>
      </c>
      <c r="F266" s="55" t="str">
        <f>VLOOKUP(D266,'2.Bookinglist'!A:CT,28,FALSE)</f>
        <v>SHIN-ETSU SILICONES (THAILAND) LTD.</v>
      </c>
      <c r="G266" s="56">
        <f>VLOOKUP(D266,'2.Bookinglist'!A:E,5,FALSE)</f>
        <v>0</v>
      </c>
      <c r="H266" s="54" t="str">
        <f>VLOOKUP(D266,'2.Bookinglist'!A:CT,15,FALSE)</f>
        <v>THLCH</v>
      </c>
      <c r="I266" s="54" t="str">
        <f>VLOOKUP(D266,'2.Bookinglist'!A:CT,19,FALSE)</f>
        <v>CNSHA</v>
      </c>
      <c r="J266" s="54">
        <f>VLOOKUP(D266,'2.Bookinglist'!A:CT,26,FALSE)</f>
        <v>0</v>
      </c>
      <c r="K266" s="54" t="str">
        <f>VLOOKUP(A266,'1.Loading'!A:R,5,FALSE)</f>
        <v>22GP</v>
      </c>
      <c r="L266" s="56" t="str">
        <f>VLOOKUP(D266,'2.Bookinglist'!A:CT,85,FALSE)</f>
        <v>CY/CY</v>
      </c>
      <c r="M266" s="56" t="str">
        <f>IF(VLOOKUP(D266,'2.Bookinglist'!A:CT,43,FALSE)=0,"","DG")</f>
        <v/>
      </c>
      <c r="N266" s="56" t="str">
        <f>IF(RIGHT(K266,2)="RE","RF","")</f>
        <v/>
      </c>
      <c r="O266" s="54" t="str">
        <f>VLOOKUP(A266,'1.Loading'!A:R,3,FALSE)</f>
        <v>HMVY</v>
      </c>
      <c r="P266" s="54" t="str">
        <f>VLOOKUP(A266,'1.Loading'!A:R,4,FALSE)</f>
        <v>2609N</v>
      </c>
      <c r="Q266" s="54" t="str">
        <f>VLOOKUP(D266,'2.Bookinglist'!A:CT,12,FALSE)</f>
        <v>PCI2</v>
      </c>
      <c r="R266" s="56" t="str">
        <f>IF(LEFT(K266,2)="22","20'","40'")</f>
        <v>20'</v>
      </c>
      <c r="S266" s="38"/>
      <c r="T266" s="54" t="str">
        <f>VLOOKUP(A266,'1.Loading'!A:R,2,FALSE)</f>
        <v>2026-10-28</v>
      </c>
      <c r="U266" s="57">
        <f>T266-S266</f>
        <v>46323</v>
      </c>
      <c r="V266" s="58"/>
      <c r="W266" s="54" t="str">
        <f>VLOOKUP(A266,'3.GateMove'!A:D,4,FALSE)</f>
        <v>2026-10-09</v>
      </c>
      <c r="X266" s="57">
        <f>((T266-W266)+1)</f>
        <v>20</v>
      </c>
      <c r="Y266" s="59">
        <f>IF(AND(OR(C266="BKK01",C266="BKK04"),L266="CFS/CY"),0,IF(M266="DG",1,IF(LEFT(C266,3)="LCH",7,IF(C266="BKK02",5,3))))</f>
        <v>7</v>
      </c>
      <c r="Z266" s="57">
        <f>IF(IF(AND(AC266="TML",AB266&gt;0),((T266-W266)+1)-AB266,((T266-W266)+1)-Y266)&gt;0,IF(AND(AC266="TML",AB266&gt;0),((T266-W266)+1)-AB266,((T266-W266)+1)-Y266),0)</f>
        <v>13</v>
      </c>
      <c r="AA266" s="48">
        <f>IF(AND(B266="G1",M266=""),IF(R266="20'",
VLOOKUP(Z266,Charge!$K$2:$M$5,2,TRUE)+(Z266-VLOOKUP(Z266,Charge!$K$2:$M$5,1,TRUE))*VLOOKUP(Z266,Charge!$K$2:$M$5,3,TRUE),
VLOOKUP(Z266,Charge!$N$2:$P$5,2,TRUE)+(Z266-VLOOKUP(Z266,Charge!$N$2:$P$5,1,TRUE))*VLOOKUP(Z266,Charge!$N$2:$P$5,3,TRUE)),
IF(AND(B266="G1",M266="DG"),IF(R266="20'",
VLOOKUP(Z266,Charge!$R$2:$T$5,2,TRUE)+(Z266-VLOOKUP(Z266,Charge!$R$2:$T$5,1,TRUE))*VLOOKUP(Z266,Charge!$R$2:$T$5,3,TRUE),
VLOOKUP(Z266,Charge!$U$2:$W$5,2,TRUE)+(Z266-VLOOKUP(Z266,Charge!$U$2:$W$5,1,TRUE))*VLOOKUP(Z266,Charge!$U$2:$W$5,3,TRUE)),
IF(AND(B266="G3",M266=""),IF(R266="20'",
VLOOKUP(Z266,Charge!$K$18:$M$21,2,TRUE)+(Z266-VLOOKUP(Z266,Charge!$K$18:$M$21,1,TRUE))*VLOOKUP(Z266,Charge!$K$18:$M$21,3,TRUE),
VLOOKUP(Z266,Charge!$N$18:$P$21,2,TRUE)+(Z266-VLOOKUP(Z266,Charge!$N$18:$P$21,1,TRUE))*VLOOKUP(Z266,Charge!$N$18:$P$21,3,TRUE)),
IF(AND(B266="G3",M266="DG"),IF(R266="20'",
VLOOKUP(Z266,Charge!$R$18:$T$21,2,TRUE)+(Z266-VLOOKUP(Z266,Charge!$R$18:$T$21,1,TRUE))*VLOOKUP(Z266,Charge!$R$18:$T$21,3,TRUE),
VLOOKUP(Z266,Charge!$U$18:$W$21,2,TRUE)+(Z266-VLOOKUP(Z266,Charge!$U$18:$W$21,1,TRUE))*VLOOKUP(Z266,Charge!$U$18:$W$21,3,TRUE)),
IF(AND(B266="G2",M266=""),IF(R266="20'",
VLOOKUP(Z266,Charge!$K$9:$M$12,2,TRUE)+(Z266-VLOOKUP(Z266,Charge!$K$9:$M$12,1,TRUE))*VLOOKUP(Z266,Charge!$K$9:$M$12,3,TRUE),
VLOOKUP(Z266,Charge!$N$9:$P$12,2,TRUE)+(Z266-VLOOKUP(Z266,Charge!$N$9:$P$12,1,TRUE))*VLOOKUP(Z266,Charge!$N$9:$P$12,3,TRUE)),
IF(AND(B266="G2",M266="DG"),IF(R266="20'",
VLOOKUP(Z266,Charge!$R$9:$T$12,2,TRUE)+(Z266-VLOOKUP(Z266,Charge!$R$9:$T$12,1,TRUE))*VLOOKUP(Z266,Charge!$R$9:$T$12,3,TRUE),
VLOOKUP(Z266,Charge!$U$9:$W$12,2,TRUE)+(Z266-VLOOKUP(Z266,Charge!$U$9:$W$12,1,TRUE))*VLOOKUP(Z266,Charge!$U$9:$W$12,3,TRUE)),IF(AND(B266="G4",M266=""),IF(R266="20'",Z266*Charge!$M$25,Z266*Charge!$P$25),IF(AND(B266="G4",M266="DG"),IF(R266="20'",Z266*Charge!$T$25,Z266*Charge!$W$25),0))))))))</f>
        <v>2375</v>
      </c>
      <c r="AB266" s="53"/>
      <c r="AC266" s="53"/>
      <c r="AD266" s="56">
        <f>IF(M266="DG",3,IF(N266="RF",3,5))+IF(AND(LEFT(C266,3)="BKK",N266="RF",Q266="KTS"),1,0)+IF(Q266="KHS",1,0)</f>
        <v>5</v>
      </c>
      <c r="AE266" s="57">
        <f>(T266-V266)+1</f>
        <v>46324</v>
      </c>
      <c r="AF266" s="57">
        <f>IF(AB266&gt;IF((V266-W266)&gt;0,V266-W266,0),0,IF(AB266&lt;IF((V266-W266)&gt;0,V266-W266,0),IF((V266-W266)&gt;0,V266-W266,0)-AB266,IF((V266-W266)&gt;0,V266-W266,0)))</f>
        <v>0</v>
      </c>
      <c r="AG266" s="48">
        <f>IF(AND(M266=""),IF(R266="20'",
VLOOKUP(AF266,Charge!$K$31:$M$34,2,TRUE)+(AF266-VLOOKUP(AF266,Charge!$K$31:$M$34,1,TRUE))*VLOOKUP(AF266,Charge!$K$31:$M$34,3,TRUE),
VLOOKUP(AF266,Charge!$N$31:$P$34,2,TRUE)+(AF266-VLOOKUP(AF266,Charge!$N$31:$P$34,1,TRUE))*VLOOKUP(AF266,Charge!$N$31:$P$34,3,TRUE)),
IF(AND(M266="DG"),IF(R266="20'",
VLOOKUP(AF266,Charge!$R$31:$T$34,2,TRUE)+(AF266-VLOOKUP(AF266,Charge!$R$31:$T$34,1,TRUE))*VLOOKUP(AF266,Charge!$R$31:$T$34,3,TRUE),
VLOOKUP(AF266,Charge!$U$31:$W$34,2,TRUE)+(AF266-VLOOKUP(AF266,Charge!$U$31:$W$34,1,TRUE))*VLOOKUP(AF266,Charge!$U$31:$W$34,3,TRUE)),0))</f>
        <v>0</v>
      </c>
      <c r="AH266" s="60"/>
      <c r="AI266" s="60">
        <f>AA266-AH266</f>
        <v>2375</v>
      </c>
      <c r="AJ266" s="61"/>
      <c r="AK266" s="55" t="str">
        <f>VLOOKUP(D266,'2.Bookinglist'!A:CT,40,FALSE)</f>
        <v>Pattarapong Saengthong</v>
      </c>
      <c r="AL266" s="56" t="str">
        <f>VLOOKUP(D266,'2.Bookinglist'!A:CW,101,FALSE)</f>
        <v>2026-10-24</v>
      </c>
      <c r="AM266" s="56" t="str">
        <f>VLOOKUP(D266,'2.Bookinglist'!A:BK,63,FALSE)</f>
        <v>LCHY5</v>
      </c>
      <c r="AN266" s="55" t="str">
        <f>VLOOKUP(D266,'2.Bookinglist'!A:AZ,52,FALSE)</f>
        <v>Pickup : 2026-10-08, Return : 2026-10-09 [1ST RTN 09/10/2026 W/O RENT]</v>
      </c>
      <c r="AO266" s="55" t="str">
        <f>VLOOKUP(D266,'2.Bookinglist'!A:CY,103,FALSE)</f>
        <v>ROLL OVER FROM PREVIOUS VSL SWRG 2609N BY ALLOCATION TEAM MS.TAN APPROVED COST IS UNDER HA DD.13/10</v>
      </c>
    </row>
    <row r="267" ht="12.95" customHeight="1" spans="1:41" x14ac:dyDescent="0.25">
      <c r="A267" s="3" t="s">
        <v>289</v>
      </c>
      <c r="B267" s="53" t="str">
        <f>IF(C267=Charge!$M$1,Charge!$J$1,IF(C267=Charge!$M$23,Charge!$J$23,IF(C267=Charge!$M$17,Charge!$J$17,IF(C267=Charge!$N$17,Charge!$J$17,Charge!$J$7))))</f>
        <v>G2</v>
      </c>
      <c r="C267" s="54" t="str">
        <f>VLOOKUP(A267,'1.Loading'!A:R,14,FALSE)</f>
        <v>LCH06</v>
      </c>
      <c r="D267" s="54" t="str">
        <f>VLOOKUP(A267,'1.Loading'!A:R,17,FALSE)</f>
        <v>HASLS22260900170</v>
      </c>
      <c r="E267" s="55" t="str">
        <f>VLOOKUP(D267,'2.Bookinglist'!A:CT,27,FALSE)</f>
        <v>PANDA GOGO LOGISTICS CO., LTD.</v>
      </c>
      <c r="F267" s="55" t="str">
        <f>VLOOKUP(D267,'2.Bookinglist'!A:CT,28,FALSE)</f>
        <v>GC-M PTA COMPANY LIMITED</v>
      </c>
      <c r="G267" s="56">
        <f>VLOOKUP(D267,'2.Bookinglist'!A:E,5,FALSE)</f>
        <v>0</v>
      </c>
      <c r="H267" s="54" t="str">
        <f>VLOOKUP(D267,'2.Bookinglist'!A:CT,15,FALSE)</f>
        <v>THLCH</v>
      </c>
      <c r="I267" s="54" t="str">
        <f>VLOOKUP(D267,'2.Bookinglist'!A:CT,19,FALSE)</f>
        <v>JPTRG</v>
      </c>
      <c r="J267" s="54" t="str">
        <f>VLOOKUP(D267,'2.Bookinglist'!A:CT,26,FALSE)</f>
        <v>KRPUS</v>
      </c>
      <c r="K267" s="54" t="str">
        <f>VLOOKUP(A267,'1.Loading'!A:R,5,FALSE)</f>
        <v>22GP</v>
      </c>
      <c r="L267" s="56" t="str">
        <f>VLOOKUP(D267,'2.Bookinglist'!A:CT,85,FALSE)</f>
        <v>CY/CY</v>
      </c>
      <c r="M267" s="56" t="str">
        <f>IF(VLOOKUP(D267,'2.Bookinglist'!A:CT,43,FALSE)=0,"","DG")</f>
        <v/>
      </c>
      <c r="N267" s="56" t="str">
        <f>IF(RIGHT(K267,2)="RE","RF","")</f>
        <v/>
      </c>
      <c r="O267" s="54" t="str">
        <f>VLOOKUP(A267,'1.Loading'!A:R,3,FALSE)</f>
        <v>HMVY</v>
      </c>
      <c r="P267" s="54" t="str">
        <f>VLOOKUP(A267,'1.Loading'!A:R,4,FALSE)</f>
        <v>2609N</v>
      </c>
      <c r="Q267" s="54" t="str">
        <f>VLOOKUP(D267,'2.Bookinglist'!A:CT,12,FALSE)</f>
        <v>PCI2</v>
      </c>
      <c r="R267" s="56" t="str">
        <f>IF(LEFT(K267,2)="22","20'","40'")</f>
        <v>20'</v>
      </c>
      <c r="S267" s="38"/>
      <c r="T267" s="54" t="str">
        <f>VLOOKUP(A267,'1.Loading'!A:R,2,FALSE)</f>
        <v>2026-10-28</v>
      </c>
      <c r="U267" s="57">
        <f>T267-S267</f>
        <v>46323</v>
      </c>
      <c r="V267" s="58"/>
      <c r="W267" s="54" t="str">
        <f>VLOOKUP(A267,'3.GateMove'!A:D,4,FALSE)</f>
        <v>2026-10-19</v>
      </c>
      <c r="X267" s="57">
        <f>((T267-W267)+1)</f>
        <v>10</v>
      </c>
      <c r="Y267" s="59">
        <f>IF(AND(OR(C267="BKK01",C267="BKK04"),L267="CFS/CY"),0,IF(M267="DG",1,IF(LEFT(C267,3)="LCH",7,IF(C267="BKK02",5,3))))</f>
        <v>7</v>
      </c>
      <c r="Z267" s="57">
        <f>IF(IF(AND(AC267="TML",AB267&gt;0),((T267-W267)+1)-AB267,((T267-W267)+1)-Y267)&gt;0,IF(AND(AC267="TML",AB267&gt;0),((T267-W267)+1)-AB267,((T267-W267)+1)-Y267),0)</f>
        <v>3</v>
      </c>
      <c r="AA267" s="48">
        <f>IF(AND(B267="G1",M267=""),IF(R267="20'",
VLOOKUP(Z267,Charge!$K$2:$M$5,2,TRUE)+(Z267-VLOOKUP(Z267,Charge!$K$2:$M$5,1,TRUE))*VLOOKUP(Z267,Charge!$K$2:$M$5,3,TRUE),
VLOOKUP(Z267,Charge!$N$2:$P$5,2,TRUE)+(Z267-VLOOKUP(Z267,Charge!$N$2:$P$5,1,TRUE))*VLOOKUP(Z267,Charge!$N$2:$P$5,3,TRUE)),
IF(AND(B267="G1",M267="DG"),IF(R267="20'",
VLOOKUP(Z267,Charge!$R$2:$T$5,2,TRUE)+(Z267-VLOOKUP(Z267,Charge!$R$2:$T$5,1,TRUE))*VLOOKUP(Z267,Charge!$R$2:$T$5,3,TRUE),
VLOOKUP(Z267,Charge!$U$2:$W$5,2,TRUE)+(Z267-VLOOKUP(Z267,Charge!$U$2:$W$5,1,TRUE))*VLOOKUP(Z267,Charge!$U$2:$W$5,3,TRUE)),
IF(AND(B267="G3",M267=""),IF(R267="20'",
VLOOKUP(Z267,Charge!$K$18:$M$21,2,TRUE)+(Z267-VLOOKUP(Z267,Charge!$K$18:$M$21,1,TRUE))*VLOOKUP(Z267,Charge!$K$18:$M$21,3,TRUE),
VLOOKUP(Z267,Charge!$N$18:$P$21,2,TRUE)+(Z267-VLOOKUP(Z267,Charge!$N$18:$P$21,1,TRUE))*VLOOKUP(Z267,Charge!$N$18:$P$21,3,TRUE)),
IF(AND(B267="G3",M267="DG"),IF(R267="20'",
VLOOKUP(Z267,Charge!$R$18:$T$21,2,TRUE)+(Z267-VLOOKUP(Z267,Charge!$R$18:$T$21,1,TRUE))*VLOOKUP(Z267,Charge!$R$18:$T$21,3,TRUE),
VLOOKUP(Z267,Charge!$U$18:$W$21,2,TRUE)+(Z267-VLOOKUP(Z267,Charge!$U$18:$W$21,1,TRUE))*VLOOKUP(Z267,Charge!$U$18:$W$21,3,TRUE)),
IF(AND(B267="G2",M267=""),IF(R267="20'",
VLOOKUP(Z267,Charge!$K$9:$M$12,2,TRUE)+(Z267-VLOOKUP(Z267,Charge!$K$9:$M$12,1,TRUE))*VLOOKUP(Z267,Charge!$K$9:$M$12,3,TRUE),
VLOOKUP(Z267,Charge!$N$9:$P$12,2,TRUE)+(Z267-VLOOKUP(Z267,Charge!$N$9:$P$12,1,TRUE))*VLOOKUP(Z267,Charge!$N$9:$P$12,3,TRUE)),
IF(AND(B267="G2",M267="DG"),IF(R267="20'",
VLOOKUP(Z267,Charge!$R$9:$T$12,2,TRUE)+(Z267-VLOOKUP(Z267,Charge!$R$9:$T$12,1,TRUE))*VLOOKUP(Z267,Charge!$R$9:$T$12,3,TRUE),
VLOOKUP(Z267,Charge!$U$9:$W$12,2,TRUE)+(Z267-VLOOKUP(Z267,Charge!$U$9:$W$12,1,TRUE))*VLOOKUP(Z267,Charge!$U$9:$W$12,3,TRUE)),IF(AND(B267="G4",M267=""),IF(R267="20'",Z267*Charge!$M$25,Z267*Charge!$P$25),IF(AND(B267="G4",M267="DG"),IF(R267="20'",Z267*Charge!$T$25,Z267*Charge!$W$25),0))))))))</f>
        <v>375</v>
      </c>
      <c r="AB267" s="53"/>
      <c r="AC267" s="53"/>
      <c r="AD267" s="56">
        <f>IF(M267="DG",3,IF(N267="RF",3,5))+IF(AND(LEFT(C267,3)="BKK",N267="RF",Q267="KTS"),1,0)+IF(Q267="KHS",1,0)</f>
        <v>5</v>
      </c>
      <c r="AE267" s="57">
        <f>(T267-V267)+1</f>
        <v>46324</v>
      </c>
      <c r="AF267" s="57">
        <f>IF(AB267&gt;IF((V267-W267)&gt;0,V267-W267,0),0,IF(AB267&lt;IF((V267-W267)&gt;0,V267-W267,0),IF((V267-W267)&gt;0,V267-W267,0)-AB267,IF((V267-W267)&gt;0,V267-W267,0)))</f>
        <v>0</v>
      </c>
      <c r="AG267" s="48">
        <f>IF(AND(M267=""),IF(R267="20'",
VLOOKUP(AF267,Charge!$K$31:$M$34,2,TRUE)+(AF267-VLOOKUP(AF267,Charge!$K$31:$M$34,1,TRUE))*VLOOKUP(AF267,Charge!$K$31:$M$34,3,TRUE),
VLOOKUP(AF267,Charge!$N$31:$P$34,2,TRUE)+(AF267-VLOOKUP(AF267,Charge!$N$31:$P$34,1,TRUE))*VLOOKUP(AF267,Charge!$N$31:$P$34,3,TRUE)),
IF(AND(M267="DG"),IF(R267="20'",
VLOOKUP(AF267,Charge!$R$31:$T$34,2,TRUE)+(AF267-VLOOKUP(AF267,Charge!$R$31:$T$34,1,TRUE))*VLOOKUP(AF267,Charge!$R$31:$T$34,3,TRUE),
VLOOKUP(AF267,Charge!$U$31:$W$34,2,TRUE)+(AF267-VLOOKUP(AF267,Charge!$U$31:$W$34,1,TRUE))*VLOOKUP(AF267,Charge!$U$31:$W$34,3,TRUE)),0))</f>
        <v>0</v>
      </c>
      <c r="AH267" s="60"/>
      <c r="AI267" s="60">
        <f>AA267-AH267</f>
        <v>375</v>
      </c>
      <c r="AJ267" s="61"/>
      <c r="AK267" s="55" t="str">
        <f>VLOOKUP(D267,'2.Bookinglist'!A:CT,40,FALSE)</f>
        <v>Tarn(Supaporn)</v>
      </c>
      <c r="AL267" s="56" t="str">
        <f>VLOOKUP(D267,'2.Bookinglist'!A:CW,101,FALSE)</f>
        <v>2026-10-22</v>
      </c>
      <c r="AM267" s="56" t="str">
        <f>VLOOKUP(D267,'2.Bookinglist'!A:BK,63,FALSE)</f>
        <v>LCHY5</v>
      </c>
      <c r="AN267" s="55" t="str">
        <f>VLOOKUP(D267,'2.Bookinglist'!A:AZ,52,FALSE)</f>
        <v>[FIX]Pickup : 2026-10-14, Return : 2026-10-15 [1ST RTN 16/10/2026 W/O RENT]
** PLEASE CHECK OPEN GATE BEFORE RETURN CONTAINER ** </v>
      </c>
      <c r="AO267" s="55">
        <f>VLOOKUP(D267,'2.Bookinglist'!A:CY,103,FALSE)</f>
        <v>0</v>
      </c>
    </row>
    <row r="268" ht="12.95" customHeight="1" spans="1:41" x14ac:dyDescent="0.25">
      <c r="A268" s="3" t="s">
        <v>290</v>
      </c>
      <c r="B268" s="53" t="str">
        <f>IF(C268=Charge!$M$1,Charge!$J$1,IF(C268=Charge!$M$23,Charge!$J$23,IF(C268=Charge!$M$17,Charge!$J$17,IF(C268=Charge!$N$17,Charge!$J$17,Charge!$J$7))))</f>
        <v>G2</v>
      </c>
      <c r="C268" s="54" t="str">
        <f>VLOOKUP(A268,'1.Loading'!A:R,14,FALSE)</f>
        <v>LCH06</v>
      </c>
      <c r="D268" s="54" t="str">
        <f>VLOOKUP(A268,'1.Loading'!A:R,17,FALSE)</f>
        <v>HASLS22260900170</v>
      </c>
      <c r="E268" s="55" t="str">
        <f>VLOOKUP(D268,'2.Bookinglist'!A:CT,27,FALSE)</f>
        <v>PANDA GOGO LOGISTICS CO., LTD.</v>
      </c>
      <c r="F268" s="55" t="str">
        <f>VLOOKUP(D268,'2.Bookinglist'!A:CT,28,FALSE)</f>
        <v>GC-M PTA COMPANY LIMITED</v>
      </c>
      <c r="G268" s="56">
        <f>VLOOKUP(D268,'2.Bookinglist'!A:E,5,FALSE)</f>
        <v>0</v>
      </c>
      <c r="H268" s="54" t="str">
        <f>VLOOKUP(D268,'2.Bookinglist'!A:CT,15,FALSE)</f>
        <v>THLCH</v>
      </c>
      <c r="I268" s="54" t="str">
        <f>VLOOKUP(D268,'2.Bookinglist'!A:CT,19,FALSE)</f>
        <v>JPTRG</v>
      </c>
      <c r="J268" s="54" t="str">
        <f>VLOOKUP(D268,'2.Bookinglist'!A:CT,26,FALSE)</f>
        <v>KRPUS</v>
      </c>
      <c r="K268" s="54" t="str">
        <f>VLOOKUP(A268,'1.Loading'!A:R,5,FALSE)</f>
        <v>22GP</v>
      </c>
      <c r="L268" s="56" t="str">
        <f>VLOOKUP(D268,'2.Bookinglist'!A:CT,85,FALSE)</f>
        <v>CY/CY</v>
      </c>
      <c r="M268" s="56" t="str">
        <f>IF(VLOOKUP(D268,'2.Bookinglist'!A:CT,43,FALSE)=0,"","DG")</f>
        <v/>
      </c>
      <c r="N268" s="56" t="str">
        <f>IF(RIGHT(K268,2)="RE","RF","")</f>
        <v/>
      </c>
      <c r="O268" s="54" t="str">
        <f>VLOOKUP(A268,'1.Loading'!A:R,3,FALSE)</f>
        <v>HMVY</v>
      </c>
      <c r="P268" s="54" t="str">
        <f>VLOOKUP(A268,'1.Loading'!A:R,4,FALSE)</f>
        <v>2609N</v>
      </c>
      <c r="Q268" s="54" t="str">
        <f>VLOOKUP(D268,'2.Bookinglist'!A:CT,12,FALSE)</f>
        <v>PCI2</v>
      </c>
      <c r="R268" s="56" t="str">
        <f>IF(LEFT(K268,2)="22","20'","40'")</f>
        <v>20'</v>
      </c>
      <c r="S268" s="38"/>
      <c r="T268" s="54" t="str">
        <f>VLOOKUP(A268,'1.Loading'!A:R,2,FALSE)</f>
        <v>2026-10-28</v>
      </c>
      <c r="U268" s="57">
        <f>T268-S268</f>
        <v>46323</v>
      </c>
      <c r="V268" s="58"/>
      <c r="W268" s="54" t="str">
        <f>VLOOKUP(A268,'3.GateMove'!A:D,4,FALSE)</f>
        <v>2026-10-18</v>
      </c>
      <c r="X268" s="57">
        <f>((T268-W268)+1)</f>
        <v>11</v>
      </c>
      <c r="Y268" s="59">
        <f>IF(AND(OR(C268="BKK01",C268="BKK04"),L268="CFS/CY"),0,IF(M268="DG",1,IF(LEFT(C268,3)="LCH",7,IF(C268="BKK02",5,3))))</f>
        <v>7</v>
      </c>
      <c r="Z268" s="57">
        <f>IF(IF(AND(AC268="TML",AB268&gt;0),((T268-W268)+1)-AB268,((T268-W268)+1)-Y268)&gt;0,IF(AND(AC268="TML",AB268&gt;0),((T268-W268)+1)-AB268,((T268-W268)+1)-Y268),0)</f>
        <v>4</v>
      </c>
      <c r="AA268" s="48">
        <f>IF(AND(B268="G1",M268=""),IF(R268="20'",
VLOOKUP(Z268,Charge!$K$2:$M$5,2,TRUE)+(Z268-VLOOKUP(Z268,Charge!$K$2:$M$5,1,TRUE))*VLOOKUP(Z268,Charge!$K$2:$M$5,3,TRUE),
VLOOKUP(Z268,Charge!$N$2:$P$5,2,TRUE)+(Z268-VLOOKUP(Z268,Charge!$N$2:$P$5,1,TRUE))*VLOOKUP(Z268,Charge!$N$2:$P$5,3,TRUE)),
IF(AND(B268="G1",M268="DG"),IF(R268="20'",
VLOOKUP(Z268,Charge!$R$2:$T$5,2,TRUE)+(Z268-VLOOKUP(Z268,Charge!$R$2:$T$5,1,TRUE))*VLOOKUP(Z268,Charge!$R$2:$T$5,3,TRUE),
VLOOKUP(Z268,Charge!$U$2:$W$5,2,TRUE)+(Z268-VLOOKUP(Z268,Charge!$U$2:$W$5,1,TRUE))*VLOOKUP(Z268,Charge!$U$2:$W$5,3,TRUE)),
IF(AND(B268="G3",M268=""),IF(R268="20'",
VLOOKUP(Z268,Charge!$K$18:$M$21,2,TRUE)+(Z268-VLOOKUP(Z268,Charge!$K$18:$M$21,1,TRUE))*VLOOKUP(Z268,Charge!$K$18:$M$21,3,TRUE),
VLOOKUP(Z268,Charge!$N$18:$P$21,2,TRUE)+(Z268-VLOOKUP(Z268,Charge!$N$18:$P$21,1,TRUE))*VLOOKUP(Z268,Charge!$N$18:$P$21,3,TRUE)),
IF(AND(B268="G3",M268="DG"),IF(R268="20'",
VLOOKUP(Z268,Charge!$R$18:$T$21,2,TRUE)+(Z268-VLOOKUP(Z268,Charge!$R$18:$T$21,1,TRUE))*VLOOKUP(Z268,Charge!$R$18:$T$21,3,TRUE),
VLOOKUP(Z268,Charge!$U$18:$W$21,2,TRUE)+(Z268-VLOOKUP(Z268,Charge!$U$18:$W$21,1,TRUE))*VLOOKUP(Z268,Charge!$U$18:$W$21,3,TRUE)),
IF(AND(B268="G2",M268=""),IF(R268="20'",
VLOOKUP(Z268,Charge!$K$9:$M$12,2,TRUE)+(Z268-VLOOKUP(Z268,Charge!$K$9:$M$12,1,TRUE))*VLOOKUP(Z268,Charge!$K$9:$M$12,3,TRUE),
VLOOKUP(Z268,Charge!$N$9:$P$12,2,TRUE)+(Z268-VLOOKUP(Z268,Charge!$N$9:$P$12,1,TRUE))*VLOOKUP(Z268,Charge!$N$9:$P$12,3,TRUE)),
IF(AND(B268="G2",M268="DG"),IF(R268="20'",
VLOOKUP(Z268,Charge!$R$9:$T$12,2,TRUE)+(Z268-VLOOKUP(Z268,Charge!$R$9:$T$12,1,TRUE))*VLOOKUP(Z268,Charge!$R$9:$T$12,3,TRUE),
VLOOKUP(Z268,Charge!$U$9:$W$12,2,TRUE)+(Z268-VLOOKUP(Z268,Charge!$U$9:$W$12,1,TRUE))*VLOOKUP(Z268,Charge!$U$9:$W$12,3,TRUE)),IF(AND(B268="G4",M268=""),IF(R268="20'",Z268*Charge!$M$25,Z268*Charge!$P$25),IF(AND(B268="G4",M268="DG"),IF(R268="20'",Z268*Charge!$T$25,Z268*Charge!$W$25),0))))))))</f>
        <v>500</v>
      </c>
      <c r="AB268" s="53"/>
      <c r="AC268" s="53"/>
      <c r="AD268" s="56">
        <f>IF(M268="DG",3,IF(N268="RF",3,5))+IF(AND(LEFT(C268,3)="BKK",N268="RF",Q268="KTS"),1,0)+IF(Q268="KHS",1,0)</f>
        <v>5</v>
      </c>
      <c r="AE268" s="57">
        <f>(T268-V268)+1</f>
        <v>46324</v>
      </c>
      <c r="AF268" s="57">
        <f>IF(AB268&gt;IF((V268-W268)&gt;0,V268-W268,0),0,IF(AB268&lt;IF((V268-W268)&gt;0,V268-W268,0),IF((V268-W268)&gt;0,V268-W268,0)-AB268,IF((V268-W268)&gt;0,V268-W268,0)))</f>
        <v>0</v>
      </c>
      <c r="AG268" s="48">
        <f>IF(AND(M268=""),IF(R268="20'",
VLOOKUP(AF268,Charge!$K$31:$M$34,2,TRUE)+(AF268-VLOOKUP(AF268,Charge!$K$31:$M$34,1,TRUE))*VLOOKUP(AF268,Charge!$K$31:$M$34,3,TRUE),
VLOOKUP(AF268,Charge!$N$31:$P$34,2,TRUE)+(AF268-VLOOKUP(AF268,Charge!$N$31:$P$34,1,TRUE))*VLOOKUP(AF268,Charge!$N$31:$P$34,3,TRUE)),
IF(AND(M268="DG"),IF(R268="20'",
VLOOKUP(AF268,Charge!$R$31:$T$34,2,TRUE)+(AF268-VLOOKUP(AF268,Charge!$R$31:$T$34,1,TRUE))*VLOOKUP(AF268,Charge!$R$31:$T$34,3,TRUE),
VLOOKUP(AF268,Charge!$U$31:$W$34,2,TRUE)+(AF268-VLOOKUP(AF268,Charge!$U$31:$W$34,1,TRUE))*VLOOKUP(AF268,Charge!$U$31:$W$34,3,TRUE)),0))</f>
        <v>0</v>
      </c>
      <c r="AH268" s="60"/>
      <c r="AI268" s="60">
        <f>AA268-AH268</f>
        <v>500</v>
      </c>
      <c r="AJ268" s="61"/>
      <c r="AK268" s="55" t="str">
        <f>VLOOKUP(D268,'2.Bookinglist'!A:CT,40,FALSE)</f>
        <v>Tarn(Supaporn)</v>
      </c>
      <c r="AL268" s="56" t="str">
        <f>VLOOKUP(D268,'2.Bookinglist'!A:CW,101,FALSE)</f>
        <v>2026-10-22</v>
      </c>
      <c r="AM268" s="56" t="str">
        <f>VLOOKUP(D268,'2.Bookinglist'!A:BK,63,FALSE)</f>
        <v>LCHY5</v>
      </c>
      <c r="AN268" s="55" t="str">
        <f>VLOOKUP(D268,'2.Bookinglist'!A:AZ,52,FALSE)</f>
        <v>[FIX]Pickup : 2026-10-14, Return : 2026-10-15 [1ST RTN 16/10/2026 W/O RENT]
** PLEASE CHECK OPEN GATE BEFORE RETURN CONTAINER ** </v>
      </c>
      <c r="AO268" s="55">
        <f>VLOOKUP(D268,'2.Bookinglist'!A:CY,103,FALSE)</f>
        <v>0</v>
      </c>
    </row>
    <row r="269" ht="12.95" customHeight="1" spans="1:41" x14ac:dyDescent="0.25">
      <c r="A269" s="3" t="s">
        <v>372</v>
      </c>
      <c r="B269" s="53" t="str">
        <f>IF(C269=Charge!$M$1,Charge!$J$1,IF(C269=Charge!$M$23,Charge!$J$23,IF(C269=Charge!$M$17,Charge!$J$17,IF(C269=Charge!$N$17,Charge!$J$17,Charge!$J$7))))</f>
        <v>G2</v>
      </c>
      <c r="C269" s="54" t="str">
        <f>VLOOKUP(A269,'1.Loading'!A:R,14,FALSE)</f>
        <v>LCH06</v>
      </c>
      <c r="D269" s="54" t="str">
        <f>VLOOKUP(A269,'1.Loading'!A:R,17,FALSE)</f>
        <v>HASLS22260901418</v>
      </c>
      <c r="E269" s="55" t="str">
        <f>VLOOKUP(D269,'2.Bookinglist'!A:CT,27,FALSE)</f>
        <v>RCL LOGISTICS CO., LTD.</v>
      </c>
      <c r="F269" s="55" t="str">
        <f>VLOOKUP(D269,'2.Bookinglist'!A:CT,28,FALSE)</f>
        <v>SMS CORPORATION CO., LTD.</v>
      </c>
      <c r="G269" s="56" t="str">
        <f>VLOOKUP(D269,'2.Bookinglist'!A:E,5,FALSE)</f>
        <v>THSRP</v>
      </c>
      <c r="H269" s="54" t="str">
        <f>VLOOKUP(D269,'2.Bookinglist'!A:CT,15,FALSE)</f>
        <v>THLCH</v>
      </c>
      <c r="I269" s="54" t="str">
        <f>VLOOKUP(D269,'2.Bookinglist'!A:CT,19,FALSE)</f>
        <v>CNSHA</v>
      </c>
      <c r="J269" s="54">
        <f>VLOOKUP(D269,'2.Bookinglist'!A:CT,26,FALSE)</f>
        <v>0</v>
      </c>
      <c r="K269" s="54" t="str">
        <f>VLOOKUP(A269,'1.Loading'!A:R,5,FALSE)</f>
        <v>22GP</v>
      </c>
      <c r="L269" s="56" t="str">
        <f>VLOOKUP(D269,'2.Bookinglist'!A:CT,85,FALSE)</f>
        <v>CY/CY</v>
      </c>
      <c r="M269" s="56" t="str">
        <f>IF(VLOOKUP(D269,'2.Bookinglist'!A:CT,43,FALSE)=0,"","DG")</f>
        <v/>
      </c>
      <c r="N269" s="56" t="str">
        <f>IF(RIGHT(K269,2)="RE","RF","")</f>
        <v/>
      </c>
      <c r="O269" s="54" t="str">
        <f>VLOOKUP(A269,'1.Loading'!A:R,3,FALSE)</f>
        <v>HMVY</v>
      </c>
      <c r="P269" s="54" t="str">
        <f>VLOOKUP(A269,'1.Loading'!A:R,4,FALSE)</f>
        <v>2609N</v>
      </c>
      <c r="Q269" s="54" t="str">
        <f>VLOOKUP(D269,'2.Bookinglist'!A:CT,12,FALSE)</f>
        <v>PCI2</v>
      </c>
      <c r="R269" s="56" t="str">
        <f>IF(LEFT(K269,2)="22","20'","40'")</f>
        <v>20'</v>
      </c>
      <c r="S269" s="38"/>
      <c r="T269" s="54" t="str">
        <f>VLOOKUP(A269,'1.Loading'!A:R,2,FALSE)</f>
        <v>2026-10-28</v>
      </c>
      <c r="U269" s="57">
        <f>T269-S269</f>
        <v>46323</v>
      </c>
      <c r="V269" s="58"/>
      <c r="W269" s="54" t="str">
        <f>VLOOKUP(A269,'3.GateMove'!A:D,4,FALSE)</f>
        <v>2026-10-13</v>
      </c>
      <c r="X269" s="57">
        <f>((T269-W269)+1)</f>
        <v>16</v>
      </c>
      <c r="Y269" s="59">
        <f>IF(AND(OR(C269="BKK01",C269="BKK04"),L269="CFS/CY"),0,IF(M269="DG",1,IF(LEFT(C269,3)="LCH",7,IF(C269="BKK02",5,3))))</f>
        <v>7</v>
      </c>
      <c r="Z269" s="57">
        <f>IF(IF(AND(AC269="TML",AB269&gt;0),((T269-W269)+1)-AB269,((T269-W269)+1)-Y269)&gt;0,IF(AND(AC269="TML",AB269&gt;0),((T269-W269)+1)-AB269,((T269-W269)+1)-Y269),0)</f>
        <v>9</v>
      </c>
      <c r="AA269" s="48">
        <f>IF(AND(B269="G1",M269=""),IF(R269="20'",
VLOOKUP(Z269,Charge!$K$2:$M$5,2,TRUE)+(Z269-VLOOKUP(Z269,Charge!$K$2:$M$5,1,TRUE))*VLOOKUP(Z269,Charge!$K$2:$M$5,3,TRUE),
VLOOKUP(Z269,Charge!$N$2:$P$5,2,TRUE)+(Z269-VLOOKUP(Z269,Charge!$N$2:$P$5,1,TRUE))*VLOOKUP(Z269,Charge!$N$2:$P$5,3,TRUE)),
IF(AND(B269="G1",M269="DG"),IF(R269="20'",
VLOOKUP(Z269,Charge!$R$2:$T$5,2,TRUE)+(Z269-VLOOKUP(Z269,Charge!$R$2:$T$5,1,TRUE))*VLOOKUP(Z269,Charge!$R$2:$T$5,3,TRUE),
VLOOKUP(Z269,Charge!$U$2:$W$5,2,TRUE)+(Z269-VLOOKUP(Z269,Charge!$U$2:$W$5,1,TRUE))*VLOOKUP(Z269,Charge!$U$2:$W$5,3,TRUE)),
IF(AND(B269="G3",M269=""),IF(R269="20'",
VLOOKUP(Z269,Charge!$K$18:$M$21,2,TRUE)+(Z269-VLOOKUP(Z269,Charge!$K$18:$M$21,1,TRUE))*VLOOKUP(Z269,Charge!$K$18:$M$21,3,TRUE),
VLOOKUP(Z269,Charge!$N$18:$P$21,2,TRUE)+(Z269-VLOOKUP(Z269,Charge!$N$18:$P$21,1,TRUE))*VLOOKUP(Z269,Charge!$N$18:$P$21,3,TRUE)),
IF(AND(B269="G3",M269="DG"),IF(R269="20'",
VLOOKUP(Z269,Charge!$R$18:$T$21,2,TRUE)+(Z269-VLOOKUP(Z269,Charge!$R$18:$T$21,1,TRUE))*VLOOKUP(Z269,Charge!$R$18:$T$21,3,TRUE),
VLOOKUP(Z269,Charge!$U$18:$W$21,2,TRUE)+(Z269-VLOOKUP(Z269,Charge!$U$18:$W$21,1,TRUE))*VLOOKUP(Z269,Charge!$U$18:$W$21,3,TRUE)),
IF(AND(B269="G2",M269=""),IF(R269="20'",
VLOOKUP(Z269,Charge!$K$9:$M$12,2,TRUE)+(Z269-VLOOKUP(Z269,Charge!$K$9:$M$12,1,TRUE))*VLOOKUP(Z269,Charge!$K$9:$M$12,3,TRUE),
VLOOKUP(Z269,Charge!$N$9:$P$12,2,TRUE)+(Z269-VLOOKUP(Z269,Charge!$N$9:$P$12,1,TRUE))*VLOOKUP(Z269,Charge!$N$9:$P$12,3,TRUE)),
IF(AND(B269="G2",M269="DG"),IF(R269="20'",
VLOOKUP(Z269,Charge!$R$9:$T$12,2,TRUE)+(Z269-VLOOKUP(Z269,Charge!$R$9:$T$12,1,TRUE))*VLOOKUP(Z269,Charge!$R$9:$T$12,3,TRUE),
VLOOKUP(Z269,Charge!$U$9:$W$12,2,TRUE)+(Z269-VLOOKUP(Z269,Charge!$U$9:$W$12,1,TRUE))*VLOOKUP(Z269,Charge!$U$9:$W$12,3,TRUE)),IF(AND(B269="G4",M269=""),IF(R269="20'",Z269*Charge!$M$25,Z269*Charge!$P$25),IF(AND(B269="G4",M269="DG"),IF(R269="20'",Z269*Charge!$T$25,Z269*Charge!$W$25),0))))))))</f>
        <v>1375</v>
      </c>
      <c r="AB269" s="53"/>
      <c r="AC269" s="53"/>
      <c r="AD269" s="56">
        <f>IF(M269="DG",3,IF(N269="RF",3,5))+IF(AND(LEFT(C269,3)="BKK",N269="RF",Q269="KTS"),1,0)+IF(Q269="KHS",1,0)</f>
        <v>5</v>
      </c>
      <c r="AE269" s="57">
        <f>(T269-V269)+1</f>
        <v>46324</v>
      </c>
      <c r="AF269" s="57">
        <f>IF(AB269&gt;IF((V269-W269)&gt;0,V269-W269,0),0,IF(AB269&lt;IF((V269-W269)&gt;0,V269-W269,0),IF((V269-W269)&gt;0,V269-W269,0)-AB269,IF((V269-W269)&gt;0,V269-W269,0)))</f>
        <v>0</v>
      </c>
      <c r="AG269" s="48">
        <f>IF(AND(M269=""),IF(R269="20'",
VLOOKUP(AF269,Charge!$K$31:$M$34,2,TRUE)+(AF269-VLOOKUP(AF269,Charge!$K$31:$M$34,1,TRUE))*VLOOKUP(AF269,Charge!$K$31:$M$34,3,TRUE),
VLOOKUP(AF269,Charge!$N$31:$P$34,2,TRUE)+(AF269-VLOOKUP(AF269,Charge!$N$31:$P$34,1,TRUE))*VLOOKUP(AF269,Charge!$N$31:$P$34,3,TRUE)),
IF(AND(M269="DG"),IF(R269="20'",
VLOOKUP(AF269,Charge!$R$31:$T$34,2,TRUE)+(AF269-VLOOKUP(AF269,Charge!$R$31:$T$34,1,TRUE))*VLOOKUP(AF269,Charge!$R$31:$T$34,3,TRUE),
VLOOKUP(AF269,Charge!$U$31:$W$34,2,TRUE)+(AF269-VLOOKUP(AF269,Charge!$U$31:$W$34,1,TRUE))*VLOOKUP(AF269,Charge!$U$31:$W$34,3,TRUE)),0))</f>
        <v>0</v>
      </c>
      <c r="AH269" s="60"/>
      <c r="AI269" s="60">
        <f>AA269-AH269</f>
        <v>1375</v>
      </c>
      <c r="AJ269" s="61"/>
      <c r="AK269" s="55" t="str">
        <f>VLOOKUP(D269,'2.Bookinglist'!A:CT,40,FALSE)</f>
        <v>Pattarapong Saengthong</v>
      </c>
      <c r="AL269" s="56" t="str">
        <f>VLOOKUP(D269,'2.Bookinglist'!A:CW,101,FALSE)</f>
        <v>2026-10-24</v>
      </c>
      <c r="AM269" s="56" t="str">
        <f>VLOOKUP(D269,'2.Bookinglist'!A:BK,63,FALSE)</f>
        <v>BKK25</v>
      </c>
      <c r="AN269" s="55" t="str">
        <f>VLOOKUP(D269,'2.Bookinglist'!A:AZ,52,FALSE)</f>
        <v>Pickup : 2026-10-02, Return @SRP : 2026-10-06 (PAPERLESS CODE : 2829)
CLS TIME @SRP : 06/10/2026 @23.59 </v>
      </c>
      <c r="AO269" s="55" t="str">
        <f>VLOOKUP(D269,'2.Bookinglist'!A:CY,103,FALSE)</f>
        <v>ROLL OVER FROM PREVIOUS VSL SWRG 2609N BY ALLOCATION TEAM MS.TAN APPROVED COST IS UNDER HA DD.13/10</v>
      </c>
    </row>
    <row r="270" ht="12.95" customHeight="1" spans="1:41" x14ac:dyDescent="0.25">
      <c r="A270" s="3" t="s">
        <v>355</v>
      </c>
      <c r="B270" s="53" t="str">
        <f>IF(C270=Charge!$M$1,Charge!$J$1,IF(C270=Charge!$M$23,Charge!$J$23,IF(C270=Charge!$M$17,Charge!$J$17,IF(C270=Charge!$N$17,Charge!$J$17,Charge!$J$7))))</f>
        <v>G2</v>
      </c>
      <c r="C270" s="54" t="str">
        <f>VLOOKUP(A270,'1.Loading'!A:R,14,FALSE)</f>
        <v>LCH06</v>
      </c>
      <c r="D270" s="54" t="str">
        <f>VLOOKUP(A270,'1.Loading'!A:R,17,FALSE)</f>
        <v>HASLS22260902295</v>
      </c>
      <c r="E270" s="55" t="str">
        <f>VLOOKUP(D270,'2.Bookinglist'!A:CT,27,FALSE)</f>
        <v>CS FREIGHT &amp; SERVICE  CO.,LTD.</v>
      </c>
      <c r="F270" s="55" t="str">
        <f>VLOOKUP(D270,'2.Bookinglist'!A:CT,28,FALSE)</f>
        <v>EURO-ORIENTAL TRADING CO., LTD.</v>
      </c>
      <c r="G270" s="56">
        <f>VLOOKUP(D270,'2.Bookinglist'!A:E,5,FALSE)</f>
        <v>0</v>
      </c>
      <c r="H270" s="54" t="str">
        <f>VLOOKUP(D270,'2.Bookinglist'!A:CT,15,FALSE)</f>
        <v>THLCH</v>
      </c>
      <c r="I270" s="54" t="str">
        <f>VLOOKUP(D270,'2.Bookinglist'!A:CT,19,FALSE)</f>
        <v>CNSHA</v>
      </c>
      <c r="J270" s="54">
        <f>VLOOKUP(D270,'2.Bookinglist'!A:CT,26,FALSE)</f>
        <v>0</v>
      </c>
      <c r="K270" s="54" t="str">
        <f>VLOOKUP(A270,'1.Loading'!A:R,5,FALSE)</f>
        <v>22GP</v>
      </c>
      <c r="L270" s="56" t="str">
        <f>VLOOKUP(D270,'2.Bookinglist'!A:CT,85,FALSE)</f>
        <v>CY/CY</v>
      </c>
      <c r="M270" s="56" t="str">
        <f>IF(VLOOKUP(D270,'2.Bookinglist'!A:CT,43,FALSE)=0,"","DG")</f>
        <v/>
      </c>
      <c r="N270" s="56" t="str">
        <f>IF(RIGHT(K270,2)="RE","RF","")</f>
        <v/>
      </c>
      <c r="O270" s="54" t="str">
        <f>VLOOKUP(A270,'1.Loading'!A:R,3,FALSE)</f>
        <v>HMVY</v>
      </c>
      <c r="P270" s="54" t="str">
        <f>VLOOKUP(A270,'1.Loading'!A:R,4,FALSE)</f>
        <v>2609N</v>
      </c>
      <c r="Q270" s="54" t="str">
        <f>VLOOKUP(D270,'2.Bookinglist'!A:CT,12,FALSE)</f>
        <v>PCI2</v>
      </c>
      <c r="R270" s="56" t="str">
        <f>IF(LEFT(K270,2)="22","20'","40'")</f>
        <v>20'</v>
      </c>
      <c r="S270" s="38"/>
      <c r="T270" s="54" t="str">
        <f>VLOOKUP(A270,'1.Loading'!A:R,2,FALSE)</f>
        <v>2026-10-28</v>
      </c>
      <c r="U270" s="57">
        <f>T270-S270</f>
        <v>46323</v>
      </c>
      <c r="V270" s="58"/>
      <c r="W270" s="54" t="str">
        <f>VLOOKUP(A270,'3.GateMove'!A:D,4,FALSE)</f>
        <v>2026-10-18</v>
      </c>
      <c r="X270" s="57">
        <f>((T270-W270)+1)</f>
        <v>11</v>
      </c>
      <c r="Y270" s="59">
        <f>IF(AND(OR(C270="BKK01",C270="BKK04"),L270="CFS/CY"),0,IF(M270="DG",1,IF(LEFT(C270,3)="LCH",7,IF(C270="BKK02",5,3))))</f>
        <v>7</v>
      </c>
      <c r="Z270" s="57">
        <f>IF(IF(AND(AC270="TML",AB270&gt;0),((T270-W270)+1)-AB270,((T270-W270)+1)-Y270)&gt;0,IF(AND(AC270="TML",AB270&gt;0),((T270-W270)+1)-AB270,((T270-W270)+1)-Y270),0)</f>
        <v>4</v>
      </c>
      <c r="AA270" s="48">
        <f>IF(AND(B270="G1",M270=""),IF(R270="20'",
VLOOKUP(Z270,Charge!$K$2:$M$5,2,TRUE)+(Z270-VLOOKUP(Z270,Charge!$K$2:$M$5,1,TRUE))*VLOOKUP(Z270,Charge!$K$2:$M$5,3,TRUE),
VLOOKUP(Z270,Charge!$N$2:$P$5,2,TRUE)+(Z270-VLOOKUP(Z270,Charge!$N$2:$P$5,1,TRUE))*VLOOKUP(Z270,Charge!$N$2:$P$5,3,TRUE)),
IF(AND(B270="G1",M270="DG"),IF(R270="20'",
VLOOKUP(Z270,Charge!$R$2:$T$5,2,TRUE)+(Z270-VLOOKUP(Z270,Charge!$R$2:$T$5,1,TRUE))*VLOOKUP(Z270,Charge!$R$2:$T$5,3,TRUE),
VLOOKUP(Z270,Charge!$U$2:$W$5,2,TRUE)+(Z270-VLOOKUP(Z270,Charge!$U$2:$W$5,1,TRUE))*VLOOKUP(Z270,Charge!$U$2:$W$5,3,TRUE)),
IF(AND(B270="G3",M270=""),IF(R270="20'",
VLOOKUP(Z270,Charge!$K$18:$M$21,2,TRUE)+(Z270-VLOOKUP(Z270,Charge!$K$18:$M$21,1,TRUE))*VLOOKUP(Z270,Charge!$K$18:$M$21,3,TRUE),
VLOOKUP(Z270,Charge!$N$18:$P$21,2,TRUE)+(Z270-VLOOKUP(Z270,Charge!$N$18:$P$21,1,TRUE))*VLOOKUP(Z270,Charge!$N$18:$P$21,3,TRUE)),
IF(AND(B270="G3",M270="DG"),IF(R270="20'",
VLOOKUP(Z270,Charge!$R$18:$T$21,2,TRUE)+(Z270-VLOOKUP(Z270,Charge!$R$18:$T$21,1,TRUE))*VLOOKUP(Z270,Charge!$R$18:$T$21,3,TRUE),
VLOOKUP(Z270,Charge!$U$18:$W$21,2,TRUE)+(Z270-VLOOKUP(Z270,Charge!$U$18:$W$21,1,TRUE))*VLOOKUP(Z270,Charge!$U$18:$W$21,3,TRUE)),
IF(AND(B270="G2",M270=""),IF(R270="20'",
VLOOKUP(Z270,Charge!$K$9:$M$12,2,TRUE)+(Z270-VLOOKUP(Z270,Charge!$K$9:$M$12,1,TRUE))*VLOOKUP(Z270,Charge!$K$9:$M$12,3,TRUE),
VLOOKUP(Z270,Charge!$N$9:$P$12,2,TRUE)+(Z270-VLOOKUP(Z270,Charge!$N$9:$P$12,1,TRUE))*VLOOKUP(Z270,Charge!$N$9:$P$12,3,TRUE)),
IF(AND(B270="G2",M270="DG"),IF(R270="20'",
VLOOKUP(Z270,Charge!$R$9:$T$12,2,TRUE)+(Z270-VLOOKUP(Z270,Charge!$R$9:$T$12,1,TRUE))*VLOOKUP(Z270,Charge!$R$9:$T$12,3,TRUE),
VLOOKUP(Z270,Charge!$U$9:$W$12,2,TRUE)+(Z270-VLOOKUP(Z270,Charge!$U$9:$W$12,1,TRUE))*VLOOKUP(Z270,Charge!$U$9:$W$12,3,TRUE)),IF(AND(B270="G4",M270=""),IF(R270="20'",Z270*Charge!$M$25,Z270*Charge!$P$25),IF(AND(B270="G4",M270="DG"),IF(R270="20'",Z270*Charge!$T$25,Z270*Charge!$W$25),0))))))))</f>
        <v>500</v>
      </c>
      <c r="AB270" s="53"/>
      <c r="AC270" s="53"/>
      <c r="AD270" s="56">
        <f>IF(M270="DG",3,IF(N270="RF",3,5))+IF(AND(LEFT(C270,3)="BKK",N270="RF",Q270="KTS"),1,0)+IF(Q270="KHS",1,0)</f>
        <v>5</v>
      </c>
      <c r="AE270" s="57">
        <f>(T270-V270)+1</f>
        <v>46324</v>
      </c>
      <c r="AF270" s="57">
        <f>IF(AB270&gt;IF((V270-W270)&gt;0,V270-W270,0),0,IF(AB270&lt;IF((V270-W270)&gt;0,V270-W270,0),IF((V270-W270)&gt;0,V270-W270,0)-AB270,IF((V270-W270)&gt;0,V270-W270,0)))</f>
        <v>0</v>
      </c>
      <c r="AG270" s="48">
        <f>IF(AND(M270=""),IF(R270="20'",
VLOOKUP(AF270,Charge!$K$31:$M$34,2,TRUE)+(AF270-VLOOKUP(AF270,Charge!$K$31:$M$34,1,TRUE))*VLOOKUP(AF270,Charge!$K$31:$M$34,3,TRUE),
VLOOKUP(AF270,Charge!$N$31:$P$34,2,TRUE)+(AF270-VLOOKUP(AF270,Charge!$N$31:$P$34,1,TRUE))*VLOOKUP(AF270,Charge!$N$31:$P$34,3,TRUE)),
IF(AND(M270="DG"),IF(R270="20'",
VLOOKUP(AF270,Charge!$R$31:$T$34,2,TRUE)+(AF270-VLOOKUP(AF270,Charge!$R$31:$T$34,1,TRUE))*VLOOKUP(AF270,Charge!$R$31:$T$34,3,TRUE),
VLOOKUP(AF270,Charge!$U$31:$W$34,2,TRUE)+(AF270-VLOOKUP(AF270,Charge!$U$31:$W$34,1,TRUE))*VLOOKUP(AF270,Charge!$U$31:$W$34,3,TRUE)),0))</f>
        <v>0</v>
      </c>
      <c r="AH270" s="60"/>
      <c r="AI270" s="60">
        <f>AA270-AH270</f>
        <v>500</v>
      </c>
      <c r="AJ270" s="61"/>
      <c r="AK270" s="55" t="str">
        <f>VLOOKUP(D270,'2.Bookinglist'!A:CT,40,FALSE)</f>
        <v>Nannaapust Sukporntaweewat</v>
      </c>
      <c r="AL270" s="56" t="str">
        <f>VLOOKUP(D270,'2.Bookinglist'!A:CW,101,FALSE)</f>
        <v>2026-10-18</v>
      </c>
      <c r="AM270" s="56" t="str">
        <f>VLOOKUP(D270,'2.Bookinglist'!A:BK,63,FALSE)</f>
        <v>LCHY5</v>
      </c>
      <c r="AN270" s="55" t="str">
        <f>VLOOKUP(D270,'2.Bookinglist'!A:AZ,52,FALSE)</f>
        <v>** APPROVED BY KIM JAE-HYUNG DD.24/09/2026 ** *FLEXIBAG ONDECK*
Survey + Pickup : 2026-10-02, Return : 2026-10-15</v>
      </c>
      <c r="AO270" s="55">
        <f>VLOOKUP(D270,'2.Bookinglist'!A:CY,103,FALSE)</f>
        <v>0</v>
      </c>
    </row>
    <row r="271" ht="12.95" customHeight="1" spans="1:41" x14ac:dyDescent="0.25">
      <c r="A271" s="3" t="s">
        <v>314</v>
      </c>
      <c r="B271" s="53" t="str">
        <f>IF(C271=Charge!$M$1,Charge!$J$1,IF(C271=Charge!$M$23,Charge!$J$23,IF(C271=Charge!$M$17,Charge!$J$17,IF(C271=Charge!$N$17,Charge!$J$17,Charge!$J$7))))</f>
        <v>G2</v>
      </c>
      <c r="C271" s="54" t="str">
        <f>VLOOKUP(A271,'1.Loading'!A:R,14,FALSE)</f>
        <v>LCH06</v>
      </c>
      <c r="D271" s="54" t="str">
        <f>VLOOKUP(A271,'1.Loading'!A:R,17,FALSE)</f>
        <v>HASLS22261000396</v>
      </c>
      <c r="E271" s="55" t="str">
        <f>VLOOKUP(D271,'2.Bookinglist'!A:CT,27,FALSE)</f>
        <v>SGL (THAI) CO., LTD.</v>
      </c>
      <c r="F271" s="55" t="str">
        <f>VLOOKUP(D271,'2.Bookinglist'!A:CT,28,FALSE)</f>
        <v>DAECHANG TRADING (THAILAND) CO.,LTD.</v>
      </c>
      <c r="G271" s="56">
        <f>VLOOKUP(D271,'2.Bookinglist'!A:E,5,FALSE)</f>
        <v>0</v>
      </c>
      <c r="H271" s="54" t="str">
        <f>VLOOKUP(D271,'2.Bookinglist'!A:CT,15,FALSE)</f>
        <v>THLCH</v>
      </c>
      <c r="I271" s="54" t="str">
        <f>VLOOKUP(D271,'2.Bookinglist'!A:CT,19,FALSE)</f>
        <v>CNSHA</v>
      </c>
      <c r="J271" s="54">
        <f>VLOOKUP(D271,'2.Bookinglist'!A:CT,26,FALSE)</f>
        <v>0</v>
      </c>
      <c r="K271" s="54" t="str">
        <f>VLOOKUP(A271,'1.Loading'!A:R,5,FALSE)</f>
        <v>22GP</v>
      </c>
      <c r="L271" s="56" t="str">
        <f>VLOOKUP(D271,'2.Bookinglist'!A:CT,85,FALSE)</f>
        <v>CY/CY</v>
      </c>
      <c r="M271" s="56" t="str">
        <f>IF(VLOOKUP(D271,'2.Bookinglist'!A:CT,43,FALSE)=0,"","DG")</f>
        <v/>
      </c>
      <c r="N271" s="56" t="str">
        <f>IF(RIGHT(K271,2)="RE","RF","")</f>
        <v/>
      </c>
      <c r="O271" s="54" t="str">
        <f>VLOOKUP(A271,'1.Loading'!A:R,3,FALSE)</f>
        <v>HMVY</v>
      </c>
      <c r="P271" s="54" t="str">
        <f>VLOOKUP(A271,'1.Loading'!A:R,4,FALSE)</f>
        <v>2609N</v>
      </c>
      <c r="Q271" s="54" t="str">
        <f>VLOOKUP(D271,'2.Bookinglist'!A:CT,12,FALSE)</f>
        <v>PCI2</v>
      </c>
      <c r="R271" s="56" t="str">
        <f>IF(LEFT(K271,2)="22","20'","40'")</f>
        <v>20'</v>
      </c>
      <c r="S271" s="38"/>
      <c r="T271" s="54" t="str">
        <f>VLOOKUP(A271,'1.Loading'!A:R,2,FALSE)</f>
        <v>2026-10-28</v>
      </c>
      <c r="U271" s="57">
        <f>T271-S271</f>
        <v>46323</v>
      </c>
      <c r="V271" s="58"/>
      <c r="W271" s="54" t="str">
        <f>VLOOKUP(A271,'3.GateMove'!A:D,4,FALSE)</f>
        <v>2026-10-22</v>
      </c>
      <c r="X271" s="57">
        <f>((T271-W271)+1)</f>
        <v>7</v>
      </c>
      <c r="Y271" s="59">
        <f>IF(AND(OR(C271="BKK01",C271="BKK04"),L271="CFS/CY"),0,IF(M271="DG",1,IF(LEFT(C271,3)="LCH",7,IF(C271="BKK02",5,3))))</f>
        <v>7</v>
      </c>
      <c r="Z271" s="57">
        <f>IF(IF(AND(AC271="TML",AB271&gt;0),((T271-W271)+1)-AB271,((T271-W271)+1)-Y271)&gt;0,IF(AND(AC271="TML",AB271&gt;0),((T271-W271)+1)-AB271,((T271-W271)+1)-Y271),0)</f>
        <v>0</v>
      </c>
      <c r="AA271" s="48">
        <f>IF(AND(B271="G1",M271=""),IF(R271="20'",
VLOOKUP(Z271,Charge!$K$2:$M$5,2,TRUE)+(Z271-VLOOKUP(Z271,Charge!$K$2:$M$5,1,TRUE))*VLOOKUP(Z271,Charge!$K$2:$M$5,3,TRUE),
VLOOKUP(Z271,Charge!$N$2:$P$5,2,TRUE)+(Z271-VLOOKUP(Z271,Charge!$N$2:$P$5,1,TRUE))*VLOOKUP(Z271,Charge!$N$2:$P$5,3,TRUE)),
IF(AND(B271="G1",M271="DG"),IF(R271="20'",
VLOOKUP(Z271,Charge!$R$2:$T$5,2,TRUE)+(Z271-VLOOKUP(Z271,Charge!$R$2:$T$5,1,TRUE))*VLOOKUP(Z271,Charge!$R$2:$T$5,3,TRUE),
VLOOKUP(Z271,Charge!$U$2:$W$5,2,TRUE)+(Z271-VLOOKUP(Z271,Charge!$U$2:$W$5,1,TRUE))*VLOOKUP(Z271,Charge!$U$2:$W$5,3,TRUE)),
IF(AND(B271="G3",M271=""),IF(R271="20'",
VLOOKUP(Z271,Charge!$K$18:$M$21,2,TRUE)+(Z271-VLOOKUP(Z271,Charge!$K$18:$M$21,1,TRUE))*VLOOKUP(Z271,Charge!$K$18:$M$21,3,TRUE),
VLOOKUP(Z271,Charge!$N$18:$P$21,2,TRUE)+(Z271-VLOOKUP(Z271,Charge!$N$18:$P$21,1,TRUE))*VLOOKUP(Z271,Charge!$N$18:$P$21,3,TRUE)),
IF(AND(B271="G3",M271="DG"),IF(R271="20'",
VLOOKUP(Z271,Charge!$R$18:$T$21,2,TRUE)+(Z271-VLOOKUP(Z271,Charge!$R$18:$T$21,1,TRUE))*VLOOKUP(Z271,Charge!$R$18:$T$21,3,TRUE),
VLOOKUP(Z271,Charge!$U$18:$W$21,2,TRUE)+(Z271-VLOOKUP(Z271,Charge!$U$18:$W$21,1,TRUE))*VLOOKUP(Z271,Charge!$U$18:$W$21,3,TRUE)),
IF(AND(B271="G2",M271=""),IF(R271="20'",
VLOOKUP(Z271,Charge!$K$9:$M$12,2,TRUE)+(Z271-VLOOKUP(Z271,Charge!$K$9:$M$12,1,TRUE))*VLOOKUP(Z271,Charge!$K$9:$M$12,3,TRUE),
VLOOKUP(Z271,Charge!$N$9:$P$12,2,TRUE)+(Z271-VLOOKUP(Z271,Charge!$N$9:$P$12,1,TRUE))*VLOOKUP(Z271,Charge!$N$9:$P$12,3,TRUE)),
IF(AND(B271="G2",M271="DG"),IF(R271="20'",
VLOOKUP(Z271,Charge!$R$9:$T$12,2,TRUE)+(Z271-VLOOKUP(Z271,Charge!$R$9:$T$12,1,TRUE))*VLOOKUP(Z271,Charge!$R$9:$T$12,3,TRUE),
VLOOKUP(Z271,Charge!$U$9:$W$12,2,TRUE)+(Z271-VLOOKUP(Z271,Charge!$U$9:$W$12,1,TRUE))*VLOOKUP(Z271,Charge!$U$9:$W$12,3,TRUE)),IF(AND(B271="G4",M271=""),IF(R271="20'",Z271*Charge!$M$25,Z271*Charge!$P$25),IF(AND(B271="G4",M271="DG"),IF(R271="20'",Z271*Charge!$T$25,Z271*Charge!$W$25),0))))))))</f>
        <v>0</v>
      </c>
      <c r="AB271" s="53"/>
      <c r="AC271" s="53"/>
      <c r="AD271" s="56">
        <f>IF(M271="DG",3,IF(N271="RF",3,5))+IF(AND(LEFT(C271,3)="BKK",N271="RF",Q271="KTS"),1,0)+IF(Q271="KHS",1,0)</f>
        <v>5</v>
      </c>
      <c r="AE271" s="57">
        <f>(T271-V271)+1</f>
        <v>46324</v>
      </c>
      <c r="AF271" s="57">
        <f>IF(AB271&gt;IF((V271-W271)&gt;0,V271-W271,0),0,IF(AB271&lt;IF((V271-W271)&gt;0,V271-W271,0),IF((V271-W271)&gt;0,V271-W271,0)-AB271,IF((V271-W271)&gt;0,V271-W271,0)))</f>
        <v>0</v>
      </c>
      <c r="AG271" s="48">
        <f>IF(AND(M271=""),IF(R271="20'",
VLOOKUP(AF271,Charge!$K$31:$M$34,2,TRUE)+(AF271-VLOOKUP(AF271,Charge!$K$31:$M$34,1,TRUE))*VLOOKUP(AF271,Charge!$K$31:$M$34,3,TRUE),
VLOOKUP(AF271,Charge!$N$31:$P$34,2,TRUE)+(AF271-VLOOKUP(AF271,Charge!$N$31:$P$34,1,TRUE))*VLOOKUP(AF271,Charge!$N$31:$P$34,3,TRUE)),
IF(AND(M271="DG"),IF(R271="20'",
VLOOKUP(AF271,Charge!$R$31:$T$34,2,TRUE)+(AF271-VLOOKUP(AF271,Charge!$R$31:$T$34,1,TRUE))*VLOOKUP(AF271,Charge!$R$31:$T$34,3,TRUE),
VLOOKUP(AF271,Charge!$U$31:$W$34,2,TRUE)+(AF271-VLOOKUP(AF271,Charge!$U$31:$W$34,1,TRUE))*VLOOKUP(AF271,Charge!$U$31:$W$34,3,TRUE)),0))</f>
        <v>0</v>
      </c>
      <c r="AH271" s="60"/>
      <c r="AI271" s="60">
        <f>AA271-AH271</f>
        <v>0</v>
      </c>
      <c r="AJ271" s="61"/>
      <c r="AK271" s="55" t="str">
        <f>VLOOKUP(D271,'2.Bookinglist'!A:CT,40,FALSE)</f>
        <v>Nannaapust Sukporntaweewat</v>
      </c>
      <c r="AL271" s="56" t="str">
        <f>VLOOKUP(D271,'2.Bookinglist'!A:CW,101,FALSE)</f>
        <v>2026-10-24</v>
      </c>
      <c r="AM271" s="56" t="str">
        <f>VLOOKUP(D271,'2.Bookinglist'!A:BK,63,FALSE)</f>
        <v>LCHY5</v>
      </c>
      <c r="AN271" s="55" t="str">
        <f>VLOOKUP(D271,'2.Bookinglist'!A:AZ,52,FALSE)</f>
        <v>Pickup : 2026-10-20, Return : 2026-10-21 
 ** PLEASE CHECK OPEN GATE BEFORE RETURN CNTR **
 </v>
      </c>
      <c r="AO271" s="55">
        <f>VLOOKUP(D271,'2.Bookinglist'!A:CY,103,FALSE)</f>
        <v>0</v>
      </c>
    </row>
    <row r="272" ht="12.95" customHeight="1" spans="1:41" x14ac:dyDescent="0.25">
      <c r="A272" s="3" t="s">
        <v>334</v>
      </c>
      <c r="B272" s="53" t="str">
        <f>IF(C272=Charge!$M$1,Charge!$J$1,IF(C272=Charge!$M$23,Charge!$J$23,IF(C272=Charge!$M$17,Charge!$J$17,IF(C272=Charge!$N$17,Charge!$J$17,Charge!$J$7))))</f>
        <v>G2</v>
      </c>
      <c r="C272" s="54" t="str">
        <f>VLOOKUP(A272,'1.Loading'!A:R,14,FALSE)</f>
        <v>LCH06</v>
      </c>
      <c r="D272" s="54" t="str">
        <f>VLOOKUP(A272,'1.Loading'!A:R,17,FALSE)</f>
        <v>HASLS22260901524</v>
      </c>
      <c r="E272" s="55" t="str">
        <f>VLOOKUP(D272,'2.Bookinglist'!A:CT,27,FALSE)</f>
        <v>WHA GC LOGISTICS COMPANY LIMITED</v>
      </c>
      <c r="F272" s="55" t="str">
        <f>VLOOKUP(D272,'2.Bookinglist'!A:CT,28,FALSE)</f>
        <v>PTT GLOBAL CHEMICAL PUBLIC COMPANY LIMITED</v>
      </c>
      <c r="G272" s="56">
        <f>VLOOKUP(D272,'2.Bookinglist'!A:E,5,FALSE)</f>
        <v>0</v>
      </c>
      <c r="H272" s="54" t="str">
        <f>VLOOKUP(D272,'2.Bookinglist'!A:CT,15,FALSE)</f>
        <v>THLCH</v>
      </c>
      <c r="I272" s="54" t="str">
        <f>VLOOKUP(D272,'2.Bookinglist'!A:CT,19,FALSE)</f>
        <v>JPTAK</v>
      </c>
      <c r="J272" s="54" t="str">
        <f>VLOOKUP(D272,'2.Bookinglist'!A:CT,26,FALSE)</f>
        <v>KRPUS</v>
      </c>
      <c r="K272" s="54" t="str">
        <f>VLOOKUP(A272,'1.Loading'!A:R,5,FALSE)</f>
        <v>22GP</v>
      </c>
      <c r="L272" s="56" t="str">
        <f>VLOOKUP(D272,'2.Bookinglist'!A:CT,85,FALSE)</f>
        <v>CY/CY</v>
      </c>
      <c r="M272" s="56" t="str">
        <f>IF(VLOOKUP(D272,'2.Bookinglist'!A:CT,43,FALSE)=0,"","DG")</f>
        <v/>
      </c>
      <c r="N272" s="56" t="str">
        <f>IF(RIGHT(K272,2)="RE","RF","")</f>
        <v/>
      </c>
      <c r="O272" s="54" t="str">
        <f>VLOOKUP(A272,'1.Loading'!A:R,3,FALSE)</f>
        <v>HMVY</v>
      </c>
      <c r="P272" s="54" t="str">
        <f>VLOOKUP(A272,'1.Loading'!A:R,4,FALSE)</f>
        <v>2609N</v>
      </c>
      <c r="Q272" s="54" t="str">
        <f>VLOOKUP(D272,'2.Bookinglist'!A:CT,12,FALSE)</f>
        <v>PCI2</v>
      </c>
      <c r="R272" s="56" t="str">
        <f>IF(LEFT(K272,2)="22","20'","40'")</f>
        <v>20'</v>
      </c>
      <c r="S272" s="38"/>
      <c r="T272" s="54" t="str">
        <f>VLOOKUP(A272,'1.Loading'!A:R,2,FALSE)</f>
        <v>2026-10-28</v>
      </c>
      <c r="U272" s="57">
        <f>T272-S272</f>
        <v>46323</v>
      </c>
      <c r="V272" s="58"/>
      <c r="W272" s="54" t="str">
        <f>VLOOKUP(A272,'3.GateMove'!A:D,4,FALSE)</f>
        <v>2026-10-16</v>
      </c>
      <c r="X272" s="57">
        <f>((T272-W272)+1)</f>
        <v>13</v>
      </c>
      <c r="Y272" s="59">
        <f>IF(AND(OR(C272="BKK01",C272="BKK04"),L272="CFS/CY"),0,IF(M272="DG",1,IF(LEFT(C272,3)="LCH",7,IF(C272="BKK02",5,3))))</f>
        <v>7</v>
      </c>
      <c r="Z272" s="57">
        <f>IF(IF(AND(AC272="TML",AB272&gt;0),((T272-W272)+1)-AB272,((T272-W272)+1)-Y272)&gt;0,IF(AND(AC272="TML",AB272&gt;0),((T272-W272)+1)-AB272,((T272-W272)+1)-Y272),0)</f>
        <v>6</v>
      </c>
      <c r="AA272" s="48">
        <f>IF(AND(B272="G1",M272=""),IF(R272="20'",
VLOOKUP(Z272,Charge!$K$2:$M$5,2,TRUE)+(Z272-VLOOKUP(Z272,Charge!$K$2:$M$5,1,TRUE))*VLOOKUP(Z272,Charge!$K$2:$M$5,3,TRUE),
VLOOKUP(Z272,Charge!$N$2:$P$5,2,TRUE)+(Z272-VLOOKUP(Z272,Charge!$N$2:$P$5,1,TRUE))*VLOOKUP(Z272,Charge!$N$2:$P$5,3,TRUE)),
IF(AND(B272="G1",M272="DG"),IF(R272="20'",
VLOOKUP(Z272,Charge!$R$2:$T$5,2,TRUE)+(Z272-VLOOKUP(Z272,Charge!$R$2:$T$5,1,TRUE))*VLOOKUP(Z272,Charge!$R$2:$T$5,3,TRUE),
VLOOKUP(Z272,Charge!$U$2:$W$5,2,TRUE)+(Z272-VLOOKUP(Z272,Charge!$U$2:$W$5,1,TRUE))*VLOOKUP(Z272,Charge!$U$2:$W$5,3,TRUE)),
IF(AND(B272="G3",M272=""),IF(R272="20'",
VLOOKUP(Z272,Charge!$K$18:$M$21,2,TRUE)+(Z272-VLOOKUP(Z272,Charge!$K$18:$M$21,1,TRUE))*VLOOKUP(Z272,Charge!$K$18:$M$21,3,TRUE),
VLOOKUP(Z272,Charge!$N$18:$P$21,2,TRUE)+(Z272-VLOOKUP(Z272,Charge!$N$18:$P$21,1,TRUE))*VLOOKUP(Z272,Charge!$N$18:$P$21,3,TRUE)),
IF(AND(B272="G3",M272="DG"),IF(R272="20'",
VLOOKUP(Z272,Charge!$R$18:$T$21,2,TRUE)+(Z272-VLOOKUP(Z272,Charge!$R$18:$T$21,1,TRUE))*VLOOKUP(Z272,Charge!$R$18:$T$21,3,TRUE),
VLOOKUP(Z272,Charge!$U$18:$W$21,2,TRUE)+(Z272-VLOOKUP(Z272,Charge!$U$18:$W$21,1,TRUE))*VLOOKUP(Z272,Charge!$U$18:$W$21,3,TRUE)),
IF(AND(B272="G2",M272=""),IF(R272="20'",
VLOOKUP(Z272,Charge!$K$9:$M$12,2,TRUE)+(Z272-VLOOKUP(Z272,Charge!$K$9:$M$12,1,TRUE))*VLOOKUP(Z272,Charge!$K$9:$M$12,3,TRUE),
VLOOKUP(Z272,Charge!$N$9:$P$12,2,TRUE)+(Z272-VLOOKUP(Z272,Charge!$N$9:$P$12,1,TRUE))*VLOOKUP(Z272,Charge!$N$9:$P$12,3,TRUE)),
IF(AND(B272="G2",M272="DG"),IF(R272="20'",
VLOOKUP(Z272,Charge!$R$9:$T$12,2,TRUE)+(Z272-VLOOKUP(Z272,Charge!$R$9:$T$12,1,TRUE))*VLOOKUP(Z272,Charge!$R$9:$T$12,3,TRUE),
VLOOKUP(Z272,Charge!$U$9:$W$12,2,TRUE)+(Z272-VLOOKUP(Z272,Charge!$U$9:$W$12,1,TRUE))*VLOOKUP(Z272,Charge!$U$9:$W$12,3,TRUE)),IF(AND(B272="G4",M272=""),IF(R272="20'",Z272*Charge!$M$25,Z272*Charge!$P$25),IF(AND(B272="G4",M272="DG"),IF(R272="20'",Z272*Charge!$T$25,Z272*Charge!$W$25),0))))))))</f>
        <v>750</v>
      </c>
      <c r="AB272" s="53"/>
      <c r="AC272" s="53"/>
      <c r="AD272" s="56">
        <f>IF(M272="DG",3,IF(N272="RF",3,5))+IF(AND(LEFT(C272,3)="BKK",N272="RF",Q272="KTS"),1,0)+IF(Q272="KHS",1,0)</f>
        <v>5</v>
      </c>
      <c r="AE272" s="57">
        <f>(T272-V272)+1</f>
        <v>46324</v>
      </c>
      <c r="AF272" s="57">
        <f>IF(AB272&gt;IF((V272-W272)&gt;0,V272-W272,0),0,IF(AB272&lt;IF((V272-W272)&gt;0,V272-W272,0),IF((V272-W272)&gt;0,V272-W272,0)-AB272,IF((V272-W272)&gt;0,V272-W272,0)))</f>
        <v>0</v>
      </c>
      <c r="AG272" s="48">
        <f>IF(AND(M272=""),IF(R272="20'",
VLOOKUP(AF272,Charge!$K$31:$M$34,2,TRUE)+(AF272-VLOOKUP(AF272,Charge!$K$31:$M$34,1,TRUE))*VLOOKUP(AF272,Charge!$K$31:$M$34,3,TRUE),
VLOOKUP(AF272,Charge!$N$31:$P$34,2,TRUE)+(AF272-VLOOKUP(AF272,Charge!$N$31:$P$34,1,TRUE))*VLOOKUP(AF272,Charge!$N$31:$P$34,3,TRUE)),
IF(AND(M272="DG"),IF(R272="20'",
VLOOKUP(AF272,Charge!$R$31:$T$34,2,TRUE)+(AF272-VLOOKUP(AF272,Charge!$R$31:$T$34,1,TRUE))*VLOOKUP(AF272,Charge!$R$31:$T$34,3,TRUE),
VLOOKUP(AF272,Charge!$U$31:$W$34,2,TRUE)+(AF272-VLOOKUP(AF272,Charge!$U$31:$W$34,1,TRUE))*VLOOKUP(AF272,Charge!$U$31:$W$34,3,TRUE)),0))</f>
        <v>0</v>
      </c>
      <c r="AH272" s="60"/>
      <c r="AI272" s="60">
        <f>AA272-AH272</f>
        <v>750</v>
      </c>
      <c r="AJ272" s="61"/>
      <c r="AK272" s="55" t="str">
        <f>VLOOKUP(D272,'2.Bookinglist'!A:CT,40,FALSE)</f>
        <v>Dharaporn</v>
      </c>
      <c r="AL272" s="56" t="str">
        <f>VLOOKUP(D272,'2.Bookinglist'!A:CW,101,FALSE)</f>
        <v>2026-10-14</v>
      </c>
      <c r="AM272" s="56" t="str">
        <f>VLOOKUP(D272,'2.Bookinglist'!A:BK,63,FALSE)</f>
        <v>LCHY5</v>
      </c>
      <c r="AN272" s="55" t="str">
        <f>VLOOKUP(D272,'2.Bookinglist'!A:AZ,52,FALSE)</f>
        <v>[FIX][FIX]CY-RTN 02-08/10/26 (PR2610002956)
*PLS CHECK OPEN GATE BEFORE RETURN CTNR*</v>
      </c>
      <c r="AO272" s="55">
        <f>VLOOKUP(D272,'2.Bookinglist'!A:CY,103,FALSE)</f>
        <v>0</v>
      </c>
    </row>
    <row r="273" ht="12.95" customHeight="1" spans="1:41" x14ac:dyDescent="0.25">
      <c r="A273" s="3" t="s">
        <v>291</v>
      </c>
      <c r="B273" s="53" t="str">
        <f>IF(C273=Charge!$M$1,Charge!$J$1,IF(C273=Charge!$M$23,Charge!$J$23,IF(C273=Charge!$M$17,Charge!$J$17,IF(C273=Charge!$N$17,Charge!$J$17,Charge!$J$7))))</f>
        <v>G2</v>
      </c>
      <c r="C273" s="54" t="str">
        <f>VLOOKUP(A273,'1.Loading'!A:R,14,FALSE)</f>
        <v>LCH06</v>
      </c>
      <c r="D273" s="54" t="str">
        <f>VLOOKUP(A273,'1.Loading'!A:R,17,FALSE)</f>
        <v>HASLS22260900170</v>
      </c>
      <c r="E273" s="55" t="str">
        <f>VLOOKUP(D273,'2.Bookinglist'!A:CT,27,FALSE)</f>
        <v>PANDA GOGO LOGISTICS CO., LTD.</v>
      </c>
      <c r="F273" s="55" t="str">
        <f>VLOOKUP(D273,'2.Bookinglist'!A:CT,28,FALSE)</f>
        <v>GC-M PTA COMPANY LIMITED</v>
      </c>
      <c r="G273" s="56">
        <f>VLOOKUP(D273,'2.Bookinglist'!A:E,5,FALSE)</f>
        <v>0</v>
      </c>
      <c r="H273" s="54" t="str">
        <f>VLOOKUP(D273,'2.Bookinglist'!A:CT,15,FALSE)</f>
        <v>THLCH</v>
      </c>
      <c r="I273" s="54" t="str">
        <f>VLOOKUP(D273,'2.Bookinglist'!A:CT,19,FALSE)</f>
        <v>JPTRG</v>
      </c>
      <c r="J273" s="54" t="str">
        <f>VLOOKUP(D273,'2.Bookinglist'!A:CT,26,FALSE)</f>
        <v>KRPUS</v>
      </c>
      <c r="K273" s="54" t="str">
        <f>VLOOKUP(A273,'1.Loading'!A:R,5,FALSE)</f>
        <v>22GP</v>
      </c>
      <c r="L273" s="56" t="str">
        <f>VLOOKUP(D273,'2.Bookinglist'!A:CT,85,FALSE)</f>
        <v>CY/CY</v>
      </c>
      <c r="M273" s="56" t="str">
        <f>IF(VLOOKUP(D273,'2.Bookinglist'!A:CT,43,FALSE)=0,"","DG")</f>
        <v/>
      </c>
      <c r="N273" s="56" t="str">
        <f>IF(RIGHT(K273,2)="RE","RF","")</f>
        <v/>
      </c>
      <c r="O273" s="54" t="str">
        <f>VLOOKUP(A273,'1.Loading'!A:R,3,FALSE)</f>
        <v>HMVY</v>
      </c>
      <c r="P273" s="54" t="str">
        <f>VLOOKUP(A273,'1.Loading'!A:R,4,FALSE)</f>
        <v>2609N</v>
      </c>
      <c r="Q273" s="54" t="str">
        <f>VLOOKUP(D273,'2.Bookinglist'!A:CT,12,FALSE)</f>
        <v>PCI2</v>
      </c>
      <c r="R273" s="56" t="str">
        <f>IF(LEFT(K273,2)="22","20'","40'")</f>
        <v>20'</v>
      </c>
      <c r="S273" s="38"/>
      <c r="T273" s="54" t="str">
        <f>VLOOKUP(A273,'1.Loading'!A:R,2,FALSE)</f>
        <v>2026-10-28</v>
      </c>
      <c r="U273" s="57">
        <f>T273-S273</f>
        <v>46323</v>
      </c>
      <c r="V273" s="58"/>
      <c r="W273" s="54" t="str">
        <f>VLOOKUP(A273,'3.GateMove'!A:D,4,FALSE)</f>
        <v>2026-10-19</v>
      </c>
      <c r="X273" s="57">
        <f>((T273-W273)+1)</f>
        <v>10</v>
      </c>
      <c r="Y273" s="59">
        <f>IF(AND(OR(C273="BKK01",C273="BKK04"),L273="CFS/CY"),0,IF(M273="DG",1,IF(LEFT(C273,3)="LCH",7,IF(C273="BKK02",5,3))))</f>
        <v>7</v>
      </c>
      <c r="Z273" s="57">
        <f>IF(IF(AND(AC273="TML",AB273&gt;0),((T273-W273)+1)-AB273,((T273-W273)+1)-Y273)&gt;0,IF(AND(AC273="TML",AB273&gt;0),((T273-W273)+1)-AB273,((T273-W273)+1)-Y273),0)</f>
        <v>3</v>
      </c>
      <c r="AA273" s="48">
        <f>IF(AND(B273="G1",M273=""),IF(R273="20'",
VLOOKUP(Z273,Charge!$K$2:$M$5,2,TRUE)+(Z273-VLOOKUP(Z273,Charge!$K$2:$M$5,1,TRUE))*VLOOKUP(Z273,Charge!$K$2:$M$5,3,TRUE),
VLOOKUP(Z273,Charge!$N$2:$P$5,2,TRUE)+(Z273-VLOOKUP(Z273,Charge!$N$2:$P$5,1,TRUE))*VLOOKUP(Z273,Charge!$N$2:$P$5,3,TRUE)),
IF(AND(B273="G1",M273="DG"),IF(R273="20'",
VLOOKUP(Z273,Charge!$R$2:$T$5,2,TRUE)+(Z273-VLOOKUP(Z273,Charge!$R$2:$T$5,1,TRUE))*VLOOKUP(Z273,Charge!$R$2:$T$5,3,TRUE),
VLOOKUP(Z273,Charge!$U$2:$W$5,2,TRUE)+(Z273-VLOOKUP(Z273,Charge!$U$2:$W$5,1,TRUE))*VLOOKUP(Z273,Charge!$U$2:$W$5,3,TRUE)),
IF(AND(B273="G3",M273=""),IF(R273="20'",
VLOOKUP(Z273,Charge!$K$18:$M$21,2,TRUE)+(Z273-VLOOKUP(Z273,Charge!$K$18:$M$21,1,TRUE))*VLOOKUP(Z273,Charge!$K$18:$M$21,3,TRUE),
VLOOKUP(Z273,Charge!$N$18:$P$21,2,TRUE)+(Z273-VLOOKUP(Z273,Charge!$N$18:$P$21,1,TRUE))*VLOOKUP(Z273,Charge!$N$18:$P$21,3,TRUE)),
IF(AND(B273="G3",M273="DG"),IF(R273="20'",
VLOOKUP(Z273,Charge!$R$18:$T$21,2,TRUE)+(Z273-VLOOKUP(Z273,Charge!$R$18:$T$21,1,TRUE))*VLOOKUP(Z273,Charge!$R$18:$T$21,3,TRUE),
VLOOKUP(Z273,Charge!$U$18:$W$21,2,TRUE)+(Z273-VLOOKUP(Z273,Charge!$U$18:$W$21,1,TRUE))*VLOOKUP(Z273,Charge!$U$18:$W$21,3,TRUE)),
IF(AND(B273="G2",M273=""),IF(R273="20'",
VLOOKUP(Z273,Charge!$K$9:$M$12,2,TRUE)+(Z273-VLOOKUP(Z273,Charge!$K$9:$M$12,1,TRUE))*VLOOKUP(Z273,Charge!$K$9:$M$12,3,TRUE),
VLOOKUP(Z273,Charge!$N$9:$P$12,2,TRUE)+(Z273-VLOOKUP(Z273,Charge!$N$9:$P$12,1,TRUE))*VLOOKUP(Z273,Charge!$N$9:$P$12,3,TRUE)),
IF(AND(B273="G2",M273="DG"),IF(R273="20'",
VLOOKUP(Z273,Charge!$R$9:$T$12,2,TRUE)+(Z273-VLOOKUP(Z273,Charge!$R$9:$T$12,1,TRUE))*VLOOKUP(Z273,Charge!$R$9:$T$12,3,TRUE),
VLOOKUP(Z273,Charge!$U$9:$W$12,2,TRUE)+(Z273-VLOOKUP(Z273,Charge!$U$9:$W$12,1,TRUE))*VLOOKUP(Z273,Charge!$U$9:$W$12,3,TRUE)),IF(AND(B273="G4",M273=""),IF(R273="20'",Z273*Charge!$M$25,Z273*Charge!$P$25),IF(AND(B273="G4",M273="DG"),IF(R273="20'",Z273*Charge!$T$25,Z273*Charge!$W$25),0))))))))</f>
        <v>375</v>
      </c>
      <c r="AB273" s="53"/>
      <c r="AC273" s="53"/>
      <c r="AD273" s="56">
        <f>IF(M273="DG",3,IF(N273="RF",3,5))+IF(AND(LEFT(C273,3)="BKK",N273="RF",Q273="KTS"),1,0)+IF(Q273="KHS",1,0)</f>
        <v>5</v>
      </c>
      <c r="AE273" s="57">
        <f>(T273-V273)+1</f>
        <v>46324</v>
      </c>
      <c r="AF273" s="57">
        <f>IF(AB273&gt;IF((V273-W273)&gt;0,V273-W273,0),0,IF(AB273&lt;IF((V273-W273)&gt;0,V273-W273,0),IF((V273-W273)&gt;0,V273-W273,0)-AB273,IF((V273-W273)&gt;0,V273-W273,0)))</f>
        <v>0</v>
      </c>
      <c r="AG273" s="48">
        <f>IF(AND(M273=""),IF(R273="20'",
VLOOKUP(AF273,Charge!$K$31:$M$34,2,TRUE)+(AF273-VLOOKUP(AF273,Charge!$K$31:$M$34,1,TRUE))*VLOOKUP(AF273,Charge!$K$31:$M$34,3,TRUE),
VLOOKUP(AF273,Charge!$N$31:$P$34,2,TRUE)+(AF273-VLOOKUP(AF273,Charge!$N$31:$P$34,1,TRUE))*VLOOKUP(AF273,Charge!$N$31:$P$34,3,TRUE)),
IF(AND(M273="DG"),IF(R273="20'",
VLOOKUP(AF273,Charge!$R$31:$T$34,2,TRUE)+(AF273-VLOOKUP(AF273,Charge!$R$31:$T$34,1,TRUE))*VLOOKUP(AF273,Charge!$R$31:$T$34,3,TRUE),
VLOOKUP(AF273,Charge!$U$31:$W$34,2,TRUE)+(AF273-VLOOKUP(AF273,Charge!$U$31:$W$34,1,TRUE))*VLOOKUP(AF273,Charge!$U$31:$W$34,3,TRUE)),0))</f>
        <v>0</v>
      </c>
      <c r="AH273" s="60"/>
      <c r="AI273" s="60">
        <f>AA273-AH273</f>
        <v>375</v>
      </c>
      <c r="AJ273" s="61"/>
      <c r="AK273" s="55" t="str">
        <f>VLOOKUP(D273,'2.Bookinglist'!A:CT,40,FALSE)</f>
        <v>Tarn(Supaporn)</v>
      </c>
      <c r="AL273" s="56" t="str">
        <f>VLOOKUP(D273,'2.Bookinglist'!A:CW,101,FALSE)</f>
        <v>2026-10-22</v>
      </c>
      <c r="AM273" s="56" t="str">
        <f>VLOOKUP(D273,'2.Bookinglist'!A:BK,63,FALSE)</f>
        <v>LCHY5</v>
      </c>
      <c r="AN273" s="55" t="str">
        <f>VLOOKUP(D273,'2.Bookinglist'!A:AZ,52,FALSE)</f>
        <v>[FIX]Pickup : 2026-10-14, Return : 2026-10-15 [1ST RTN 16/10/2026 W/O RENT]
** PLEASE CHECK OPEN GATE BEFORE RETURN CONTAINER ** </v>
      </c>
      <c r="AO273" s="55">
        <f>VLOOKUP(D273,'2.Bookinglist'!A:CY,103,FALSE)</f>
        <v>0</v>
      </c>
    </row>
    <row r="274" ht="12.95" customHeight="1" spans="1:41" x14ac:dyDescent="0.25">
      <c r="A274" s="3" t="s">
        <v>353</v>
      </c>
      <c r="B274" s="53" t="str">
        <f>IF(C274=Charge!$M$1,Charge!$J$1,IF(C274=Charge!$M$23,Charge!$J$23,IF(C274=Charge!$M$17,Charge!$J$17,IF(C274=Charge!$N$17,Charge!$J$17,Charge!$J$7))))</f>
        <v>G2</v>
      </c>
      <c r="C274" s="54" t="str">
        <f>VLOOKUP(A274,'1.Loading'!A:R,14,FALSE)</f>
        <v>LCH06</v>
      </c>
      <c r="D274" s="54" t="str">
        <f>VLOOKUP(A274,'1.Loading'!A:R,17,FALSE)</f>
        <v>HASLS22260902037</v>
      </c>
      <c r="E274" s="55" t="str">
        <f>VLOOKUP(D274,'2.Bookinglist'!A:CT,27,FALSE)</f>
        <v>DOUBLE A (1991) PUBLIC COMPANY LIMITED</v>
      </c>
      <c r="F274" s="55" t="str">
        <f>VLOOKUP(D274,'2.Bookinglist'!A:CT,28,FALSE)</f>
        <v>DOUBLE A (1991) PUBLIC COMPANY LIMITED</v>
      </c>
      <c r="G274" s="56">
        <f>VLOOKUP(D274,'2.Bookinglist'!A:E,5,FALSE)</f>
        <v>0</v>
      </c>
      <c r="H274" s="54" t="str">
        <f>VLOOKUP(D274,'2.Bookinglist'!A:CT,15,FALSE)</f>
        <v>THLCH</v>
      </c>
      <c r="I274" s="54" t="str">
        <f>VLOOKUP(D274,'2.Bookinglist'!A:CT,19,FALSE)</f>
        <v>CNSHA</v>
      </c>
      <c r="J274" s="54">
        <f>VLOOKUP(D274,'2.Bookinglist'!A:CT,26,FALSE)</f>
        <v>0</v>
      </c>
      <c r="K274" s="54" t="str">
        <f>VLOOKUP(A274,'1.Loading'!A:R,5,FALSE)</f>
        <v>22GP</v>
      </c>
      <c r="L274" s="56" t="str">
        <f>VLOOKUP(D274,'2.Bookinglist'!A:CT,85,FALSE)</f>
        <v>CY/CY</v>
      </c>
      <c r="M274" s="56" t="str">
        <f>IF(VLOOKUP(D274,'2.Bookinglist'!A:CT,43,FALSE)=0,"","DG")</f>
        <v/>
      </c>
      <c r="N274" s="56" t="str">
        <f>IF(RIGHT(K274,2)="RE","RF","")</f>
        <v/>
      </c>
      <c r="O274" s="54" t="str">
        <f>VLOOKUP(A274,'1.Loading'!A:R,3,FALSE)</f>
        <v>HMVY</v>
      </c>
      <c r="P274" s="54" t="str">
        <f>VLOOKUP(A274,'1.Loading'!A:R,4,FALSE)</f>
        <v>2609N</v>
      </c>
      <c r="Q274" s="54" t="str">
        <f>VLOOKUP(D274,'2.Bookinglist'!A:CT,12,FALSE)</f>
        <v>PCI2</v>
      </c>
      <c r="R274" s="56" t="str">
        <f>IF(LEFT(K274,2)="22","20'","40'")</f>
        <v>20'</v>
      </c>
      <c r="S274" s="38"/>
      <c r="T274" s="54" t="str">
        <f>VLOOKUP(A274,'1.Loading'!A:R,2,FALSE)</f>
        <v>2026-10-28</v>
      </c>
      <c r="U274" s="57">
        <f>T274-S274</f>
        <v>46323</v>
      </c>
      <c r="V274" s="58"/>
      <c r="W274" s="54" t="str">
        <f>VLOOKUP(A274,'3.GateMove'!A:D,4,FALSE)</f>
        <v>2026-10-14</v>
      </c>
      <c r="X274" s="57">
        <f>((T274-W274)+1)</f>
        <v>15</v>
      </c>
      <c r="Y274" s="59">
        <f>IF(AND(OR(C274="BKK01",C274="BKK04"),L274="CFS/CY"),0,IF(M274="DG",1,IF(LEFT(C274,3)="LCH",7,IF(C274="BKK02",5,3))))</f>
        <v>7</v>
      </c>
      <c r="Z274" s="57">
        <f>IF(IF(AND(AC274="TML",AB274&gt;0),((T274-W274)+1)-AB274,((T274-W274)+1)-Y274)&gt;0,IF(AND(AC274="TML",AB274&gt;0),((T274-W274)+1)-AB274,((T274-W274)+1)-Y274),0)</f>
        <v>8</v>
      </c>
      <c r="AA274" s="48">
        <f>IF(AND(B274="G1",M274=""),IF(R274="20'",
VLOOKUP(Z274,Charge!$K$2:$M$5,2,TRUE)+(Z274-VLOOKUP(Z274,Charge!$K$2:$M$5,1,TRUE))*VLOOKUP(Z274,Charge!$K$2:$M$5,3,TRUE),
VLOOKUP(Z274,Charge!$N$2:$P$5,2,TRUE)+(Z274-VLOOKUP(Z274,Charge!$N$2:$P$5,1,TRUE))*VLOOKUP(Z274,Charge!$N$2:$P$5,3,TRUE)),
IF(AND(B274="G1",M274="DG"),IF(R274="20'",
VLOOKUP(Z274,Charge!$R$2:$T$5,2,TRUE)+(Z274-VLOOKUP(Z274,Charge!$R$2:$T$5,1,TRUE))*VLOOKUP(Z274,Charge!$R$2:$T$5,3,TRUE),
VLOOKUP(Z274,Charge!$U$2:$W$5,2,TRUE)+(Z274-VLOOKUP(Z274,Charge!$U$2:$W$5,1,TRUE))*VLOOKUP(Z274,Charge!$U$2:$W$5,3,TRUE)),
IF(AND(B274="G3",M274=""),IF(R274="20'",
VLOOKUP(Z274,Charge!$K$18:$M$21,2,TRUE)+(Z274-VLOOKUP(Z274,Charge!$K$18:$M$21,1,TRUE))*VLOOKUP(Z274,Charge!$K$18:$M$21,3,TRUE),
VLOOKUP(Z274,Charge!$N$18:$P$21,2,TRUE)+(Z274-VLOOKUP(Z274,Charge!$N$18:$P$21,1,TRUE))*VLOOKUP(Z274,Charge!$N$18:$P$21,3,TRUE)),
IF(AND(B274="G3",M274="DG"),IF(R274="20'",
VLOOKUP(Z274,Charge!$R$18:$T$21,2,TRUE)+(Z274-VLOOKUP(Z274,Charge!$R$18:$T$21,1,TRUE))*VLOOKUP(Z274,Charge!$R$18:$T$21,3,TRUE),
VLOOKUP(Z274,Charge!$U$18:$W$21,2,TRUE)+(Z274-VLOOKUP(Z274,Charge!$U$18:$W$21,1,TRUE))*VLOOKUP(Z274,Charge!$U$18:$W$21,3,TRUE)),
IF(AND(B274="G2",M274=""),IF(R274="20'",
VLOOKUP(Z274,Charge!$K$9:$M$12,2,TRUE)+(Z274-VLOOKUP(Z274,Charge!$K$9:$M$12,1,TRUE))*VLOOKUP(Z274,Charge!$K$9:$M$12,3,TRUE),
VLOOKUP(Z274,Charge!$N$9:$P$12,2,TRUE)+(Z274-VLOOKUP(Z274,Charge!$N$9:$P$12,1,TRUE))*VLOOKUP(Z274,Charge!$N$9:$P$12,3,TRUE)),
IF(AND(B274="G2",M274="DG"),IF(R274="20'",
VLOOKUP(Z274,Charge!$R$9:$T$12,2,TRUE)+(Z274-VLOOKUP(Z274,Charge!$R$9:$T$12,1,TRUE))*VLOOKUP(Z274,Charge!$R$9:$T$12,3,TRUE),
VLOOKUP(Z274,Charge!$U$9:$W$12,2,TRUE)+(Z274-VLOOKUP(Z274,Charge!$U$9:$W$12,1,TRUE))*VLOOKUP(Z274,Charge!$U$9:$W$12,3,TRUE)),IF(AND(B274="G4",M274=""),IF(R274="20'",Z274*Charge!$M$25,Z274*Charge!$P$25),IF(AND(B274="G4",M274="DG"),IF(R274="20'",Z274*Charge!$T$25,Z274*Charge!$W$25),0))))))))</f>
        <v>1125</v>
      </c>
      <c r="AB274" s="53"/>
      <c r="AC274" s="53"/>
      <c r="AD274" s="56">
        <f>IF(M274="DG",3,IF(N274="RF",3,5))+IF(AND(LEFT(C274,3)="BKK",N274="RF",Q274="KTS"),1,0)+IF(Q274="KHS",1,0)</f>
        <v>5</v>
      </c>
      <c r="AE274" s="57">
        <f>(T274-V274)+1</f>
        <v>46324</v>
      </c>
      <c r="AF274" s="57">
        <f>IF(AB274&gt;IF((V274-W274)&gt;0,V274-W274,0),0,IF(AB274&lt;IF((V274-W274)&gt;0,V274-W274,0),IF((V274-W274)&gt;0,V274-W274,0)-AB274,IF((V274-W274)&gt;0,V274-W274,0)))</f>
        <v>0</v>
      </c>
      <c r="AG274" s="48">
        <f>IF(AND(M274=""),IF(R274="20'",
VLOOKUP(AF274,Charge!$K$31:$M$34,2,TRUE)+(AF274-VLOOKUP(AF274,Charge!$K$31:$M$34,1,TRUE))*VLOOKUP(AF274,Charge!$K$31:$M$34,3,TRUE),
VLOOKUP(AF274,Charge!$N$31:$P$34,2,TRUE)+(AF274-VLOOKUP(AF274,Charge!$N$31:$P$34,1,TRUE))*VLOOKUP(AF274,Charge!$N$31:$P$34,3,TRUE)),
IF(AND(M274="DG"),IF(R274="20'",
VLOOKUP(AF274,Charge!$R$31:$T$34,2,TRUE)+(AF274-VLOOKUP(AF274,Charge!$R$31:$T$34,1,TRUE))*VLOOKUP(AF274,Charge!$R$31:$T$34,3,TRUE),
VLOOKUP(AF274,Charge!$U$31:$W$34,2,TRUE)+(AF274-VLOOKUP(AF274,Charge!$U$31:$W$34,1,TRUE))*VLOOKUP(AF274,Charge!$U$31:$W$34,3,TRUE)),0))</f>
        <v>0</v>
      </c>
      <c r="AH274" s="60"/>
      <c r="AI274" s="60">
        <f>AA274-AH274</f>
        <v>1125</v>
      </c>
      <c r="AJ274" s="61"/>
      <c r="AK274" s="55" t="str">
        <f>VLOOKUP(D274,'2.Bookinglist'!A:CT,40,FALSE)</f>
        <v>Kanokporn</v>
      </c>
      <c r="AL274" s="56" t="str">
        <f>VLOOKUP(D274,'2.Bookinglist'!A:CW,101,FALSE)</f>
        <v>2026-10-17</v>
      </c>
      <c r="AM274" s="56" t="str">
        <f>VLOOKUP(D274,'2.Bookinglist'!A:BK,63,FALSE)</f>
        <v>LCHY5</v>
      </c>
      <c r="AN274" s="55" t="str">
        <f>VLOOKUP(D274,'2.Bookinglist'!A:AZ,52,FALSE)</f>
        <v>CY-RTN : 08-13/10/2026 
REF : PI-CN-TH-DA-26100048
FRT  31/20'/40'HQ Freetime 21 days 
</v>
      </c>
      <c r="AO274" s="55">
        <f>VLOOKUP(D274,'2.Bookinglist'!A:CY,103,FALSE)</f>
        <v>0</v>
      </c>
    </row>
    <row r="275" ht="12.95" customHeight="1" spans="1:41" x14ac:dyDescent="0.25">
      <c r="A275" s="3" t="s">
        <v>336</v>
      </c>
      <c r="B275" s="53" t="str">
        <f>IF(C275=Charge!$M$1,Charge!$J$1,IF(C275=Charge!$M$23,Charge!$J$23,IF(C275=Charge!$M$17,Charge!$J$17,IF(C275=Charge!$N$17,Charge!$J$17,Charge!$J$7))))</f>
        <v>G2</v>
      </c>
      <c r="C275" s="54" t="str">
        <f>VLOOKUP(A275,'1.Loading'!A:R,14,FALSE)</f>
        <v>LCH06</v>
      </c>
      <c r="D275" s="54" t="str">
        <f>VLOOKUP(A275,'1.Loading'!A:R,17,FALSE)</f>
        <v>HASLS22260901524</v>
      </c>
      <c r="E275" s="55" t="str">
        <f>VLOOKUP(D275,'2.Bookinglist'!A:CT,27,FALSE)</f>
        <v>WHA GC LOGISTICS COMPANY LIMITED</v>
      </c>
      <c r="F275" s="55" t="str">
        <f>VLOOKUP(D275,'2.Bookinglist'!A:CT,28,FALSE)</f>
        <v>PTT GLOBAL CHEMICAL PUBLIC COMPANY LIMITED</v>
      </c>
      <c r="G275" s="56">
        <f>VLOOKUP(D275,'2.Bookinglist'!A:E,5,FALSE)</f>
        <v>0</v>
      </c>
      <c r="H275" s="54" t="str">
        <f>VLOOKUP(D275,'2.Bookinglist'!A:CT,15,FALSE)</f>
        <v>THLCH</v>
      </c>
      <c r="I275" s="54" t="str">
        <f>VLOOKUP(D275,'2.Bookinglist'!A:CT,19,FALSE)</f>
        <v>JPTAK</v>
      </c>
      <c r="J275" s="54" t="str">
        <f>VLOOKUP(D275,'2.Bookinglist'!A:CT,26,FALSE)</f>
        <v>KRPUS</v>
      </c>
      <c r="K275" s="54" t="str">
        <f>VLOOKUP(A275,'1.Loading'!A:R,5,FALSE)</f>
        <v>22GP</v>
      </c>
      <c r="L275" s="56" t="str">
        <f>VLOOKUP(D275,'2.Bookinglist'!A:CT,85,FALSE)</f>
        <v>CY/CY</v>
      </c>
      <c r="M275" s="56" t="str">
        <f>IF(VLOOKUP(D275,'2.Bookinglist'!A:CT,43,FALSE)=0,"","DG")</f>
        <v/>
      </c>
      <c r="N275" s="56" t="str">
        <f>IF(RIGHT(K275,2)="RE","RF","")</f>
        <v/>
      </c>
      <c r="O275" s="54" t="str">
        <f>VLOOKUP(A275,'1.Loading'!A:R,3,FALSE)</f>
        <v>HMVY</v>
      </c>
      <c r="P275" s="54" t="str">
        <f>VLOOKUP(A275,'1.Loading'!A:R,4,FALSE)</f>
        <v>2609N</v>
      </c>
      <c r="Q275" s="54" t="str">
        <f>VLOOKUP(D275,'2.Bookinglist'!A:CT,12,FALSE)</f>
        <v>PCI2</v>
      </c>
      <c r="R275" s="56" t="str">
        <f>IF(LEFT(K275,2)="22","20'","40'")</f>
        <v>20'</v>
      </c>
      <c r="S275" s="38"/>
      <c r="T275" s="54" t="str">
        <f>VLOOKUP(A275,'1.Loading'!A:R,2,FALSE)</f>
        <v>2026-10-28</v>
      </c>
      <c r="U275" s="57">
        <f>T275-S275</f>
        <v>46323</v>
      </c>
      <c r="V275" s="58"/>
      <c r="W275" s="54" t="str">
        <f>VLOOKUP(A275,'3.GateMove'!A:D,4,FALSE)</f>
        <v>2026-10-16</v>
      </c>
      <c r="X275" s="57">
        <f>((T275-W275)+1)</f>
        <v>13</v>
      </c>
      <c r="Y275" s="59">
        <f>IF(AND(OR(C275="BKK01",C275="BKK04"),L275="CFS/CY"),0,IF(M275="DG",1,IF(LEFT(C275,3)="LCH",7,IF(C275="BKK02",5,3))))</f>
        <v>7</v>
      </c>
      <c r="Z275" s="57">
        <f>IF(IF(AND(AC275="TML",AB275&gt;0),((T275-W275)+1)-AB275,((T275-W275)+1)-Y275)&gt;0,IF(AND(AC275="TML",AB275&gt;0),((T275-W275)+1)-AB275,((T275-W275)+1)-Y275),0)</f>
        <v>6</v>
      </c>
      <c r="AA275" s="48">
        <f>IF(AND(B275="G1",M275=""),IF(R275="20'",
VLOOKUP(Z275,Charge!$K$2:$M$5,2,TRUE)+(Z275-VLOOKUP(Z275,Charge!$K$2:$M$5,1,TRUE))*VLOOKUP(Z275,Charge!$K$2:$M$5,3,TRUE),
VLOOKUP(Z275,Charge!$N$2:$P$5,2,TRUE)+(Z275-VLOOKUP(Z275,Charge!$N$2:$P$5,1,TRUE))*VLOOKUP(Z275,Charge!$N$2:$P$5,3,TRUE)),
IF(AND(B275="G1",M275="DG"),IF(R275="20'",
VLOOKUP(Z275,Charge!$R$2:$T$5,2,TRUE)+(Z275-VLOOKUP(Z275,Charge!$R$2:$T$5,1,TRUE))*VLOOKUP(Z275,Charge!$R$2:$T$5,3,TRUE),
VLOOKUP(Z275,Charge!$U$2:$W$5,2,TRUE)+(Z275-VLOOKUP(Z275,Charge!$U$2:$W$5,1,TRUE))*VLOOKUP(Z275,Charge!$U$2:$W$5,3,TRUE)),
IF(AND(B275="G3",M275=""),IF(R275="20'",
VLOOKUP(Z275,Charge!$K$18:$M$21,2,TRUE)+(Z275-VLOOKUP(Z275,Charge!$K$18:$M$21,1,TRUE))*VLOOKUP(Z275,Charge!$K$18:$M$21,3,TRUE),
VLOOKUP(Z275,Charge!$N$18:$P$21,2,TRUE)+(Z275-VLOOKUP(Z275,Charge!$N$18:$P$21,1,TRUE))*VLOOKUP(Z275,Charge!$N$18:$P$21,3,TRUE)),
IF(AND(B275="G3",M275="DG"),IF(R275="20'",
VLOOKUP(Z275,Charge!$R$18:$T$21,2,TRUE)+(Z275-VLOOKUP(Z275,Charge!$R$18:$T$21,1,TRUE))*VLOOKUP(Z275,Charge!$R$18:$T$21,3,TRUE),
VLOOKUP(Z275,Charge!$U$18:$W$21,2,TRUE)+(Z275-VLOOKUP(Z275,Charge!$U$18:$W$21,1,TRUE))*VLOOKUP(Z275,Charge!$U$18:$W$21,3,TRUE)),
IF(AND(B275="G2",M275=""),IF(R275="20'",
VLOOKUP(Z275,Charge!$K$9:$M$12,2,TRUE)+(Z275-VLOOKUP(Z275,Charge!$K$9:$M$12,1,TRUE))*VLOOKUP(Z275,Charge!$K$9:$M$12,3,TRUE),
VLOOKUP(Z275,Charge!$N$9:$P$12,2,TRUE)+(Z275-VLOOKUP(Z275,Charge!$N$9:$P$12,1,TRUE))*VLOOKUP(Z275,Charge!$N$9:$P$12,3,TRUE)),
IF(AND(B275="G2",M275="DG"),IF(R275="20'",
VLOOKUP(Z275,Charge!$R$9:$T$12,2,TRUE)+(Z275-VLOOKUP(Z275,Charge!$R$9:$T$12,1,TRUE))*VLOOKUP(Z275,Charge!$R$9:$T$12,3,TRUE),
VLOOKUP(Z275,Charge!$U$9:$W$12,2,TRUE)+(Z275-VLOOKUP(Z275,Charge!$U$9:$W$12,1,TRUE))*VLOOKUP(Z275,Charge!$U$9:$W$12,3,TRUE)),IF(AND(B275="G4",M275=""),IF(R275="20'",Z275*Charge!$M$25,Z275*Charge!$P$25),IF(AND(B275="G4",M275="DG"),IF(R275="20'",Z275*Charge!$T$25,Z275*Charge!$W$25),0))))))))</f>
        <v>750</v>
      </c>
      <c r="AB275" s="53"/>
      <c r="AC275" s="53"/>
      <c r="AD275" s="56">
        <f>IF(M275="DG",3,IF(N275="RF",3,5))+IF(AND(LEFT(C275,3)="BKK",N275="RF",Q275="KTS"),1,0)+IF(Q275="KHS",1,0)</f>
        <v>5</v>
      </c>
      <c r="AE275" s="57">
        <f>(T275-V275)+1</f>
        <v>46324</v>
      </c>
      <c r="AF275" s="57">
        <f>IF(AB275&gt;IF((V275-W275)&gt;0,V275-W275,0),0,IF(AB275&lt;IF((V275-W275)&gt;0,V275-W275,0),IF((V275-W275)&gt;0,V275-W275,0)-AB275,IF((V275-W275)&gt;0,V275-W275,0)))</f>
        <v>0</v>
      </c>
      <c r="AG275" s="48">
        <f>IF(AND(M275=""),IF(R275="20'",
VLOOKUP(AF275,Charge!$K$31:$M$34,2,TRUE)+(AF275-VLOOKUP(AF275,Charge!$K$31:$M$34,1,TRUE))*VLOOKUP(AF275,Charge!$K$31:$M$34,3,TRUE),
VLOOKUP(AF275,Charge!$N$31:$P$34,2,TRUE)+(AF275-VLOOKUP(AF275,Charge!$N$31:$P$34,1,TRUE))*VLOOKUP(AF275,Charge!$N$31:$P$34,3,TRUE)),
IF(AND(M275="DG"),IF(R275="20'",
VLOOKUP(AF275,Charge!$R$31:$T$34,2,TRUE)+(AF275-VLOOKUP(AF275,Charge!$R$31:$T$34,1,TRUE))*VLOOKUP(AF275,Charge!$R$31:$T$34,3,TRUE),
VLOOKUP(AF275,Charge!$U$31:$W$34,2,TRUE)+(AF275-VLOOKUP(AF275,Charge!$U$31:$W$34,1,TRUE))*VLOOKUP(AF275,Charge!$U$31:$W$34,3,TRUE)),0))</f>
        <v>0</v>
      </c>
      <c r="AH275" s="60"/>
      <c r="AI275" s="60">
        <f>AA275-AH275</f>
        <v>750</v>
      </c>
      <c r="AJ275" s="61"/>
      <c r="AK275" s="55" t="str">
        <f>VLOOKUP(D275,'2.Bookinglist'!A:CT,40,FALSE)</f>
        <v>Dharaporn</v>
      </c>
      <c r="AL275" s="56" t="str">
        <f>VLOOKUP(D275,'2.Bookinglist'!A:CW,101,FALSE)</f>
        <v>2026-10-14</v>
      </c>
      <c r="AM275" s="56" t="str">
        <f>VLOOKUP(D275,'2.Bookinglist'!A:BK,63,FALSE)</f>
        <v>LCHY5</v>
      </c>
      <c r="AN275" s="55" t="str">
        <f>VLOOKUP(D275,'2.Bookinglist'!A:AZ,52,FALSE)</f>
        <v>[FIX][FIX]CY-RTN 02-08/10/26 (PR2610002956)
*PLS CHECK OPEN GATE BEFORE RETURN CTNR*</v>
      </c>
      <c r="AO275" s="55">
        <f>VLOOKUP(D275,'2.Bookinglist'!A:CY,103,FALSE)</f>
        <v>0</v>
      </c>
    </row>
    <row r="276" ht="12.95" customHeight="1" spans="1:41" x14ac:dyDescent="0.25">
      <c r="A276" s="3" t="s">
        <v>294</v>
      </c>
      <c r="B276" s="53" t="str">
        <f>IF(C276=Charge!$M$1,Charge!$J$1,IF(C276=Charge!$M$23,Charge!$J$23,IF(C276=Charge!$M$17,Charge!$J$17,IF(C276=Charge!$N$17,Charge!$J$17,Charge!$J$7))))</f>
        <v>G2</v>
      </c>
      <c r="C276" s="54" t="str">
        <f>VLOOKUP(A276,'1.Loading'!A:R,14,FALSE)</f>
        <v>LCH06</v>
      </c>
      <c r="D276" s="54" t="str">
        <f>VLOOKUP(A276,'1.Loading'!A:R,17,FALSE)</f>
        <v>HASLS22260900170</v>
      </c>
      <c r="E276" s="55" t="str">
        <f>VLOOKUP(D276,'2.Bookinglist'!A:CT,27,FALSE)</f>
        <v>PANDA GOGO LOGISTICS CO., LTD.</v>
      </c>
      <c r="F276" s="55" t="str">
        <f>VLOOKUP(D276,'2.Bookinglist'!A:CT,28,FALSE)</f>
        <v>GC-M PTA COMPANY LIMITED</v>
      </c>
      <c r="G276" s="56">
        <f>VLOOKUP(D276,'2.Bookinglist'!A:E,5,FALSE)</f>
        <v>0</v>
      </c>
      <c r="H276" s="54" t="str">
        <f>VLOOKUP(D276,'2.Bookinglist'!A:CT,15,FALSE)</f>
        <v>THLCH</v>
      </c>
      <c r="I276" s="54" t="str">
        <f>VLOOKUP(D276,'2.Bookinglist'!A:CT,19,FALSE)</f>
        <v>JPTRG</v>
      </c>
      <c r="J276" s="54" t="str">
        <f>VLOOKUP(D276,'2.Bookinglist'!A:CT,26,FALSE)</f>
        <v>KRPUS</v>
      </c>
      <c r="K276" s="54" t="str">
        <f>VLOOKUP(A276,'1.Loading'!A:R,5,FALSE)</f>
        <v>22GP</v>
      </c>
      <c r="L276" s="56" t="str">
        <f>VLOOKUP(D276,'2.Bookinglist'!A:CT,85,FALSE)</f>
        <v>CY/CY</v>
      </c>
      <c r="M276" s="56" t="str">
        <f>IF(VLOOKUP(D276,'2.Bookinglist'!A:CT,43,FALSE)=0,"","DG")</f>
        <v/>
      </c>
      <c r="N276" s="56" t="str">
        <f>IF(RIGHT(K276,2)="RE","RF","")</f>
        <v/>
      </c>
      <c r="O276" s="54" t="str">
        <f>VLOOKUP(A276,'1.Loading'!A:R,3,FALSE)</f>
        <v>HMVY</v>
      </c>
      <c r="P276" s="54" t="str">
        <f>VLOOKUP(A276,'1.Loading'!A:R,4,FALSE)</f>
        <v>2609N</v>
      </c>
      <c r="Q276" s="54" t="str">
        <f>VLOOKUP(D276,'2.Bookinglist'!A:CT,12,FALSE)</f>
        <v>PCI2</v>
      </c>
      <c r="R276" s="56" t="str">
        <f>IF(LEFT(K276,2)="22","20'","40'")</f>
        <v>20'</v>
      </c>
      <c r="S276" s="38"/>
      <c r="T276" s="54" t="str">
        <f>VLOOKUP(A276,'1.Loading'!A:R,2,FALSE)</f>
        <v>2026-10-28</v>
      </c>
      <c r="U276" s="57">
        <f>T276-S276</f>
        <v>46323</v>
      </c>
      <c r="V276" s="58"/>
      <c r="W276" s="54" t="str">
        <f>VLOOKUP(A276,'3.GateMove'!A:D,4,FALSE)</f>
        <v>2026-10-19</v>
      </c>
      <c r="X276" s="57">
        <f>((T276-W276)+1)</f>
        <v>10</v>
      </c>
      <c r="Y276" s="59">
        <f>IF(AND(OR(C276="BKK01",C276="BKK04"),L276="CFS/CY"),0,IF(M276="DG",1,IF(LEFT(C276,3)="LCH",7,IF(C276="BKK02",5,3))))</f>
        <v>7</v>
      </c>
      <c r="Z276" s="57">
        <f>IF(IF(AND(AC276="TML",AB276&gt;0),((T276-W276)+1)-AB276,((T276-W276)+1)-Y276)&gt;0,IF(AND(AC276="TML",AB276&gt;0),((T276-W276)+1)-AB276,((T276-W276)+1)-Y276),0)</f>
        <v>3</v>
      </c>
      <c r="AA276" s="48">
        <f>IF(AND(B276="G1",M276=""),IF(R276="20'",
VLOOKUP(Z276,Charge!$K$2:$M$5,2,TRUE)+(Z276-VLOOKUP(Z276,Charge!$K$2:$M$5,1,TRUE))*VLOOKUP(Z276,Charge!$K$2:$M$5,3,TRUE),
VLOOKUP(Z276,Charge!$N$2:$P$5,2,TRUE)+(Z276-VLOOKUP(Z276,Charge!$N$2:$P$5,1,TRUE))*VLOOKUP(Z276,Charge!$N$2:$P$5,3,TRUE)),
IF(AND(B276="G1",M276="DG"),IF(R276="20'",
VLOOKUP(Z276,Charge!$R$2:$T$5,2,TRUE)+(Z276-VLOOKUP(Z276,Charge!$R$2:$T$5,1,TRUE))*VLOOKUP(Z276,Charge!$R$2:$T$5,3,TRUE),
VLOOKUP(Z276,Charge!$U$2:$W$5,2,TRUE)+(Z276-VLOOKUP(Z276,Charge!$U$2:$W$5,1,TRUE))*VLOOKUP(Z276,Charge!$U$2:$W$5,3,TRUE)),
IF(AND(B276="G3",M276=""),IF(R276="20'",
VLOOKUP(Z276,Charge!$K$18:$M$21,2,TRUE)+(Z276-VLOOKUP(Z276,Charge!$K$18:$M$21,1,TRUE))*VLOOKUP(Z276,Charge!$K$18:$M$21,3,TRUE),
VLOOKUP(Z276,Charge!$N$18:$P$21,2,TRUE)+(Z276-VLOOKUP(Z276,Charge!$N$18:$P$21,1,TRUE))*VLOOKUP(Z276,Charge!$N$18:$P$21,3,TRUE)),
IF(AND(B276="G3",M276="DG"),IF(R276="20'",
VLOOKUP(Z276,Charge!$R$18:$T$21,2,TRUE)+(Z276-VLOOKUP(Z276,Charge!$R$18:$T$21,1,TRUE))*VLOOKUP(Z276,Charge!$R$18:$T$21,3,TRUE),
VLOOKUP(Z276,Charge!$U$18:$W$21,2,TRUE)+(Z276-VLOOKUP(Z276,Charge!$U$18:$W$21,1,TRUE))*VLOOKUP(Z276,Charge!$U$18:$W$21,3,TRUE)),
IF(AND(B276="G2",M276=""),IF(R276="20'",
VLOOKUP(Z276,Charge!$K$9:$M$12,2,TRUE)+(Z276-VLOOKUP(Z276,Charge!$K$9:$M$12,1,TRUE))*VLOOKUP(Z276,Charge!$K$9:$M$12,3,TRUE),
VLOOKUP(Z276,Charge!$N$9:$P$12,2,TRUE)+(Z276-VLOOKUP(Z276,Charge!$N$9:$P$12,1,TRUE))*VLOOKUP(Z276,Charge!$N$9:$P$12,3,TRUE)),
IF(AND(B276="G2",M276="DG"),IF(R276="20'",
VLOOKUP(Z276,Charge!$R$9:$T$12,2,TRUE)+(Z276-VLOOKUP(Z276,Charge!$R$9:$T$12,1,TRUE))*VLOOKUP(Z276,Charge!$R$9:$T$12,3,TRUE),
VLOOKUP(Z276,Charge!$U$9:$W$12,2,TRUE)+(Z276-VLOOKUP(Z276,Charge!$U$9:$W$12,1,TRUE))*VLOOKUP(Z276,Charge!$U$9:$W$12,3,TRUE)),IF(AND(B276="G4",M276=""),IF(R276="20'",Z276*Charge!$M$25,Z276*Charge!$P$25),IF(AND(B276="G4",M276="DG"),IF(R276="20'",Z276*Charge!$T$25,Z276*Charge!$W$25),0))))))))</f>
        <v>375</v>
      </c>
      <c r="AB276" s="53"/>
      <c r="AC276" s="53"/>
      <c r="AD276" s="56">
        <f>IF(M276="DG",3,IF(N276="RF",3,5))+IF(AND(LEFT(C276,3)="BKK",N276="RF",Q276="KTS"),1,0)+IF(Q276="KHS",1,0)</f>
        <v>5</v>
      </c>
      <c r="AE276" s="57">
        <f>(T276-V276)+1</f>
        <v>46324</v>
      </c>
      <c r="AF276" s="57">
        <f>IF(AB276&gt;IF((V276-W276)&gt;0,V276-W276,0),0,IF(AB276&lt;IF((V276-W276)&gt;0,V276-W276,0),IF((V276-W276)&gt;0,V276-W276,0)-AB276,IF((V276-W276)&gt;0,V276-W276,0)))</f>
        <v>0</v>
      </c>
      <c r="AG276" s="48">
        <f>IF(AND(M276=""),IF(R276="20'",
VLOOKUP(AF276,Charge!$K$31:$M$34,2,TRUE)+(AF276-VLOOKUP(AF276,Charge!$K$31:$M$34,1,TRUE))*VLOOKUP(AF276,Charge!$K$31:$M$34,3,TRUE),
VLOOKUP(AF276,Charge!$N$31:$P$34,2,TRUE)+(AF276-VLOOKUP(AF276,Charge!$N$31:$P$34,1,TRUE))*VLOOKUP(AF276,Charge!$N$31:$P$34,3,TRUE)),
IF(AND(M276="DG"),IF(R276="20'",
VLOOKUP(AF276,Charge!$R$31:$T$34,2,TRUE)+(AF276-VLOOKUP(AF276,Charge!$R$31:$T$34,1,TRUE))*VLOOKUP(AF276,Charge!$R$31:$T$34,3,TRUE),
VLOOKUP(AF276,Charge!$U$31:$W$34,2,TRUE)+(AF276-VLOOKUP(AF276,Charge!$U$31:$W$34,1,TRUE))*VLOOKUP(AF276,Charge!$U$31:$W$34,3,TRUE)),0))</f>
        <v>0</v>
      </c>
      <c r="AH276" s="60"/>
      <c r="AI276" s="60">
        <f>AA276-AH276</f>
        <v>375</v>
      </c>
      <c r="AJ276" s="61"/>
      <c r="AK276" s="55" t="str">
        <f>VLOOKUP(D276,'2.Bookinglist'!A:CT,40,FALSE)</f>
        <v>Tarn(Supaporn)</v>
      </c>
      <c r="AL276" s="56" t="str">
        <f>VLOOKUP(D276,'2.Bookinglist'!A:CW,101,FALSE)</f>
        <v>2026-10-22</v>
      </c>
      <c r="AM276" s="56" t="str">
        <f>VLOOKUP(D276,'2.Bookinglist'!A:BK,63,FALSE)</f>
        <v>LCHY5</v>
      </c>
      <c r="AN276" s="55" t="str">
        <f>VLOOKUP(D276,'2.Bookinglist'!A:AZ,52,FALSE)</f>
        <v>[FIX]Pickup : 2026-10-14, Return : 2026-10-15 [1ST RTN 16/10/2026 W/O RENT]
** PLEASE CHECK OPEN GATE BEFORE RETURN CONTAINER ** </v>
      </c>
      <c r="AO276" s="55">
        <f>VLOOKUP(D276,'2.Bookinglist'!A:CY,103,FALSE)</f>
        <v>0</v>
      </c>
    </row>
    <row r="277" ht="12.95" customHeight="1" spans="1:41" x14ac:dyDescent="0.25">
      <c r="A277" s="3" t="s">
        <v>360</v>
      </c>
      <c r="B277" s="53" t="str">
        <f>IF(C277=Charge!$M$1,Charge!$J$1,IF(C277=Charge!$M$23,Charge!$J$23,IF(C277=Charge!$M$17,Charge!$J$17,IF(C277=Charge!$N$17,Charge!$J$17,Charge!$J$7))))</f>
        <v>G2</v>
      </c>
      <c r="C277" s="54" t="str">
        <f>VLOOKUP(A277,'1.Loading'!A:R,14,FALSE)</f>
        <v>LCH06</v>
      </c>
      <c r="D277" s="54" t="str">
        <f>VLOOKUP(A277,'1.Loading'!A:R,17,FALSE)</f>
        <v>HASLS22260902617</v>
      </c>
      <c r="E277" s="55" t="str">
        <f>VLOOKUP(D277,'2.Bookinglist'!A:CT,27,FALSE)</f>
        <v>RCL LOGISTICS CO., LTD.</v>
      </c>
      <c r="F277" s="55" t="str">
        <f>VLOOKUP(D277,'2.Bookinglist'!A:CT,28,FALSE)</f>
        <v>SMS CORPORATION CO., LTD.</v>
      </c>
      <c r="G277" s="56" t="str">
        <f>VLOOKUP(D277,'2.Bookinglist'!A:E,5,FALSE)</f>
        <v>THSRP</v>
      </c>
      <c r="H277" s="54" t="str">
        <f>VLOOKUP(D277,'2.Bookinglist'!A:CT,15,FALSE)</f>
        <v>THLCH</v>
      </c>
      <c r="I277" s="54" t="str">
        <f>VLOOKUP(D277,'2.Bookinglist'!A:CT,19,FALSE)</f>
        <v>CNSHA</v>
      </c>
      <c r="J277" s="54">
        <f>VLOOKUP(D277,'2.Bookinglist'!A:CT,26,FALSE)</f>
        <v>0</v>
      </c>
      <c r="K277" s="54" t="str">
        <f>VLOOKUP(A277,'1.Loading'!A:R,5,FALSE)</f>
        <v>22GP</v>
      </c>
      <c r="L277" s="56" t="str">
        <f>VLOOKUP(D277,'2.Bookinglist'!A:CT,85,FALSE)</f>
        <v>CY/CY</v>
      </c>
      <c r="M277" s="56" t="str">
        <f>IF(VLOOKUP(D277,'2.Bookinglist'!A:CT,43,FALSE)=0,"","DG")</f>
        <v/>
      </c>
      <c r="N277" s="56" t="str">
        <f>IF(RIGHT(K277,2)="RE","RF","")</f>
        <v/>
      </c>
      <c r="O277" s="54" t="str">
        <f>VLOOKUP(A277,'1.Loading'!A:R,3,FALSE)</f>
        <v>HMVY</v>
      </c>
      <c r="P277" s="54" t="str">
        <f>VLOOKUP(A277,'1.Loading'!A:R,4,FALSE)</f>
        <v>2609N</v>
      </c>
      <c r="Q277" s="54" t="str">
        <f>VLOOKUP(D277,'2.Bookinglist'!A:CT,12,FALSE)</f>
        <v>PCI2</v>
      </c>
      <c r="R277" s="56" t="str">
        <f>IF(LEFT(K277,2)="22","20'","40'")</f>
        <v>20'</v>
      </c>
      <c r="S277" s="38"/>
      <c r="T277" s="54" t="str">
        <f>VLOOKUP(A277,'1.Loading'!A:R,2,FALSE)</f>
        <v>2026-10-28</v>
      </c>
      <c r="U277" s="57">
        <f>T277-S277</f>
        <v>46323</v>
      </c>
      <c r="V277" s="58"/>
      <c r="W277" s="54" t="str">
        <f>VLOOKUP(A277,'3.GateMove'!A:D,4,FALSE)</f>
        <v>2026-10-23</v>
      </c>
      <c r="X277" s="57">
        <f>((T277-W277)+1)</f>
        <v>6</v>
      </c>
      <c r="Y277" s="59">
        <f>IF(AND(OR(C277="BKK01",C277="BKK04"),L277="CFS/CY"),0,IF(M277="DG",1,IF(LEFT(C277,3)="LCH",7,IF(C277="BKK02",5,3))))</f>
        <v>7</v>
      </c>
      <c r="Z277" s="57">
        <f>IF(IF(AND(AC277="TML",AB277&gt;0),((T277-W277)+1)-AB277,((T277-W277)+1)-Y277)&gt;0,IF(AND(AC277="TML",AB277&gt;0),((T277-W277)+1)-AB277,((T277-W277)+1)-Y277),0)</f>
        <v>0</v>
      </c>
      <c r="AA277" s="48">
        <f>IF(AND(B277="G1",M277=""),IF(R277="20'",
VLOOKUP(Z277,Charge!$K$2:$M$5,2,TRUE)+(Z277-VLOOKUP(Z277,Charge!$K$2:$M$5,1,TRUE))*VLOOKUP(Z277,Charge!$K$2:$M$5,3,TRUE),
VLOOKUP(Z277,Charge!$N$2:$P$5,2,TRUE)+(Z277-VLOOKUP(Z277,Charge!$N$2:$P$5,1,TRUE))*VLOOKUP(Z277,Charge!$N$2:$P$5,3,TRUE)),
IF(AND(B277="G1",M277="DG"),IF(R277="20'",
VLOOKUP(Z277,Charge!$R$2:$T$5,2,TRUE)+(Z277-VLOOKUP(Z277,Charge!$R$2:$T$5,1,TRUE))*VLOOKUP(Z277,Charge!$R$2:$T$5,3,TRUE),
VLOOKUP(Z277,Charge!$U$2:$W$5,2,TRUE)+(Z277-VLOOKUP(Z277,Charge!$U$2:$W$5,1,TRUE))*VLOOKUP(Z277,Charge!$U$2:$W$5,3,TRUE)),
IF(AND(B277="G3",M277=""),IF(R277="20'",
VLOOKUP(Z277,Charge!$K$18:$M$21,2,TRUE)+(Z277-VLOOKUP(Z277,Charge!$K$18:$M$21,1,TRUE))*VLOOKUP(Z277,Charge!$K$18:$M$21,3,TRUE),
VLOOKUP(Z277,Charge!$N$18:$P$21,2,TRUE)+(Z277-VLOOKUP(Z277,Charge!$N$18:$P$21,1,TRUE))*VLOOKUP(Z277,Charge!$N$18:$P$21,3,TRUE)),
IF(AND(B277="G3",M277="DG"),IF(R277="20'",
VLOOKUP(Z277,Charge!$R$18:$T$21,2,TRUE)+(Z277-VLOOKUP(Z277,Charge!$R$18:$T$21,1,TRUE))*VLOOKUP(Z277,Charge!$R$18:$T$21,3,TRUE),
VLOOKUP(Z277,Charge!$U$18:$W$21,2,TRUE)+(Z277-VLOOKUP(Z277,Charge!$U$18:$W$21,1,TRUE))*VLOOKUP(Z277,Charge!$U$18:$W$21,3,TRUE)),
IF(AND(B277="G2",M277=""),IF(R277="20'",
VLOOKUP(Z277,Charge!$K$9:$M$12,2,TRUE)+(Z277-VLOOKUP(Z277,Charge!$K$9:$M$12,1,TRUE))*VLOOKUP(Z277,Charge!$K$9:$M$12,3,TRUE),
VLOOKUP(Z277,Charge!$N$9:$P$12,2,TRUE)+(Z277-VLOOKUP(Z277,Charge!$N$9:$P$12,1,TRUE))*VLOOKUP(Z277,Charge!$N$9:$P$12,3,TRUE)),
IF(AND(B277="G2",M277="DG"),IF(R277="20'",
VLOOKUP(Z277,Charge!$R$9:$T$12,2,TRUE)+(Z277-VLOOKUP(Z277,Charge!$R$9:$T$12,1,TRUE))*VLOOKUP(Z277,Charge!$R$9:$T$12,3,TRUE),
VLOOKUP(Z277,Charge!$U$9:$W$12,2,TRUE)+(Z277-VLOOKUP(Z277,Charge!$U$9:$W$12,1,TRUE))*VLOOKUP(Z277,Charge!$U$9:$W$12,3,TRUE)),IF(AND(B277="G4",M277=""),IF(R277="20'",Z277*Charge!$M$25,Z277*Charge!$P$25),IF(AND(B277="G4",M277="DG"),IF(R277="20'",Z277*Charge!$T$25,Z277*Charge!$W$25),0))))))))</f>
        <v>0</v>
      </c>
      <c r="AB277" s="53"/>
      <c r="AC277" s="53"/>
      <c r="AD277" s="56">
        <f>IF(M277="DG",3,IF(N277="RF",3,5))+IF(AND(LEFT(C277,3)="BKK",N277="RF",Q277="KTS"),1,0)+IF(Q277="KHS",1,0)</f>
        <v>5</v>
      </c>
      <c r="AE277" s="57">
        <f>(T277-V277)+1</f>
        <v>46324</v>
      </c>
      <c r="AF277" s="57">
        <f>IF(AB277&gt;IF((V277-W277)&gt;0,V277-W277,0),0,IF(AB277&lt;IF((V277-W277)&gt;0,V277-W277,0),IF((V277-W277)&gt;0,V277-W277,0)-AB277,IF((V277-W277)&gt;0,V277-W277,0)))</f>
        <v>0</v>
      </c>
      <c r="AG277" s="48">
        <f>IF(AND(M277=""),IF(R277="20'",
VLOOKUP(AF277,Charge!$K$31:$M$34,2,TRUE)+(AF277-VLOOKUP(AF277,Charge!$K$31:$M$34,1,TRUE))*VLOOKUP(AF277,Charge!$K$31:$M$34,3,TRUE),
VLOOKUP(AF277,Charge!$N$31:$P$34,2,TRUE)+(AF277-VLOOKUP(AF277,Charge!$N$31:$P$34,1,TRUE))*VLOOKUP(AF277,Charge!$N$31:$P$34,3,TRUE)),
IF(AND(M277="DG"),IF(R277="20'",
VLOOKUP(AF277,Charge!$R$31:$T$34,2,TRUE)+(AF277-VLOOKUP(AF277,Charge!$R$31:$T$34,1,TRUE))*VLOOKUP(AF277,Charge!$R$31:$T$34,3,TRUE),
VLOOKUP(AF277,Charge!$U$31:$W$34,2,TRUE)+(AF277-VLOOKUP(AF277,Charge!$U$31:$W$34,1,TRUE))*VLOOKUP(AF277,Charge!$U$31:$W$34,3,TRUE)),0))</f>
        <v>0</v>
      </c>
      <c r="AH277" s="60"/>
      <c r="AI277" s="60">
        <f>AA277-AH277</f>
        <v>0</v>
      </c>
      <c r="AJ277" s="61"/>
      <c r="AK277" s="55" t="str">
        <f>VLOOKUP(D277,'2.Bookinglist'!A:CT,40,FALSE)</f>
        <v>Pattarapong Saengthong</v>
      </c>
      <c r="AL277" s="56" t="str">
        <f>VLOOKUP(D277,'2.Bookinglist'!A:CW,101,FALSE)</f>
        <v>2026-10-20</v>
      </c>
      <c r="AM277" s="56" t="str">
        <f>VLOOKUP(D277,'2.Bookinglist'!A:BK,63,FALSE)</f>
        <v>BKK27</v>
      </c>
      <c r="AN277" s="55" t="str">
        <f>VLOOKUP(D277,'2.Bookinglist'!A:AZ,52,FALSE)</f>
        <v>Pickup : 2026-10-12, Return SRP : 2026-10-15 [PAPERLESS CODE 2829]
CLS TIME 17/10/26 @10.00</v>
      </c>
      <c r="AO277" s="55">
        <f>VLOOKUP(D277,'2.Bookinglist'!A:CY,103,FALSE)</f>
        <v>0</v>
      </c>
    </row>
    <row r="278" ht="12.95" customHeight="1" spans="1:41" x14ac:dyDescent="0.25">
      <c r="A278" s="3" t="s">
        <v>284</v>
      </c>
      <c r="B278" s="53" t="str">
        <f>IF(C278=Charge!$M$1,Charge!$J$1,IF(C278=Charge!$M$23,Charge!$J$23,IF(C278=Charge!$M$17,Charge!$J$17,IF(C278=Charge!$N$17,Charge!$J$17,Charge!$J$7))))</f>
        <v>G2</v>
      </c>
      <c r="C278" s="54" t="str">
        <f>VLOOKUP(A278,'1.Loading'!A:R,14,FALSE)</f>
        <v>LCH06</v>
      </c>
      <c r="D278" s="54" t="str">
        <f>VLOOKUP(A278,'1.Loading'!A:R,17,FALSE)</f>
        <v>HASLS22261000090</v>
      </c>
      <c r="E278" s="55" t="str">
        <f>VLOOKUP(D278,'2.Bookinglist'!A:CT,27,FALSE)</f>
        <v>WHA GC LOGISTICS COMPANY LIMITED</v>
      </c>
      <c r="F278" s="55" t="str">
        <f>VLOOKUP(D278,'2.Bookinglist'!A:CT,28,FALSE)</f>
        <v>PTT GLOBAL CHEMICAL PUBLIC COMPANY LIMITED</v>
      </c>
      <c r="G278" s="56">
        <f>VLOOKUP(D278,'2.Bookinglist'!A:E,5,FALSE)</f>
        <v>0</v>
      </c>
      <c r="H278" s="54" t="str">
        <f>VLOOKUP(D278,'2.Bookinglist'!A:CT,15,FALSE)</f>
        <v>THLCH</v>
      </c>
      <c r="I278" s="54" t="str">
        <f>VLOOKUP(D278,'2.Bookinglist'!A:CT,19,FALSE)</f>
        <v>JPIYM</v>
      </c>
      <c r="J278" s="54" t="str">
        <f>VLOOKUP(D278,'2.Bookinglist'!A:CT,26,FALSE)</f>
        <v>KRPUS</v>
      </c>
      <c r="K278" s="54" t="str">
        <f>VLOOKUP(A278,'1.Loading'!A:R,5,FALSE)</f>
        <v>22GP</v>
      </c>
      <c r="L278" s="56" t="str">
        <f>VLOOKUP(D278,'2.Bookinglist'!A:CT,85,FALSE)</f>
        <v>CY/CY</v>
      </c>
      <c r="M278" s="56" t="str">
        <f>IF(VLOOKUP(D278,'2.Bookinglist'!A:CT,43,FALSE)=0,"","DG")</f>
        <v/>
      </c>
      <c r="N278" s="56" t="str">
        <f>IF(RIGHT(K278,2)="RE","RF","")</f>
        <v/>
      </c>
      <c r="O278" s="54" t="str">
        <f>VLOOKUP(A278,'1.Loading'!A:R,3,FALSE)</f>
        <v>HMVY</v>
      </c>
      <c r="P278" s="54" t="str">
        <f>VLOOKUP(A278,'1.Loading'!A:R,4,FALSE)</f>
        <v>2609N</v>
      </c>
      <c r="Q278" s="54" t="str">
        <f>VLOOKUP(D278,'2.Bookinglist'!A:CT,12,FALSE)</f>
        <v>PCI2</v>
      </c>
      <c r="R278" s="56" t="str">
        <f>IF(LEFT(K278,2)="22","20'","40'")</f>
        <v>20'</v>
      </c>
      <c r="S278" s="38"/>
      <c r="T278" s="54" t="str">
        <f>VLOOKUP(A278,'1.Loading'!A:R,2,FALSE)</f>
        <v>2026-10-28</v>
      </c>
      <c r="U278" s="57">
        <f>T278-S278</f>
        <v>46323</v>
      </c>
      <c r="V278" s="58"/>
      <c r="W278" s="54" t="str">
        <f>VLOOKUP(A278,'3.GateMove'!A:D,4,FALSE)</f>
        <v>2026-10-25</v>
      </c>
      <c r="X278" s="57">
        <f>((T278-W278)+1)</f>
        <v>4</v>
      </c>
      <c r="Y278" s="59">
        <f>IF(AND(OR(C278="BKK01",C278="BKK04"),L278="CFS/CY"),0,IF(M278="DG",1,IF(LEFT(C278,3)="LCH",7,IF(C278="BKK02",5,3))))</f>
        <v>7</v>
      </c>
      <c r="Z278" s="57">
        <f>IF(IF(AND(AC278="TML",AB278&gt;0),((T278-W278)+1)-AB278,((T278-W278)+1)-Y278)&gt;0,IF(AND(AC278="TML",AB278&gt;0),((T278-W278)+1)-AB278,((T278-W278)+1)-Y278),0)</f>
        <v>0</v>
      </c>
      <c r="AA278" s="48">
        <f>IF(AND(B278="G1",M278=""),IF(R278="20'",
VLOOKUP(Z278,Charge!$K$2:$M$5,2,TRUE)+(Z278-VLOOKUP(Z278,Charge!$K$2:$M$5,1,TRUE))*VLOOKUP(Z278,Charge!$K$2:$M$5,3,TRUE),
VLOOKUP(Z278,Charge!$N$2:$P$5,2,TRUE)+(Z278-VLOOKUP(Z278,Charge!$N$2:$P$5,1,TRUE))*VLOOKUP(Z278,Charge!$N$2:$P$5,3,TRUE)),
IF(AND(B278="G1",M278="DG"),IF(R278="20'",
VLOOKUP(Z278,Charge!$R$2:$T$5,2,TRUE)+(Z278-VLOOKUP(Z278,Charge!$R$2:$T$5,1,TRUE))*VLOOKUP(Z278,Charge!$R$2:$T$5,3,TRUE),
VLOOKUP(Z278,Charge!$U$2:$W$5,2,TRUE)+(Z278-VLOOKUP(Z278,Charge!$U$2:$W$5,1,TRUE))*VLOOKUP(Z278,Charge!$U$2:$W$5,3,TRUE)),
IF(AND(B278="G3",M278=""),IF(R278="20'",
VLOOKUP(Z278,Charge!$K$18:$M$21,2,TRUE)+(Z278-VLOOKUP(Z278,Charge!$K$18:$M$21,1,TRUE))*VLOOKUP(Z278,Charge!$K$18:$M$21,3,TRUE),
VLOOKUP(Z278,Charge!$N$18:$P$21,2,TRUE)+(Z278-VLOOKUP(Z278,Charge!$N$18:$P$21,1,TRUE))*VLOOKUP(Z278,Charge!$N$18:$P$21,3,TRUE)),
IF(AND(B278="G3",M278="DG"),IF(R278="20'",
VLOOKUP(Z278,Charge!$R$18:$T$21,2,TRUE)+(Z278-VLOOKUP(Z278,Charge!$R$18:$T$21,1,TRUE))*VLOOKUP(Z278,Charge!$R$18:$T$21,3,TRUE),
VLOOKUP(Z278,Charge!$U$18:$W$21,2,TRUE)+(Z278-VLOOKUP(Z278,Charge!$U$18:$W$21,1,TRUE))*VLOOKUP(Z278,Charge!$U$18:$W$21,3,TRUE)),
IF(AND(B278="G2",M278=""),IF(R278="20'",
VLOOKUP(Z278,Charge!$K$9:$M$12,2,TRUE)+(Z278-VLOOKUP(Z278,Charge!$K$9:$M$12,1,TRUE))*VLOOKUP(Z278,Charge!$K$9:$M$12,3,TRUE),
VLOOKUP(Z278,Charge!$N$9:$P$12,2,TRUE)+(Z278-VLOOKUP(Z278,Charge!$N$9:$P$12,1,TRUE))*VLOOKUP(Z278,Charge!$N$9:$P$12,3,TRUE)),
IF(AND(B278="G2",M278="DG"),IF(R278="20'",
VLOOKUP(Z278,Charge!$R$9:$T$12,2,TRUE)+(Z278-VLOOKUP(Z278,Charge!$R$9:$T$12,1,TRUE))*VLOOKUP(Z278,Charge!$R$9:$T$12,3,TRUE),
VLOOKUP(Z278,Charge!$U$9:$W$12,2,TRUE)+(Z278-VLOOKUP(Z278,Charge!$U$9:$W$12,1,TRUE))*VLOOKUP(Z278,Charge!$U$9:$W$12,3,TRUE)),IF(AND(B278="G4",M278=""),IF(R278="20'",Z278*Charge!$M$25,Z278*Charge!$P$25),IF(AND(B278="G4",M278="DG"),IF(R278="20'",Z278*Charge!$T$25,Z278*Charge!$W$25),0))))))))</f>
        <v>0</v>
      </c>
      <c r="AB278" s="53"/>
      <c r="AC278" s="53"/>
      <c r="AD278" s="56">
        <f>IF(M278="DG",3,IF(N278="RF",3,5))+IF(AND(LEFT(C278,3)="BKK",N278="RF",Q278="KTS"),1,0)+IF(Q278="KHS",1,0)</f>
        <v>5</v>
      </c>
      <c r="AE278" s="57">
        <f>(T278-V278)+1</f>
        <v>46324</v>
      </c>
      <c r="AF278" s="57">
        <f>IF(AB278&gt;IF((V278-W278)&gt;0,V278-W278,0),0,IF(AB278&lt;IF((V278-W278)&gt;0,V278-W278,0),IF((V278-W278)&gt;0,V278-W278,0)-AB278,IF((V278-W278)&gt;0,V278-W278,0)))</f>
        <v>0</v>
      </c>
      <c r="AG278" s="48">
        <f>IF(AND(M278=""),IF(R278="20'",
VLOOKUP(AF278,Charge!$K$31:$M$34,2,TRUE)+(AF278-VLOOKUP(AF278,Charge!$K$31:$M$34,1,TRUE))*VLOOKUP(AF278,Charge!$K$31:$M$34,3,TRUE),
VLOOKUP(AF278,Charge!$N$31:$P$34,2,TRUE)+(AF278-VLOOKUP(AF278,Charge!$N$31:$P$34,1,TRUE))*VLOOKUP(AF278,Charge!$N$31:$P$34,3,TRUE)),
IF(AND(M278="DG"),IF(R278="20'",
VLOOKUP(AF278,Charge!$R$31:$T$34,2,TRUE)+(AF278-VLOOKUP(AF278,Charge!$R$31:$T$34,1,TRUE))*VLOOKUP(AF278,Charge!$R$31:$T$34,3,TRUE),
VLOOKUP(AF278,Charge!$U$31:$W$34,2,TRUE)+(AF278-VLOOKUP(AF278,Charge!$U$31:$W$34,1,TRUE))*VLOOKUP(AF278,Charge!$U$31:$W$34,3,TRUE)),0))</f>
        <v>0</v>
      </c>
      <c r="AH278" s="60"/>
      <c r="AI278" s="60">
        <f>AA278-AH278</f>
        <v>0</v>
      </c>
      <c r="AJ278" s="61"/>
      <c r="AK278" s="55" t="str">
        <f>VLOOKUP(D278,'2.Bookinglist'!A:CT,40,FALSE)</f>
        <v>Dharaporn</v>
      </c>
      <c r="AL278" s="56" t="str">
        <f>VLOOKUP(D278,'2.Bookinglist'!A:CW,101,FALSE)</f>
        <v>2026-10-27</v>
      </c>
      <c r="AM278" s="56" t="str">
        <f>VLOOKUP(D278,'2.Bookinglist'!A:BK,63,FALSE)</f>
        <v>LCHY5</v>
      </c>
      <c r="AN278" s="55" t="str">
        <f>VLOOKUP(D278,'2.Bookinglist'!A:AZ,52,FALSE)</f>
        <v>[FIX]CY-RTN 21-22/10/26 </v>
      </c>
      <c r="AO278" s="55" t="str">
        <f>VLOOKUP(D278,'2.Bookinglist'!A:CY,103,FALSE)</f>
        <v>ROLL OVER FROM PREVIOUS VSL HAB 2612N BY ALLOCATION TEAM MS.TAN APPROVED COST IS UNDER HA DD.26/10</v>
      </c>
    </row>
    <row r="279" ht="12.95" customHeight="1" spans="1:41" x14ac:dyDescent="0.25">
      <c r="A279" s="3" t="s">
        <v>390</v>
      </c>
      <c r="B279" s="53" t="str">
        <f>IF(C279=Charge!$M$1,Charge!$J$1,IF(C279=Charge!$M$23,Charge!$J$23,IF(C279=Charge!$M$17,Charge!$J$17,IF(C279=Charge!$N$17,Charge!$J$17,Charge!$J$7))))</f>
        <v>G2</v>
      </c>
      <c r="C279" s="54" t="str">
        <f>VLOOKUP(A279,'1.Loading'!A:R,14,FALSE)</f>
        <v>LCH06</v>
      </c>
      <c r="D279" s="54" t="str">
        <f>VLOOKUP(A279,'1.Loading'!A:R,17,FALSE)</f>
        <v>HASLS22261001175</v>
      </c>
      <c r="E279" s="55" t="str">
        <f>VLOOKUP(D279,'2.Bookinglist'!A:CT,27,FALSE)</f>
        <v>THE M CORP GLOBAL CO., LTD.</v>
      </c>
      <c r="F279" s="55" t="str">
        <f>VLOOKUP(D279,'2.Bookinglist'!A:CT,28,FALSE)</f>
        <v>OZU CORPORATION </v>
      </c>
      <c r="G279" s="56" t="str">
        <f>VLOOKUP(D279,'2.Bookinglist'!A:E,5,FALSE)</f>
        <v>THSRP</v>
      </c>
      <c r="H279" s="54" t="str">
        <f>VLOOKUP(D279,'2.Bookinglist'!A:CT,15,FALSE)</f>
        <v>THLCH</v>
      </c>
      <c r="I279" s="54" t="str">
        <f>VLOOKUP(D279,'2.Bookinglist'!A:CT,19,FALSE)</f>
        <v>CNSHA</v>
      </c>
      <c r="J279" s="54">
        <f>VLOOKUP(D279,'2.Bookinglist'!A:CT,26,FALSE)</f>
        <v>0</v>
      </c>
      <c r="K279" s="54" t="str">
        <f>VLOOKUP(A279,'1.Loading'!A:R,5,FALSE)</f>
        <v>22GP</v>
      </c>
      <c r="L279" s="56" t="str">
        <f>VLOOKUP(D279,'2.Bookinglist'!A:CT,85,FALSE)</f>
        <v>CY/CY</v>
      </c>
      <c r="M279" s="56" t="str">
        <f>IF(VLOOKUP(D279,'2.Bookinglist'!A:CT,43,FALSE)=0,"","DG")</f>
        <v/>
      </c>
      <c r="N279" s="56" t="str">
        <f>IF(RIGHT(K279,2)="RE","RF","")</f>
        <v/>
      </c>
      <c r="O279" s="54" t="str">
        <f>VLOOKUP(A279,'1.Loading'!A:R,3,FALSE)</f>
        <v>HMVY</v>
      </c>
      <c r="P279" s="54" t="str">
        <f>VLOOKUP(A279,'1.Loading'!A:R,4,FALSE)</f>
        <v>2609N</v>
      </c>
      <c r="Q279" s="54" t="str">
        <f>VLOOKUP(D279,'2.Bookinglist'!A:CT,12,FALSE)</f>
        <v>PCI2</v>
      </c>
      <c r="R279" s="56" t="str">
        <f>IF(LEFT(K279,2)="22","20'","40'")</f>
        <v>20'</v>
      </c>
      <c r="S279" s="38"/>
      <c r="T279" s="54" t="str">
        <f>VLOOKUP(A279,'1.Loading'!A:R,2,FALSE)</f>
        <v>2026-10-28</v>
      </c>
      <c r="U279" s="57">
        <f>T279-S279</f>
        <v>46323</v>
      </c>
      <c r="V279" s="58"/>
      <c r="W279" s="54" t="str">
        <f>VLOOKUP(A279,'3.GateMove'!A:D,4,FALSE)</f>
        <v>2026-10-23</v>
      </c>
      <c r="X279" s="57">
        <f>((T279-W279)+1)</f>
        <v>6</v>
      </c>
      <c r="Y279" s="59">
        <f>IF(AND(OR(C279="BKK01",C279="BKK04"),L279="CFS/CY"),0,IF(M279="DG",1,IF(LEFT(C279,3)="LCH",7,IF(C279="BKK02",5,3))))</f>
        <v>7</v>
      </c>
      <c r="Z279" s="57">
        <f>IF(IF(AND(AC279="TML",AB279&gt;0),((T279-W279)+1)-AB279,((T279-W279)+1)-Y279)&gt;0,IF(AND(AC279="TML",AB279&gt;0),((T279-W279)+1)-AB279,((T279-W279)+1)-Y279),0)</f>
        <v>0</v>
      </c>
      <c r="AA279" s="48">
        <f>IF(AND(B279="G1",M279=""),IF(R279="20'",
VLOOKUP(Z279,Charge!$K$2:$M$5,2,TRUE)+(Z279-VLOOKUP(Z279,Charge!$K$2:$M$5,1,TRUE))*VLOOKUP(Z279,Charge!$K$2:$M$5,3,TRUE),
VLOOKUP(Z279,Charge!$N$2:$P$5,2,TRUE)+(Z279-VLOOKUP(Z279,Charge!$N$2:$P$5,1,TRUE))*VLOOKUP(Z279,Charge!$N$2:$P$5,3,TRUE)),
IF(AND(B279="G1",M279="DG"),IF(R279="20'",
VLOOKUP(Z279,Charge!$R$2:$T$5,2,TRUE)+(Z279-VLOOKUP(Z279,Charge!$R$2:$T$5,1,TRUE))*VLOOKUP(Z279,Charge!$R$2:$T$5,3,TRUE),
VLOOKUP(Z279,Charge!$U$2:$W$5,2,TRUE)+(Z279-VLOOKUP(Z279,Charge!$U$2:$W$5,1,TRUE))*VLOOKUP(Z279,Charge!$U$2:$W$5,3,TRUE)),
IF(AND(B279="G3",M279=""),IF(R279="20'",
VLOOKUP(Z279,Charge!$K$18:$M$21,2,TRUE)+(Z279-VLOOKUP(Z279,Charge!$K$18:$M$21,1,TRUE))*VLOOKUP(Z279,Charge!$K$18:$M$21,3,TRUE),
VLOOKUP(Z279,Charge!$N$18:$P$21,2,TRUE)+(Z279-VLOOKUP(Z279,Charge!$N$18:$P$21,1,TRUE))*VLOOKUP(Z279,Charge!$N$18:$P$21,3,TRUE)),
IF(AND(B279="G3",M279="DG"),IF(R279="20'",
VLOOKUP(Z279,Charge!$R$18:$T$21,2,TRUE)+(Z279-VLOOKUP(Z279,Charge!$R$18:$T$21,1,TRUE))*VLOOKUP(Z279,Charge!$R$18:$T$21,3,TRUE),
VLOOKUP(Z279,Charge!$U$18:$W$21,2,TRUE)+(Z279-VLOOKUP(Z279,Charge!$U$18:$W$21,1,TRUE))*VLOOKUP(Z279,Charge!$U$18:$W$21,3,TRUE)),
IF(AND(B279="G2",M279=""),IF(R279="20'",
VLOOKUP(Z279,Charge!$K$9:$M$12,2,TRUE)+(Z279-VLOOKUP(Z279,Charge!$K$9:$M$12,1,TRUE))*VLOOKUP(Z279,Charge!$K$9:$M$12,3,TRUE),
VLOOKUP(Z279,Charge!$N$9:$P$12,2,TRUE)+(Z279-VLOOKUP(Z279,Charge!$N$9:$P$12,1,TRUE))*VLOOKUP(Z279,Charge!$N$9:$P$12,3,TRUE)),
IF(AND(B279="G2",M279="DG"),IF(R279="20'",
VLOOKUP(Z279,Charge!$R$9:$T$12,2,TRUE)+(Z279-VLOOKUP(Z279,Charge!$R$9:$T$12,1,TRUE))*VLOOKUP(Z279,Charge!$R$9:$T$12,3,TRUE),
VLOOKUP(Z279,Charge!$U$9:$W$12,2,TRUE)+(Z279-VLOOKUP(Z279,Charge!$U$9:$W$12,1,TRUE))*VLOOKUP(Z279,Charge!$U$9:$W$12,3,TRUE)),IF(AND(B279="G4",M279=""),IF(R279="20'",Z279*Charge!$M$25,Z279*Charge!$P$25),IF(AND(B279="G4",M279="DG"),IF(R279="20'",Z279*Charge!$T$25,Z279*Charge!$W$25),0))))))))</f>
        <v>0</v>
      </c>
      <c r="AB279" s="53"/>
      <c r="AC279" s="53"/>
      <c r="AD279" s="56">
        <f>IF(M279="DG",3,IF(N279="RF",3,5))+IF(AND(LEFT(C279,3)="BKK",N279="RF",Q279="KTS"),1,0)+IF(Q279="KHS",1,0)</f>
        <v>5</v>
      </c>
      <c r="AE279" s="57">
        <f>(T279-V279)+1</f>
        <v>46324</v>
      </c>
      <c r="AF279" s="57">
        <f>IF(AB279&gt;IF((V279-W279)&gt;0,V279-W279,0),0,IF(AB279&lt;IF((V279-W279)&gt;0,V279-W279,0),IF((V279-W279)&gt;0,V279-W279,0)-AB279,IF((V279-W279)&gt;0,V279-W279,0)))</f>
        <v>0</v>
      </c>
      <c r="AG279" s="48">
        <f>IF(AND(M279=""),IF(R279="20'",
VLOOKUP(AF279,Charge!$K$31:$M$34,2,TRUE)+(AF279-VLOOKUP(AF279,Charge!$K$31:$M$34,1,TRUE))*VLOOKUP(AF279,Charge!$K$31:$M$34,3,TRUE),
VLOOKUP(AF279,Charge!$N$31:$P$34,2,TRUE)+(AF279-VLOOKUP(AF279,Charge!$N$31:$P$34,1,TRUE))*VLOOKUP(AF279,Charge!$N$31:$P$34,3,TRUE)),
IF(AND(M279="DG"),IF(R279="20'",
VLOOKUP(AF279,Charge!$R$31:$T$34,2,TRUE)+(AF279-VLOOKUP(AF279,Charge!$R$31:$T$34,1,TRUE))*VLOOKUP(AF279,Charge!$R$31:$T$34,3,TRUE),
VLOOKUP(AF279,Charge!$U$31:$W$34,2,TRUE)+(AF279-VLOOKUP(AF279,Charge!$U$31:$W$34,1,TRUE))*VLOOKUP(AF279,Charge!$U$31:$W$34,3,TRUE)),0))</f>
        <v>0</v>
      </c>
      <c r="AH279" s="60"/>
      <c r="AI279" s="60">
        <f>AA279-AH279</f>
        <v>0</v>
      </c>
      <c r="AJ279" s="61"/>
      <c r="AK279" s="55" t="str">
        <f>VLOOKUP(D279,'2.Bookinglist'!A:CT,40,FALSE)</f>
        <v>Kanokporn</v>
      </c>
      <c r="AL279" s="56" t="str">
        <f>VLOOKUP(D279,'2.Bookinglist'!A:CW,101,FALSE)</f>
        <v>2026-10-25</v>
      </c>
      <c r="AM279" s="56" t="str">
        <f>VLOOKUP(D279,'2.Bookinglist'!A:BK,63,FALSE)</f>
        <v>BKK27</v>
      </c>
      <c r="AN279" s="55" t="str">
        <f>VLOOKUP(D279,'2.Bookinglist'!A:AZ,52,FALSE)</f>
        <v>Pickup : 2026-10-20, Return SRP : 2026-10-21 [PAPERLESS CODE 2829]
CLS TIME 22/10/26 @23.59</v>
      </c>
      <c r="AO279" s="55">
        <f>VLOOKUP(D279,'2.Bookinglist'!A:CY,103,FALSE)</f>
        <v>0</v>
      </c>
    </row>
    <row r="280" ht="12.95" customHeight="1" spans="1:41" x14ac:dyDescent="0.25">
      <c r="A280" s="3" t="s">
        <v>337</v>
      </c>
      <c r="B280" s="53" t="str">
        <f>IF(C280=Charge!$M$1,Charge!$J$1,IF(C280=Charge!$M$23,Charge!$J$23,IF(C280=Charge!$M$17,Charge!$J$17,IF(C280=Charge!$N$17,Charge!$J$17,Charge!$J$7))))</f>
        <v>G2</v>
      </c>
      <c r="C280" s="54" t="str">
        <f>VLOOKUP(A280,'1.Loading'!A:R,14,FALSE)</f>
        <v>LCH06</v>
      </c>
      <c r="D280" s="54" t="str">
        <f>VLOOKUP(A280,'1.Loading'!A:R,17,FALSE)</f>
        <v>HASLS22260901524</v>
      </c>
      <c r="E280" s="55" t="str">
        <f>VLOOKUP(D280,'2.Bookinglist'!A:CT,27,FALSE)</f>
        <v>WHA GC LOGISTICS COMPANY LIMITED</v>
      </c>
      <c r="F280" s="55" t="str">
        <f>VLOOKUP(D280,'2.Bookinglist'!A:CT,28,FALSE)</f>
        <v>PTT GLOBAL CHEMICAL PUBLIC COMPANY LIMITED</v>
      </c>
      <c r="G280" s="56">
        <f>VLOOKUP(D280,'2.Bookinglist'!A:E,5,FALSE)</f>
        <v>0</v>
      </c>
      <c r="H280" s="54" t="str">
        <f>VLOOKUP(D280,'2.Bookinglist'!A:CT,15,FALSE)</f>
        <v>THLCH</v>
      </c>
      <c r="I280" s="54" t="str">
        <f>VLOOKUP(D280,'2.Bookinglist'!A:CT,19,FALSE)</f>
        <v>JPTAK</v>
      </c>
      <c r="J280" s="54" t="str">
        <f>VLOOKUP(D280,'2.Bookinglist'!A:CT,26,FALSE)</f>
        <v>KRPUS</v>
      </c>
      <c r="K280" s="54" t="str">
        <f>VLOOKUP(A280,'1.Loading'!A:R,5,FALSE)</f>
        <v>22GP</v>
      </c>
      <c r="L280" s="56" t="str">
        <f>VLOOKUP(D280,'2.Bookinglist'!A:CT,85,FALSE)</f>
        <v>CY/CY</v>
      </c>
      <c r="M280" s="56" t="str">
        <f>IF(VLOOKUP(D280,'2.Bookinglist'!A:CT,43,FALSE)=0,"","DG")</f>
        <v/>
      </c>
      <c r="N280" s="56" t="str">
        <f>IF(RIGHT(K280,2)="RE","RF","")</f>
        <v/>
      </c>
      <c r="O280" s="54" t="str">
        <f>VLOOKUP(A280,'1.Loading'!A:R,3,FALSE)</f>
        <v>HMVY</v>
      </c>
      <c r="P280" s="54" t="str">
        <f>VLOOKUP(A280,'1.Loading'!A:R,4,FALSE)</f>
        <v>2609N</v>
      </c>
      <c r="Q280" s="54" t="str">
        <f>VLOOKUP(D280,'2.Bookinglist'!A:CT,12,FALSE)</f>
        <v>PCI2</v>
      </c>
      <c r="R280" s="56" t="str">
        <f>IF(LEFT(K280,2)="22","20'","40'")</f>
        <v>20'</v>
      </c>
      <c r="S280" s="38"/>
      <c r="T280" s="54" t="str">
        <f>VLOOKUP(A280,'1.Loading'!A:R,2,FALSE)</f>
        <v>2026-10-28</v>
      </c>
      <c r="U280" s="57">
        <f>T280-S280</f>
        <v>46323</v>
      </c>
      <c r="V280" s="58"/>
      <c r="W280" s="54" t="str">
        <f>VLOOKUP(A280,'3.GateMove'!A:D,4,FALSE)</f>
        <v>2026-10-16</v>
      </c>
      <c r="X280" s="57">
        <f>((T280-W280)+1)</f>
        <v>13</v>
      </c>
      <c r="Y280" s="59">
        <f>IF(AND(OR(C280="BKK01",C280="BKK04"),L280="CFS/CY"),0,IF(M280="DG",1,IF(LEFT(C280,3)="LCH",7,IF(C280="BKK02",5,3))))</f>
        <v>7</v>
      </c>
      <c r="Z280" s="57">
        <f>IF(IF(AND(AC280="TML",AB280&gt;0),((T280-W280)+1)-AB280,((T280-W280)+1)-Y280)&gt;0,IF(AND(AC280="TML",AB280&gt;0),((T280-W280)+1)-AB280,((T280-W280)+1)-Y280),0)</f>
        <v>6</v>
      </c>
      <c r="AA280" s="48">
        <f>IF(AND(B280="G1",M280=""),IF(R280="20'",
VLOOKUP(Z280,Charge!$K$2:$M$5,2,TRUE)+(Z280-VLOOKUP(Z280,Charge!$K$2:$M$5,1,TRUE))*VLOOKUP(Z280,Charge!$K$2:$M$5,3,TRUE),
VLOOKUP(Z280,Charge!$N$2:$P$5,2,TRUE)+(Z280-VLOOKUP(Z280,Charge!$N$2:$P$5,1,TRUE))*VLOOKUP(Z280,Charge!$N$2:$P$5,3,TRUE)),
IF(AND(B280="G1",M280="DG"),IF(R280="20'",
VLOOKUP(Z280,Charge!$R$2:$T$5,2,TRUE)+(Z280-VLOOKUP(Z280,Charge!$R$2:$T$5,1,TRUE))*VLOOKUP(Z280,Charge!$R$2:$T$5,3,TRUE),
VLOOKUP(Z280,Charge!$U$2:$W$5,2,TRUE)+(Z280-VLOOKUP(Z280,Charge!$U$2:$W$5,1,TRUE))*VLOOKUP(Z280,Charge!$U$2:$W$5,3,TRUE)),
IF(AND(B280="G3",M280=""),IF(R280="20'",
VLOOKUP(Z280,Charge!$K$18:$M$21,2,TRUE)+(Z280-VLOOKUP(Z280,Charge!$K$18:$M$21,1,TRUE))*VLOOKUP(Z280,Charge!$K$18:$M$21,3,TRUE),
VLOOKUP(Z280,Charge!$N$18:$P$21,2,TRUE)+(Z280-VLOOKUP(Z280,Charge!$N$18:$P$21,1,TRUE))*VLOOKUP(Z280,Charge!$N$18:$P$21,3,TRUE)),
IF(AND(B280="G3",M280="DG"),IF(R280="20'",
VLOOKUP(Z280,Charge!$R$18:$T$21,2,TRUE)+(Z280-VLOOKUP(Z280,Charge!$R$18:$T$21,1,TRUE))*VLOOKUP(Z280,Charge!$R$18:$T$21,3,TRUE),
VLOOKUP(Z280,Charge!$U$18:$W$21,2,TRUE)+(Z280-VLOOKUP(Z280,Charge!$U$18:$W$21,1,TRUE))*VLOOKUP(Z280,Charge!$U$18:$W$21,3,TRUE)),
IF(AND(B280="G2",M280=""),IF(R280="20'",
VLOOKUP(Z280,Charge!$K$9:$M$12,2,TRUE)+(Z280-VLOOKUP(Z280,Charge!$K$9:$M$12,1,TRUE))*VLOOKUP(Z280,Charge!$K$9:$M$12,3,TRUE),
VLOOKUP(Z280,Charge!$N$9:$P$12,2,TRUE)+(Z280-VLOOKUP(Z280,Charge!$N$9:$P$12,1,TRUE))*VLOOKUP(Z280,Charge!$N$9:$P$12,3,TRUE)),
IF(AND(B280="G2",M280="DG"),IF(R280="20'",
VLOOKUP(Z280,Charge!$R$9:$T$12,2,TRUE)+(Z280-VLOOKUP(Z280,Charge!$R$9:$T$12,1,TRUE))*VLOOKUP(Z280,Charge!$R$9:$T$12,3,TRUE),
VLOOKUP(Z280,Charge!$U$9:$W$12,2,TRUE)+(Z280-VLOOKUP(Z280,Charge!$U$9:$W$12,1,TRUE))*VLOOKUP(Z280,Charge!$U$9:$W$12,3,TRUE)),IF(AND(B280="G4",M280=""),IF(R280="20'",Z280*Charge!$M$25,Z280*Charge!$P$25),IF(AND(B280="G4",M280="DG"),IF(R280="20'",Z280*Charge!$T$25,Z280*Charge!$W$25),0))))))))</f>
        <v>750</v>
      </c>
      <c r="AB280" s="53"/>
      <c r="AC280" s="53"/>
      <c r="AD280" s="56">
        <f>IF(M280="DG",3,IF(N280="RF",3,5))+IF(AND(LEFT(C280,3)="BKK",N280="RF",Q280="KTS"),1,0)+IF(Q280="KHS",1,0)</f>
        <v>5</v>
      </c>
      <c r="AE280" s="57">
        <f>(T280-V280)+1</f>
        <v>46324</v>
      </c>
      <c r="AF280" s="57">
        <f>IF(AB280&gt;IF((V280-W280)&gt;0,V280-W280,0),0,IF(AB280&lt;IF((V280-W280)&gt;0,V280-W280,0),IF((V280-W280)&gt;0,V280-W280,0)-AB280,IF((V280-W280)&gt;0,V280-W280,0)))</f>
        <v>0</v>
      </c>
      <c r="AG280" s="48">
        <f>IF(AND(M280=""),IF(R280="20'",
VLOOKUP(AF280,Charge!$K$31:$M$34,2,TRUE)+(AF280-VLOOKUP(AF280,Charge!$K$31:$M$34,1,TRUE))*VLOOKUP(AF280,Charge!$K$31:$M$34,3,TRUE),
VLOOKUP(AF280,Charge!$N$31:$P$34,2,TRUE)+(AF280-VLOOKUP(AF280,Charge!$N$31:$P$34,1,TRUE))*VLOOKUP(AF280,Charge!$N$31:$P$34,3,TRUE)),
IF(AND(M280="DG"),IF(R280="20'",
VLOOKUP(AF280,Charge!$R$31:$T$34,2,TRUE)+(AF280-VLOOKUP(AF280,Charge!$R$31:$T$34,1,TRUE))*VLOOKUP(AF280,Charge!$R$31:$T$34,3,TRUE),
VLOOKUP(AF280,Charge!$U$31:$W$34,2,TRUE)+(AF280-VLOOKUP(AF280,Charge!$U$31:$W$34,1,TRUE))*VLOOKUP(AF280,Charge!$U$31:$W$34,3,TRUE)),0))</f>
        <v>0</v>
      </c>
      <c r="AH280" s="60"/>
      <c r="AI280" s="60">
        <f>AA280-AH280</f>
        <v>750</v>
      </c>
      <c r="AJ280" s="61"/>
      <c r="AK280" s="55" t="str">
        <f>VLOOKUP(D280,'2.Bookinglist'!A:CT,40,FALSE)</f>
        <v>Dharaporn</v>
      </c>
      <c r="AL280" s="56" t="str">
        <f>VLOOKUP(D280,'2.Bookinglist'!A:CW,101,FALSE)</f>
        <v>2026-10-14</v>
      </c>
      <c r="AM280" s="56" t="str">
        <f>VLOOKUP(D280,'2.Bookinglist'!A:BK,63,FALSE)</f>
        <v>LCHY5</v>
      </c>
      <c r="AN280" s="55" t="str">
        <f>VLOOKUP(D280,'2.Bookinglist'!A:AZ,52,FALSE)</f>
        <v>[FIX][FIX]CY-RTN 02-08/10/26 (PR2610002956)
*PLS CHECK OPEN GATE BEFORE RETURN CTNR*</v>
      </c>
      <c r="AO280" s="55">
        <f>VLOOKUP(D280,'2.Bookinglist'!A:CY,103,FALSE)</f>
        <v>0</v>
      </c>
    </row>
    <row r="281" ht="12.95" customHeight="1" spans="1:41" x14ac:dyDescent="0.25">
      <c r="A281" s="3" t="s">
        <v>416</v>
      </c>
      <c r="B281" s="53" t="str">
        <f>IF(C281=Charge!$M$1,Charge!$J$1,IF(C281=Charge!$M$23,Charge!$J$23,IF(C281=Charge!$M$17,Charge!$J$17,IF(C281=Charge!$N$17,Charge!$J$17,Charge!$J$7))))</f>
        <v>G2</v>
      </c>
      <c r="C281" s="54" t="str">
        <f>VLOOKUP(A281,'1.Loading'!A:R,14,FALSE)</f>
        <v>LCH06</v>
      </c>
      <c r="D281" s="54" t="str">
        <f>VLOOKUP(A281,'1.Loading'!A:R,17,FALSE)</f>
        <v>HASLS22261000756</v>
      </c>
      <c r="E281" s="55" t="str">
        <f>VLOOKUP(D281,'2.Bookinglist'!A:CT,27,FALSE)</f>
        <v>TOP INTER FREIGHT CO., LTD.</v>
      </c>
      <c r="F281" s="55" t="str">
        <f>VLOOKUP(D281,'2.Bookinglist'!A:CT,28,FALSE)</f>
        <v>TOP PREMIUM STARCH CO., LTD.</v>
      </c>
      <c r="G281" s="56" t="str">
        <f>VLOOKUP(D281,'2.Bookinglist'!A:E,5,FALSE)</f>
        <v>THLKR</v>
      </c>
      <c r="H281" s="54" t="str">
        <f>VLOOKUP(D281,'2.Bookinglist'!A:CT,15,FALSE)</f>
        <v>THLCH</v>
      </c>
      <c r="I281" s="54" t="str">
        <f>VLOOKUP(D281,'2.Bookinglist'!A:CT,19,FALSE)</f>
        <v>CNSHA</v>
      </c>
      <c r="J281" s="54">
        <f>VLOOKUP(D281,'2.Bookinglist'!A:CT,26,FALSE)</f>
        <v>0</v>
      </c>
      <c r="K281" s="54" t="str">
        <f>VLOOKUP(A281,'1.Loading'!A:R,5,FALSE)</f>
        <v>22GP</v>
      </c>
      <c r="L281" s="56" t="str">
        <f>VLOOKUP(D281,'2.Bookinglist'!A:CT,85,FALSE)</f>
        <v>CFS/CY</v>
      </c>
      <c r="M281" s="56" t="str">
        <f>IF(VLOOKUP(D281,'2.Bookinglist'!A:CT,43,FALSE)=0,"","DG")</f>
        <v/>
      </c>
      <c r="N281" s="56" t="str">
        <f>IF(RIGHT(K281,2)="RE","RF","")</f>
        <v/>
      </c>
      <c r="O281" s="54" t="str">
        <f>VLOOKUP(A281,'1.Loading'!A:R,3,FALSE)</f>
        <v>HMVY</v>
      </c>
      <c r="P281" s="54" t="str">
        <f>VLOOKUP(A281,'1.Loading'!A:R,4,FALSE)</f>
        <v>2609N</v>
      </c>
      <c r="Q281" s="54" t="str">
        <f>VLOOKUP(D281,'2.Bookinglist'!A:CT,12,FALSE)</f>
        <v>PCI2</v>
      </c>
      <c r="R281" s="56" t="str">
        <f>IF(LEFT(K281,2)="22","20'","40'")</f>
        <v>20'</v>
      </c>
      <c r="S281" s="38"/>
      <c r="T281" s="54" t="str">
        <f>VLOOKUP(A281,'1.Loading'!A:R,2,FALSE)</f>
        <v>2026-10-28</v>
      </c>
      <c r="U281" s="57">
        <f>T281-S281</f>
        <v>46323</v>
      </c>
      <c r="V281" s="58"/>
      <c r="W281" s="54" t="str">
        <f>VLOOKUP(A281,'3.GateMove'!A:D,4,FALSE)</f>
        <v>2026-10-20</v>
      </c>
      <c r="X281" s="57">
        <f>((T281-W281)+1)</f>
        <v>9</v>
      </c>
      <c r="Y281" s="59">
        <f>IF(AND(OR(C281="BKK01",C281="BKK04"),L281="CFS/CY"),0,IF(M281="DG",1,IF(LEFT(C281,3)="LCH",7,IF(C281="BKK02",5,3))))</f>
        <v>7</v>
      </c>
      <c r="Z281" s="57">
        <f>IF(IF(AND(AC281="TML",AB281&gt;0),((T281-W281)+1)-AB281,((T281-W281)+1)-Y281)&gt;0,IF(AND(AC281="TML",AB281&gt;0),((T281-W281)+1)-AB281,((T281-W281)+1)-Y281),0)</f>
        <v>2</v>
      </c>
      <c r="AA281" s="48">
        <f>IF(AND(B281="G1",M281=""),IF(R281="20'",
VLOOKUP(Z281,Charge!$K$2:$M$5,2,TRUE)+(Z281-VLOOKUP(Z281,Charge!$K$2:$M$5,1,TRUE))*VLOOKUP(Z281,Charge!$K$2:$M$5,3,TRUE),
VLOOKUP(Z281,Charge!$N$2:$P$5,2,TRUE)+(Z281-VLOOKUP(Z281,Charge!$N$2:$P$5,1,TRUE))*VLOOKUP(Z281,Charge!$N$2:$P$5,3,TRUE)),
IF(AND(B281="G1",M281="DG"),IF(R281="20'",
VLOOKUP(Z281,Charge!$R$2:$T$5,2,TRUE)+(Z281-VLOOKUP(Z281,Charge!$R$2:$T$5,1,TRUE))*VLOOKUP(Z281,Charge!$R$2:$T$5,3,TRUE),
VLOOKUP(Z281,Charge!$U$2:$W$5,2,TRUE)+(Z281-VLOOKUP(Z281,Charge!$U$2:$W$5,1,TRUE))*VLOOKUP(Z281,Charge!$U$2:$W$5,3,TRUE)),
IF(AND(B281="G3",M281=""),IF(R281="20'",
VLOOKUP(Z281,Charge!$K$18:$M$21,2,TRUE)+(Z281-VLOOKUP(Z281,Charge!$K$18:$M$21,1,TRUE))*VLOOKUP(Z281,Charge!$K$18:$M$21,3,TRUE),
VLOOKUP(Z281,Charge!$N$18:$P$21,2,TRUE)+(Z281-VLOOKUP(Z281,Charge!$N$18:$P$21,1,TRUE))*VLOOKUP(Z281,Charge!$N$18:$P$21,3,TRUE)),
IF(AND(B281="G3",M281="DG"),IF(R281="20'",
VLOOKUP(Z281,Charge!$R$18:$T$21,2,TRUE)+(Z281-VLOOKUP(Z281,Charge!$R$18:$T$21,1,TRUE))*VLOOKUP(Z281,Charge!$R$18:$T$21,3,TRUE),
VLOOKUP(Z281,Charge!$U$18:$W$21,2,TRUE)+(Z281-VLOOKUP(Z281,Charge!$U$18:$W$21,1,TRUE))*VLOOKUP(Z281,Charge!$U$18:$W$21,3,TRUE)),
IF(AND(B281="G2",M281=""),IF(R281="20'",
VLOOKUP(Z281,Charge!$K$9:$M$12,2,TRUE)+(Z281-VLOOKUP(Z281,Charge!$K$9:$M$12,1,TRUE))*VLOOKUP(Z281,Charge!$K$9:$M$12,3,TRUE),
VLOOKUP(Z281,Charge!$N$9:$P$12,2,TRUE)+(Z281-VLOOKUP(Z281,Charge!$N$9:$P$12,1,TRUE))*VLOOKUP(Z281,Charge!$N$9:$P$12,3,TRUE)),
IF(AND(B281="G2",M281="DG"),IF(R281="20'",
VLOOKUP(Z281,Charge!$R$9:$T$12,2,TRUE)+(Z281-VLOOKUP(Z281,Charge!$R$9:$T$12,1,TRUE))*VLOOKUP(Z281,Charge!$R$9:$T$12,3,TRUE),
VLOOKUP(Z281,Charge!$U$9:$W$12,2,TRUE)+(Z281-VLOOKUP(Z281,Charge!$U$9:$W$12,1,TRUE))*VLOOKUP(Z281,Charge!$U$9:$W$12,3,TRUE)),IF(AND(B281="G4",M281=""),IF(R281="20'",Z281*Charge!$M$25,Z281*Charge!$P$25),IF(AND(B281="G4",M281="DG"),IF(R281="20'",Z281*Charge!$T$25,Z281*Charge!$W$25),0))))))))</f>
        <v>250</v>
      </c>
      <c r="AB281" s="53"/>
      <c r="AC281" s="53"/>
      <c r="AD281" s="56">
        <f>IF(M281="DG",3,IF(N281="RF",3,5))+IF(AND(LEFT(C281,3)="BKK",N281="RF",Q281="KTS"),1,0)+IF(Q281="KHS",1,0)</f>
        <v>5</v>
      </c>
      <c r="AE281" s="57">
        <f>(T281-V281)+1</f>
        <v>46324</v>
      </c>
      <c r="AF281" s="57">
        <f>IF(AB281&gt;IF((V281-W281)&gt;0,V281-W281,0),0,IF(AB281&lt;IF((V281-W281)&gt;0,V281-W281,0),IF((V281-W281)&gt;0,V281-W281,0)-AB281,IF((V281-W281)&gt;0,V281-W281,0)))</f>
        <v>0</v>
      </c>
      <c r="AG281" s="48">
        <f>IF(AND(M281=""),IF(R281="20'",
VLOOKUP(AF281,Charge!$K$31:$M$34,2,TRUE)+(AF281-VLOOKUP(AF281,Charge!$K$31:$M$34,1,TRUE))*VLOOKUP(AF281,Charge!$K$31:$M$34,3,TRUE),
VLOOKUP(AF281,Charge!$N$31:$P$34,2,TRUE)+(AF281-VLOOKUP(AF281,Charge!$N$31:$P$34,1,TRUE))*VLOOKUP(AF281,Charge!$N$31:$P$34,3,TRUE)),
IF(AND(M281="DG"),IF(R281="20'",
VLOOKUP(AF281,Charge!$R$31:$T$34,2,TRUE)+(AF281-VLOOKUP(AF281,Charge!$R$31:$T$34,1,TRUE))*VLOOKUP(AF281,Charge!$R$31:$T$34,3,TRUE),
VLOOKUP(AF281,Charge!$U$31:$W$34,2,TRUE)+(AF281-VLOOKUP(AF281,Charge!$U$31:$W$34,1,TRUE))*VLOOKUP(AF281,Charge!$U$31:$W$34,3,TRUE)),0))</f>
        <v>0</v>
      </c>
      <c r="AH281" s="60"/>
      <c r="AI281" s="60">
        <f>AA281-AH281</f>
        <v>250</v>
      </c>
      <c r="AJ281" s="61"/>
      <c r="AK281" s="55" t="str">
        <f>VLOOKUP(D281,'2.Bookinglist'!A:CT,40,FALSE)</f>
        <v>Arunphat W. (Aiw)</v>
      </c>
      <c r="AL281" s="56" t="str">
        <f>VLOOKUP(D281,'2.Bookinglist'!A:CW,101,FALSE)</f>
        <v>2026-10-22</v>
      </c>
      <c r="AM281" s="56" t="str">
        <f>VLOOKUP(D281,'2.Bookinglist'!A:BK,63,FALSE)</f>
        <v>LCH54</v>
      </c>
      <c r="AN281" s="55" t="str">
        <f>VLOOKUP(D281,'2.Bookinglist'!A:AZ,52,FALSE)</f>
        <v>STUFFING CARGO AT TIFFA ICD DD.16-17/10/26 [PAPERLESS CODE 2829]
CLS TIME 19/10/26 @17.00</v>
      </c>
      <c r="AO281" s="55">
        <f>VLOOKUP(D281,'2.Bookinglist'!A:CY,103,FALSE)</f>
        <v>0</v>
      </c>
    </row>
    <row r="282" ht="12.95" customHeight="1" spans="1:41" x14ac:dyDescent="0.25">
      <c r="A282" s="3" t="s">
        <v>292</v>
      </c>
      <c r="B282" s="53" t="str">
        <f>IF(C282=Charge!$M$1,Charge!$J$1,IF(C282=Charge!$M$23,Charge!$J$23,IF(C282=Charge!$M$17,Charge!$J$17,IF(C282=Charge!$N$17,Charge!$J$17,Charge!$J$7))))</f>
        <v>G2</v>
      </c>
      <c r="C282" s="54" t="str">
        <f>VLOOKUP(A282,'1.Loading'!A:R,14,FALSE)</f>
        <v>LCH06</v>
      </c>
      <c r="D282" s="54" t="str">
        <f>VLOOKUP(A282,'1.Loading'!A:R,17,FALSE)</f>
        <v>HASLS22260900170</v>
      </c>
      <c r="E282" s="55" t="str">
        <f>VLOOKUP(D282,'2.Bookinglist'!A:CT,27,FALSE)</f>
        <v>PANDA GOGO LOGISTICS CO., LTD.</v>
      </c>
      <c r="F282" s="55" t="str">
        <f>VLOOKUP(D282,'2.Bookinglist'!A:CT,28,FALSE)</f>
        <v>GC-M PTA COMPANY LIMITED</v>
      </c>
      <c r="G282" s="56">
        <f>VLOOKUP(D282,'2.Bookinglist'!A:E,5,FALSE)</f>
        <v>0</v>
      </c>
      <c r="H282" s="54" t="str">
        <f>VLOOKUP(D282,'2.Bookinglist'!A:CT,15,FALSE)</f>
        <v>THLCH</v>
      </c>
      <c r="I282" s="54" t="str">
        <f>VLOOKUP(D282,'2.Bookinglist'!A:CT,19,FALSE)</f>
        <v>JPTRG</v>
      </c>
      <c r="J282" s="54" t="str">
        <f>VLOOKUP(D282,'2.Bookinglist'!A:CT,26,FALSE)</f>
        <v>KRPUS</v>
      </c>
      <c r="K282" s="54" t="str">
        <f>VLOOKUP(A282,'1.Loading'!A:R,5,FALSE)</f>
        <v>22GP</v>
      </c>
      <c r="L282" s="56" t="str">
        <f>VLOOKUP(D282,'2.Bookinglist'!A:CT,85,FALSE)</f>
        <v>CY/CY</v>
      </c>
      <c r="M282" s="56" t="str">
        <f>IF(VLOOKUP(D282,'2.Bookinglist'!A:CT,43,FALSE)=0,"","DG")</f>
        <v/>
      </c>
      <c r="N282" s="56" t="str">
        <f>IF(RIGHT(K282,2)="RE","RF","")</f>
        <v/>
      </c>
      <c r="O282" s="54" t="str">
        <f>VLOOKUP(A282,'1.Loading'!A:R,3,FALSE)</f>
        <v>HMVY</v>
      </c>
      <c r="P282" s="54" t="str">
        <f>VLOOKUP(A282,'1.Loading'!A:R,4,FALSE)</f>
        <v>2609N</v>
      </c>
      <c r="Q282" s="54" t="str">
        <f>VLOOKUP(D282,'2.Bookinglist'!A:CT,12,FALSE)</f>
        <v>PCI2</v>
      </c>
      <c r="R282" s="56" t="str">
        <f>IF(LEFT(K282,2)="22","20'","40'")</f>
        <v>20'</v>
      </c>
      <c r="S282" s="38"/>
      <c r="T282" s="54" t="str">
        <f>VLOOKUP(A282,'1.Loading'!A:R,2,FALSE)</f>
        <v>2026-10-28</v>
      </c>
      <c r="U282" s="57">
        <f>T282-S282</f>
        <v>46323</v>
      </c>
      <c r="V282" s="58"/>
      <c r="W282" s="54" t="str">
        <f>VLOOKUP(A282,'3.GateMove'!A:D,4,FALSE)</f>
        <v>2026-10-18</v>
      </c>
      <c r="X282" s="57">
        <f>((T282-W282)+1)</f>
        <v>11</v>
      </c>
      <c r="Y282" s="59">
        <f>IF(AND(OR(C282="BKK01",C282="BKK04"),L282="CFS/CY"),0,IF(M282="DG",1,IF(LEFT(C282,3)="LCH",7,IF(C282="BKK02",5,3))))</f>
        <v>7</v>
      </c>
      <c r="Z282" s="57">
        <f>IF(IF(AND(AC282="TML",AB282&gt;0),((T282-W282)+1)-AB282,((T282-W282)+1)-Y282)&gt;0,IF(AND(AC282="TML",AB282&gt;0),((T282-W282)+1)-AB282,((T282-W282)+1)-Y282),0)</f>
        <v>4</v>
      </c>
      <c r="AA282" s="48">
        <f>IF(AND(B282="G1",M282=""),IF(R282="20'",
VLOOKUP(Z282,Charge!$K$2:$M$5,2,TRUE)+(Z282-VLOOKUP(Z282,Charge!$K$2:$M$5,1,TRUE))*VLOOKUP(Z282,Charge!$K$2:$M$5,3,TRUE),
VLOOKUP(Z282,Charge!$N$2:$P$5,2,TRUE)+(Z282-VLOOKUP(Z282,Charge!$N$2:$P$5,1,TRUE))*VLOOKUP(Z282,Charge!$N$2:$P$5,3,TRUE)),
IF(AND(B282="G1",M282="DG"),IF(R282="20'",
VLOOKUP(Z282,Charge!$R$2:$T$5,2,TRUE)+(Z282-VLOOKUP(Z282,Charge!$R$2:$T$5,1,TRUE))*VLOOKUP(Z282,Charge!$R$2:$T$5,3,TRUE),
VLOOKUP(Z282,Charge!$U$2:$W$5,2,TRUE)+(Z282-VLOOKUP(Z282,Charge!$U$2:$W$5,1,TRUE))*VLOOKUP(Z282,Charge!$U$2:$W$5,3,TRUE)),
IF(AND(B282="G3",M282=""),IF(R282="20'",
VLOOKUP(Z282,Charge!$K$18:$M$21,2,TRUE)+(Z282-VLOOKUP(Z282,Charge!$K$18:$M$21,1,TRUE))*VLOOKUP(Z282,Charge!$K$18:$M$21,3,TRUE),
VLOOKUP(Z282,Charge!$N$18:$P$21,2,TRUE)+(Z282-VLOOKUP(Z282,Charge!$N$18:$P$21,1,TRUE))*VLOOKUP(Z282,Charge!$N$18:$P$21,3,TRUE)),
IF(AND(B282="G3",M282="DG"),IF(R282="20'",
VLOOKUP(Z282,Charge!$R$18:$T$21,2,TRUE)+(Z282-VLOOKUP(Z282,Charge!$R$18:$T$21,1,TRUE))*VLOOKUP(Z282,Charge!$R$18:$T$21,3,TRUE),
VLOOKUP(Z282,Charge!$U$18:$W$21,2,TRUE)+(Z282-VLOOKUP(Z282,Charge!$U$18:$W$21,1,TRUE))*VLOOKUP(Z282,Charge!$U$18:$W$21,3,TRUE)),
IF(AND(B282="G2",M282=""),IF(R282="20'",
VLOOKUP(Z282,Charge!$K$9:$M$12,2,TRUE)+(Z282-VLOOKUP(Z282,Charge!$K$9:$M$12,1,TRUE))*VLOOKUP(Z282,Charge!$K$9:$M$12,3,TRUE),
VLOOKUP(Z282,Charge!$N$9:$P$12,2,TRUE)+(Z282-VLOOKUP(Z282,Charge!$N$9:$P$12,1,TRUE))*VLOOKUP(Z282,Charge!$N$9:$P$12,3,TRUE)),
IF(AND(B282="G2",M282="DG"),IF(R282="20'",
VLOOKUP(Z282,Charge!$R$9:$T$12,2,TRUE)+(Z282-VLOOKUP(Z282,Charge!$R$9:$T$12,1,TRUE))*VLOOKUP(Z282,Charge!$R$9:$T$12,3,TRUE),
VLOOKUP(Z282,Charge!$U$9:$W$12,2,TRUE)+(Z282-VLOOKUP(Z282,Charge!$U$9:$W$12,1,TRUE))*VLOOKUP(Z282,Charge!$U$9:$W$12,3,TRUE)),IF(AND(B282="G4",M282=""),IF(R282="20'",Z282*Charge!$M$25,Z282*Charge!$P$25),IF(AND(B282="G4",M282="DG"),IF(R282="20'",Z282*Charge!$T$25,Z282*Charge!$W$25),0))))))))</f>
        <v>500</v>
      </c>
      <c r="AB282" s="53"/>
      <c r="AC282" s="53"/>
      <c r="AD282" s="56">
        <f>IF(M282="DG",3,IF(N282="RF",3,5))+IF(AND(LEFT(C282,3)="BKK",N282="RF",Q282="KTS"),1,0)+IF(Q282="KHS",1,0)</f>
        <v>5</v>
      </c>
      <c r="AE282" s="57">
        <f>(T282-V282)+1</f>
        <v>46324</v>
      </c>
      <c r="AF282" s="57">
        <f>IF(AB282&gt;IF((V282-W282)&gt;0,V282-W282,0),0,IF(AB282&lt;IF((V282-W282)&gt;0,V282-W282,0),IF((V282-W282)&gt;0,V282-W282,0)-AB282,IF((V282-W282)&gt;0,V282-W282,0)))</f>
        <v>0</v>
      </c>
      <c r="AG282" s="48">
        <f>IF(AND(M282=""),IF(R282="20'",
VLOOKUP(AF282,Charge!$K$31:$M$34,2,TRUE)+(AF282-VLOOKUP(AF282,Charge!$K$31:$M$34,1,TRUE))*VLOOKUP(AF282,Charge!$K$31:$M$34,3,TRUE),
VLOOKUP(AF282,Charge!$N$31:$P$34,2,TRUE)+(AF282-VLOOKUP(AF282,Charge!$N$31:$P$34,1,TRUE))*VLOOKUP(AF282,Charge!$N$31:$P$34,3,TRUE)),
IF(AND(M282="DG"),IF(R282="20'",
VLOOKUP(AF282,Charge!$R$31:$T$34,2,TRUE)+(AF282-VLOOKUP(AF282,Charge!$R$31:$T$34,1,TRUE))*VLOOKUP(AF282,Charge!$R$31:$T$34,3,TRUE),
VLOOKUP(AF282,Charge!$U$31:$W$34,2,TRUE)+(AF282-VLOOKUP(AF282,Charge!$U$31:$W$34,1,TRUE))*VLOOKUP(AF282,Charge!$U$31:$W$34,3,TRUE)),0))</f>
        <v>0</v>
      </c>
      <c r="AH282" s="60"/>
      <c r="AI282" s="60">
        <f>AA282-AH282</f>
        <v>500</v>
      </c>
      <c r="AJ282" s="61"/>
      <c r="AK282" s="55" t="str">
        <f>VLOOKUP(D282,'2.Bookinglist'!A:CT,40,FALSE)</f>
        <v>Tarn(Supaporn)</v>
      </c>
      <c r="AL282" s="56" t="str">
        <f>VLOOKUP(D282,'2.Bookinglist'!A:CW,101,FALSE)</f>
        <v>2026-10-22</v>
      </c>
      <c r="AM282" s="56" t="str">
        <f>VLOOKUP(D282,'2.Bookinglist'!A:BK,63,FALSE)</f>
        <v>LCHY5</v>
      </c>
      <c r="AN282" s="55" t="str">
        <f>VLOOKUP(D282,'2.Bookinglist'!A:AZ,52,FALSE)</f>
        <v>[FIX]Pickup : 2026-10-14, Return : 2026-10-15 [1ST RTN 16/10/2026 W/O RENT]
** PLEASE CHECK OPEN GATE BEFORE RETURN CONTAINER ** </v>
      </c>
      <c r="AO282" s="55">
        <f>VLOOKUP(D282,'2.Bookinglist'!A:CY,103,FALSE)</f>
        <v>0</v>
      </c>
    </row>
    <row r="283" ht="12.95" customHeight="1" spans="1:41" x14ac:dyDescent="0.25">
      <c r="A283" s="3" t="s">
        <v>455</v>
      </c>
      <c r="B283" s="53" t="str">
        <f>IF(C283=Charge!$M$1,Charge!$J$1,IF(C283=Charge!$M$23,Charge!$J$23,IF(C283=Charge!$M$17,Charge!$J$17,IF(C283=Charge!$N$17,Charge!$J$17,Charge!$J$7))))</f>
        <v>G2</v>
      </c>
      <c r="C283" s="54" t="str">
        <f>VLOOKUP(A283,'1.Loading'!A:R,14,FALSE)</f>
        <v>LCH06</v>
      </c>
      <c r="D283" s="54" t="str">
        <f>VLOOKUP(A283,'1.Loading'!A:R,17,FALSE)</f>
        <v>HASLS22261000344</v>
      </c>
      <c r="E283" s="55" t="str">
        <f>VLOOKUP(D283,'2.Bookinglist'!A:CT,27,FALSE)</f>
        <v>DOW CHEMICAL THAILAND LTD.</v>
      </c>
      <c r="F283" s="55" t="str">
        <f>VLOOKUP(D283,'2.Bookinglist'!A:CT,28,FALSE)</f>
        <v>SIAM POLYETHYLENE CO., LTD.</v>
      </c>
      <c r="G283" s="56">
        <f>VLOOKUP(D283,'2.Bookinglist'!A:E,5,FALSE)</f>
        <v>0</v>
      </c>
      <c r="H283" s="54" t="str">
        <f>VLOOKUP(D283,'2.Bookinglist'!A:CT,15,FALSE)</f>
        <v>THLCH</v>
      </c>
      <c r="I283" s="54" t="str">
        <f>VLOOKUP(D283,'2.Bookinglist'!A:CT,19,FALSE)</f>
        <v>JPNGO</v>
      </c>
      <c r="J283" s="54" t="str">
        <f>VLOOKUP(D283,'2.Bookinglist'!A:CT,26,FALSE)</f>
        <v>KRPUS</v>
      </c>
      <c r="K283" s="54" t="str">
        <f>VLOOKUP(A283,'1.Loading'!A:R,5,FALSE)</f>
        <v>22GP</v>
      </c>
      <c r="L283" s="56" t="str">
        <f>VLOOKUP(D283,'2.Bookinglist'!A:CT,85,FALSE)</f>
        <v>CY/CY</v>
      </c>
      <c r="M283" s="56" t="str">
        <f>IF(VLOOKUP(D283,'2.Bookinglist'!A:CT,43,FALSE)=0,"","DG")</f>
        <v/>
      </c>
      <c r="N283" s="56" t="str">
        <f>IF(RIGHT(K283,2)="RE","RF","")</f>
        <v/>
      </c>
      <c r="O283" s="54" t="str">
        <f>VLOOKUP(A283,'1.Loading'!A:R,3,FALSE)</f>
        <v>HMVY</v>
      </c>
      <c r="P283" s="54" t="str">
        <f>VLOOKUP(A283,'1.Loading'!A:R,4,FALSE)</f>
        <v>2609N</v>
      </c>
      <c r="Q283" s="54" t="str">
        <f>VLOOKUP(D283,'2.Bookinglist'!A:CT,12,FALSE)</f>
        <v>PCI2</v>
      </c>
      <c r="R283" s="56" t="str">
        <f>IF(LEFT(K283,2)="22","20'","40'")</f>
        <v>20'</v>
      </c>
      <c r="S283" s="38"/>
      <c r="T283" s="54" t="str">
        <f>VLOOKUP(A283,'1.Loading'!A:R,2,FALSE)</f>
        <v>2026-10-28</v>
      </c>
      <c r="U283" s="57">
        <f>T283-S283</f>
        <v>46323</v>
      </c>
      <c r="V283" s="58"/>
      <c r="W283" s="54" t="str">
        <f>VLOOKUP(A283,'3.GateMove'!A:D,4,FALSE)</f>
        <v>2026-10-23</v>
      </c>
      <c r="X283" s="57">
        <f>((T283-W283)+1)</f>
        <v>6</v>
      </c>
      <c r="Y283" s="59">
        <f>IF(AND(OR(C283="BKK01",C283="BKK04"),L283="CFS/CY"),0,IF(M283="DG",1,IF(LEFT(C283,3)="LCH",7,IF(C283="BKK02",5,3))))</f>
        <v>7</v>
      </c>
      <c r="Z283" s="57">
        <f>IF(IF(AND(AC283="TML",AB283&gt;0),((T283-W283)+1)-AB283,((T283-W283)+1)-Y283)&gt;0,IF(AND(AC283="TML",AB283&gt;0),((T283-W283)+1)-AB283,((T283-W283)+1)-Y283),0)</f>
        <v>0</v>
      </c>
      <c r="AA283" s="48">
        <f>IF(AND(B283="G1",M283=""),IF(R283="20'",
VLOOKUP(Z283,Charge!$K$2:$M$5,2,TRUE)+(Z283-VLOOKUP(Z283,Charge!$K$2:$M$5,1,TRUE))*VLOOKUP(Z283,Charge!$K$2:$M$5,3,TRUE),
VLOOKUP(Z283,Charge!$N$2:$P$5,2,TRUE)+(Z283-VLOOKUP(Z283,Charge!$N$2:$P$5,1,TRUE))*VLOOKUP(Z283,Charge!$N$2:$P$5,3,TRUE)),
IF(AND(B283="G1",M283="DG"),IF(R283="20'",
VLOOKUP(Z283,Charge!$R$2:$T$5,2,TRUE)+(Z283-VLOOKUP(Z283,Charge!$R$2:$T$5,1,TRUE))*VLOOKUP(Z283,Charge!$R$2:$T$5,3,TRUE),
VLOOKUP(Z283,Charge!$U$2:$W$5,2,TRUE)+(Z283-VLOOKUP(Z283,Charge!$U$2:$W$5,1,TRUE))*VLOOKUP(Z283,Charge!$U$2:$W$5,3,TRUE)),
IF(AND(B283="G3",M283=""),IF(R283="20'",
VLOOKUP(Z283,Charge!$K$18:$M$21,2,TRUE)+(Z283-VLOOKUP(Z283,Charge!$K$18:$M$21,1,TRUE))*VLOOKUP(Z283,Charge!$K$18:$M$21,3,TRUE),
VLOOKUP(Z283,Charge!$N$18:$P$21,2,TRUE)+(Z283-VLOOKUP(Z283,Charge!$N$18:$P$21,1,TRUE))*VLOOKUP(Z283,Charge!$N$18:$P$21,3,TRUE)),
IF(AND(B283="G3",M283="DG"),IF(R283="20'",
VLOOKUP(Z283,Charge!$R$18:$T$21,2,TRUE)+(Z283-VLOOKUP(Z283,Charge!$R$18:$T$21,1,TRUE))*VLOOKUP(Z283,Charge!$R$18:$T$21,3,TRUE),
VLOOKUP(Z283,Charge!$U$18:$W$21,2,TRUE)+(Z283-VLOOKUP(Z283,Charge!$U$18:$W$21,1,TRUE))*VLOOKUP(Z283,Charge!$U$18:$W$21,3,TRUE)),
IF(AND(B283="G2",M283=""),IF(R283="20'",
VLOOKUP(Z283,Charge!$K$9:$M$12,2,TRUE)+(Z283-VLOOKUP(Z283,Charge!$K$9:$M$12,1,TRUE))*VLOOKUP(Z283,Charge!$K$9:$M$12,3,TRUE),
VLOOKUP(Z283,Charge!$N$9:$P$12,2,TRUE)+(Z283-VLOOKUP(Z283,Charge!$N$9:$P$12,1,TRUE))*VLOOKUP(Z283,Charge!$N$9:$P$12,3,TRUE)),
IF(AND(B283="G2",M283="DG"),IF(R283="20'",
VLOOKUP(Z283,Charge!$R$9:$T$12,2,TRUE)+(Z283-VLOOKUP(Z283,Charge!$R$9:$T$12,1,TRUE))*VLOOKUP(Z283,Charge!$R$9:$T$12,3,TRUE),
VLOOKUP(Z283,Charge!$U$9:$W$12,2,TRUE)+(Z283-VLOOKUP(Z283,Charge!$U$9:$W$12,1,TRUE))*VLOOKUP(Z283,Charge!$U$9:$W$12,3,TRUE)),IF(AND(B283="G4",M283=""),IF(R283="20'",Z283*Charge!$M$25,Z283*Charge!$P$25),IF(AND(B283="G4",M283="DG"),IF(R283="20'",Z283*Charge!$T$25,Z283*Charge!$W$25),0))))))))</f>
        <v>0</v>
      </c>
      <c r="AB283" s="53"/>
      <c r="AC283" s="53"/>
      <c r="AD283" s="56">
        <f>IF(M283="DG",3,IF(N283="RF",3,5))+IF(AND(LEFT(C283,3)="BKK",N283="RF",Q283="KTS"),1,0)+IF(Q283="KHS",1,0)</f>
        <v>5</v>
      </c>
      <c r="AE283" s="57">
        <f>(T283-V283)+1</f>
        <v>46324</v>
      </c>
      <c r="AF283" s="57">
        <f>IF(AB283&gt;IF((V283-W283)&gt;0,V283-W283,0),0,IF(AB283&lt;IF((V283-W283)&gt;0,V283-W283,0),IF((V283-W283)&gt;0,V283-W283,0)-AB283,IF((V283-W283)&gt;0,V283-W283,0)))</f>
        <v>0</v>
      </c>
      <c r="AG283" s="48">
        <f>IF(AND(M283=""),IF(R283="20'",
VLOOKUP(AF283,Charge!$K$31:$M$34,2,TRUE)+(AF283-VLOOKUP(AF283,Charge!$K$31:$M$34,1,TRUE))*VLOOKUP(AF283,Charge!$K$31:$M$34,3,TRUE),
VLOOKUP(AF283,Charge!$N$31:$P$34,2,TRUE)+(AF283-VLOOKUP(AF283,Charge!$N$31:$P$34,1,TRUE))*VLOOKUP(AF283,Charge!$N$31:$P$34,3,TRUE)),
IF(AND(M283="DG"),IF(R283="20'",
VLOOKUP(AF283,Charge!$R$31:$T$34,2,TRUE)+(AF283-VLOOKUP(AF283,Charge!$R$31:$T$34,1,TRUE))*VLOOKUP(AF283,Charge!$R$31:$T$34,3,TRUE),
VLOOKUP(AF283,Charge!$U$31:$W$34,2,TRUE)+(AF283-VLOOKUP(AF283,Charge!$U$31:$W$34,1,TRUE))*VLOOKUP(AF283,Charge!$U$31:$W$34,3,TRUE)),0))</f>
        <v>0</v>
      </c>
      <c r="AH283" s="60"/>
      <c r="AI283" s="60">
        <f>AA283-AH283</f>
        <v>0</v>
      </c>
      <c r="AJ283" s="61"/>
      <c r="AK283" s="55" t="str">
        <f>VLOOKUP(D283,'2.Bookinglist'!A:CT,40,FALSE)</f>
        <v>SEO JI YEONG</v>
      </c>
      <c r="AL283" s="56" t="str">
        <f>VLOOKUP(D283,'2.Bookinglist'!A:CW,101,FALSE)</f>
        <v>2026-10-27</v>
      </c>
      <c r="AM283" s="56" t="str">
        <f>VLOOKUP(D283,'2.Bookinglist'!A:BK,63,FALSE)</f>
        <v>LCHY5</v>
      </c>
      <c r="AN283" s="55" t="str">
        <f>VLOOKUP(D283,'2.Bookinglist'!A:AZ,52,FALSE)</f>
        <v>[FIX]Pickup : 2026-10-19, Return : 2026-10-22
** PLEASE CHECK OPEN GATE BEFORE RETURN CONTAINER ** </v>
      </c>
      <c r="AO283" s="55">
        <f>VLOOKUP(D283,'2.Bookinglist'!A:CY,103,FALSE)</f>
        <v>0</v>
      </c>
    </row>
    <row r="284" ht="12.95" customHeight="1" spans="1:41" x14ac:dyDescent="0.25">
      <c r="A284" s="3" t="s">
        <v>417</v>
      </c>
      <c r="B284" s="53" t="str">
        <f>IF(C284=Charge!$M$1,Charge!$J$1,IF(C284=Charge!$M$23,Charge!$J$23,IF(C284=Charge!$M$17,Charge!$J$17,IF(C284=Charge!$N$17,Charge!$J$17,Charge!$J$7))))</f>
        <v>G2</v>
      </c>
      <c r="C284" s="54" t="str">
        <f>VLOOKUP(A284,'1.Loading'!A:R,14,FALSE)</f>
        <v>LCH06</v>
      </c>
      <c r="D284" s="54" t="str">
        <f>VLOOKUP(A284,'1.Loading'!A:R,17,FALSE)</f>
        <v>HASLS22261000756</v>
      </c>
      <c r="E284" s="55" t="str">
        <f>VLOOKUP(D284,'2.Bookinglist'!A:CT,27,FALSE)</f>
        <v>TOP INTER FREIGHT CO., LTD.</v>
      </c>
      <c r="F284" s="55" t="str">
        <f>VLOOKUP(D284,'2.Bookinglist'!A:CT,28,FALSE)</f>
        <v>TOP PREMIUM STARCH CO., LTD.</v>
      </c>
      <c r="G284" s="56" t="str">
        <f>VLOOKUP(D284,'2.Bookinglist'!A:E,5,FALSE)</f>
        <v>THLKR</v>
      </c>
      <c r="H284" s="54" t="str">
        <f>VLOOKUP(D284,'2.Bookinglist'!A:CT,15,FALSE)</f>
        <v>THLCH</v>
      </c>
      <c r="I284" s="54" t="str">
        <f>VLOOKUP(D284,'2.Bookinglist'!A:CT,19,FALSE)</f>
        <v>CNSHA</v>
      </c>
      <c r="J284" s="54">
        <f>VLOOKUP(D284,'2.Bookinglist'!A:CT,26,FALSE)</f>
        <v>0</v>
      </c>
      <c r="K284" s="54" t="str">
        <f>VLOOKUP(A284,'1.Loading'!A:R,5,FALSE)</f>
        <v>22GP</v>
      </c>
      <c r="L284" s="56" t="str">
        <f>VLOOKUP(D284,'2.Bookinglist'!A:CT,85,FALSE)</f>
        <v>CFS/CY</v>
      </c>
      <c r="M284" s="56" t="str">
        <f>IF(VLOOKUP(D284,'2.Bookinglist'!A:CT,43,FALSE)=0,"","DG")</f>
        <v/>
      </c>
      <c r="N284" s="56" t="str">
        <f>IF(RIGHT(K284,2)="RE","RF","")</f>
        <v/>
      </c>
      <c r="O284" s="54" t="str">
        <f>VLOOKUP(A284,'1.Loading'!A:R,3,FALSE)</f>
        <v>HMVY</v>
      </c>
      <c r="P284" s="54" t="str">
        <f>VLOOKUP(A284,'1.Loading'!A:R,4,FALSE)</f>
        <v>2609N</v>
      </c>
      <c r="Q284" s="54" t="str">
        <f>VLOOKUP(D284,'2.Bookinglist'!A:CT,12,FALSE)</f>
        <v>PCI2</v>
      </c>
      <c r="R284" s="56" t="str">
        <f>IF(LEFT(K284,2)="22","20'","40'")</f>
        <v>20'</v>
      </c>
      <c r="S284" s="38"/>
      <c r="T284" s="54" t="str">
        <f>VLOOKUP(A284,'1.Loading'!A:R,2,FALSE)</f>
        <v>2026-10-28</v>
      </c>
      <c r="U284" s="57">
        <f>T284-S284</f>
        <v>46323</v>
      </c>
      <c r="V284" s="58"/>
      <c r="W284" s="54" t="str">
        <f>VLOOKUP(A284,'3.GateMove'!A:D,4,FALSE)</f>
        <v>2026-10-21</v>
      </c>
      <c r="X284" s="57">
        <f>((T284-W284)+1)</f>
        <v>8</v>
      </c>
      <c r="Y284" s="59">
        <f>IF(AND(OR(C284="BKK01",C284="BKK04"),L284="CFS/CY"),0,IF(M284="DG",1,IF(LEFT(C284,3)="LCH",7,IF(C284="BKK02",5,3))))</f>
        <v>7</v>
      </c>
      <c r="Z284" s="57">
        <f>IF(IF(AND(AC284="TML",AB284&gt;0),((T284-W284)+1)-AB284,((T284-W284)+1)-Y284)&gt;0,IF(AND(AC284="TML",AB284&gt;0),((T284-W284)+1)-AB284,((T284-W284)+1)-Y284),0)</f>
        <v>1</v>
      </c>
      <c r="AA284" s="48">
        <f>IF(AND(B284="G1",M284=""),IF(R284="20'",
VLOOKUP(Z284,Charge!$K$2:$M$5,2,TRUE)+(Z284-VLOOKUP(Z284,Charge!$K$2:$M$5,1,TRUE))*VLOOKUP(Z284,Charge!$K$2:$M$5,3,TRUE),
VLOOKUP(Z284,Charge!$N$2:$P$5,2,TRUE)+(Z284-VLOOKUP(Z284,Charge!$N$2:$P$5,1,TRUE))*VLOOKUP(Z284,Charge!$N$2:$P$5,3,TRUE)),
IF(AND(B284="G1",M284="DG"),IF(R284="20'",
VLOOKUP(Z284,Charge!$R$2:$T$5,2,TRUE)+(Z284-VLOOKUP(Z284,Charge!$R$2:$T$5,1,TRUE))*VLOOKUP(Z284,Charge!$R$2:$T$5,3,TRUE),
VLOOKUP(Z284,Charge!$U$2:$W$5,2,TRUE)+(Z284-VLOOKUP(Z284,Charge!$U$2:$W$5,1,TRUE))*VLOOKUP(Z284,Charge!$U$2:$W$5,3,TRUE)),
IF(AND(B284="G3",M284=""),IF(R284="20'",
VLOOKUP(Z284,Charge!$K$18:$M$21,2,TRUE)+(Z284-VLOOKUP(Z284,Charge!$K$18:$M$21,1,TRUE))*VLOOKUP(Z284,Charge!$K$18:$M$21,3,TRUE),
VLOOKUP(Z284,Charge!$N$18:$P$21,2,TRUE)+(Z284-VLOOKUP(Z284,Charge!$N$18:$P$21,1,TRUE))*VLOOKUP(Z284,Charge!$N$18:$P$21,3,TRUE)),
IF(AND(B284="G3",M284="DG"),IF(R284="20'",
VLOOKUP(Z284,Charge!$R$18:$T$21,2,TRUE)+(Z284-VLOOKUP(Z284,Charge!$R$18:$T$21,1,TRUE))*VLOOKUP(Z284,Charge!$R$18:$T$21,3,TRUE),
VLOOKUP(Z284,Charge!$U$18:$W$21,2,TRUE)+(Z284-VLOOKUP(Z284,Charge!$U$18:$W$21,1,TRUE))*VLOOKUP(Z284,Charge!$U$18:$W$21,3,TRUE)),
IF(AND(B284="G2",M284=""),IF(R284="20'",
VLOOKUP(Z284,Charge!$K$9:$M$12,2,TRUE)+(Z284-VLOOKUP(Z284,Charge!$K$9:$M$12,1,TRUE))*VLOOKUP(Z284,Charge!$K$9:$M$12,3,TRUE),
VLOOKUP(Z284,Charge!$N$9:$P$12,2,TRUE)+(Z284-VLOOKUP(Z284,Charge!$N$9:$P$12,1,TRUE))*VLOOKUP(Z284,Charge!$N$9:$P$12,3,TRUE)),
IF(AND(B284="G2",M284="DG"),IF(R284="20'",
VLOOKUP(Z284,Charge!$R$9:$T$12,2,TRUE)+(Z284-VLOOKUP(Z284,Charge!$R$9:$T$12,1,TRUE))*VLOOKUP(Z284,Charge!$R$9:$T$12,3,TRUE),
VLOOKUP(Z284,Charge!$U$9:$W$12,2,TRUE)+(Z284-VLOOKUP(Z284,Charge!$U$9:$W$12,1,TRUE))*VLOOKUP(Z284,Charge!$U$9:$W$12,3,TRUE)),IF(AND(B284="G4",M284=""),IF(R284="20'",Z284*Charge!$M$25,Z284*Charge!$P$25),IF(AND(B284="G4",M284="DG"),IF(R284="20'",Z284*Charge!$T$25,Z284*Charge!$W$25),0))))))))</f>
        <v>125</v>
      </c>
      <c r="AB284" s="53"/>
      <c r="AC284" s="53"/>
      <c r="AD284" s="56">
        <f>IF(M284="DG",3,IF(N284="RF",3,5))+IF(AND(LEFT(C284,3)="BKK",N284="RF",Q284="KTS"),1,0)+IF(Q284="KHS",1,0)</f>
        <v>5</v>
      </c>
      <c r="AE284" s="57">
        <f>(T284-V284)+1</f>
        <v>46324</v>
      </c>
      <c r="AF284" s="57">
        <f>IF(AB284&gt;IF((V284-W284)&gt;0,V284-W284,0),0,IF(AB284&lt;IF((V284-W284)&gt;0,V284-W284,0),IF((V284-W284)&gt;0,V284-W284,0)-AB284,IF((V284-W284)&gt;0,V284-W284,0)))</f>
        <v>0</v>
      </c>
      <c r="AG284" s="48">
        <f>IF(AND(M284=""),IF(R284="20'",
VLOOKUP(AF284,Charge!$K$31:$M$34,2,TRUE)+(AF284-VLOOKUP(AF284,Charge!$K$31:$M$34,1,TRUE))*VLOOKUP(AF284,Charge!$K$31:$M$34,3,TRUE),
VLOOKUP(AF284,Charge!$N$31:$P$34,2,TRUE)+(AF284-VLOOKUP(AF284,Charge!$N$31:$P$34,1,TRUE))*VLOOKUP(AF284,Charge!$N$31:$P$34,3,TRUE)),
IF(AND(M284="DG"),IF(R284="20'",
VLOOKUP(AF284,Charge!$R$31:$T$34,2,TRUE)+(AF284-VLOOKUP(AF284,Charge!$R$31:$T$34,1,TRUE))*VLOOKUP(AF284,Charge!$R$31:$T$34,3,TRUE),
VLOOKUP(AF284,Charge!$U$31:$W$34,2,TRUE)+(AF284-VLOOKUP(AF284,Charge!$U$31:$W$34,1,TRUE))*VLOOKUP(AF284,Charge!$U$31:$W$34,3,TRUE)),0))</f>
        <v>0</v>
      </c>
      <c r="AH284" s="60"/>
      <c r="AI284" s="60">
        <f>AA284-AH284</f>
        <v>125</v>
      </c>
      <c r="AJ284" s="61"/>
      <c r="AK284" s="55" t="str">
        <f>VLOOKUP(D284,'2.Bookinglist'!A:CT,40,FALSE)</f>
        <v>Arunphat W. (Aiw)</v>
      </c>
      <c r="AL284" s="56" t="str">
        <f>VLOOKUP(D284,'2.Bookinglist'!A:CW,101,FALSE)</f>
        <v>2026-10-22</v>
      </c>
      <c r="AM284" s="56" t="str">
        <f>VLOOKUP(D284,'2.Bookinglist'!A:BK,63,FALSE)</f>
        <v>LCH54</v>
      </c>
      <c r="AN284" s="55" t="str">
        <f>VLOOKUP(D284,'2.Bookinglist'!A:AZ,52,FALSE)</f>
        <v>STUFFING CARGO AT TIFFA ICD DD.16-17/10/26 [PAPERLESS CODE 2829]
CLS TIME 19/10/26 @17.00</v>
      </c>
      <c r="AO284" s="55">
        <f>VLOOKUP(D284,'2.Bookinglist'!A:CY,103,FALSE)</f>
        <v>0</v>
      </c>
    </row>
    <row r="285" ht="12.95" customHeight="1" spans="1:41" x14ac:dyDescent="0.25">
      <c r="A285" s="3" t="s">
        <v>418</v>
      </c>
      <c r="B285" s="53" t="str">
        <f>IF(C285=Charge!$M$1,Charge!$J$1,IF(C285=Charge!$M$23,Charge!$J$23,IF(C285=Charge!$M$17,Charge!$J$17,IF(C285=Charge!$N$17,Charge!$J$17,Charge!$J$7))))</f>
        <v>G2</v>
      </c>
      <c r="C285" s="54" t="str">
        <f>VLOOKUP(A285,'1.Loading'!A:R,14,FALSE)</f>
        <v>LCH06</v>
      </c>
      <c r="D285" s="54" t="str">
        <f>VLOOKUP(A285,'1.Loading'!A:R,17,FALSE)</f>
        <v>HASLS22261000756</v>
      </c>
      <c r="E285" s="55" t="str">
        <f>VLOOKUP(D285,'2.Bookinglist'!A:CT,27,FALSE)</f>
        <v>TOP INTER FREIGHT CO., LTD.</v>
      </c>
      <c r="F285" s="55" t="str">
        <f>VLOOKUP(D285,'2.Bookinglist'!A:CT,28,FALSE)</f>
        <v>TOP PREMIUM STARCH CO., LTD.</v>
      </c>
      <c r="G285" s="56" t="str">
        <f>VLOOKUP(D285,'2.Bookinglist'!A:E,5,FALSE)</f>
        <v>THLKR</v>
      </c>
      <c r="H285" s="54" t="str">
        <f>VLOOKUP(D285,'2.Bookinglist'!A:CT,15,FALSE)</f>
        <v>THLCH</v>
      </c>
      <c r="I285" s="54" t="str">
        <f>VLOOKUP(D285,'2.Bookinglist'!A:CT,19,FALSE)</f>
        <v>CNSHA</v>
      </c>
      <c r="J285" s="54">
        <f>VLOOKUP(D285,'2.Bookinglist'!A:CT,26,FALSE)</f>
        <v>0</v>
      </c>
      <c r="K285" s="54" t="str">
        <f>VLOOKUP(A285,'1.Loading'!A:R,5,FALSE)</f>
        <v>22GP</v>
      </c>
      <c r="L285" s="56" t="str">
        <f>VLOOKUP(D285,'2.Bookinglist'!A:CT,85,FALSE)</f>
        <v>CFS/CY</v>
      </c>
      <c r="M285" s="56" t="str">
        <f>IF(VLOOKUP(D285,'2.Bookinglist'!A:CT,43,FALSE)=0,"","DG")</f>
        <v/>
      </c>
      <c r="N285" s="56" t="str">
        <f>IF(RIGHT(K285,2)="RE","RF","")</f>
        <v/>
      </c>
      <c r="O285" s="54" t="str">
        <f>VLOOKUP(A285,'1.Loading'!A:R,3,FALSE)</f>
        <v>HMVY</v>
      </c>
      <c r="P285" s="54" t="str">
        <f>VLOOKUP(A285,'1.Loading'!A:R,4,FALSE)</f>
        <v>2609N</v>
      </c>
      <c r="Q285" s="54" t="str">
        <f>VLOOKUP(D285,'2.Bookinglist'!A:CT,12,FALSE)</f>
        <v>PCI2</v>
      </c>
      <c r="R285" s="56" t="str">
        <f>IF(LEFT(K285,2)="22","20'","40'")</f>
        <v>20'</v>
      </c>
      <c r="S285" s="38"/>
      <c r="T285" s="54" t="str">
        <f>VLOOKUP(A285,'1.Loading'!A:R,2,FALSE)</f>
        <v>2026-10-28</v>
      </c>
      <c r="U285" s="57">
        <f>T285-S285</f>
        <v>46323</v>
      </c>
      <c r="V285" s="58"/>
      <c r="W285" s="54" t="str">
        <f>VLOOKUP(A285,'3.GateMove'!A:D,4,FALSE)</f>
        <v>2026-10-20</v>
      </c>
      <c r="X285" s="57">
        <f>((T285-W285)+1)</f>
        <v>9</v>
      </c>
      <c r="Y285" s="59">
        <f>IF(AND(OR(C285="BKK01",C285="BKK04"),L285="CFS/CY"),0,IF(M285="DG",1,IF(LEFT(C285,3)="LCH",7,IF(C285="BKK02",5,3))))</f>
        <v>7</v>
      </c>
      <c r="Z285" s="57">
        <f>IF(IF(AND(AC285="TML",AB285&gt;0),((T285-W285)+1)-AB285,((T285-W285)+1)-Y285)&gt;0,IF(AND(AC285="TML",AB285&gt;0),((T285-W285)+1)-AB285,((T285-W285)+1)-Y285),0)</f>
        <v>2</v>
      </c>
      <c r="AA285" s="48">
        <f>IF(AND(B285="G1",M285=""),IF(R285="20'",
VLOOKUP(Z285,Charge!$K$2:$M$5,2,TRUE)+(Z285-VLOOKUP(Z285,Charge!$K$2:$M$5,1,TRUE))*VLOOKUP(Z285,Charge!$K$2:$M$5,3,TRUE),
VLOOKUP(Z285,Charge!$N$2:$P$5,2,TRUE)+(Z285-VLOOKUP(Z285,Charge!$N$2:$P$5,1,TRUE))*VLOOKUP(Z285,Charge!$N$2:$P$5,3,TRUE)),
IF(AND(B285="G1",M285="DG"),IF(R285="20'",
VLOOKUP(Z285,Charge!$R$2:$T$5,2,TRUE)+(Z285-VLOOKUP(Z285,Charge!$R$2:$T$5,1,TRUE))*VLOOKUP(Z285,Charge!$R$2:$T$5,3,TRUE),
VLOOKUP(Z285,Charge!$U$2:$W$5,2,TRUE)+(Z285-VLOOKUP(Z285,Charge!$U$2:$W$5,1,TRUE))*VLOOKUP(Z285,Charge!$U$2:$W$5,3,TRUE)),
IF(AND(B285="G3",M285=""),IF(R285="20'",
VLOOKUP(Z285,Charge!$K$18:$M$21,2,TRUE)+(Z285-VLOOKUP(Z285,Charge!$K$18:$M$21,1,TRUE))*VLOOKUP(Z285,Charge!$K$18:$M$21,3,TRUE),
VLOOKUP(Z285,Charge!$N$18:$P$21,2,TRUE)+(Z285-VLOOKUP(Z285,Charge!$N$18:$P$21,1,TRUE))*VLOOKUP(Z285,Charge!$N$18:$P$21,3,TRUE)),
IF(AND(B285="G3",M285="DG"),IF(R285="20'",
VLOOKUP(Z285,Charge!$R$18:$T$21,2,TRUE)+(Z285-VLOOKUP(Z285,Charge!$R$18:$T$21,1,TRUE))*VLOOKUP(Z285,Charge!$R$18:$T$21,3,TRUE),
VLOOKUP(Z285,Charge!$U$18:$W$21,2,TRUE)+(Z285-VLOOKUP(Z285,Charge!$U$18:$W$21,1,TRUE))*VLOOKUP(Z285,Charge!$U$18:$W$21,3,TRUE)),
IF(AND(B285="G2",M285=""),IF(R285="20'",
VLOOKUP(Z285,Charge!$K$9:$M$12,2,TRUE)+(Z285-VLOOKUP(Z285,Charge!$K$9:$M$12,1,TRUE))*VLOOKUP(Z285,Charge!$K$9:$M$12,3,TRUE),
VLOOKUP(Z285,Charge!$N$9:$P$12,2,TRUE)+(Z285-VLOOKUP(Z285,Charge!$N$9:$P$12,1,TRUE))*VLOOKUP(Z285,Charge!$N$9:$P$12,3,TRUE)),
IF(AND(B285="G2",M285="DG"),IF(R285="20'",
VLOOKUP(Z285,Charge!$R$9:$T$12,2,TRUE)+(Z285-VLOOKUP(Z285,Charge!$R$9:$T$12,1,TRUE))*VLOOKUP(Z285,Charge!$R$9:$T$12,3,TRUE),
VLOOKUP(Z285,Charge!$U$9:$W$12,2,TRUE)+(Z285-VLOOKUP(Z285,Charge!$U$9:$W$12,1,TRUE))*VLOOKUP(Z285,Charge!$U$9:$W$12,3,TRUE)),IF(AND(B285="G4",M285=""),IF(R285="20'",Z285*Charge!$M$25,Z285*Charge!$P$25),IF(AND(B285="G4",M285="DG"),IF(R285="20'",Z285*Charge!$T$25,Z285*Charge!$W$25),0))))))))</f>
        <v>250</v>
      </c>
      <c r="AB285" s="53"/>
      <c r="AC285" s="53"/>
      <c r="AD285" s="56">
        <f>IF(M285="DG",3,IF(N285="RF",3,5))+IF(AND(LEFT(C285,3)="BKK",N285="RF",Q285="KTS"),1,0)+IF(Q285="KHS",1,0)</f>
        <v>5</v>
      </c>
      <c r="AE285" s="57">
        <f>(T285-V285)+1</f>
        <v>46324</v>
      </c>
      <c r="AF285" s="57">
        <f>IF(AB285&gt;IF((V285-W285)&gt;0,V285-W285,0),0,IF(AB285&lt;IF((V285-W285)&gt;0,V285-W285,0),IF((V285-W285)&gt;0,V285-W285,0)-AB285,IF((V285-W285)&gt;0,V285-W285,0)))</f>
        <v>0</v>
      </c>
      <c r="AG285" s="48">
        <f>IF(AND(M285=""),IF(R285="20'",
VLOOKUP(AF285,Charge!$K$31:$M$34,2,TRUE)+(AF285-VLOOKUP(AF285,Charge!$K$31:$M$34,1,TRUE))*VLOOKUP(AF285,Charge!$K$31:$M$34,3,TRUE),
VLOOKUP(AF285,Charge!$N$31:$P$34,2,TRUE)+(AF285-VLOOKUP(AF285,Charge!$N$31:$P$34,1,TRUE))*VLOOKUP(AF285,Charge!$N$31:$P$34,3,TRUE)),
IF(AND(M285="DG"),IF(R285="20'",
VLOOKUP(AF285,Charge!$R$31:$T$34,2,TRUE)+(AF285-VLOOKUP(AF285,Charge!$R$31:$T$34,1,TRUE))*VLOOKUP(AF285,Charge!$R$31:$T$34,3,TRUE),
VLOOKUP(AF285,Charge!$U$31:$W$34,2,TRUE)+(AF285-VLOOKUP(AF285,Charge!$U$31:$W$34,1,TRUE))*VLOOKUP(AF285,Charge!$U$31:$W$34,3,TRUE)),0))</f>
        <v>0</v>
      </c>
      <c r="AH285" s="60"/>
      <c r="AI285" s="60">
        <f>AA285-AH285</f>
        <v>250</v>
      </c>
      <c r="AJ285" s="61"/>
      <c r="AK285" s="55" t="str">
        <f>VLOOKUP(D285,'2.Bookinglist'!A:CT,40,FALSE)</f>
        <v>Arunphat W. (Aiw)</v>
      </c>
      <c r="AL285" s="56" t="str">
        <f>VLOOKUP(D285,'2.Bookinglist'!A:CW,101,FALSE)</f>
        <v>2026-10-22</v>
      </c>
      <c r="AM285" s="56" t="str">
        <f>VLOOKUP(D285,'2.Bookinglist'!A:BK,63,FALSE)</f>
        <v>LCH54</v>
      </c>
      <c r="AN285" s="55" t="str">
        <f>VLOOKUP(D285,'2.Bookinglist'!A:AZ,52,FALSE)</f>
        <v>STUFFING CARGO AT TIFFA ICD DD.16-17/10/26 [PAPERLESS CODE 2829]
CLS TIME 19/10/26 @17.00</v>
      </c>
      <c r="AO285" s="55">
        <f>VLOOKUP(D285,'2.Bookinglist'!A:CY,103,FALSE)</f>
        <v>0</v>
      </c>
    </row>
    <row r="286" ht="12.95" customHeight="1" spans="1:41" x14ac:dyDescent="0.25">
      <c r="A286" s="3" t="s">
        <v>398</v>
      </c>
      <c r="B286" s="53" t="str">
        <f>IF(C286=Charge!$M$1,Charge!$J$1,IF(C286=Charge!$M$23,Charge!$J$23,IF(C286=Charge!$M$17,Charge!$J$17,IF(C286=Charge!$N$17,Charge!$J$17,Charge!$J$7))))</f>
        <v>G2</v>
      </c>
      <c r="C286" s="54" t="str">
        <f>VLOOKUP(A286,'1.Loading'!A:R,14,FALSE)</f>
        <v>LCH06</v>
      </c>
      <c r="D286" s="54" t="str">
        <f>VLOOKUP(A286,'1.Loading'!A:R,17,FALSE)</f>
        <v>HASLS22261000675</v>
      </c>
      <c r="E286" s="55" t="str">
        <f>VLOOKUP(D286,'2.Bookinglist'!A:CT,27,FALSE)</f>
        <v>UNITED MARINE LOGISTIC CO., LTD.</v>
      </c>
      <c r="F286" s="55" t="str">
        <f>VLOOKUP(D286,'2.Bookinglist'!A:CT,28,FALSE)</f>
        <v>INNOVATIVE FOOD AND BEVERAGE (THAILAND) CO., LTD.</v>
      </c>
      <c r="G286" s="56" t="str">
        <f>VLOOKUP(D286,'2.Bookinglist'!A:E,5,FALSE)</f>
        <v>THSRP</v>
      </c>
      <c r="H286" s="54" t="str">
        <f>VLOOKUP(D286,'2.Bookinglist'!A:CT,15,FALSE)</f>
        <v>THLCH</v>
      </c>
      <c r="I286" s="54" t="str">
        <f>VLOOKUP(D286,'2.Bookinglist'!A:CT,19,FALSE)</f>
        <v>CNSHA</v>
      </c>
      <c r="J286" s="54">
        <f>VLOOKUP(D286,'2.Bookinglist'!A:CT,26,FALSE)</f>
        <v>0</v>
      </c>
      <c r="K286" s="54" t="str">
        <f>VLOOKUP(A286,'1.Loading'!A:R,5,FALSE)</f>
        <v>22GP</v>
      </c>
      <c r="L286" s="56" t="str">
        <f>VLOOKUP(D286,'2.Bookinglist'!A:CT,85,FALSE)</f>
        <v>CY/CY</v>
      </c>
      <c r="M286" s="56" t="str">
        <f>IF(VLOOKUP(D286,'2.Bookinglist'!A:CT,43,FALSE)=0,"","DG")</f>
        <v/>
      </c>
      <c r="N286" s="56" t="str">
        <f>IF(RIGHT(K286,2)="RE","RF","")</f>
        <v/>
      </c>
      <c r="O286" s="54" t="str">
        <f>VLOOKUP(A286,'1.Loading'!A:R,3,FALSE)</f>
        <v>HMVY</v>
      </c>
      <c r="P286" s="54" t="str">
        <f>VLOOKUP(A286,'1.Loading'!A:R,4,FALSE)</f>
        <v>2609N</v>
      </c>
      <c r="Q286" s="54" t="str">
        <f>VLOOKUP(D286,'2.Bookinglist'!A:CT,12,FALSE)</f>
        <v>PCI2</v>
      </c>
      <c r="R286" s="56" t="str">
        <f>IF(LEFT(K286,2)="22","20'","40'")</f>
        <v>20'</v>
      </c>
      <c r="S286" s="38"/>
      <c r="T286" s="54" t="str">
        <f>VLOOKUP(A286,'1.Loading'!A:R,2,FALSE)</f>
        <v>2026-10-28</v>
      </c>
      <c r="U286" s="57">
        <f>T286-S286</f>
        <v>46323</v>
      </c>
      <c r="V286" s="58"/>
      <c r="W286" s="54" t="str">
        <f>VLOOKUP(A286,'3.GateMove'!A:D,4,FALSE)</f>
        <v>2026-10-23</v>
      </c>
      <c r="X286" s="57">
        <f>((T286-W286)+1)</f>
        <v>6</v>
      </c>
      <c r="Y286" s="59">
        <f>IF(AND(OR(C286="BKK01",C286="BKK04"),L286="CFS/CY"),0,IF(M286="DG",1,IF(LEFT(C286,3)="LCH",7,IF(C286="BKK02",5,3))))</f>
        <v>7</v>
      </c>
      <c r="Z286" s="57">
        <f>IF(IF(AND(AC286="TML",AB286&gt;0),((T286-W286)+1)-AB286,((T286-W286)+1)-Y286)&gt;0,IF(AND(AC286="TML",AB286&gt;0),((T286-W286)+1)-AB286,((T286-W286)+1)-Y286),0)</f>
        <v>0</v>
      </c>
      <c r="AA286" s="48">
        <f>IF(AND(B286="G1",M286=""),IF(R286="20'",
VLOOKUP(Z286,Charge!$K$2:$M$5,2,TRUE)+(Z286-VLOOKUP(Z286,Charge!$K$2:$M$5,1,TRUE))*VLOOKUP(Z286,Charge!$K$2:$M$5,3,TRUE),
VLOOKUP(Z286,Charge!$N$2:$P$5,2,TRUE)+(Z286-VLOOKUP(Z286,Charge!$N$2:$P$5,1,TRUE))*VLOOKUP(Z286,Charge!$N$2:$P$5,3,TRUE)),
IF(AND(B286="G1",M286="DG"),IF(R286="20'",
VLOOKUP(Z286,Charge!$R$2:$T$5,2,TRUE)+(Z286-VLOOKUP(Z286,Charge!$R$2:$T$5,1,TRUE))*VLOOKUP(Z286,Charge!$R$2:$T$5,3,TRUE),
VLOOKUP(Z286,Charge!$U$2:$W$5,2,TRUE)+(Z286-VLOOKUP(Z286,Charge!$U$2:$W$5,1,TRUE))*VLOOKUP(Z286,Charge!$U$2:$W$5,3,TRUE)),
IF(AND(B286="G3",M286=""),IF(R286="20'",
VLOOKUP(Z286,Charge!$K$18:$M$21,2,TRUE)+(Z286-VLOOKUP(Z286,Charge!$K$18:$M$21,1,TRUE))*VLOOKUP(Z286,Charge!$K$18:$M$21,3,TRUE),
VLOOKUP(Z286,Charge!$N$18:$P$21,2,TRUE)+(Z286-VLOOKUP(Z286,Charge!$N$18:$P$21,1,TRUE))*VLOOKUP(Z286,Charge!$N$18:$P$21,3,TRUE)),
IF(AND(B286="G3",M286="DG"),IF(R286="20'",
VLOOKUP(Z286,Charge!$R$18:$T$21,2,TRUE)+(Z286-VLOOKUP(Z286,Charge!$R$18:$T$21,1,TRUE))*VLOOKUP(Z286,Charge!$R$18:$T$21,3,TRUE),
VLOOKUP(Z286,Charge!$U$18:$W$21,2,TRUE)+(Z286-VLOOKUP(Z286,Charge!$U$18:$W$21,1,TRUE))*VLOOKUP(Z286,Charge!$U$18:$W$21,3,TRUE)),
IF(AND(B286="G2",M286=""),IF(R286="20'",
VLOOKUP(Z286,Charge!$K$9:$M$12,2,TRUE)+(Z286-VLOOKUP(Z286,Charge!$K$9:$M$12,1,TRUE))*VLOOKUP(Z286,Charge!$K$9:$M$12,3,TRUE),
VLOOKUP(Z286,Charge!$N$9:$P$12,2,TRUE)+(Z286-VLOOKUP(Z286,Charge!$N$9:$P$12,1,TRUE))*VLOOKUP(Z286,Charge!$N$9:$P$12,3,TRUE)),
IF(AND(B286="G2",M286="DG"),IF(R286="20'",
VLOOKUP(Z286,Charge!$R$9:$T$12,2,TRUE)+(Z286-VLOOKUP(Z286,Charge!$R$9:$T$12,1,TRUE))*VLOOKUP(Z286,Charge!$R$9:$T$12,3,TRUE),
VLOOKUP(Z286,Charge!$U$9:$W$12,2,TRUE)+(Z286-VLOOKUP(Z286,Charge!$U$9:$W$12,1,TRUE))*VLOOKUP(Z286,Charge!$U$9:$W$12,3,TRUE)),IF(AND(B286="G4",M286=""),IF(R286="20'",Z286*Charge!$M$25,Z286*Charge!$P$25),IF(AND(B286="G4",M286="DG"),IF(R286="20'",Z286*Charge!$T$25,Z286*Charge!$W$25),0))))))))</f>
        <v>0</v>
      </c>
      <c r="AB286" s="53"/>
      <c r="AC286" s="53"/>
      <c r="AD286" s="56">
        <f>IF(M286="DG",3,IF(N286="RF",3,5))+IF(AND(LEFT(C286,3)="BKK",N286="RF",Q286="KTS"),1,0)+IF(Q286="KHS",1,0)</f>
        <v>5</v>
      </c>
      <c r="AE286" s="57">
        <f>(T286-V286)+1</f>
        <v>46324</v>
      </c>
      <c r="AF286" s="57">
        <f>IF(AB286&gt;IF((V286-W286)&gt;0,V286-W286,0),0,IF(AB286&lt;IF((V286-W286)&gt;0,V286-W286,0),IF((V286-W286)&gt;0,V286-W286,0)-AB286,IF((V286-W286)&gt;0,V286-W286,0)))</f>
        <v>0</v>
      </c>
      <c r="AG286" s="48">
        <f>IF(AND(M286=""),IF(R286="20'",
VLOOKUP(AF286,Charge!$K$31:$M$34,2,TRUE)+(AF286-VLOOKUP(AF286,Charge!$K$31:$M$34,1,TRUE))*VLOOKUP(AF286,Charge!$K$31:$M$34,3,TRUE),
VLOOKUP(AF286,Charge!$N$31:$P$34,2,TRUE)+(AF286-VLOOKUP(AF286,Charge!$N$31:$P$34,1,TRUE))*VLOOKUP(AF286,Charge!$N$31:$P$34,3,TRUE)),
IF(AND(M286="DG"),IF(R286="20'",
VLOOKUP(AF286,Charge!$R$31:$T$34,2,TRUE)+(AF286-VLOOKUP(AF286,Charge!$R$31:$T$34,1,TRUE))*VLOOKUP(AF286,Charge!$R$31:$T$34,3,TRUE),
VLOOKUP(AF286,Charge!$U$31:$W$34,2,TRUE)+(AF286-VLOOKUP(AF286,Charge!$U$31:$W$34,1,TRUE))*VLOOKUP(AF286,Charge!$U$31:$W$34,3,TRUE)),0))</f>
        <v>0</v>
      </c>
      <c r="AH286" s="60"/>
      <c r="AI286" s="60">
        <f>AA286-AH286</f>
        <v>0</v>
      </c>
      <c r="AJ286" s="61"/>
      <c r="AK286" s="55" t="str">
        <f>VLOOKUP(D286,'2.Bookinglist'!A:CT,40,FALSE)</f>
        <v>Nannaapust Sukporntaweewat</v>
      </c>
      <c r="AL286" s="56" t="str">
        <f>VLOOKUP(D286,'2.Bookinglist'!A:CW,101,FALSE)</f>
        <v>2026-10-22</v>
      </c>
      <c r="AM286" s="56" t="str">
        <f>VLOOKUP(D286,'2.Bookinglist'!A:BK,63,FALSE)</f>
        <v>BKK27</v>
      </c>
      <c r="AN286" s="55" t="str">
        <f>VLOOKUP(D286,'2.Bookinglist'!A:AZ,52,FALSE)</f>
        <v>Pickup : 2026-10-16, Return SRP : 2026-10-17 [PAPERLESS CODE 2829]
CLS TIME 19/10/26 @13.00</v>
      </c>
      <c r="AO286" s="55">
        <f>VLOOKUP(D286,'2.Bookinglist'!A:CY,103,FALSE)</f>
        <v>0</v>
      </c>
    </row>
    <row r="287" ht="12.95" customHeight="1" spans="1:41" x14ac:dyDescent="0.25">
      <c r="A287" s="3" t="s">
        <v>293</v>
      </c>
      <c r="B287" s="53" t="str">
        <f>IF(C287=Charge!$M$1,Charge!$J$1,IF(C287=Charge!$M$23,Charge!$J$23,IF(C287=Charge!$M$17,Charge!$J$17,IF(C287=Charge!$N$17,Charge!$J$17,Charge!$J$7))))</f>
        <v>G2</v>
      </c>
      <c r="C287" s="54" t="str">
        <f>VLOOKUP(A287,'1.Loading'!A:R,14,FALSE)</f>
        <v>LCH06</v>
      </c>
      <c r="D287" s="54" t="str">
        <f>VLOOKUP(A287,'1.Loading'!A:R,17,FALSE)</f>
        <v>HASLS22260900170</v>
      </c>
      <c r="E287" s="55" t="str">
        <f>VLOOKUP(D287,'2.Bookinglist'!A:CT,27,FALSE)</f>
        <v>PANDA GOGO LOGISTICS CO., LTD.</v>
      </c>
      <c r="F287" s="55" t="str">
        <f>VLOOKUP(D287,'2.Bookinglist'!A:CT,28,FALSE)</f>
        <v>GC-M PTA COMPANY LIMITED</v>
      </c>
      <c r="G287" s="56">
        <f>VLOOKUP(D287,'2.Bookinglist'!A:E,5,FALSE)</f>
        <v>0</v>
      </c>
      <c r="H287" s="54" t="str">
        <f>VLOOKUP(D287,'2.Bookinglist'!A:CT,15,FALSE)</f>
        <v>THLCH</v>
      </c>
      <c r="I287" s="54" t="str">
        <f>VLOOKUP(D287,'2.Bookinglist'!A:CT,19,FALSE)</f>
        <v>JPTRG</v>
      </c>
      <c r="J287" s="54" t="str">
        <f>VLOOKUP(D287,'2.Bookinglist'!A:CT,26,FALSE)</f>
        <v>KRPUS</v>
      </c>
      <c r="K287" s="54" t="str">
        <f>VLOOKUP(A287,'1.Loading'!A:R,5,FALSE)</f>
        <v>22GP</v>
      </c>
      <c r="L287" s="56" t="str">
        <f>VLOOKUP(D287,'2.Bookinglist'!A:CT,85,FALSE)</f>
        <v>CY/CY</v>
      </c>
      <c r="M287" s="56" t="str">
        <f>IF(VLOOKUP(D287,'2.Bookinglist'!A:CT,43,FALSE)=0,"","DG")</f>
        <v/>
      </c>
      <c r="N287" s="56" t="str">
        <f>IF(RIGHT(K287,2)="RE","RF","")</f>
        <v/>
      </c>
      <c r="O287" s="54" t="str">
        <f>VLOOKUP(A287,'1.Loading'!A:R,3,FALSE)</f>
        <v>HMVY</v>
      </c>
      <c r="P287" s="54" t="str">
        <f>VLOOKUP(A287,'1.Loading'!A:R,4,FALSE)</f>
        <v>2609N</v>
      </c>
      <c r="Q287" s="54" t="str">
        <f>VLOOKUP(D287,'2.Bookinglist'!A:CT,12,FALSE)</f>
        <v>PCI2</v>
      </c>
      <c r="R287" s="56" t="str">
        <f>IF(LEFT(K287,2)="22","20'","40'")</f>
        <v>20'</v>
      </c>
      <c r="S287" s="38"/>
      <c r="T287" s="54" t="str">
        <f>VLOOKUP(A287,'1.Loading'!A:R,2,FALSE)</f>
        <v>2026-10-28</v>
      </c>
      <c r="U287" s="57">
        <f>T287-S287</f>
        <v>46323</v>
      </c>
      <c r="V287" s="58"/>
      <c r="W287" s="54" t="str">
        <f>VLOOKUP(A287,'3.GateMove'!A:D,4,FALSE)</f>
        <v>2026-10-18</v>
      </c>
      <c r="X287" s="57">
        <f>((T287-W287)+1)</f>
        <v>11</v>
      </c>
      <c r="Y287" s="59">
        <f>IF(AND(OR(C287="BKK01",C287="BKK04"),L287="CFS/CY"),0,IF(M287="DG",1,IF(LEFT(C287,3)="LCH",7,IF(C287="BKK02",5,3))))</f>
        <v>7</v>
      </c>
      <c r="Z287" s="57">
        <f>IF(IF(AND(AC287="TML",AB287&gt;0),((T287-W287)+1)-AB287,((T287-W287)+1)-Y287)&gt;0,IF(AND(AC287="TML",AB287&gt;0),((T287-W287)+1)-AB287,((T287-W287)+1)-Y287),0)</f>
        <v>4</v>
      </c>
      <c r="AA287" s="48">
        <f>IF(AND(B287="G1",M287=""),IF(R287="20'",
VLOOKUP(Z287,Charge!$K$2:$M$5,2,TRUE)+(Z287-VLOOKUP(Z287,Charge!$K$2:$M$5,1,TRUE))*VLOOKUP(Z287,Charge!$K$2:$M$5,3,TRUE),
VLOOKUP(Z287,Charge!$N$2:$P$5,2,TRUE)+(Z287-VLOOKUP(Z287,Charge!$N$2:$P$5,1,TRUE))*VLOOKUP(Z287,Charge!$N$2:$P$5,3,TRUE)),
IF(AND(B287="G1",M287="DG"),IF(R287="20'",
VLOOKUP(Z287,Charge!$R$2:$T$5,2,TRUE)+(Z287-VLOOKUP(Z287,Charge!$R$2:$T$5,1,TRUE))*VLOOKUP(Z287,Charge!$R$2:$T$5,3,TRUE),
VLOOKUP(Z287,Charge!$U$2:$W$5,2,TRUE)+(Z287-VLOOKUP(Z287,Charge!$U$2:$W$5,1,TRUE))*VLOOKUP(Z287,Charge!$U$2:$W$5,3,TRUE)),
IF(AND(B287="G3",M287=""),IF(R287="20'",
VLOOKUP(Z287,Charge!$K$18:$M$21,2,TRUE)+(Z287-VLOOKUP(Z287,Charge!$K$18:$M$21,1,TRUE))*VLOOKUP(Z287,Charge!$K$18:$M$21,3,TRUE),
VLOOKUP(Z287,Charge!$N$18:$P$21,2,TRUE)+(Z287-VLOOKUP(Z287,Charge!$N$18:$P$21,1,TRUE))*VLOOKUP(Z287,Charge!$N$18:$P$21,3,TRUE)),
IF(AND(B287="G3",M287="DG"),IF(R287="20'",
VLOOKUP(Z287,Charge!$R$18:$T$21,2,TRUE)+(Z287-VLOOKUP(Z287,Charge!$R$18:$T$21,1,TRUE))*VLOOKUP(Z287,Charge!$R$18:$T$21,3,TRUE),
VLOOKUP(Z287,Charge!$U$18:$W$21,2,TRUE)+(Z287-VLOOKUP(Z287,Charge!$U$18:$W$21,1,TRUE))*VLOOKUP(Z287,Charge!$U$18:$W$21,3,TRUE)),
IF(AND(B287="G2",M287=""),IF(R287="20'",
VLOOKUP(Z287,Charge!$K$9:$M$12,2,TRUE)+(Z287-VLOOKUP(Z287,Charge!$K$9:$M$12,1,TRUE))*VLOOKUP(Z287,Charge!$K$9:$M$12,3,TRUE),
VLOOKUP(Z287,Charge!$N$9:$P$12,2,TRUE)+(Z287-VLOOKUP(Z287,Charge!$N$9:$P$12,1,TRUE))*VLOOKUP(Z287,Charge!$N$9:$P$12,3,TRUE)),
IF(AND(B287="G2",M287="DG"),IF(R287="20'",
VLOOKUP(Z287,Charge!$R$9:$T$12,2,TRUE)+(Z287-VLOOKUP(Z287,Charge!$R$9:$T$12,1,TRUE))*VLOOKUP(Z287,Charge!$R$9:$T$12,3,TRUE),
VLOOKUP(Z287,Charge!$U$9:$W$12,2,TRUE)+(Z287-VLOOKUP(Z287,Charge!$U$9:$W$12,1,TRUE))*VLOOKUP(Z287,Charge!$U$9:$W$12,3,TRUE)),IF(AND(B287="G4",M287=""),IF(R287="20'",Z287*Charge!$M$25,Z287*Charge!$P$25),IF(AND(B287="G4",M287="DG"),IF(R287="20'",Z287*Charge!$T$25,Z287*Charge!$W$25),0))))))))</f>
        <v>500</v>
      </c>
      <c r="AB287" s="53"/>
      <c r="AC287" s="53"/>
      <c r="AD287" s="56">
        <f>IF(M287="DG",3,IF(N287="RF",3,5))+IF(AND(LEFT(C287,3)="BKK",N287="RF",Q287="KTS"),1,0)+IF(Q287="KHS",1,0)</f>
        <v>5</v>
      </c>
      <c r="AE287" s="57">
        <f>(T287-V287)+1</f>
        <v>46324</v>
      </c>
      <c r="AF287" s="57">
        <f>IF(AB287&gt;IF((V287-W287)&gt;0,V287-W287,0),0,IF(AB287&lt;IF((V287-W287)&gt;0,V287-W287,0),IF((V287-W287)&gt;0,V287-W287,0)-AB287,IF((V287-W287)&gt;0,V287-W287,0)))</f>
        <v>0</v>
      </c>
      <c r="AG287" s="48">
        <f>IF(AND(M287=""),IF(R287="20'",
VLOOKUP(AF287,Charge!$K$31:$M$34,2,TRUE)+(AF287-VLOOKUP(AF287,Charge!$K$31:$M$34,1,TRUE))*VLOOKUP(AF287,Charge!$K$31:$M$34,3,TRUE),
VLOOKUP(AF287,Charge!$N$31:$P$34,2,TRUE)+(AF287-VLOOKUP(AF287,Charge!$N$31:$P$34,1,TRUE))*VLOOKUP(AF287,Charge!$N$31:$P$34,3,TRUE)),
IF(AND(M287="DG"),IF(R287="20'",
VLOOKUP(AF287,Charge!$R$31:$T$34,2,TRUE)+(AF287-VLOOKUP(AF287,Charge!$R$31:$T$34,1,TRUE))*VLOOKUP(AF287,Charge!$R$31:$T$34,3,TRUE),
VLOOKUP(AF287,Charge!$U$31:$W$34,2,TRUE)+(AF287-VLOOKUP(AF287,Charge!$U$31:$W$34,1,TRUE))*VLOOKUP(AF287,Charge!$U$31:$W$34,3,TRUE)),0))</f>
        <v>0</v>
      </c>
      <c r="AH287" s="60"/>
      <c r="AI287" s="60">
        <f>AA287-AH287</f>
        <v>500</v>
      </c>
      <c r="AJ287" s="61"/>
      <c r="AK287" s="55" t="str">
        <f>VLOOKUP(D287,'2.Bookinglist'!A:CT,40,FALSE)</f>
        <v>Tarn(Supaporn)</v>
      </c>
      <c r="AL287" s="56" t="str">
        <f>VLOOKUP(D287,'2.Bookinglist'!A:CW,101,FALSE)</f>
        <v>2026-10-22</v>
      </c>
      <c r="AM287" s="56" t="str">
        <f>VLOOKUP(D287,'2.Bookinglist'!A:BK,63,FALSE)</f>
        <v>LCHY5</v>
      </c>
      <c r="AN287" s="55" t="str">
        <f>VLOOKUP(D287,'2.Bookinglist'!A:AZ,52,FALSE)</f>
        <v>[FIX]Pickup : 2026-10-14, Return : 2026-10-15 [1ST RTN 16/10/2026 W/O RENT]
** PLEASE CHECK OPEN GATE BEFORE RETURN CONTAINER ** </v>
      </c>
      <c r="AO287" s="55">
        <f>VLOOKUP(D287,'2.Bookinglist'!A:CY,103,FALSE)</f>
        <v>0</v>
      </c>
    </row>
    <row r="288" ht="12.95" customHeight="1" spans="1:41" x14ac:dyDescent="0.25">
      <c r="A288" s="3" t="s">
        <v>419</v>
      </c>
      <c r="B288" s="53" t="str">
        <f>IF(C288=Charge!$M$1,Charge!$J$1,IF(C288=Charge!$M$23,Charge!$J$23,IF(C288=Charge!$M$17,Charge!$J$17,IF(C288=Charge!$N$17,Charge!$J$17,Charge!$J$7))))</f>
        <v>G2</v>
      </c>
      <c r="C288" s="54" t="str">
        <f>VLOOKUP(A288,'1.Loading'!A:R,14,FALSE)</f>
        <v>LCH06</v>
      </c>
      <c r="D288" s="54" t="str">
        <f>VLOOKUP(A288,'1.Loading'!A:R,17,FALSE)</f>
        <v>HASLS22261000756</v>
      </c>
      <c r="E288" s="55" t="str">
        <f>VLOOKUP(D288,'2.Bookinglist'!A:CT,27,FALSE)</f>
        <v>TOP INTER FREIGHT CO., LTD.</v>
      </c>
      <c r="F288" s="55" t="str">
        <f>VLOOKUP(D288,'2.Bookinglist'!A:CT,28,FALSE)</f>
        <v>TOP PREMIUM STARCH CO., LTD.</v>
      </c>
      <c r="G288" s="56" t="str">
        <f>VLOOKUP(D288,'2.Bookinglist'!A:E,5,FALSE)</f>
        <v>THLKR</v>
      </c>
      <c r="H288" s="54" t="str">
        <f>VLOOKUP(D288,'2.Bookinglist'!A:CT,15,FALSE)</f>
        <v>THLCH</v>
      </c>
      <c r="I288" s="54" t="str">
        <f>VLOOKUP(D288,'2.Bookinglist'!A:CT,19,FALSE)</f>
        <v>CNSHA</v>
      </c>
      <c r="J288" s="54">
        <f>VLOOKUP(D288,'2.Bookinglist'!A:CT,26,FALSE)</f>
        <v>0</v>
      </c>
      <c r="K288" s="54" t="str">
        <f>VLOOKUP(A288,'1.Loading'!A:R,5,FALSE)</f>
        <v>22GP</v>
      </c>
      <c r="L288" s="56" t="str">
        <f>VLOOKUP(D288,'2.Bookinglist'!A:CT,85,FALSE)</f>
        <v>CFS/CY</v>
      </c>
      <c r="M288" s="56" t="str">
        <f>IF(VLOOKUP(D288,'2.Bookinglist'!A:CT,43,FALSE)=0,"","DG")</f>
        <v/>
      </c>
      <c r="N288" s="56" t="str">
        <f>IF(RIGHT(K288,2)="RE","RF","")</f>
        <v/>
      </c>
      <c r="O288" s="54" t="str">
        <f>VLOOKUP(A288,'1.Loading'!A:R,3,FALSE)</f>
        <v>HMVY</v>
      </c>
      <c r="P288" s="54" t="str">
        <f>VLOOKUP(A288,'1.Loading'!A:R,4,FALSE)</f>
        <v>2609N</v>
      </c>
      <c r="Q288" s="54" t="str">
        <f>VLOOKUP(D288,'2.Bookinglist'!A:CT,12,FALSE)</f>
        <v>PCI2</v>
      </c>
      <c r="R288" s="56" t="str">
        <f>IF(LEFT(K288,2)="22","20'","40'")</f>
        <v>20'</v>
      </c>
      <c r="S288" s="38"/>
      <c r="T288" s="54" t="str">
        <f>VLOOKUP(A288,'1.Loading'!A:R,2,FALSE)</f>
        <v>2026-10-28</v>
      </c>
      <c r="U288" s="57">
        <f>T288-S288</f>
        <v>46323</v>
      </c>
      <c r="V288" s="58"/>
      <c r="W288" s="54" t="str">
        <f>VLOOKUP(A288,'3.GateMove'!A:D,4,FALSE)</f>
        <v>2026-10-20</v>
      </c>
      <c r="X288" s="57">
        <f>((T288-W288)+1)</f>
        <v>9</v>
      </c>
      <c r="Y288" s="59">
        <f>IF(AND(OR(C288="BKK01",C288="BKK04"),L288="CFS/CY"),0,IF(M288="DG",1,IF(LEFT(C288,3)="LCH",7,IF(C288="BKK02",5,3))))</f>
        <v>7</v>
      </c>
      <c r="Z288" s="57">
        <f>IF(IF(AND(AC288="TML",AB288&gt;0),((T288-W288)+1)-AB288,((T288-W288)+1)-Y288)&gt;0,IF(AND(AC288="TML",AB288&gt;0),((T288-W288)+1)-AB288,((T288-W288)+1)-Y288),0)</f>
        <v>2</v>
      </c>
      <c r="AA288" s="48">
        <f>IF(AND(B288="G1",M288=""),IF(R288="20'",
VLOOKUP(Z288,Charge!$K$2:$M$5,2,TRUE)+(Z288-VLOOKUP(Z288,Charge!$K$2:$M$5,1,TRUE))*VLOOKUP(Z288,Charge!$K$2:$M$5,3,TRUE),
VLOOKUP(Z288,Charge!$N$2:$P$5,2,TRUE)+(Z288-VLOOKUP(Z288,Charge!$N$2:$P$5,1,TRUE))*VLOOKUP(Z288,Charge!$N$2:$P$5,3,TRUE)),
IF(AND(B288="G1",M288="DG"),IF(R288="20'",
VLOOKUP(Z288,Charge!$R$2:$T$5,2,TRUE)+(Z288-VLOOKUP(Z288,Charge!$R$2:$T$5,1,TRUE))*VLOOKUP(Z288,Charge!$R$2:$T$5,3,TRUE),
VLOOKUP(Z288,Charge!$U$2:$W$5,2,TRUE)+(Z288-VLOOKUP(Z288,Charge!$U$2:$W$5,1,TRUE))*VLOOKUP(Z288,Charge!$U$2:$W$5,3,TRUE)),
IF(AND(B288="G3",M288=""),IF(R288="20'",
VLOOKUP(Z288,Charge!$K$18:$M$21,2,TRUE)+(Z288-VLOOKUP(Z288,Charge!$K$18:$M$21,1,TRUE))*VLOOKUP(Z288,Charge!$K$18:$M$21,3,TRUE),
VLOOKUP(Z288,Charge!$N$18:$P$21,2,TRUE)+(Z288-VLOOKUP(Z288,Charge!$N$18:$P$21,1,TRUE))*VLOOKUP(Z288,Charge!$N$18:$P$21,3,TRUE)),
IF(AND(B288="G3",M288="DG"),IF(R288="20'",
VLOOKUP(Z288,Charge!$R$18:$T$21,2,TRUE)+(Z288-VLOOKUP(Z288,Charge!$R$18:$T$21,1,TRUE))*VLOOKUP(Z288,Charge!$R$18:$T$21,3,TRUE),
VLOOKUP(Z288,Charge!$U$18:$W$21,2,TRUE)+(Z288-VLOOKUP(Z288,Charge!$U$18:$W$21,1,TRUE))*VLOOKUP(Z288,Charge!$U$18:$W$21,3,TRUE)),
IF(AND(B288="G2",M288=""),IF(R288="20'",
VLOOKUP(Z288,Charge!$K$9:$M$12,2,TRUE)+(Z288-VLOOKUP(Z288,Charge!$K$9:$M$12,1,TRUE))*VLOOKUP(Z288,Charge!$K$9:$M$12,3,TRUE),
VLOOKUP(Z288,Charge!$N$9:$P$12,2,TRUE)+(Z288-VLOOKUP(Z288,Charge!$N$9:$P$12,1,TRUE))*VLOOKUP(Z288,Charge!$N$9:$P$12,3,TRUE)),
IF(AND(B288="G2",M288="DG"),IF(R288="20'",
VLOOKUP(Z288,Charge!$R$9:$T$12,2,TRUE)+(Z288-VLOOKUP(Z288,Charge!$R$9:$T$12,1,TRUE))*VLOOKUP(Z288,Charge!$R$9:$T$12,3,TRUE),
VLOOKUP(Z288,Charge!$U$9:$W$12,2,TRUE)+(Z288-VLOOKUP(Z288,Charge!$U$9:$W$12,1,TRUE))*VLOOKUP(Z288,Charge!$U$9:$W$12,3,TRUE)),IF(AND(B288="G4",M288=""),IF(R288="20'",Z288*Charge!$M$25,Z288*Charge!$P$25),IF(AND(B288="G4",M288="DG"),IF(R288="20'",Z288*Charge!$T$25,Z288*Charge!$W$25),0))))))))</f>
        <v>250</v>
      </c>
      <c r="AB288" s="53"/>
      <c r="AC288" s="53"/>
      <c r="AD288" s="56">
        <f>IF(M288="DG",3,IF(N288="RF",3,5))+IF(AND(LEFT(C288,3)="BKK",N288="RF",Q288="KTS"),1,0)+IF(Q288="KHS",1,0)</f>
        <v>5</v>
      </c>
      <c r="AE288" s="57">
        <f>(T288-V288)+1</f>
        <v>46324</v>
      </c>
      <c r="AF288" s="57">
        <f>IF(AB288&gt;IF((V288-W288)&gt;0,V288-W288,0),0,IF(AB288&lt;IF((V288-W288)&gt;0,V288-W288,0),IF((V288-W288)&gt;0,V288-W288,0)-AB288,IF((V288-W288)&gt;0,V288-W288,0)))</f>
        <v>0</v>
      </c>
      <c r="AG288" s="48">
        <f>IF(AND(M288=""),IF(R288="20'",
VLOOKUP(AF288,Charge!$K$31:$M$34,2,TRUE)+(AF288-VLOOKUP(AF288,Charge!$K$31:$M$34,1,TRUE))*VLOOKUP(AF288,Charge!$K$31:$M$34,3,TRUE),
VLOOKUP(AF288,Charge!$N$31:$P$34,2,TRUE)+(AF288-VLOOKUP(AF288,Charge!$N$31:$P$34,1,TRUE))*VLOOKUP(AF288,Charge!$N$31:$P$34,3,TRUE)),
IF(AND(M288="DG"),IF(R288="20'",
VLOOKUP(AF288,Charge!$R$31:$T$34,2,TRUE)+(AF288-VLOOKUP(AF288,Charge!$R$31:$T$34,1,TRUE))*VLOOKUP(AF288,Charge!$R$31:$T$34,3,TRUE),
VLOOKUP(AF288,Charge!$U$31:$W$34,2,TRUE)+(AF288-VLOOKUP(AF288,Charge!$U$31:$W$34,1,TRUE))*VLOOKUP(AF288,Charge!$U$31:$W$34,3,TRUE)),0))</f>
        <v>0</v>
      </c>
      <c r="AH288" s="60"/>
      <c r="AI288" s="60">
        <f>AA288-AH288</f>
        <v>250</v>
      </c>
      <c r="AJ288" s="61"/>
      <c r="AK288" s="55" t="str">
        <f>VLOOKUP(D288,'2.Bookinglist'!A:CT,40,FALSE)</f>
        <v>Arunphat W. (Aiw)</v>
      </c>
      <c r="AL288" s="56" t="str">
        <f>VLOOKUP(D288,'2.Bookinglist'!A:CW,101,FALSE)</f>
        <v>2026-10-22</v>
      </c>
      <c r="AM288" s="56" t="str">
        <f>VLOOKUP(D288,'2.Bookinglist'!A:BK,63,FALSE)</f>
        <v>LCH54</v>
      </c>
      <c r="AN288" s="55" t="str">
        <f>VLOOKUP(D288,'2.Bookinglist'!A:AZ,52,FALSE)</f>
        <v>STUFFING CARGO AT TIFFA ICD DD.16-17/10/26 [PAPERLESS CODE 2829]
CLS TIME 19/10/26 @17.00</v>
      </c>
      <c r="AO288" s="55">
        <f>VLOOKUP(D288,'2.Bookinglist'!A:CY,103,FALSE)</f>
        <v>0</v>
      </c>
    </row>
    <row r="289" ht="12.95" customHeight="1" spans="1:41" x14ac:dyDescent="0.25">
      <c r="A289" s="3" t="s">
        <v>298</v>
      </c>
      <c r="B289" s="53" t="str">
        <f>IF(C289=Charge!$M$1,Charge!$J$1,IF(C289=Charge!$M$23,Charge!$J$23,IF(C289=Charge!$M$17,Charge!$J$17,IF(C289=Charge!$N$17,Charge!$J$17,Charge!$J$7))))</f>
        <v>G2</v>
      </c>
      <c r="C289" s="54" t="str">
        <f>VLOOKUP(A289,'1.Loading'!A:R,14,FALSE)</f>
        <v>LCH06</v>
      </c>
      <c r="D289" s="54" t="str">
        <f>VLOOKUP(A289,'1.Loading'!A:R,17,FALSE)</f>
        <v>HASLS22260900170</v>
      </c>
      <c r="E289" s="55" t="str">
        <f>VLOOKUP(D289,'2.Bookinglist'!A:CT,27,FALSE)</f>
        <v>PANDA GOGO LOGISTICS CO., LTD.</v>
      </c>
      <c r="F289" s="55" t="str">
        <f>VLOOKUP(D289,'2.Bookinglist'!A:CT,28,FALSE)</f>
        <v>GC-M PTA COMPANY LIMITED</v>
      </c>
      <c r="G289" s="56">
        <f>VLOOKUP(D289,'2.Bookinglist'!A:E,5,FALSE)</f>
        <v>0</v>
      </c>
      <c r="H289" s="54" t="str">
        <f>VLOOKUP(D289,'2.Bookinglist'!A:CT,15,FALSE)</f>
        <v>THLCH</v>
      </c>
      <c r="I289" s="54" t="str">
        <f>VLOOKUP(D289,'2.Bookinglist'!A:CT,19,FALSE)</f>
        <v>JPTRG</v>
      </c>
      <c r="J289" s="54" t="str">
        <f>VLOOKUP(D289,'2.Bookinglist'!A:CT,26,FALSE)</f>
        <v>KRPUS</v>
      </c>
      <c r="K289" s="54" t="str">
        <f>VLOOKUP(A289,'1.Loading'!A:R,5,FALSE)</f>
        <v>22GP</v>
      </c>
      <c r="L289" s="56" t="str">
        <f>VLOOKUP(D289,'2.Bookinglist'!A:CT,85,FALSE)</f>
        <v>CY/CY</v>
      </c>
      <c r="M289" s="56" t="str">
        <f>IF(VLOOKUP(D289,'2.Bookinglist'!A:CT,43,FALSE)=0,"","DG")</f>
        <v/>
      </c>
      <c r="N289" s="56" t="str">
        <f>IF(RIGHT(K289,2)="RE","RF","")</f>
        <v/>
      </c>
      <c r="O289" s="54" t="str">
        <f>VLOOKUP(A289,'1.Loading'!A:R,3,FALSE)</f>
        <v>HMVY</v>
      </c>
      <c r="P289" s="54" t="str">
        <f>VLOOKUP(A289,'1.Loading'!A:R,4,FALSE)</f>
        <v>2609N</v>
      </c>
      <c r="Q289" s="54" t="str">
        <f>VLOOKUP(D289,'2.Bookinglist'!A:CT,12,FALSE)</f>
        <v>PCI2</v>
      </c>
      <c r="R289" s="56" t="str">
        <f>IF(LEFT(K289,2)="22","20'","40'")</f>
        <v>20'</v>
      </c>
      <c r="S289" s="38"/>
      <c r="T289" s="54" t="str">
        <f>VLOOKUP(A289,'1.Loading'!A:R,2,FALSE)</f>
        <v>2026-10-28</v>
      </c>
      <c r="U289" s="57">
        <f>T289-S289</f>
        <v>46323</v>
      </c>
      <c r="V289" s="58"/>
      <c r="W289" s="54" t="str">
        <f>VLOOKUP(A289,'3.GateMove'!A:D,4,FALSE)</f>
        <v>2026-10-18</v>
      </c>
      <c r="X289" s="57">
        <f>((T289-W289)+1)</f>
        <v>11</v>
      </c>
      <c r="Y289" s="59">
        <f>IF(AND(OR(C289="BKK01",C289="BKK04"),L289="CFS/CY"),0,IF(M289="DG",1,IF(LEFT(C289,3)="LCH",7,IF(C289="BKK02",5,3))))</f>
        <v>7</v>
      </c>
      <c r="Z289" s="57">
        <f>IF(IF(AND(AC289="TML",AB289&gt;0),((T289-W289)+1)-AB289,((T289-W289)+1)-Y289)&gt;0,IF(AND(AC289="TML",AB289&gt;0),((T289-W289)+1)-AB289,((T289-W289)+1)-Y289),0)</f>
        <v>4</v>
      </c>
      <c r="AA289" s="48">
        <f>IF(AND(B289="G1",M289=""),IF(R289="20'",
VLOOKUP(Z289,Charge!$K$2:$M$5,2,TRUE)+(Z289-VLOOKUP(Z289,Charge!$K$2:$M$5,1,TRUE))*VLOOKUP(Z289,Charge!$K$2:$M$5,3,TRUE),
VLOOKUP(Z289,Charge!$N$2:$P$5,2,TRUE)+(Z289-VLOOKUP(Z289,Charge!$N$2:$P$5,1,TRUE))*VLOOKUP(Z289,Charge!$N$2:$P$5,3,TRUE)),
IF(AND(B289="G1",M289="DG"),IF(R289="20'",
VLOOKUP(Z289,Charge!$R$2:$T$5,2,TRUE)+(Z289-VLOOKUP(Z289,Charge!$R$2:$T$5,1,TRUE))*VLOOKUP(Z289,Charge!$R$2:$T$5,3,TRUE),
VLOOKUP(Z289,Charge!$U$2:$W$5,2,TRUE)+(Z289-VLOOKUP(Z289,Charge!$U$2:$W$5,1,TRUE))*VLOOKUP(Z289,Charge!$U$2:$W$5,3,TRUE)),
IF(AND(B289="G3",M289=""),IF(R289="20'",
VLOOKUP(Z289,Charge!$K$18:$M$21,2,TRUE)+(Z289-VLOOKUP(Z289,Charge!$K$18:$M$21,1,TRUE))*VLOOKUP(Z289,Charge!$K$18:$M$21,3,TRUE),
VLOOKUP(Z289,Charge!$N$18:$P$21,2,TRUE)+(Z289-VLOOKUP(Z289,Charge!$N$18:$P$21,1,TRUE))*VLOOKUP(Z289,Charge!$N$18:$P$21,3,TRUE)),
IF(AND(B289="G3",M289="DG"),IF(R289="20'",
VLOOKUP(Z289,Charge!$R$18:$T$21,2,TRUE)+(Z289-VLOOKUP(Z289,Charge!$R$18:$T$21,1,TRUE))*VLOOKUP(Z289,Charge!$R$18:$T$21,3,TRUE),
VLOOKUP(Z289,Charge!$U$18:$W$21,2,TRUE)+(Z289-VLOOKUP(Z289,Charge!$U$18:$W$21,1,TRUE))*VLOOKUP(Z289,Charge!$U$18:$W$21,3,TRUE)),
IF(AND(B289="G2",M289=""),IF(R289="20'",
VLOOKUP(Z289,Charge!$K$9:$M$12,2,TRUE)+(Z289-VLOOKUP(Z289,Charge!$K$9:$M$12,1,TRUE))*VLOOKUP(Z289,Charge!$K$9:$M$12,3,TRUE),
VLOOKUP(Z289,Charge!$N$9:$P$12,2,TRUE)+(Z289-VLOOKUP(Z289,Charge!$N$9:$P$12,1,TRUE))*VLOOKUP(Z289,Charge!$N$9:$P$12,3,TRUE)),
IF(AND(B289="G2",M289="DG"),IF(R289="20'",
VLOOKUP(Z289,Charge!$R$9:$T$12,2,TRUE)+(Z289-VLOOKUP(Z289,Charge!$R$9:$T$12,1,TRUE))*VLOOKUP(Z289,Charge!$R$9:$T$12,3,TRUE),
VLOOKUP(Z289,Charge!$U$9:$W$12,2,TRUE)+(Z289-VLOOKUP(Z289,Charge!$U$9:$W$12,1,TRUE))*VLOOKUP(Z289,Charge!$U$9:$W$12,3,TRUE)),IF(AND(B289="G4",M289=""),IF(R289="20'",Z289*Charge!$M$25,Z289*Charge!$P$25),IF(AND(B289="G4",M289="DG"),IF(R289="20'",Z289*Charge!$T$25,Z289*Charge!$W$25),0))))))))</f>
        <v>500</v>
      </c>
      <c r="AB289" s="53"/>
      <c r="AC289" s="53"/>
      <c r="AD289" s="56">
        <f>IF(M289="DG",3,IF(N289="RF",3,5))+IF(AND(LEFT(C289,3)="BKK",N289="RF",Q289="KTS"),1,0)+IF(Q289="KHS",1,0)</f>
        <v>5</v>
      </c>
      <c r="AE289" s="57">
        <f>(T289-V289)+1</f>
        <v>46324</v>
      </c>
      <c r="AF289" s="57">
        <f>IF(AB289&gt;IF((V289-W289)&gt;0,V289-W289,0),0,IF(AB289&lt;IF((V289-W289)&gt;0,V289-W289,0),IF((V289-W289)&gt;0,V289-W289,0)-AB289,IF((V289-W289)&gt;0,V289-W289,0)))</f>
        <v>0</v>
      </c>
      <c r="AG289" s="48">
        <f>IF(AND(M289=""),IF(R289="20'",
VLOOKUP(AF289,Charge!$K$31:$M$34,2,TRUE)+(AF289-VLOOKUP(AF289,Charge!$K$31:$M$34,1,TRUE))*VLOOKUP(AF289,Charge!$K$31:$M$34,3,TRUE),
VLOOKUP(AF289,Charge!$N$31:$P$34,2,TRUE)+(AF289-VLOOKUP(AF289,Charge!$N$31:$P$34,1,TRUE))*VLOOKUP(AF289,Charge!$N$31:$P$34,3,TRUE)),
IF(AND(M289="DG"),IF(R289="20'",
VLOOKUP(AF289,Charge!$R$31:$T$34,2,TRUE)+(AF289-VLOOKUP(AF289,Charge!$R$31:$T$34,1,TRUE))*VLOOKUP(AF289,Charge!$R$31:$T$34,3,TRUE),
VLOOKUP(AF289,Charge!$U$31:$W$34,2,TRUE)+(AF289-VLOOKUP(AF289,Charge!$U$31:$W$34,1,TRUE))*VLOOKUP(AF289,Charge!$U$31:$W$34,3,TRUE)),0))</f>
        <v>0</v>
      </c>
      <c r="AH289" s="60"/>
      <c r="AI289" s="60">
        <f>AA289-AH289</f>
        <v>500</v>
      </c>
      <c r="AJ289" s="61"/>
      <c r="AK289" s="55" t="str">
        <f>VLOOKUP(D289,'2.Bookinglist'!A:CT,40,FALSE)</f>
        <v>Tarn(Supaporn)</v>
      </c>
      <c r="AL289" s="56" t="str">
        <f>VLOOKUP(D289,'2.Bookinglist'!A:CW,101,FALSE)</f>
        <v>2026-10-22</v>
      </c>
      <c r="AM289" s="56" t="str">
        <f>VLOOKUP(D289,'2.Bookinglist'!A:BK,63,FALSE)</f>
        <v>LCHY5</v>
      </c>
      <c r="AN289" s="55" t="str">
        <f>VLOOKUP(D289,'2.Bookinglist'!A:AZ,52,FALSE)</f>
        <v>[FIX]Pickup : 2026-10-14, Return : 2026-10-15 [1ST RTN 16/10/2026 W/O RENT]
** PLEASE CHECK OPEN GATE BEFORE RETURN CONTAINER ** </v>
      </c>
      <c r="AO289" s="55">
        <f>VLOOKUP(D289,'2.Bookinglist'!A:CY,103,FALSE)</f>
        <v>0</v>
      </c>
    </row>
    <row r="290" ht="12.95" customHeight="1" spans="1:41" x14ac:dyDescent="0.25">
      <c r="A290" s="3" t="s">
        <v>442</v>
      </c>
      <c r="B290" s="53" t="str">
        <f>IF(C290=Charge!$M$1,Charge!$J$1,IF(C290=Charge!$M$23,Charge!$J$23,IF(C290=Charge!$M$17,Charge!$J$17,IF(C290=Charge!$N$17,Charge!$J$17,Charge!$J$7))))</f>
        <v>G2</v>
      </c>
      <c r="C290" s="54" t="str">
        <f>VLOOKUP(A290,'1.Loading'!A:R,14,FALSE)</f>
        <v>LCH06</v>
      </c>
      <c r="D290" s="54" t="str">
        <f>VLOOKUP(A290,'1.Loading'!A:R,17,FALSE)</f>
        <v>HASLS22260901496</v>
      </c>
      <c r="E290" s="55" t="str">
        <f>VLOOKUP(D290,'2.Bookinglist'!A:CT,27,FALSE)</f>
        <v>WHA GC LOGISTICS COMPANY LIMITED</v>
      </c>
      <c r="F290" s="55" t="str">
        <f>VLOOKUP(D290,'2.Bookinglist'!A:CT,28,FALSE)</f>
        <v>PTT GLOBAL CHEMICAL PUBLIC COMPANY LIMITED</v>
      </c>
      <c r="G290" s="56">
        <f>VLOOKUP(D290,'2.Bookinglist'!A:E,5,FALSE)</f>
        <v>0</v>
      </c>
      <c r="H290" s="54" t="str">
        <f>VLOOKUP(D290,'2.Bookinglist'!A:CT,15,FALSE)</f>
        <v>THLCH</v>
      </c>
      <c r="I290" s="54" t="str">
        <f>VLOOKUP(D290,'2.Bookinglist'!A:CT,19,FALSE)</f>
        <v>JPNGO</v>
      </c>
      <c r="J290" s="54" t="str">
        <f>VLOOKUP(D290,'2.Bookinglist'!A:CT,26,FALSE)</f>
        <v>KRPUS</v>
      </c>
      <c r="K290" s="54" t="str">
        <f>VLOOKUP(A290,'1.Loading'!A:R,5,FALSE)</f>
        <v>22GP</v>
      </c>
      <c r="L290" s="56" t="str">
        <f>VLOOKUP(D290,'2.Bookinglist'!A:CT,85,FALSE)</f>
        <v>CY/CY</v>
      </c>
      <c r="M290" s="56" t="str">
        <f>IF(VLOOKUP(D290,'2.Bookinglist'!A:CT,43,FALSE)=0,"","DG")</f>
        <v/>
      </c>
      <c r="N290" s="56" t="str">
        <f>IF(RIGHT(K290,2)="RE","RF","")</f>
        <v/>
      </c>
      <c r="O290" s="54" t="str">
        <f>VLOOKUP(A290,'1.Loading'!A:R,3,FALSE)</f>
        <v>HMVY</v>
      </c>
      <c r="P290" s="54" t="str">
        <f>VLOOKUP(A290,'1.Loading'!A:R,4,FALSE)</f>
        <v>2609N</v>
      </c>
      <c r="Q290" s="54" t="str">
        <f>VLOOKUP(D290,'2.Bookinglist'!A:CT,12,FALSE)</f>
        <v>PCI2</v>
      </c>
      <c r="R290" s="56" t="str">
        <f>IF(LEFT(K290,2)="22","20'","40'")</f>
        <v>20'</v>
      </c>
      <c r="S290" s="38"/>
      <c r="T290" s="54" t="str">
        <f>VLOOKUP(A290,'1.Loading'!A:R,2,FALSE)</f>
        <v>2026-10-28</v>
      </c>
      <c r="U290" s="57">
        <f>T290-S290</f>
        <v>46323</v>
      </c>
      <c r="V290" s="58"/>
      <c r="W290" s="54" t="str">
        <f>VLOOKUP(A290,'3.GateMove'!A:D,4,FALSE)</f>
        <v>2026-10-17</v>
      </c>
      <c r="X290" s="57">
        <f>((T290-W290)+1)</f>
        <v>12</v>
      </c>
      <c r="Y290" s="59">
        <f>IF(AND(OR(C290="BKK01",C290="BKK04"),L290="CFS/CY"),0,IF(M290="DG",1,IF(LEFT(C290,3)="LCH",7,IF(C290="BKK02",5,3))))</f>
        <v>7</v>
      </c>
      <c r="Z290" s="57">
        <f>IF(IF(AND(AC290="TML",AB290&gt;0),((T290-W290)+1)-AB290,((T290-W290)+1)-Y290)&gt;0,IF(AND(AC290="TML",AB290&gt;0),((T290-W290)+1)-AB290,((T290-W290)+1)-Y290),0)</f>
        <v>5</v>
      </c>
      <c r="AA290" s="48">
        <f>IF(AND(B290="G1",M290=""),IF(R290="20'",
VLOOKUP(Z290,Charge!$K$2:$M$5,2,TRUE)+(Z290-VLOOKUP(Z290,Charge!$K$2:$M$5,1,TRUE))*VLOOKUP(Z290,Charge!$K$2:$M$5,3,TRUE),
VLOOKUP(Z290,Charge!$N$2:$P$5,2,TRUE)+(Z290-VLOOKUP(Z290,Charge!$N$2:$P$5,1,TRUE))*VLOOKUP(Z290,Charge!$N$2:$P$5,3,TRUE)),
IF(AND(B290="G1",M290="DG"),IF(R290="20'",
VLOOKUP(Z290,Charge!$R$2:$T$5,2,TRUE)+(Z290-VLOOKUP(Z290,Charge!$R$2:$T$5,1,TRUE))*VLOOKUP(Z290,Charge!$R$2:$T$5,3,TRUE),
VLOOKUP(Z290,Charge!$U$2:$W$5,2,TRUE)+(Z290-VLOOKUP(Z290,Charge!$U$2:$W$5,1,TRUE))*VLOOKUP(Z290,Charge!$U$2:$W$5,3,TRUE)),
IF(AND(B290="G3",M290=""),IF(R290="20'",
VLOOKUP(Z290,Charge!$K$18:$M$21,2,TRUE)+(Z290-VLOOKUP(Z290,Charge!$K$18:$M$21,1,TRUE))*VLOOKUP(Z290,Charge!$K$18:$M$21,3,TRUE),
VLOOKUP(Z290,Charge!$N$18:$P$21,2,TRUE)+(Z290-VLOOKUP(Z290,Charge!$N$18:$P$21,1,TRUE))*VLOOKUP(Z290,Charge!$N$18:$P$21,3,TRUE)),
IF(AND(B290="G3",M290="DG"),IF(R290="20'",
VLOOKUP(Z290,Charge!$R$18:$T$21,2,TRUE)+(Z290-VLOOKUP(Z290,Charge!$R$18:$T$21,1,TRUE))*VLOOKUP(Z290,Charge!$R$18:$T$21,3,TRUE),
VLOOKUP(Z290,Charge!$U$18:$W$21,2,TRUE)+(Z290-VLOOKUP(Z290,Charge!$U$18:$W$21,1,TRUE))*VLOOKUP(Z290,Charge!$U$18:$W$21,3,TRUE)),
IF(AND(B290="G2",M290=""),IF(R290="20'",
VLOOKUP(Z290,Charge!$K$9:$M$12,2,TRUE)+(Z290-VLOOKUP(Z290,Charge!$K$9:$M$12,1,TRUE))*VLOOKUP(Z290,Charge!$K$9:$M$12,3,TRUE),
VLOOKUP(Z290,Charge!$N$9:$P$12,2,TRUE)+(Z290-VLOOKUP(Z290,Charge!$N$9:$P$12,1,TRUE))*VLOOKUP(Z290,Charge!$N$9:$P$12,3,TRUE)),
IF(AND(B290="G2",M290="DG"),IF(R290="20'",
VLOOKUP(Z290,Charge!$R$9:$T$12,2,TRUE)+(Z290-VLOOKUP(Z290,Charge!$R$9:$T$12,1,TRUE))*VLOOKUP(Z290,Charge!$R$9:$T$12,3,TRUE),
VLOOKUP(Z290,Charge!$U$9:$W$12,2,TRUE)+(Z290-VLOOKUP(Z290,Charge!$U$9:$W$12,1,TRUE))*VLOOKUP(Z290,Charge!$U$9:$W$12,3,TRUE)),IF(AND(B290="G4",M290=""),IF(R290="20'",Z290*Charge!$M$25,Z290*Charge!$P$25),IF(AND(B290="G4",M290="DG"),IF(R290="20'",Z290*Charge!$T$25,Z290*Charge!$W$25),0))))))))</f>
        <v>625</v>
      </c>
      <c r="AB290" s="53"/>
      <c r="AC290" s="53"/>
      <c r="AD290" s="56">
        <f>IF(M290="DG",3,IF(N290="RF",3,5))+IF(AND(LEFT(C290,3)="BKK",N290="RF",Q290="KTS"),1,0)+IF(Q290="KHS",1,0)</f>
        <v>5</v>
      </c>
      <c r="AE290" s="57">
        <f>(T290-V290)+1</f>
        <v>46324</v>
      </c>
      <c r="AF290" s="57">
        <f>IF(AB290&gt;IF((V290-W290)&gt;0,V290-W290,0),0,IF(AB290&lt;IF((V290-W290)&gt;0,V290-W290,0),IF((V290-W290)&gt;0,V290-W290,0)-AB290,IF((V290-W290)&gt;0,V290-W290,0)))</f>
        <v>0</v>
      </c>
      <c r="AG290" s="48">
        <f>IF(AND(M290=""),IF(R290="20'",
VLOOKUP(AF290,Charge!$K$31:$M$34,2,TRUE)+(AF290-VLOOKUP(AF290,Charge!$K$31:$M$34,1,TRUE))*VLOOKUP(AF290,Charge!$K$31:$M$34,3,TRUE),
VLOOKUP(AF290,Charge!$N$31:$P$34,2,TRUE)+(AF290-VLOOKUP(AF290,Charge!$N$31:$P$34,1,TRUE))*VLOOKUP(AF290,Charge!$N$31:$P$34,3,TRUE)),
IF(AND(M290="DG"),IF(R290="20'",
VLOOKUP(AF290,Charge!$R$31:$T$34,2,TRUE)+(AF290-VLOOKUP(AF290,Charge!$R$31:$T$34,1,TRUE))*VLOOKUP(AF290,Charge!$R$31:$T$34,3,TRUE),
VLOOKUP(AF290,Charge!$U$31:$W$34,2,TRUE)+(AF290-VLOOKUP(AF290,Charge!$U$31:$W$34,1,TRUE))*VLOOKUP(AF290,Charge!$U$31:$W$34,3,TRUE)),0))</f>
        <v>0</v>
      </c>
      <c r="AH290" s="60"/>
      <c r="AI290" s="60">
        <f>AA290-AH290</f>
        <v>625</v>
      </c>
      <c r="AJ290" s="61"/>
      <c r="AK290" s="55" t="str">
        <f>VLOOKUP(D290,'2.Bookinglist'!A:CT,40,FALSE)</f>
        <v>Dharaporn</v>
      </c>
      <c r="AL290" s="56" t="str">
        <f>VLOOKUP(D290,'2.Bookinglist'!A:CW,101,FALSE)</f>
        <v>2026-10-14</v>
      </c>
      <c r="AM290" s="56" t="str">
        <f>VLOOKUP(D290,'2.Bookinglist'!A:BK,63,FALSE)</f>
        <v>LCHY5</v>
      </c>
      <c r="AN290" s="55" t="str">
        <f>VLOOKUP(D290,'2.Bookinglist'!A:AZ,52,FALSE)</f>
        <v>[FIX][FIX][FIX]SURVEY+CY :07/10/2026 RTN :10/10/2026
REQUEST SEA BULK CONTAIER + SURVEY EMPTY BEFORE PICK UP
</v>
      </c>
      <c r="AO290" s="55">
        <f>VLOOKUP(D290,'2.Bookinglist'!A:CY,103,FALSE)</f>
        <v>0</v>
      </c>
    </row>
    <row r="291" ht="12.95" customHeight="1" spans="1:41" x14ac:dyDescent="0.25">
      <c r="A291" s="3" t="s">
        <v>420</v>
      </c>
      <c r="B291" s="53" t="str">
        <f>IF(C291=Charge!$M$1,Charge!$J$1,IF(C291=Charge!$M$23,Charge!$J$23,IF(C291=Charge!$M$17,Charge!$J$17,IF(C291=Charge!$N$17,Charge!$J$17,Charge!$J$7))))</f>
        <v>G2</v>
      </c>
      <c r="C291" s="54" t="str">
        <f>VLOOKUP(A291,'1.Loading'!A:R,14,FALSE)</f>
        <v>LCH06</v>
      </c>
      <c r="D291" s="54" t="str">
        <f>VLOOKUP(A291,'1.Loading'!A:R,17,FALSE)</f>
        <v>HASLS22261000756</v>
      </c>
      <c r="E291" s="55" t="str">
        <f>VLOOKUP(D291,'2.Bookinglist'!A:CT,27,FALSE)</f>
        <v>TOP INTER FREIGHT CO., LTD.</v>
      </c>
      <c r="F291" s="55" t="str">
        <f>VLOOKUP(D291,'2.Bookinglist'!A:CT,28,FALSE)</f>
        <v>TOP PREMIUM STARCH CO., LTD.</v>
      </c>
      <c r="G291" s="56" t="str">
        <f>VLOOKUP(D291,'2.Bookinglist'!A:E,5,FALSE)</f>
        <v>THLKR</v>
      </c>
      <c r="H291" s="54" t="str">
        <f>VLOOKUP(D291,'2.Bookinglist'!A:CT,15,FALSE)</f>
        <v>THLCH</v>
      </c>
      <c r="I291" s="54" t="str">
        <f>VLOOKUP(D291,'2.Bookinglist'!A:CT,19,FALSE)</f>
        <v>CNSHA</v>
      </c>
      <c r="J291" s="54">
        <f>VLOOKUP(D291,'2.Bookinglist'!A:CT,26,FALSE)</f>
        <v>0</v>
      </c>
      <c r="K291" s="54" t="str">
        <f>VLOOKUP(A291,'1.Loading'!A:R,5,FALSE)</f>
        <v>22GP</v>
      </c>
      <c r="L291" s="56" t="str">
        <f>VLOOKUP(D291,'2.Bookinglist'!A:CT,85,FALSE)</f>
        <v>CFS/CY</v>
      </c>
      <c r="M291" s="56" t="str">
        <f>IF(VLOOKUP(D291,'2.Bookinglist'!A:CT,43,FALSE)=0,"","DG")</f>
        <v/>
      </c>
      <c r="N291" s="56" t="str">
        <f>IF(RIGHT(K291,2)="RE","RF","")</f>
        <v/>
      </c>
      <c r="O291" s="54" t="str">
        <f>VLOOKUP(A291,'1.Loading'!A:R,3,FALSE)</f>
        <v>HMVY</v>
      </c>
      <c r="P291" s="54" t="str">
        <f>VLOOKUP(A291,'1.Loading'!A:R,4,FALSE)</f>
        <v>2609N</v>
      </c>
      <c r="Q291" s="54" t="str">
        <f>VLOOKUP(D291,'2.Bookinglist'!A:CT,12,FALSE)</f>
        <v>PCI2</v>
      </c>
      <c r="R291" s="56" t="str">
        <f>IF(LEFT(K291,2)="22","20'","40'")</f>
        <v>20'</v>
      </c>
      <c r="S291" s="38"/>
      <c r="T291" s="54" t="str">
        <f>VLOOKUP(A291,'1.Loading'!A:R,2,FALSE)</f>
        <v>2026-10-28</v>
      </c>
      <c r="U291" s="57">
        <f>T291-S291</f>
        <v>46323</v>
      </c>
      <c r="V291" s="58"/>
      <c r="W291" s="54" t="str">
        <f>VLOOKUP(A291,'3.GateMove'!A:D,4,FALSE)</f>
        <v>2026-10-20</v>
      </c>
      <c r="X291" s="57">
        <f>((T291-W291)+1)</f>
        <v>9</v>
      </c>
      <c r="Y291" s="59">
        <f>IF(AND(OR(C291="BKK01",C291="BKK04"),L291="CFS/CY"),0,IF(M291="DG",1,IF(LEFT(C291,3)="LCH",7,IF(C291="BKK02",5,3))))</f>
        <v>7</v>
      </c>
      <c r="Z291" s="57">
        <f>IF(IF(AND(AC291="TML",AB291&gt;0),((T291-W291)+1)-AB291,((T291-W291)+1)-Y291)&gt;0,IF(AND(AC291="TML",AB291&gt;0),((T291-W291)+1)-AB291,((T291-W291)+1)-Y291),0)</f>
        <v>2</v>
      </c>
      <c r="AA291" s="48">
        <f>IF(AND(B291="G1",M291=""),IF(R291="20'",
VLOOKUP(Z291,Charge!$K$2:$M$5,2,TRUE)+(Z291-VLOOKUP(Z291,Charge!$K$2:$M$5,1,TRUE))*VLOOKUP(Z291,Charge!$K$2:$M$5,3,TRUE),
VLOOKUP(Z291,Charge!$N$2:$P$5,2,TRUE)+(Z291-VLOOKUP(Z291,Charge!$N$2:$P$5,1,TRUE))*VLOOKUP(Z291,Charge!$N$2:$P$5,3,TRUE)),
IF(AND(B291="G1",M291="DG"),IF(R291="20'",
VLOOKUP(Z291,Charge!$R$2:$T$5,2,TRUE)+(Z291-VLOOKUP(Z291,Charge!$R$2:$T$5,1,TRUE))*VLOOKUP(Z291,Charge!$R$2:$T$5,3,TRUE),
VLOOKUP(Z291,Charge!$U$2:$W$5,2,TRUE)+(Z291-VLOOKUP(Z291,Charge!$U$2:$W$5,1,TRUE))*VLOOKUP(Z291,Charge!$U$2:$W$5,3,TRUE)),
IF(AND(B291="G3",M291=""),IF(R291="20'",
VLOOKUP(Z291,Charge!$K$18:$M$21,2,TRUE)+(Z291-VLOOKUP(Z291,Charge!$K$18:$M$21,1,TRUE))*VLOOKUP(Z291,Charge!$K$18:$M$21,3,TRUE),
VLOOKUP(Z291,Charge!$N$18:$P$21,2,TRUE)+(Z291-VLOOKUP(Z291,Charge!$N$18:$P$21,1,TRUE))*VLOOKUP(Z291,Charge!$N$18:$P$21,3,TRUE)),
IF(AND(B291="G3",M291="DG"),IF(R291="20'",
VLOOKUP(Z291,Charge!$R$18:$T$21,2,TRUE)+(Z291-VLOOKUP(Z291,Charge!$R$18:$T$21,1,TRUE))*VLOOKUP(Z291,Charge!$R$18:$T$21,3,TRUE),
VLOOKUP(Z291,Charge!$U$18:$W$21,2,TRUE)+(Z291-VLOOKUP(Z291,Charge!$U$18:$W$21,1,TRUE))*VLOOKUP(Z291,Charge!$U$18:$W$21,3,TRUE)),
IF(AND(B291="G2",M291=""),IF(R291="20'",
VLOOKUP(Z291,Charge!$K$9:$M$12,2,TRUE)+(Z291-VLOOKUP(Z291,Charge!$K$9:$M$12,1,TRUE))*VLOOKUP(Z291,Charge!$K$9:$M$12,3,TRUE),
VLOOKUP(Z291,Charge!$N$9:$P$12,2,TRUE)+(Z291-VLOOKUP(Z291,Charge!$N$9:$P$12,1,TRUE))*VLOOKUP(Z291,Charge!$N$9:$P$12,3,TRUE)),
IF(AND(B291="G2",M291="DG"),IF(R291="20'",
VLOOKUP(Z291,Charge!$R$9:$T$12,2,TRUE)+(Z291-VLOOKUP(Z291,Charge!$R$9:$T$12,1,TRUE))*VLOOKUP(Z291,Charge!$R$9:$T$12,3,TRUE),
VLOOKUP(Z291,Charge!$U$9:$W$12,2,TRUE)+(Z291-VLOOKUP(Z291,Charge!$U$9:$W$12,1,TRUE))*VLOOKUP(Z291,Charge!$U$9:$W$12,3,TRUE)),IF(AND(B291="G4",M291=""),IF(R291="20'",Z291*Charge!$M$25,Z291*Charge!$P$25),IF(AND(B291="G4",M291="DG"),IF(R291="20'",Z291*Charge!$T$25,Z291*Charge!$W$25),0))))))))</f>
        <v>250</v>
      </c>
      <c r="AB291" s="53"/>
      <c r="AC291" s="53"/>
      <c r="AD291" s="56">
        <f>IF(M291="DG",3,IF(N291="RF",3,5))+IF(AND(LEFT(C291,3)="BKK",N291="RF",Q291="KTS"),1,0)+IF(Q291="KHS",1,0)</f>
        <v>5</v>
      </c>
      <c r="AE291" s="57">
        <f>(T291-V291)+1</f>
        <v>46324</v>
      </c>
      <c r="AF291" s="57">
        <f>IF(AB291&gt;IF((V291-W291)&gt;0,V291-W291,0),0,IF(AB291&lt;IF((V291-W291)&gt;0,V291-W291,0),IF((V291-W291)&gt;0,V291-W291,0)-AB291,IF((V291-W291)&gt;0,V291-W291,0)))</f>
        <v>0</v>
      </c>
      <c r="AG291" s="48">
        <f>IF(AND(M291=""),IF(R291="20'",
VLOOKUP(AF291,Charge!$K$31:$M$34,2,TRUE)+(AF291-VLOOKUP(AF291,Charge!$K$31:$M$34,1,TRUE))*VLOOKUP(AF291,Charge!$K$31:$M$34,3,TRUE),
VLOOKUP(AF291,Charge!$N$31:$P$34,2,TRUE)+(AF291-VLOOKUP(AF291,Charge!$N$31:$P$34,1,TRUE))*VLOOKUP(AF291,Charge!$N$31:$P$34,3,TRUE)),
IF(AND(M291="DG"),IF(R291="20'",
VLOOKUP(AF291,Charge!$R$31:$T$34,2,TRUE)+(AF291-VLOOKUP(AF291,Charge!$R$31:$T$34,1,TRUE))*VLOOKUP(AF291,Charge!$R$31:$T$34,3,TRUE),
VLOOKUP(AF291,Charge!$U$31:$W$34,2,TRUE)+(AF291-VLOOKUP(AF291,Charge!$U$31:$W$34,1,TRUE))*VLOOKUP(AF291,Charge!$U$31:$W$34,3,TRUE)),0))</f>
        <v>0</v>
      </c>
      <c r="AH291" s="60"/>
      <c r="AI291" s="60">
        <f>AA291-AH291</f>
        <v>250</v>
      </c>
      <c r="AJ291" s="61"/>
      <c r="AK291" s="55" t="str">
        <f>VLOOKUP(D291,'2.Bookinglist'!A:CT,40,FALSE)</f>
        <v>Arunphat W. (Aiw)</v>
      </c>
      <c r="AL291" s="56" t="str">
        <f>VLOOKUP(D291,'2.Bookinglist'!A:CW,101,FALSE)</f>
        <v>2026-10-22</v>
      </c>
      <c r="AM291" s="56" t="str">
        <f>VLOOKUP(D291,'2.Bookinglist'!A:BK,63,FALSE)</f>
        <v>LCH54</v>
      </c>
      <c r="AN291" s="55" t="str">
        <f>VLOOKUP(D291,'2.Bookinglist'!A:AZ,52,FALSE)</f>
        <v>STUFFING CARGO AT TIFFA ICD DD.16-17/10/26 [PAPERLESS CODE 2829]
CLS TIME 19/10/26 @17.00</v>
      </c>
      <c r="AO291" s="55">
        <f>VLOOKUP(D291,'2.Bookinglist'!A:CY,103,FALSE)</f>
        <v>0</v>
      </c>
    </row>
    <row r="292" ht="12.95" customHeight="1" spans="1:41" x14ac:dyDescent="0.25">
      <c r="A292" s="3" t="s">
        <v>364</v>
      </c>
      <c r="B292" s="53" t="str">
        <f>IF(C292=Charge!$M$1,Charge!$J$1,IF(C292=Charge!$M$23,Charge!$J$23,IF(C292=Charge!$M$17,Charge!$J$17,IF(C292=Charge!$N$17,Charge!$J$17,Charge!$J$7))))</f>
        <v>G2</v>
      </c>
      <c r="C292" s="54" t="str">
        <f>VLOOKUP(A292,'1.Loading'!A:R,14,FALSE)</f>
        <v>LCH06</v>
      </c>
      <c r="D292" s="54" t="str">
        <f>VLOOKUP(A292,'1.Loading'!A:R,17,FALSE)</f>
        <v>HASLS22260902617</v>
      </c>
      <c r="E292" s="55" t="str">
        <f>VLOOKUP(D292,'2.Bookinglist'!A:CT,27,FALSE)</f>
        <v>RCL LOGISTICS CO., LTD.</v>
      </c>
      <c r="F292" s="55" t="str">
        <f>VLOOKUP(D292,'2.Bookinglist'!A:CT,28,FALSE)</f>
        <v>SMS CORPORATION CO., LTD.</v>
      </c>
      <c r="G292" s="56" t="str">
        <f>VLOOKUP(D292,'2.Bookinglist'!A:E,5,FALSE)</f>
        <v>THSRP</v>
      </c>
      <c r="H292" s="54" t="str">
        <f>VLOOKUP(D292,'2.Bookinglist'!A:CT,15,FALSE)</f>
        <v>THLCH</v>
      </c>
      <c r="I292" s="54" t="str">
        <f>VLOOKUP(D292,'2.Bookinglist'!A:CT,19,FALSE)</f>
        <v>CNSHA</v>
      </c>
      <c r="J292" s="54">
        <f>VLOOKUP(D292,'2.Bookinglist'!A:CT,26,FALSE)</f>
        <v>0</v>
      </c>
      <c r="K292" s="54" t="str">
        <f>VLOOKUP(A292,'1.Loading'!A:R,5,FALSE)</f>
        <v>22GP</v>
      </c>
      <c r="L292" s="56" t="str">
        <f>VLOOKUP(D292,'2.Bookinglist'!A:CT,85,FALSE)</f>
        <v>CY/CY</v>
      </c>
      <c r="M292" s="56" t="str">
        <f>IF(VLOOKUP(D292,'2.Bookinglist'!A:CT,43,FALSE)=0,"","DG")</f>
        <v/>
      </c>
      <c r="N292" s="56" t="str">
        <f>IF(RIGHT(K292,2)="RE","RF","")</f>
        <v/>
      </c>
      <c r="O292" s="54" t="str">
        <f>VLOOKUP(A292,'1.Loading'!A:R,3,FALSE)</f>
        <v>HMVY</v>
      </c>
      <c r="P292" s="54" t="str">
        <f>VLOOKUP(A292,'1.Loading'!A:R,4,FALSE)</f>
        <v>2609N</v>
      </c>
      <c r="Q292" s="54" t="str">
        <f>VLOOKUP(D292,'2.Bookinglist'!A:CT,12,FALSE)</f>
        <v>PCI2</v>
      </c>
      <c r="R292" s="56" t="str">
        <f>IF(LEFT(K292,2)="22","20'","40'")</f>
        <v>20'</v>
      </c>
      <c r="S292" s="38"/>
      <c r="T292" s="54" t="str">
        <f>VLOOKUP(A292,'1.Loading'!A:R,2,FALSE)</f>
        <v>2026-10-28</v>
      </c>
      <c r="U292" s="57">
        <f>T292-S292</f>
        <v>46323</v>
      </c>
      <c r="V292" s="58"/>
      <c r="W292" s="54" t="str">
        <f>VLOOKUP(A292,'3.GateMove'!A:D,4,FALSE)</f>
        <v>2026-10-23</v>
      </c>
      <c r="X292" s="57">
        <f>((T292-W292)+1)</f>
        <v>6</v>
      </c>
      <c r="Y292" s="59">
        <f>IF(AND(OR(C292="BKK01",C292="BKK04"),L292="CFS/CY"),0,IF(M292="DG",1,IF(LEFT(C292,3)="LCH",7,IF(C292="BKK02",5,3))))</f>
        <v>7</v>
      </c>
      <c r="Z292" s="57">
        <f>IF(IF(AND(AC292="TML",AB292&gt;0),((T292-W292)+1)-AB292,((T292-W292)+1)-Y292)&gt;0,IF(AND(AC292="TML",AB292&gt;0),((T292-W292)+1)-AB292,((T292-W292)+1)-Y292),0)</f>
        <v>0</v>
      </c>
      <c r="AA292" s="48">
        <f>IF(AND(B292="G1",M292=""),IF(R292="20'",
VLOOKUP(Z292,Charge!$K$2:$M$5,2,TRUE)+(Z292-VLOOKUP(Z292,Charge!$K$2:$M$5,1,TRUE))*VLOOKUP(Z292,Charge!$K$2:$M$5,3,TRUE),
VLOOKUP(Z292,Charge!$N$2:$P$5,2,TRUE)+(Z292-VLOOKUP(Z292,Charge!$N$2:$P$5,1,TRUE))*VLOOKUP(Z292,Charge!$N$2:$P$5,3,TRUE)),
IF(AND(B292="G1",M292="DG"),IF(R292="20'",
VLOOKUP(Z292,Charge!$R$2:$T$5,2,TRUE)+(Z292-VLOOKUP(Z292,Charge!$R$2:$T$5,1,TRUE))*VLOOKUP(Z292,Charge!$R$2:$T$5,3,TRUE),
VLOOKUP(Z292,Charge!$U$2:$W$5,2,TRUE)+(Z292-VLOOKUP(Z292,Charge!$U$2:$W$5,1,TRUE))*VLOOKUP(Z292,Charge!$U$2:$W$5,3,TRUE)),
IF(AND(B292="G3",M292=""),IF(R292="20'",
VLOOKUP(Z292,Charge!$K$18:$M$21,2,TRUE)+(Z292-VLOOKUP(Z292,Charge!$K$18:$M$21,1,TRUE))*VLOOKUP(Z292,Charge!$K$18:$M$21,3,TRUE),
VLOOKUP(Z292,Charge!$N$18:$P$21,2,TRUE)+(Z292-VLOOKUP(Z292,Charge!$N$18:$P$21,1,TRUE))*VLOOKUP(Z292,Charge!$N$18:$P$21,3,TRUE)),
IF(AND(B292="G3",M292="DG"),IF(R292="20'",
VLOOKUP(Z292,Charge!$R$18:$T$21,2,TRUE)+(Z292-VLOOKUP(Z292,Charge!$R$18:$T$21,1,TRUE))*VLOOKUP(Z292,Charge!$R$18:$T$21,3,TRUE),
VLOOKUP(Z292,Charge!$U$18:$W$21,2,TRUE)+(Z292-VLOOKUP(Z292,Charge!$U$18:$W$21,1,TRUE))*VLOOKUP(Z292,Charge!$U$18:$W$21,3,TRUE)),
IF(AND(B292="G2",M292=""),IF(R292="20'",
VLOOKUP(Z292,Charge!$K$9:$M$12,2,TRUE)+(Z292-VLOOKUP(Z292,Charge!$K$9:$M$12,1,TRUE))*VLOOKUP(Z292,Charge!$K$9:$M$12,3,TRUE),
VLOOKUP(Z292,Charge!$N$9:$P$12,2,TRUE)+(Z292-VLOOKUP(Z292,Charge!$N$9:$P$12,1,TRUE))*VLOOKUP(Z292,Charge!$N$9:$P$12,3,TRUE)),
IF(AND(B292="G2",M292="DG"),IF(R292="20'",
VLOOKUP(Z292,Charge!$R$9:$T$12,2,TRUE)+(Z292-VLOOKUP(Z292,Charge!$R$9:$T$12,1,TRUE))*VLOOKUP(Z292,Charge!$R$9:$T$12,3,TRUE),
VLOOKUP(Z292,Charge!$U$9:$W$12,2,TRUE)+(Z292-VLOOKUP(Z292,Charge!$U$9:$W$12,1,TRUE))*VLOOKUP(Z292,Charge!$U$9:$W$12,3,TRUE)),IF(AND(B292="G4",M292=""),IF(R292="20'",Z292*Charge!$M$25,Z292*Charge!$P$25),IF(AND(B292="G4",M292="DG"),IF(R292="20'",Z292*Charge!$T$25,Z292*Charge!$W$25),0))))))))</f>
        <v>0</v>
      </c>
      <c r="AB292" s="53"/>
      <c r="AC292" s="53"/>
      <c r="AD292" s="56">
        <f>IF(M292="DG",3,IF(N292="RF",3,5))+IF(AND(LEFT(C292,3)="BKK",N292="RF",Q292="KTS"),1,0)+IF(Q292="KHS",1,0)</f>
        <v>5</v>
      </c>
      <c r="AE292" s="57">
        <f>(T292-V292)+1</f>
        <v>46324</v>
      </c>
      <c r="AF292" s="57">
        <f>IF(AB292&gt;IF((V292-W292)&gt;0,V292-W292,0),0,IF(AB292&lt;IF((V292-W292)&gt;0,V292-W292,0),IF((V292-W292)&gt;0,V292-W292,0)-AB292,IF((V292-W292)&gt;0,V292-W292,0)))</f>
        <v>0</v>
      </c>
      <c r="AG292" s="48">
        <f>IF(AND(M292=""),IF(R292="20'",
VLOOKUP(AF292,Charge!$K$31:$M$34,2,TRUE)+(AF292-VLOOKUP(AF292,Charge!$K$31:$M$34,1,TRUE))*VLOOKUP(AF292,Charge!$K$31:$M$34,3,TRUE),
VLOOKUP(AF292,Charge!$N$31:$P$34,2,TRUE)+(AF292-VLOOKUP(AF292,Charge!$N$31:$P$34,1,TRUE))*VLOOKUP(AF292,Charge!$N$31:$P$34,3,TRUE)),
IF(AND(M292="DG"),IF(R292="20'",
VLOOKUP(AF292,Charge!$R$31:$T$34,2,TRUE)+(AF292-VLOOKUP(AF292,Charge!$R$31:$T$34,1,TRUE))*VLOOKUP(AF292,Charge!$R$31:$T$34,3,TRUE),
VLOOKUP(AF292,Charge!$U$31:$W$34,2,TRUE)+(AF292-VLOOKUP(AF292,Charge!$U$31:$W$34,1,TRUE))*VLOOKUP(AF292,Charge!$U$31:$W$34,3,TRUE)),0))</f>
        <v>0</v>
      </c>
      <c r="AH292" s="60"/>
      <c r="AI292" s="60">
        <f>AA292-AH292</f>
        <v>0</v>
      </c>
      <c r="AJ292" s="61"/>
      <c r="AK292" s="55" t="str">
        <f>VLOOKUP(D292,'2.Bookinglist'!A:CT,40,FALSE)</f>
        <v>Pattarapong Saengthong</v>
      </c>
      <c r="AL292" s="56" t="str">
        <f>VLOOKUP(D292,'2.Bookinglist'!A:CW,101,FALSE)</f>
        <v>2026-10-20</v>
      </c>
      <c r="AM292" s="56" t="str">
        <f>VLOOKUP(D292,'2.Bookinglist'!A:BK,63,FALSE)</f>
        <v>BKK27</v>
      </c>
      <c r="AN292" s="55" t="str">
        <f>VLOOKUP(D292,'2.Bookinglist'!A:AZ,52,FALSE)</f>
        <v>Pickup : 2026-10-12, Return SRP : 2026-10-15 [PAPERLESS CODE 2829]
CLS TIME 17/10/26 @10.00</v>
      </c>
      <c r="AO292" s="55">
        <f>VLOOKUP(D292,'2.Bookinglist'!A:CY,103,FALSE)</f>
        <v>0</v>
      </c>
    </row>
    <row r="293" ht="12.95" customHeight="1" spans="1:41" x14ac:dyDescent="0.25">
      <c r="A293" s="3" t="s">
        <v>421</v>
      </c>
      <c r="B293" s="53" t="str">
        <f>IF(C293=Charge!$M$1,Charge!$J$1,IF(C293=Charge!$M$23,Charge!$J$23,IF(C293=Charge!$M$17,Charge!$J$17,IF(C293=Charge!$N$17,Charge!$J$17,Charge!$J$7))))</f>
        <v>G2</v>
      </c>
      <c r="C293" s="54" t="str">
        <f>VLOOKUP(A293,'1.Loading'!A:R,14,FALSE)</f>
        <v>LCH06</v>
      </c>
      <c r="D293" s="54" t="str">
        <f>VLOOKUP(A293,'1.Loading'!A:R,17,FALSE)</f>
        <v>HASLS22261000756</v>
      </c>
      <c r="E293" s="55" t="str">
        <f>VLOOKUP(D293,'2.Bookinglist'!A:CT,27,FALSE)</f>
        <v>TOP INTER FREIGHT CO., LTD.</v>
      </c>
      <c r="F293" s="55" t="str">
        <f>VLOOKUP(D293,'2.Bookinglist'!A:CT,28,FALSE)</f>
        <v>TOP PREMIUM STARCH CO., LTD.</v>
      </c>
      <c r="G293" s="56" t="str">
        <f>VLOOKUP(D293,'2.Bookinglist'!A:E,5,FALSE)</f>
        <v>THLKR</v>
      </c>
      <c r="H293" s="54" t="str">
        <f>VLOOKUP(D293,'2.Bookinglist'!A:CT,15,FALSE)</f>
        <v>THLCH</v>
      </c>
      <c r="I293" s="54" t="str">
        <f>VLOOKUP(D293,'2.Bookinglist'!A:CT,19,FALSE)</f>
        <v>CNSHA</v>
      </c>
      <c r="J293" s="54">
        <f>VLOOKUP(D293,'2.Bookinglist'!A:CT,26,FALSE)</f>
        <v>0</v>
      </c>
      <c r="K293" s="54" t="str">
        <f>VLOOKUP(A293,'1.Loading'!A:R,5,FALSE)</f>
        <v>22GP</v>
      </c>
      <c r="L293" s="56" t="str">
        <f>VLOOKUP(D293,'2.Bookinglist'!A:CT,85,FALSE)</f>
        <v>CFS/CY</v>
      </c>
      <c r="M293" s="56" t="str">
        <f>IF(VLOOKUP(D293,'2.Bookinglist'!A:CT,43,FALSE)=0,"","DG")</f>
        <v/>
      </c>
      <c r="N293" s="56" t="str">
        <f>IF(RIGHT(K293,2)="RE","RF","")</f>
        <v/>
      </c>
      <c r="O293" s="54" t="str">
        <f>VLOOKUP(A293,'1.Loading'!A:R,3,FALSE)</f>
        <v>HMVY</v>
      </c>
      <c r="P293" s="54" t="str">
        <f>VLOOKUP(A293,'1.Loading'!A:R,4,FALSE)</f>
        <v>2609N</v>
      </c>
      <c r="Q293" s="54" t="str">
        <f>VLOOKUP(D293,'2.Bookinglist'!A:CT,12,FALSE)</f>
        <v>PCI2</v>
      </c>
      <c r="R293" s="56" t="str">
        <f>IF(LEFT(K293,2)="22","20'","40'")</f>
        <v>20'</v>
      </c>
      <c r="S293" s="38"/>
      <c r="T293" s="54" t="str">
        <f>VLOOKUP(A293,'1.Loading'!A:R,2,FALSE)</f>
        <v>2026-10-28</v>
      </c>
      <c r="U293" s="57">
        <f>T293-S293</f>
        <v>46323</v>
      </c>
      <c r="V293" s="58"/>
      <c r="W293" s="54" t="str">
        <f>VLOOKUP(A293,'3.GateMove'!A:D,4,FALSE)</f>
        <v>2026-10-21</v>
      </c>
      <c r="X293" s="57">
        <f>((T293-W293)+1)</f>
        <v>8</v>
      </c>
      <c r="Y293" s="59">
        <f>IF(AND(OR(C293="BKK01",C293="BKK04"),L293="CFS/CY"),0,IF(M293="DG",1,IF(LEFT(C293,3)="LCH",7,IF(C293="BKK02",5,3))))</f>
        <v>7</v>
      </c>
      <c r="Z293" s="57">
        <f>IF(IF(AND(AC293="TML",AB293&gt;0),((T293-W293)+1)-AB293,((T293-W293)+1)-Y293)&gt;0,IF(AND(AC293="TML",AB293&gt;0),((T293-W293)+1)-AB293,((T293-W293)+1)-Y293),0)</f>
        <v>1</v>
      </c>
      <c r="AA293" s="48">
        <f>IF(AND(B293="G1",M293=""),IF(R293="20'",
VLOOKUP(Z293,Charge!$K$2:$M$5,2,TRUE)+(Z293-VLOOKUP(Z293,Charge!$K$2:$M$5,1,TRUE))*VLOOKUP(Z293,Charge!$K$2:$M$5,3,TRUE),
VLOOKUP(Z293,Charge!$N$2:$P$5,2,TRUE)+(Z293-VLOOKUP(Z293,Charge!$N$2:$P$5,1,TRUE))*VLOOKUP(Z293,Charge!$N$2:$P$5,3,TRUE)),
IF(AND(B293="G1",M293="DG"),IF(R293="20'",
VLOOKUP(Z293,Charge!$R$2:$T$5,2,TRUE)+(Z293-VLOOKUP(Z293,Charge!$R$2:$T$5,1,TRUE))*VLOOKUP(Z293,Charge!$R$2:$T$5,3,TRUE),
VLOOKUP(Z293,Charge!$U$2:$W$5,2,TRUE)+(Z293-VLOOKUP(Z293,Charge!$U$2:$W$5,1,TRUE))*VLOOKUP(Z293,Charge!$U$2:$W$5,3,TRUE)),
IF(AND(B293="G3",M293=""),IF(R293="20'",
VLOOKUP(Z293,Charge!$K$18:$M$21,2,TRUE)+(Z293-VLOOKUP(Z293,Charge!$K$18:$M$21,1,TRUE))*VLOOKUP(Z293,Charge!$K$18:$M$21,3,TRUE),
VLOOKUP(Z293,Charge!$N$18:$P$21,2,TRUE)+(Z293-VLOOKUP(Z293,Charge!$N$18:$P$21,1,TRUE))*VLOOKUP(Z293,Charge!$N$18:$P$21,3,TRUE)),
IF(AND(B293="G3",M293="DG"),IF(R293="20'",
VLOOKUP(Z293,Charge!$R$18:$T$21,2,TRUE)+(Z293-VLOOKUP(Z293,Charge!$R$18:$T$21,1,TRUE))*VLOOKUP(Z293,Charge!$R$18:$T$21,3,TRUE),
VLOOKUP(Z293,Charge!$U$18:$W$21,2,TRUE)+(Z293-VLOOKUP(Z293,Charge!$U$18:$W$21,1,TRUE))*VLOOKUP(Z293,Charge!$U$18:$W$21,3,TRUE)),
IF(AND(B293="G2",M293=""),IF(R293="20'",
VLOOKUP(Z293,Charge!$K$9:$M$12,2,TRUE)+(Z293-VLOOKUP(Z293,Charge!$K$9:$M$12,1,TRUE))*VLOOKUP(Z293,Charge!$K$9:$M$12,3,TRUE),
VLOOKUP(Z293,Charge!$N$9:$P$12,2,TRUE)+(Z293-VLOOKUP(Z293,Charge!$N$9:$P$12,1,TRUE))*VLOOKUP(Z293,Charge!$N$9:$P$12,3,TRUE)),
IF(AND(B293="G2",M293="DG"),IF(R293="20'",
VLOOKUP(Z293,Charge!$R$9:$T$12,2,TRUE)+(Z293-VLOOKUP(Z293,Charge!$R$9:$T$12,1,TRUE))*VLOOKUP(Z293,Charge!$R$9:$T$12,3,TRUE),
VLOOKUP(Z293,Charge!$U$9:$W$12,2,TRUE)+(Z293-VLOOKUP(Z293,Charge!$U$9:$W$12,1,TRUE))*VLOOKUP(Z293,Charge!$U$9:$W$12,3,TRUE)),IF(AND(B293="G4",M293=""),IF(R293="20'",Z293*Charge!$M$25,Z293*Charge!$P$25),IF(AND(B293="G4",M293="DG"),IF(R293="20'",Z293*Charge!$T$25,Z293*Charge!$W$25),0))))))))</f>
        <v>125</v>
      </c>
      <c r="AB293" s="53"/>
      <c r="AC293" s="53"/>
      <c r="AD293" s="56">
        <f>IF(M293="DG",3,IF(N293="RF",3,5))+IF(AND(LEFT(C293,3)="BKK",N293="RF",Q293="KTS"),1,0)+IF(Q293="KHS",1,0)</f>
        <v>5</v>
      </c>
      <c r="AE293" s="57">
        <f>(T293-V293)+1</f>
        <v>46324</v>
      </c>
      <c r="AF293" s="57">
        <f>IF(AB293&gt;IF((V293-W293)&gt;0,V293-W293,0),0,IF(AB293&lt;IF((V293-W293)&gt;0,V293-W293,0),IF((V293-W293)&gt;0,V293-W293,0)-AB293,IF((V293-W293)&gt;0,V293-W293,0)))</f>
        <v>0</v>
      </c>
      <c r="AG293" s="48">
        <f>IF(AND(M293=""),IF(R293="20'",
VLOOKUP(AF293,Charge!$K$31:$M$34,2,TRUE)+(AF293-VLOOKUP(AF293,Charge!$K$31:$M$34,1,TRUE))*VLOOKUP(AF293,Charge!$K$31:$M$34,3,TRUE),
VLOOKUP(AF293,Charge!$N$31:$P$34,2,TRUE)+(AF293-VLOOKUP(AF293,Charge!$N$31:$P$34,1,TRUE))*VLOOKUP(AF293,Charge!$N$31:$P$34,3,TRUE)),
IF(AND(M293="DG"),IF(R293="20'",
VLOOKUP(AF293,Charge!$R$31:$T$34,2,TRUE)+(AF293-VLOOKUP(AF293,Charge!$R$31:$T$34,1,TRUE))*VLOOKUP(AF293,Charge!$R$31:$T$34,3,TRUE),
VLOOKUP(AF293,Charge!$U$31:$W$34,2,TRUE)+(AF293-VLOOKUP(AF293,Charge!$U$31:$W$34,1,TRUE))*VLOOKUP(AF293,Charge!$U$31:$W$34,3,TRUE)),0))</f>
        <v>0</v>
      </c>
      <c r="AH293" s="60"/>
      <c r="AI293" s="60">
        <f>AA293-AH293</f>
        <v>125</v>
      </c>
      <c r="AJ293" s="61"/>
      <c r="AK293" s="55" t="str">
        <f>VLOOKUP(D293,'2.Bookinglist'!A:CT,40,FALSE)</f>
        <v>Arunphat W. (Aiw)</v>
      </c>
      <c r="AL293" s="56" t="str">
        <f>VLOOKUP(D293,'2.Bookinglist'!A:CW,101,FALSE)</f>
        <v>2026-10-22</v>
      </c>
      <c r="AM293" s="56" t="str">
        <f>VLOOKUP(D293,'2.Bookinglist'!A:BK,63,FALSE)</f>
        <v>LCH54</v>
      </c>
      <c r="AN293" s="55" t="str">
        <f>VLOOKUP(D293,'2.Bookinglist'!A:AZ,52,FALSE)</f>
        <v>STUFFING CARGO AT TIFFA ICD DD.16-17/10/26 [PAPERLESS CODE 2829]
CLS TIME 19/10/26 @17.00</v>
      </c>
      <c r="AO293" s="55">
        <f>VLOOKUP(D293,'2.Bookinglist'!A:CY,103,FALSE)</f>
        <v>0</v>
      </c>
    </row>
    <row r="294" ht="12.95" customHeight="1" spans="1:41" x14ac:dyDescent="0.25">
      <c r="A294" s="3" t="s">
        <v>380</v>
      </c>
      <c r="B294" s="53" t="str">
        <f>IF(C294=Charge!$M$1,Charge!$J$1,IF(C294=Charge!$M$23,Charge!$J$23,IF(C294=Charge!$M$17,Charge!$J$17,IF(C294=Charge!$N$17,Charge!$J$17,Charge!$J$7))))</f>
        <v>G2</v>
      </c>
      <c r="C294" s="54" t="str">
        <f>VLOOKUP(A294,'1.Loading'!A:R,14,FALSE)</f>
        <v>LCH06</v>
      </c>
      <c r="D294" s="54" t="str">
        <f>VLOOKUP(A294,'1.Loading'!A:R,17,FALSE)</f>
        <v>HASLS22260902113</v>
      </c>
      <c r="E294" s="55" t="str">
        <f>VLOOKUP(D294,'2.Bookinglist'!A:CT,27,FALSE)</f>
        <v>PRIME LOGISTICS INTERNATIONAL CO., LTD.</v>
      </c>
      <c r="F294" s="55" t="str">
        <f>VLOOKUP(D294,'2.Bookinglist'!A:CT,28,FALSE)</f>
        <v>SIAM TOHCELLO COMPANY LIMITED</v>
      </c>
      <c r="G294" s="56">
        <f>VLOOKUP(D294,'2.Bookinglist'!A:E,5,FALSE)</f>
        <v>0</v>
      </c>
      <c r="H294" s="54" t="str">
        <f>VLOOKUP(D294,'2.Bookinglist'!A:CT,15,FALSE)</f>
        <v>THLCH</v>
      </c>
      <c r="I294" s="54" t="str">
        <f>VLOOKUP(D294,'2.Bookinglist'!A:CT,19,FALSE)</f>
        <v>CNSHA</v>
      </c>
      <c r="J294" s="54">
        <f>VLOOKUP(D294,'2.Bookinglist'!A:CT,26,FALSE)</f>
        <v>0</v>
      </c>
      <c r="K294" s="54" t="str">
        <f>VLOOKUP(A294,'1.Loading'!A:R,5,FALSE)</f>
        <v>22GP</v>
      </c>
      <c r="L294" s="56" t="str">
        <f>VLOOKUP(D294,'2.Bookinglist'!A:CT,85,FALSE)</f>
        <v>CY/CY</v>
      </c>
      <c r="M294" s="56" t="str">
        <f>IF(VLOOKUP(D294,'2.Bookinglist'!A:CT,43,FALSE)=0,"","DG")</f>
        <v/>
      </c>
      <c r="N294" s="56" t="str">
        <f>IF(RIGHT(K294,2)="RE","RF","")</f>
        <v/>
      </c>
      <c r="O294" s="54" t="str">
        <f>VLOOKUP(A294,'1.Loading'!A:R,3,FALSE)</f>
        <v>HMVY</v>
      </c>
      <c r="P294" s="54" t="str">
        <f>VLOOKUP(A294,'1.Loading'!A:R,4,FALSE)</f>
        <v>2609N</v>
      </c>
      <c r="Q294" s="54" t="str">
        <f>VLOOKUP(D294,'2.Bookinglist'!A:CT,12,FALSE)</f>
        <v>PCI2</v>
      </c>
      <c r="R294" s="56" t="str">
        <f>IF(LEFT(K294,2)="22","20'","40'")</f>
        <v>20'</v>
      </c>
      <c r="S294" s="38"/>
      <c r="T294" s="54" t="str">
        <f>VLOOKUP(A294,'1.Loading'!A:R,2,FALSE)</f>
        <v>2026-10-28</v>
      </c>
      <c r="U294" s="57">
        <f>T294-S294</f>
        <v>46323</v>
      </c>
      <c r="V294" s="58"/>
      <c r="W294" s="54" t="str">
        <f>VLOOKUP(A294,'3.GateMove'!A:D,4,FALSE)</f>
        <v>2026-10-19</v>
      </c>
      <c r="X294" s="57">
        <f>((T294-W294)+1)</f>
        <v>10</v>
      </c>
      <c r="Y294" s="59">
        <f>IF(AND(OR(C294="BKK01",C294="BKK04"),L294="CFS/CY"),0,IF(M294="DG",1,IF(LEFT(C294,3)="LCH",7,IF(C294="BKK02",5,3))))</f>
        <v>7</v>
      </c>
      <c r="Z294" s="57">
        <f>IF(IF(AND(AC294="TML",AB294&gt;0),((T294-W294)+1)-AB294,((T294-W294)+1)-Y294)&gt;0,IF(AND(AC294="TML",AB294&gt;0),((T294-W294)+1)-AB294,((T294-W294)+1)-Y294),0)</f>
        <v>3</v>
      </c>
      <c r="AA294" s="48">
        <f>IF(AND(B294="G1",M294=""),IF(R294="20'",
VLOOKUP(Z294,Charge!$K$2:$M$5,2,TRUE)+(Z294-VLOOKUP(Z294,Charge!$K$2:$M$5,1,TRUE))*VLOOKUP(Z294,Charge!$K$2:$M$5,3,TRUE),
VLOOKUP(Z294,Charge!$N$2:$P$5,2,TRUE)+(Z294-VLOOKUP(Z294,Charge!$N$2:$P$5,1,TRUE))*VLOOKUP(Z294,Charge!$N$2:$P$5,3,TRUE)),
IF(AND(B294="G1",M294="DG"),IF(R294="20'",
VLOOKUP(Z294,Charge!$R$2:$T$5,2,TRUE)+(Z294-VLOOKUP(Z294,Charge!$R$2:$T$5,1,TRUE))*VLOOKUP(Z294,Charge!$R$2:$T$5,3,TRUE),
VLOOKUP(Z294,Charge!$U$2:$W$5,2,TRUE)+(Z294-VLOOKUP(Z294,Charge!$U$2:$W$5,1,TRUE))*VLOOKUP(Z294,Charge!$U$2:$W$5,3,TRUE)),
IF(AND(B294="G3",M294=""),IF(R294="20'",
VLOOKUP(Z294,Charge!$K$18:$M$21,2,TRUE)+(Z294-VLOOKUP(Z294,Charge!$K$18:$M$21,1,TRUE))*VLOOKUP(Z294,Charge!$K$18:$M$21,3,TRUE),
VLOOKUP(Z294,Charge!$N$18:$P$21,2,TRUE)+(Z294-VLOOKUP(Z294,Charge!$N$18:$P$21,1,TRUE))*VLOOKUP(Z294,Charge!$N$18:$P$21,3,TRUE)),
IF(AND(B294="G3",M294="DG"),IF(R294="20'",
VLOOKUP(Z294,Charge!$R$18:$T$21,2,TRUE)+(Z294-VLOOKUP(Z294,Charge!$R$18:$T$21,1,TRUE))*VLOOKUP(Z294,Charge!$R$18:$T$21,3,TRUE),
VLOOKUP(Z294,Charge!$U$18:$W$21,2,TRUE)+(Z294-VLOOKUP(Z294,Charge!$U$18:$W$21,1,TRUE))*VLOOKUP(Z294,Charge!$U$18:$W$21,3,TRUE)),
IF(AND(B294="G2",M294=""),IF(R294="20'",
VLOOKUP(Z294,Charge!$K$9:$M$12,2,TRUE)+(Z294-VLOOKUP(Z294,Charge!$K$9:$M$12,1,TRUE))*VLOOKUP(Z294,Charge!$K$9:$M$12,3,TRUE),
VLOOKUP(Z294,Charge!$N$9:$P$12,2,TRUE)+(Z294-VLOOKUP(Z294,Charge!$N$9:$P$12,1,TRUE))*VLOOKUP(Z294,Charge!$N$9:$P$12,3,TRUE)),
IF(AND(B294="G2",M294="DG"),IF(R294="20'",
VLOOKUP(Z294,Charge!$R$9:$T$12,2,TRUE)+(Z294-VLOOKUP(Z294,Charge!$R$9:$T$12,1,TRUE))*VLOOKUP(Z294,Charge!$R$9:$T$12,3,TRUE),
VLOOKUP(Z294,Charge!$U$9:$W$12,2,TRUE)+(Z294-VLOOKUP(Z294,Charge!$U$9:$W$12,1,TRUE))*VLOOKUP(Z294,Charge!$U$9:$W$12,3,TRUE)),IF(AND(B294="G4",M294=""),IF(R294="20'",Z294*Charge!$M$25,Z294*Charge!$P$25),IF(AND(B294="G4",M294="DG"),IF(R294="20'",Z294*Charge!$T$25,Z294*Charge!$W$25),0))))))))</f>
        <v>375</v>
      </c>
      <c r="AB294" s="53"/>
      <c r="AC294" s="53"/>
      <c r="AD294" s="56">
        <f>IF(M294="DG",3,IF(N294="RF",3,5))+IF(AND(LEFT(C294,3)="BKK",N294="RF",Q294="KTS"),1,0)+IF(Q294="KHS",1,0)</f>
        <v>5</v>
      </c>
      <c r="AE294" s="57">
        <f>(T294-V294)+1</f>
        <v>46324</v>
      </c>
      <c r="AF294" s="57">
        <f>IF(AB294&gt;IF((V294-W294)&gt;0,V294-W294,0),0,IF(AB294&lt;IF((V294-W294)&gt;0,V294-W294,0),IF((V294-W294)&gt;0,V294-W294,0)-AB294,IF((V294-W294)&gt;0,V294-W294,0)))</f>
        <v>0</v>
      </c>
      <c r="AG294" s="48">
        <f>IF(AND(M294=""),IF(R294="20'",
VLOOKUP(AF294,Charge!$K$31:$M$34,2,TRUE)+(AF294-VLOOKUP(AF294,Charge!$K$31:$M$34,1,TRUE))*VLOOKUP(AF294,Charge!$K$31:$M$34,3,TRUE),
VLOOKUP(AF294,Charge!$N$31:$P$34,2,TRUE)+(AF294-VLOOKUP(AF294,Charge!$N$31:$P$34,1,TRUE))*VLOOKUP(AF294,Charge!$N$31:$P$34,3,TRUE)),
IF(AND(M294="DG"),IF(R294="20'",
VLOOKUP(AF294,Charge!$R$31:$T$34,2,TRUE)+(AF294-VLOOKUP(AF294,Charge!$R$31:$T$34,1,TRUE))*VLOOKUP(AF294,Charge!$R$31:$T$34,3,TRUE),
VLOOKUP(AF294,Charge!$U$31:$W$34,2,TRUE)+(AF294-VLOOKUP(AF294,Charge!$U$31:$W$34,1,TRUE))*VLOOKUP(AF294,Charge!$U$31:$W$34,3,TRUE)),0))</f>
        <v>0</v>
      </c>
      <c r="AH294" s="60"/>
      <c r="AI294" s="60">
        <f>AA294-AH294</f>
        <v>375</v>
      </c>
      <c r="AJ294" s="61"/>
      <c r="AK294" s="55" t="str">
        <f>VLOOKUP(D294,'2.Bookinglist'!A:CT,40,FALSE)</f>
        <v>Nannaapust Sukporntaweewat</v>
      </c>
      <c r="AL294" s="56" t="str">
        <f>VLOOKUP(D294,'2.Bookinglist'!A:CW,101,FALSE)</f>
        <v>2026-10-18</v>
      </c>
      <c r="AM294" s="56" t="str">
        <f>VLOOKUP(D294,'2.Bookinglist'!A:BK,63,FALSE)</f>
        <v>LCH27</v>
      </c>
      <c r="AN294" s="55" t="str">
        <f>VLOOKUP(D294,'2.Bookinglist'!A:AZ,52,FALSE)</f>
        <v>Pickup : 2026-10-17, Return : 2026-10-19</v>
      </c>
      <c r="AO294" s="55">
        <f>VLOOKUP(D294,'2.Bookinglist'!A:CY,103,FALSE)</f>
        <v>0</v>
      </c>
    </row>
    <row r="295" ht="12.95" customHeight="1" spans="1:41" x14ac:dyDescent="0.25">
      <c r="A295" s="3" t="s">
        <v>422</v>
      </c>
      <c r="B295" s="53" t="str">
        <f>IF(C295=Charge!$M$1,Charge!$J$1,IF(C295=Charge!$M$23,Charge!$J$23,IF(C295=Charge!$M$17,Charge!$J$17,IF(C295=Charge!$N$17,Charge!$J$17,Charge!$J$7))))</f>
        <v>G2</v>
      </c>
      <c r="C295" s="54" t="str">
        <f>VLOOKUP(A295,'1.Loading'!A:R,14,FALSE)</f>
        <v>LCH06</v>
      </c>
      <c r="D295" s="54" t="str">
        <f>VLOOKUP(A295,'1.Loading'!A:R,17,FALSE)</f>
        <v>HASLS22261000756</v>
      </c>
      <c r="E295" s="55" t="str">
        <f>VLOOKUP(D295,'2.Bookinglist'!A:CT,27,FALSE)</f>
        <v>TOP INTER FREIGHT CO., LTD.</v>
      </c>
      <c r="F295" s="55" t="str">
        <f>VLOOKUP(D295,'2.Bookinglist'!A:CT,28,FALSE)</f>
        <v>TOP PREMIUM STARCH CO., LTD.</v>
      </c>
      <c r="G295" s="56" t="str">
        <f>VLOOKUP(D295,'2.Bookinglist'!A:E,5,FALSE)</f>
        <v>THLKR</v>
      </c>
      <c r="H295" s="54" t="str">
        <f>VLOOKUP(D295,'2.Bookinglist'!A:CT,15,FALSE)</f>
        <v>THLCH</v>
      </c>
      <c r="I295" s="54" t="str">
        <f>VLOOKUP(D295,'2.Bookinglist'!A:CT,19,FALSE)</f>
        <v>CNSHA</v>
      </c>
      <c r="J295" s="54">
        <f>VLOOKUP(D295,'2.Bookinglist'!A:CT,26,FALSE)</f>
        <v>0</v>
      </c>
      <c r="K295" s="54" t="str">
        <f>VLOOKUP(A295,'1.Loading'!A:R,5,FALSE)</f>
        <v>22GP</v>
      </c>
      <c r="L295" s="56" t="str">
        <f>VLOOKUP(D295,'2.Bookinglist'!A:CT,85,FALSE)</f>
        <v>CFS/CY</v>
      </c>
      <c r="M295" s="56" t="str">
        <f>IF(VLOOKUP(D295,'2.Bookinglist'!A:CT,43,FALSE)=0,"","DG")</f>
        <v/>
      </c>
      <c r="N295" s="56" t="str">
        <f>IF(RIGHT(K295,2)="RE","RF","")</f>
        <v/>
      </c>
      <c r="O295" s="54" t="str">
        <f>VLOOKUP(A295,'1.Loading'!A:R,3,FALSE)</f>
        <v>HMVY</v>
      </c>
      <c r="P295" s="54" t="str">
        <f>VLOOKUP(A295,'1.Loading'!A:R,4,FALSE)</f>
        <v>2609N</v>
      </c>
      <c r="Q295" s="54" t="str">
        <f>VLOOKUP(D295,'2.Bookinglist'!A:CT,12,FALSE)</f>
        <v>PCI2</v>
      </c>
      <c r="R295" s="56" t="str">
        <f>IF(LEFT(K295,2)="22","20'","40'")</f>
        <v>20'</v>
      </c>
      <c r="S295" s="38"/>
      <c r="T295" s="54" t="str">
        <f>VLOOKUP(A295,'1.Loading'!A:R,2,FALSE)</f>
        <v>2026-10-28</v>
      </c>
      <c r="U295" s="57">
        <f>T295-S295</f>
        <v>46323</v>
      </c>
      <c r="V295" s="58"/>
      <c r="W295" s="54" t="str">
        <f>VLOOKUP(A295,'3.GateMove'!A:D,4,FALSE)</f>
        <v>2026-10-20</v>
      </c>
      <c r="X295" s="57">
        <f>((T295-W295)+1)</f>
        <v>9</v>
      </c>
      <c r="Y295" s="59">
        <f>IF(AND(OR(C295="BKK01",C295="BKK04"),L295="CFS/CY"),0,IF(M295="DG",1,IF(LEFT(C295,3)="LCH",7,IF(C295="BKK02",5,3))))</f>
        <v>7</v>
      </c>
      <c r="Z295" s="57">
        <f>IF(IF(AND(AC295="TML",AB295&gt;0),((T295-W295)+1)-AB295,((T295-W295)+1)-Y295)&gt;0,IF(AND(AC295="TML",AB295&gt;0),((T295-W295)+1)-AB295,((T295-W295)+1)-Y295),0)</f>
        <v>2</v>
      </c>
      <c r="AA295" s="48">
        <f>IF(AND(B295="G1",M295=""),IF(R295="20'",
VLOOKUP(Z295,Charge!$K$2:$M$5,2,TRUE)+(Z295-VLOOKUP(Z295,Charge!$K$2:$M$5,1,TRUE))*VLOOKUP(Z295,Charge!$K$2:$M$5,3,TRUE),
VLOOKUP(Z295,Charge!$N$2:$P$5,2,TRUE)+(Z295-VLOOKUP(Z295,Charge!$N$2:$P$5,1,TRUE))*VLOOKUP(Z295,Charge!$N$2:$P$5,3,TRUE)),
IF(AND(B295="G1",M295="DG"),IF(R295="20'",
VLOOKUP(Z295,Charge!$R$2:$T$5,2,TRUE)+(Z295-VLOOKUP(Z295,Charge!$R$2:$T$5,1,TRUE))*VLOOKUP(Z295,Charge!$R$2:$T$5,3,TRUE),
VLOOKUP(Z295,Charge!$U$2:$W$5,2,TRUE)+(Z295-VLOOKUP(Z295,Charge!$U$2:$W$5,1,TRUE))*VLOOKUP(Z295,Charge!$U$2:$W$5,3,TRUE)),
IF(AND(B295="G3",M295=""),IF(R295="20'",
VLOOKUP(Z295,Charge!$K$18:$M$21,2,TRUE)+(Z295-VLOOKUP(Z295,Charge!$K$18:$M$21,1,TRUE))*VLOOKUP(Z295,Charge!$K$18:$M$21,3,TRUE),
VLOOKUP(Z295,Charge!$N$18:$P$21,2,TRUE)+(Z295-VLOOKUP(Z295,Charge!$N$18:$P$21,1,TRUE))*VLOOKUP(Z295,Charge!$N$18:$P$21,3,TRUE)),
IF(AND(B295="G3",M295="DG"),IF(R295="20'",
VLOOKUP(Z295,Charge!$R$18:$T$21,2,TRUE)+(Z295-VLOOKUP(Z295,Charge!$R$18:$T$21,1,TRUE))*VLOOKUP(Z295,Charge!$R$18:$T$21,3,TRUE),
VLOOKUP(Z295,Charge!$U$18:$W$21,2,TRUE)+(Z295-VLOOKUP(Z295,Charge!$U$18:$W$21,1,TRUE))*VLOOKUP(Z295,Charge!$U$18:$W$21,3,TRUE)),
IF(AND(B295="G2",M295=""),IF(R295="20'",
VLOOKUP(Z295,Charge!$K$9:$M$12,2,TRUE)+(Z295-VLOOKUP(Z295,Charge!$K$9:$M$12,1,TRUE))*VLOOKUP(Z295,Charge!$K$9:$M$12,3,TRUE),
VLOOKUP(Z295,Charge!$N$9:$P$12,2,TRUE)+(Z295-VLOOKUP(Z295,Charge!$N$9:$P$12,1,TRUE))*VLOOKUP(Z295,Charge!$N$9:$P$12,3,TRUE)),
IF(AND(B295="G2",M295="DG"),IF(R295="20'",
VLOOKUP(Z295,Charge!$R$9:$T$12,2,TRUE)+(Z295-VLOOKUP(Z295,Charge!$R$9:$T$12,1,TRUE))*VLOOKUP(Z295,Charge!$R$9:$T$12,3,TRUE),
VLOOKUP(Z295,Charge!$U$9:$W$12,2,TRUE)+(Z295-VLOOKUP(Z295,Charge!$U$9:$W$12,1,TRUE))*VLOOKUP(Z295,Charge!$U$9:$W$12,3,TRUE)),IF(AND(B295="G4",M295=""),IF(R295="20'",Z295*Charge!$M$25,Z295*Charge!$P$25),IF(AND(B295="G4",M295="DG"),IF(R295="20'",Z295*Charge!$T$25,Z295*Charge!$W$25),0))))))))</f>
        <v>250</v>
      </c>
      <c r="AB295" s="53"/>
      <c r="AC295" s="53"/>
      <c r="AD295" s="56">
        <f>IF(M295="DG",3,IF(N295="RF",3,5))+IF(AND(LEFT(C295,3)="BKK",N295="RF",Q295="KTS"),1,0)+IF(Q295="KHS",1,0)</f>
        <v>5</v>
      </c>
      <c r="AE295" s="57">
        <f>(T295-V295)+1</f>
        <v>46324</v>
      </c>
      <c r="AF295" s="57">
        <f>IF(AB295&gt;IF((V295-W295)&gt;0,V295-W295,0),0,IF(AB295&lt;IF((V295-W295)&gt;0,V295-W295,0),IF((V295-W295)&gt;0,V295-W295,0)-AB295,IF((V295-W295)&gt;0,V295-W295,0)))</f>
        <v>0</v>
      </c>
      <c r="AG295" s="48">
        <f>IF(AND(M295=""),IF(R295="20'",
VLOOKUP(AF295,Charge!$K$31:$M$34,2,TRUE)+(AF295-VLOOKUP(AF295,Charge!$K$31:$M$34,1,TRUE))*VLOOKUP(AF295,Charge!$K$31:$M$34,3,TRUE),
VLOOKUP(AF295,Charge!$N$31:$P$34,2,TRUE)+(AF295-VLOOKUP(AF295,Charge!$N$31:$P$34,1,TRUE))*VLOOKUP(AF295,Charge!$N$31:$P$34,3,TRUE)),
IF(AND(M295="DG"),IF(R295="20'",
VLOOKUP(AF295,Charge!$R$31:$T$34,2,TRUE)+(AF295-VLOOKUP(AF295,Charge!$R$31:$T$34,1,TRUE))*VLOOKUP(AF295,Charge!$R$31:$T$34,3,TRUE),
VLOOKUP(AF295,Charge!$U$31:$W$34,2,TRUE)+(AF295-VLOOKUP(AF295,Charge!$U$31:$W$34,1,TRUE))*VLOOKUP(AF295,Charge!$U$31:$W$34,3,TRUE)),0))</f>
        <v>0</v>
      </c>
      <c r="AH295" s="60"/>
      <c r="AI295" s="60">
        <f>AA295-AH295</f>
        <v>250</v>
      </c>
      <c r="AJ295" s="61"/>
      <c r="AK295" s="55" t="str">
        <f>VLOOKUP(D295,'2.Bookinglist'!A:CT,40,FALSE)</f>
        <v>Arunphat W. (Aiw)</v>
      </c>
      <c r="AL295" s="56" t="str">
        <f>VLOOKUP(D295,'2.Bookinglist'!A:CW,101,FALSE)</f>
        <v>2026-10-22</v>
      </c>
      <c r="AM295" s="56" t="str">
        <f>VLOOKUP(D295,'2.Bookinglist'!A:BK,63,FALSE)</f>
        <v>LCH54</v>
      </c>
      <c r="AN295" s="55" t="str">
        <f>VLOOKUP(D295,'2.Bookinglist'!A:AZ,52,FALSE)</f>
        <v>STUFFING CARGO AT TIFFA ICD DD.16-17/10/26 [PAPERLESS CODE 2829]
CLS TIME 19/10/26 @17.00</v>
      </c>
      <c r="AO295" s="55">
        <f>VLOOKUP(D295,'2.Bookinglist'!A:CY,103,FALSE)</f>
        <v>0</v>
      </c>
    </row>
    <row r="296" ht="12.95" customHeight="1" spans="1:41" x14ac:dyDescent="0.25">
      <c r="A296" s="3" t="s">
        <v>299</v>
      </c>
      <c r="B296" s="53" t="str">
        <f>IF(C296=Charge!$M$1,Charge!$J$1,IF(C296=Charge!$M$23,Charge!$J$23,IF(C296=Charge!$M$17,Charge!$J$17,IF(C296=Charge!$N$17,Charge!$J$17,Charge!$J$7))))</f>
        <v>G2</v>
      </c>
      <c r="C296" s="54" t="str">
        <f>VLOOKUP(A296,'1.Loading'!A:R,14,FALSE)</f>
        <v>LCH06</v>
      </c>
      <c r="D296" s="54" t="str">
        <f>VLOOKUP(A296,'1.Loading'!A:R,17,FALSE)</f>
        <v>HASLS22260900170</v>
      </c>
      <c r="E296" s="55" t="str">
        <f>VLOOKUP(D296,'2.Bookinglist'!A:CT,27,FALSE)</f>
        <v>PANDA GOGO LOGISTICS CO., LTD.</v>
      </c>
      <c r="F296" s="55" t="str">
        <f>VLOOKUP(D296,'2.Bookinglist'!A:CT,28,FALSE)</f>
        <v>GC-M PTA COMPANY LIMITED</v>
      </c>
      <c r="G296" s="56">
        <f>VLOOKUP(D296,'2.Bookinglist'!A:E,5,FALSE)</f>
        <v>0</v>
      </c>
      <c r="H296" s="54" t="str">
        <f>VLOOKUP(D296,'2.Bookinglist'!A:CT,15,FALSE)</f>
        <v>THLCH</v>
      </c>
      <c r="I296" s="54" t="str">
        <f>VLOOKUP(D296,'2.Bookinglist'!A:CT,19,FALSE)</f>
        <v>JPTRG</v>
      </c>
      <c r="J296" s="54" t="str">
        <f>VLOOKUP(D296,'2.Bookinglist'!A:CT,26,FALSE)</f>
        <v>KRPUS</v>
      </c>
      <c r="K296" s="54" t="str">
        <f>VLOOKUP(A296,'1.Loading'!A:R,5,FALSE)</f>
        <v>22GP</v>
      </c>
      <c r="L296" s="56" t="str">
        <f>VLOOKUP(D296,'2.Bookinglist'!A:CT,85,FALSE)</f>
        <v>CY/CY</v>
      </c>
      <c r="M296" s="56" t="str">
        <f>IF(VLOOKUP(D296,'2.Bookinglist'!A:CT,43,FALSE)=0,"","DG")</f>
        <v/>
      </c>
      <c r="N296" s="56" t="str">
        <f>IF(RIGHT(K296,2)="RE","RF","")</f>
        <v/>
      </c>
      <c r="O296" s="54" t="str">
        <f>VLOOKUP(A296,'1.Loading'!A:R,3,FALSE)</f>
        <v>HMVY</v>
      </c>
      <c r="P296" s="54" t="str">
        <f>VLOOKUP(A296,'1.Loading'!A:R,4,FALSE)</f>
        <v>2609N</v>
      </c>
      <c r="Q296" s="54" t="str">
        <f>VLOOKUP(D296,'2.Bookinglist'!A:CT,12,FALSE)</f>
        <v>PCI2</v>
      </c>
      <c r="R296" s="56" t="str">
        <f>IF(LEFT(K296,2)="22","20'","40'")</f>
        <v>20'</v>
      </c>
      <c r="S296" s="38"/>
      <c r="T296" s="54" t="str">
        <f>VLOOKUP(A296,'1.Loading'!A:R,2,FALSE)</f>
        <v>2026-10-28</v>
      </c>
      <c r="U296" s="57">
        <f>T296-S296</f>
        <v>46323</v>
      </c>
      <c r="V296" s="58"/>
      <c r="W296" s="54" t="str">
        <f>VLOOKUP(A296,'3.GateMove'!A:D,4,FALSE)</f>
        <v>2026-10-18</v>
      </c>
      <c r="X296" s="57">
        <f>((T296-W296)+1)</f>
        <v>11</v>
      </c>
      <c r="Y296" s="59">
        <f>IF(AND(OR(C296="BKK01",C296="BKK04"),L296="CFS/CY"),0,IF(M296="DG",1,IF(LEFT(C296,3)="LCH",7,IF(C296="BKK02",5,3))))</f>
        <v>7</v>
      </c>
      <c r="Z296" s="57">
        <f>IF(IF(AND(AC296="TML",AB296&gt;0),((T296-W296)+1)-AB296,((T296-W296)+1)-Y296)&gt;0,IF(AND(AC296="TML",AB296&gt;0),((T296-W296)+1)-AB296,((T296-W296)+1)-Y296),0)</f>
        <v>4</v>
      </c>
      <c r="AA296" s="48">
        <f>IF(AND(B296="G1",M296=""),IF(R296="20'",
VLOOKUP(Z296,Charge!$K$2:$M$5,2,TRUE)+(Z296-VLOOKUP(Z296,Charge!$K$2:$M$5,1,TRUE))*VLOOKUP(Z296,Charge!$K$2:$M$5,3,TRUE),
VLOOKUP(Z296,Charge!$N$2:$P$5,2,TRUE)+(Z296-VLOOKUP(Z296,Charge!$N$2:$P$5,1,TRUE))*VLOOKUP(Z296,Charge!$N$2:$P$5,3,TRUE)),
IF(AND(B296="G1",M296="DG"),IF(R296="20'",
VLOOKUP(Z296,Charge!$R$2:$T$5,2,TRUE)+(Z296-VLOOKUP(Z296,Charge!$R$2:$T$5,1,TRUE))*VLOOKUP(Z296,Charge!$R$2:$T$5,3,TRUE),
VLOOKUP(Z296,Charge!$U$2:$W$5,2,TRUE)+(Z296-VLOOKUP(Z296,Charge!$U$2:$W$5,1,TRUE))*VLOOKUP(Z296,Charge!$U$2:$W$5,3,TRUE)),
IF(AND(B296="G3",M296=""),IF(R296="20'",
VLOOKUP(Z296,Charge!$K$18:$M$21,2,TRUE)+(Z296-VLOOKUP(Z296,Charge!$K$18:$M$21,1,TRUE))*VLOOKUP(Z296,Charge!$K$18:$M$21,3,TRUE),
VLOOKUP(Z296,Charge!$N$18:$P$21,2,TRUE)+(Z296-VLOOKUP(Z296,Charge!$N$18:$P$21,1,TRUE))*VLOOKUP(Z296,Charge!$N$18:$P$21,3,TRUE)),
IF(AND(B296="G3",M296="DG"),IF(R296="20'",
VLOOKUP(Z296,Charge!$R$18:$T$21,2,TRUE)+(Z296-VLOOKUP(Z296,Charge!$R$18:$T$21,1,TRUE))*VLOOKUP(Z296,Charge!$R$18:$T$21,3,TRUE),
VLOOKUP(Z296,Charge!$U$18:$W$21,2,TRUE)+(Z296-VLOOKUP(Z296,Charge!$U$18:$W$21,1,TRUE))*VLOOKUP(Z296,Charge!$U$18:$W$21,3,TRUE)),
IF(AND(B296="G2",M296=""),IF(R296="20'",
VLOOKUP(Z296,Charge!$K$9:$M$12,2,TRUE)+(Z296-VLOOKUP(Z296,Charge!$K$9:$M$12,1,TRUE))*VLOOKUP(Z296,Charge!$K$9:$M$12,3,TRUE),
VLOOKUP(Z296,Charge!$N$9:$P$12,2,TRUE)+(Z296-VLOOKUP(Z296,Charge!$N$9:$P$12,1,TRUE))*VLOOKUP(Z296,Charge!$N$9:$P$12,3,TRUE)),
IF(AND(B296="G2",M296="DG"),IF(R296="20'",
VLOOKUP(Z296,Charge!$R$9:$T$12,2,TRUE)+(Z296-VLOOKUP(Z296,Charge!$R$9:$T$12,1,TRUE))*VLOOKUP(Z296,Charge!$R$9:$T$12,3,TRUE),
VLOOKUP(Z296,Charge!$U$9:$W$12,2,TRUE)+(Z296-VLOOKUP(Z296,Charge!$U$9:$W$12,1,TRUE))*VLOOKUP(Z296,Charge!$U$9:$W$12,3,TRUE)),IF(AND(B296="G4",M296=""),IF(R296="20'",Z296*Charge!$M$25,Z296*Charge!$P$25),IF(AND(B296="G4",M296="DG"),IF(R296="20'",Z296*Charge!$T$25,Z296*Charge!$W$25),0))))))))</f>
        <v>500</v>
      </c>
      <c r="AB296" s="53"/>
      <c r="AC296" s="53"/>
      <c r="AD296" s="56">
        <f>IF(M296="DG",3,IF(N296="RF",3,5))+IF(AND(LEFT(C296,3)="BKK",N296="RF",Q296="KTS"),1,0)+IF(Q296="KHS",1,0)</f>
        <v>5</v>
      </c>
      <c r="AE296" s="57">
        <f>(T296-V296)+1</f>
        <v>46324</v>
      </c>
      <c r="AF296" s="57">
        <f>IF(AB296&gt;IF((V296-W296)&gt;0,V296-W296,0),0,IF(AB296&lt;IF((V296-W296)&gt;0,V296-W296,0),IF((V296-W296)&gt;0,V296-W296,0)-AB296,IF((V296-W296)&gt;0,V296-W296,0)))</f>
        <v>0</v>
      </c>
      <c r="AG296" s="48">
        <f>IF(AND(M296=""),IF(R296="20'",
VLOOKUP(AF296,Charge!$K$31:$M$34,2,TRUE)+(AF296-VLOOKUP(AF296,Charge!$K$31:$M$34,1,TRUE))*VLOOKUP(AF296,Charge!$K$31:$M$34,3,TRUE),
VLOOKUP(AF296,Charge!$N$31:$P$34,2,TRUE)+(AF296-VLOOKUP(AF296,Charge!$N$31:$P$34,1,TRUE))*VLOOKUP(AF296,Charge!$N$31:$P$34,3,TRUE)),
IF(AND(M296="DG"),IF(R296="20'",
VLOOKUP(AF296,Charge!$R$31:$T$34,2,TRUE)+(AF296-VLOOKUP(AF296,Charge!$R$31:$T$34,1,TRUE))*VLOOKUP(AF296,Charge!$R$31:$T$34,3,TRUE),
VLOOKUP(AF296,Charge!$U$31:$W$34,2,TRUE)+(AF296-VLOOKUP(AF296,Charge!$U$31:$W$34,1,TRUE))*VLOOKUP(AF296,Charge!$U$31:$W$34,3,TRUE)),0))</f>
        <v>0</v>
      </c>
      <c r="AH296" s="60"/>
      <c r="AI296" s="60">
        <f>AA296-AH296</f>
        <v>500</v>
      </c>
      <c r="AJ296" s="61"/>
      <c r="AK296" s="55" t="str">
        <f>VLOOKUP(D296,'2.Bookinglist'!A:CT,40,FALSE)</f>
        <v>Tarn(Supaporn)</v>
      </c>
      <c r="AL296" s="56" t="str">
        <f>VLOOKUP(D296,'2.Bookinglist'!A:CW,101,FALSE)</f>
        <v>2026-10-22</v>
      </c>
      <c r="AM296" s="56" t="str">
        <f>VLOOKUP(D296,'2.Bookinglist'!A:BK,63,FALSE)</f>
        <v>LCHY5</v>
      </c>
      <c r="AN296" s="55" t="str">
        <f>VLOOKUP(D296,'2.Bookinglist'!A:AZ,52,FALSE)</f>
        <v>[FIX]Pickup : 2026-10-14, Return : 2026-10-15 [1ST RTN 16/10/2026 W/O RENT]
** PLEASE CHECK OPEN GATE BEFORE RETURN CONTAINER ** </v>
      </c>
      <c r="AO296" s="55">
        <f>VLOOKUP(D296,'2.Bookinglist'!A:CY,103,FALSE)</f>
        <v>0</v>
      </c>
    </row>
    <row r="297" ht="12.95" customHeight="1" spans="1:41" x14ac:dyDescent="0.25">
      <c r="A297" s="3" t="s">
        <v>441</v>
      </c>
      <c r="B297" s="53" t="str">
        <f>IF(C297=Charge!$M$1,Charge!$J$1,IF(C297=Charge!$M$23,Charge!$J$23,IF(C297=Charge!$M$17,Charge!$J$17,IF(C297=Charge!$N$17,Charge!$J$17,Charge!$J$7))))</f>
        <v>G2</v>
      </c>
      <c r="C297" s="54" t="str">
        <f>VLOOKUP(A297,'1.Loading'!A:R,14,FALSE)</f>
        <v>LCH06</v>
      </c>
      <c r="D297" s="54" t="str">
        <f>VLOOKUP(A297,'1.Loading'!A:R,17,FALSE)</f>
        <v>HASLS22260901496</v>
      </c>
      <c r="E297" s="55" t="str">
        <f>VLOOKUP(D297,'2.Bookinglist'!A:CT,27,FALSE)</f>
        <v>WHA GC LOGISTICS COMPANY LIMITED</v>
      </c>
      <c r="F297" s="55" t="str">
        <f>VLOOKUP(D297,'2.Bookinglist'!A:CT,28,FALSE)</f>
        <v>PTT GLOBAL CHEMICAL PUBLIC COMPANY LIMITED</v>
      </c>
      <c r="G297" s="56">
        <f>VLOOKUP(D297,'2.Bookinglist'!A:E,5,FALSE)</f>
        <v>0</v>
      </c>
      <c r="H297" s="54" t="str">
        <f>VLOOKUP(D297,'2.Bookinglist'!A:CT,15,FALSE)</f>
        <v>THLCH</v>
      </c>
      <c r="I297" s="54" t="str">
        <f>VLOOKUP(D297,'2.Bookinglist'!A:CT,19,FALSE)</f>
        <v>JPNGO</v>
      </c>
      <c r="J297" s="54" t="str">
        <f>VLOOKUP(D297,'2.Bookinglist'!A:CT,26,FALSE)</f>
        <v>KRPUS</v>
      </c>
      <c r="K297" s="54" t="str">
        <f>VLOOKUP(A297,'1.Loading'!A:R,5,FALSE)</f>
        <v>22GP</v>
      </c>
      <c r="L297" s="56" t="str">
        <f>VLOOKUP(D297,'2.Bookinglist'!A:CT,85,FALSE)</f>
        <v>CY/CY</v>
      </c>
      <c r="M297" s="56" t="str">
        <f>IF(VLOOKUP(D297,'2.Bookinglist'!A:CT,43,FALSE)=0,"","DG")</f>
        <v/>
      </c>
      <c r="N297" s="56" t="str">
        <f>IF(RIGHT(K297,2)="RE","RF","")</f>
        <v/>
      </c>
      <c r="O297" s="54" t="str">
        <f>VLOOKUP(A297,'1.Loading'!A:R,3,FALSE)</f>
        <v>HMVY</v>
      </c>
      <c r="P297" s="54" t="str">
        <f>VLOOKUP(A297,'1.Loading'!A:R,4,FALSE)</f>
        <v>2609N</v>
      </c>
      <c r="Q297" s="54" t="str">
        <f>VLOOKUP(D297,'2.Bookinglist'!A:CT,12,FALSE)</f>
        <v>PCI2</v>
      </c>
      <c r="R297" s="56" t="str">
        <f>IF(LEFT(K297,2)="22","20'","40'")</f>
        <v>20'</v>
      </c>
      <c r="S297" s="38"/>
      <c r="T297" s="54" t="str">
        <f>VLOOKUP(A297,'1.Loading'!A:R,2,FALSE)</f>
        <v>2026-10-28</v>
      </c>
      <c r="U297" s="57">
        <f>T297-S297</f>
        <v>46323</v>
      </c>
      <c r="V297" s="58"/>
      <c r="W297" s="54" t="str">
        <f>VLOOKUP(A297,'3.GateMove'!A:D,4,FALSE)</f>
        <v>2026-10-17</v>
      </c>
      <c r="X297" s="57">
        <f>((T297-W297)+1)</f>
        <v>12</v>
      </c>
      <c r="Y297" s="59">
        <f>IF(AND(OR(C297="BKK01",C297="BKK04"),L297="CFS/CY"),0,IF(M297="DG",1,IF(LEFT(C297,3)="LCH",7,IF(C297="BKK02",5,3))))</f>
        <v>7</v>
      </c>
      <c r="Z297" s="57">
        <f>IF(IF(AND(AC297="TML",AB297&gt;0),((T297-W297)+1)-AB297,((T297-W297)+1)-Y297)&gt;0,IF(AND(AC297="TML",AB297&gt;0),((T297-W297)+1)-AB297,((T297-W297)+1)-Y297),0)</f>
        <v>5</v>
      </c>
      <c r="AA297" s="48">
        <f>IF(AND(B297="G1",M297=""),IF(R297="20'",
VLOOKUP(Z297,Charge!$K$2:$M$5,2,TRUE)+(Z297-VLOOKUP(Z297,Charge!$K$2:$M$5,1,TRUE))*VLOOKUP(Z297,Charge!$K$2:$M$5,3,TRUE),
VLOOKUP(Z297,Charge!$N$2:$P$5,2,TRUE)+(Z297-VLOOKUP(Z297,Charge!$N$2:$P$5,1,TRUE))*VLOOKUP(Z297,Charge!$N$2:$P$5,3,TRUE)),
IF(AND(B297="G1",M297="DG"),IF(R297="20'",
VLOOKUP(Z297,Charge!$R$2:$T$5,2,TRUE)+(Z297-VLOOKUP(Z297,Charge!$R$2:$T$5,1,TRUE))*VLOOKUP(Z297,Charge!$R$2:$T$5,3,TRUE),
VLOOKUP(Z297,Charge!$U$2:$W$5,2,TRUE)+(Z297-VLOOKUP(Z297,Charge!$U$2:$W$5,1,TRUE))*VLOOKUP(Z297,Charge!$U$2:$W$5,3,TRUE)),
IF(AND(B297="G3",M297=""),IF(R297="20'",
VLOOKUP(Z297,Charge!$K$18:$M$21,2,TRUE)+(Z297-VLOOKUP(Z297,Charge!$K$18:$M$21,1,TRUE))*VLOOKUP(Z297,Charge!$K$18:$M$21,3,TRUE),
VLOOKUP(Z297,Charge!$N$18:$P$21,2,TRUE)+(Z297-VLOOKUP(Z297,Charge!$N$18:$P$21,1,TRUE))*VLOOKUP(Z297,Charge!$N$18:$P$21,3,TRUE)),
IF(AND(B297="G3",M297="DG"),IF(R297="20'",
VLOOKUP(Z297,Charge!$R$18:$T$21,2,TRUE)+(Z297-VLOOKUP(Z297,Charge!$R$18:$T$21,1,TRUE))*VLOOKUP(Z297,Charge!$R$18:$T$21,3,TRUE),
VLOOKUP(Z297,Charge!$U$18:$W$21,2,TRUE)+(Z297-VLOOKUP(Z297,Charge!$U$18:$W$21,1,TRUE))*VLOOKUP(Z297,Charge!$U$18:$W$21,3,TRUE)),
IF(AND(B297="G2",M297=""),IF(R297="20'",
VLOOKUP(Z297,Charge!$K$9:$M$12,2,TRUE)+(Z297-VLOOKUP(Z297,Charge!$K$9:$M$12,1,TRUE))*VLOOKUP(Z297,Charge!$K$9:$M$12,3,TRUE),
VLOOKUP(Z297,Charge!$N$9:$P$12,2,TRUE)+(Z297-VLOOKUP(Z297,Charge!$N$9:$P$12,1,TRUE))*VLOOKUP(Z297,Charge!$N$9:$P$12,3,TRUE)),
IF(AND(B297="G2",M297="DG"),IF(R297="20'",
VLOOKUP(Z297,Charge!$R$9:$T$12,2,TRUE)+(Z297-VLOOKUP(Z297,Charge!$R$9:$T$12,1,TRUE))*VLOOKUP(Z297,Charge!$R$9:$T$12,3,TRUE),
VLOOKUP(Z297,Charge!$U$9:$W$12,2,TRUE)+(Z297-VLOOKUP(Z297,Charge!$U$9:$W$12,1,TRUE))*VLOOKUP(Z297,Charge!$U$9:$W$12,3,TRUE)),IF(AND(B297="G4",M297=""),IF(R297="20'",Z297*Charge!$M$25,Z297*Charge!$P$25),IF(AND(B297="G4",M297="DG"),IF(R297="20'",Z297*Charge!$T$25,Z297*Charge!$W$25),0))))))))</f>
        <v>625</v>
      </c>
      <c r="AB297" s="53"/>
      <c r="AC297" s="53"/>
      <c r="AD297" s="56">
        <f>IF(M297="DG",3,IF(N297="RF",3,5))+IF(AND(LEFT(C297,3)="BKK",N297="RF",Q297="KTS"),1,0)+IF(Q297="KHS",1,0)</f>
        <v>5</v>
      </c>
      <c r="AE297" s="57">
        <f>(T297-V297)+1</f>
        <v>46324</v>
      </c>
      <c r="AF297" s="57">
        <f>IF(AB297&gt;IF((V297-W297)&gt;0,V297-W297,0),0,IF(AB297&lt;IF((V297-W297)&gt;0,V297-W297,0),IF((V297-W297)&gt;0,V297-W297,0)-AB297,IF((V297-W297)&gt;0,V297-W297,0)))</f>
        <v>0</v>
      </c>
      <c r="AG297" s="48">
        <f>IF(AND(M297=""),IF(R297="20'",
VLOOKUP(AF297,Charge!$K$31:$M$34,2,TRUE)+(AF297-VLOOKUP(AF297,Charge!$K$31:$M$34,1,TRUE))*VLOOKUP(AF297,Charge!$K$31:$M$34,3,TRUE),
VLOOKUP(AF297,Charge!$N$31:$P$34,2,TRUE)+(AF297-VLOOKUP(AF297,Charge!$N$31:$P$34,1,TRUE))*VLOOKUP(AF297,Charge!$N$31:$P$34,3,TRUE)),
IF(AND(M297="DG"),IF(R297="20'",
VLOOKUP(AF297,Charge!$R$31:$T$34,2,TRUE)+(AF297-VLOOKUP(AF297,Charge!$R$31:$T$34,1,TRUE))*VLOOKUP(AF297,Charge!$R$31:$T$34,3,TRUE),
VLOOKUP(AF297,Charge!$U$31:$W$34,2,TRUE)+(AF297-VLOOKUP(AF297,Charge!$U$31:$W$34,1,TRUE))*VLOOKUP(AF297,Charge!$U$31:$W$34,3,TRUE)),0))</f>
        <v>0</v>
      </c>
      <c r="AH297" s="60"/>
      <c r="AI297" s="60">
        <f>AA297-AH297</f>
        <v>625</v>
      </c>
      <c r="AJ297" s="61"/>
      <c r="AK297" s="55" t="str">
        <f>VLOOKUP(D297,'2.Bookinglist'!A:CT,40,FALSE)</f>
        <v>Dharaporn</v>
      </c>
      <c r="AL297" s="56" t="str">
        <f>VLOOKUP(D297,'2.Bookinglist'!A:CW,101,FALSE)</f>
        <v>2026-10-14</v>
      </c>
      <c r="AM297" s="56" t="str">
        <f>VLOOKUP(D297,'2.Bookinglist'!A:BK,63,FALSE)</f>
        <v>LCHY5</v>
      </c>
      <c r="AN297" s="55" t="str">
        <f>VLOOKUP(D297,'2.Bookinglist'!A:AZ,52,FALSE)</f>
        <v>[FIX][FIX][FIX]SURVEY+CY :07/10/2026 RTN :10/10/2026
REQUEST SEA BULK CONTAIER + SURVEY EMPTY BEFORE PICK UP
</v>
      </c>
      <c r="AO297" s="55">
        <f>VLOOKUP(D297,'2.Bookinglist'!A:CY,103,FALSE)</f>
        <v>0</v>
      </c>
    </row>
    <row r="298" ht="12.95" customHeight="1" spans="1:41" x14ac:dyDescent="0.25">
      <c r="A298" s="3" t="s">
        <v>332</v>
      </c>
      <c r="B298" s="53" t="str">
        <f>IF(C298=Charge!$M$1,Charge!$J$1,IF(C298=Charge!$M$23,Charge!$J$23,IF(C298=Charge!$M$17,Charge!$J$17,IF(C298=Charge!$N$17,Charge!$J$17,Charge!$J$7))))</f>
        <v>G2</v>
      </c>
      <c r="C298" s="54" t="str">
        <f>VLOOKUP(A298,'1.Loading'!A:R,14,FALSE)</f>
        <v>LCH06</v>
      </c>
      <c r="D298" s="54" t="str">
        <f>VLOOKUP(A298,'1.Loading'!A:R,17,FALSE)</f>
        <v>HASLS22260902669</v>
      </c>
      <c r="E298" s="55" t="str">
        <f>VLOOKUP(D298,'2.Bookinglist'!A:CT,27,FALSE)</f>
        <v>WHA GC LOGISTICS COMPANY LIMITED</v>
      </c>
      <c r="F298" s="55" t="str">
        <f>VLOOKUP(D298,'2.Bookinglist'!A:CT,28,FALSE)</f>
        <v>PTT GLOBAL CHEMICAL PUBLIC COMPANY LIMITED</v>
      </c>
      <c r="G298" s="56">
        <f>VLOOKUP(D298,'2.Bookinglist'!A:E,5,FALSE)</f>
        <v>0</v>
      </c>
      <c r="H298" s="54" t="str">
        <f>VLOOKUP(D298,'2.Bookinglist'!A:CT,15,FALSE)</f>
        <v>THLCH</v>
      </c>
      <c r="I298" s="54" t="str">
        <f>VLOOKUP(D298,'2.Bookinglist'!A:CT,19,FALSE)</f>
        <v>JPNGO</v>
      </c>
      <c r="J298" s="54" t="str">
        <f>VLOOKUP(D298,'2.Bookinglist'!A:CT,26,FALSE)</f>
        <v>KRPUS</v>
      </c>
      <c r="K298" s="54" t="str">
        <f>VLOOKUP(A298,'1.Loading'!A:R,5,FALSE)</f>
        <v>22GP</v>
      </c>
      <c r="L298" s="56" t="str">
        <f>VLOOKUP(D298,'2.Bookinglist'!A:CT,85,FALSE)</f>
        <v>CY/CY</v>
      </c>
      <c r="M298" s="56" t="str">
        <f>IF(VLOOKUP(D298,'2.Bookinglist'!A:CT,43,FALSE)=0,"","DG")</f>
        <v/>
      </c>
      <c r="N298" s="56" t="str">
        <f>IF(RIGHT(K298,2)="RE","RF","")</f>
        <v/>
      </c>
      <c r="O298" s="54" t="str">
        <f>VLOOKUP(A298,'1.Loading'!A:R,3,FALSE)</f>
        <v>HMVY</v>
      </c>
      <c r="P298" s="54" t="str">
        <f>VLOOKUP(A298,'1.Loading'!A:R,4,FALSE)</f>
        <v>2609N</v>
      </c>
      <c r="Q298" s="54" t="str">
        <f>VLOOKUP(D298,'2.Bookinglist'!A:CT,12,FALSE)</f>
        <v>PCI2</v>
      </c>
      <c r="R298" s="56" t="str">
        <f>IF(LEFT(K298,2)="22","20'","40'")</f>
        <v>20'</v>
      </c>
      <c r="S298" s="38"/>
      <c r="T298" s="54" t="str">
        <f>VLOOKUP(A298,'1.Loading'!A:R,2,FALSE)</f>
        <v>2026-10-28</v>
      </c>
      <c r="U298" s="57">
        <f>T298-S298</f>
        <v>46323</v>
      </c>
      <c r="V298" s="58"/>
      <c r="W298" s="54" t="str">
        <f>VLOOKUP(A298,'3.GateMove'!A:D,4,FALSE)</f>
        <v>2026-10-16</v>
      </c>
      <c r="X298" s="57">
        <f>((T298-W298)+1)</f>
        <v>13</v>
      </c>
      <c r="Y298" s="59">
        <f>IF(AND(OR(C298="BKK01",C298="BKK04"),L298="CFS/CY"),0,IF(M298="DG",1,IF(LEFT(C298,3)="LCH",7,IF(C298="BKK02",5,3))))</f>
        <v>7</v>
      </c>
      <c r="Z298" s="57">
        <f>IF(IF(AND(AC298="TML",AB298&gt;0),((T298-W298)+1)-AB298,((T298-W298)+1)-Y298)&gt;0,IF(AND(AC298="TML",AB298&gt;0),((T298-W298)+1)-AB298,((T298-W298)+1)-Y298),0)</f>
        <v>6</v>
      </c>
      <c r="AA298" s="48">
        <f>IF(AND(B298="G1",M298=""),IF(R298="20'",
VLOOKUP(Z298,Charge!$K$2:$M$5,2,TRUE)+(Z298-VLOOKUP(Z298,Charge!$K$2:$M$5,1,TRUE))*VLOOKUP(Z298,Charge!$K$2:$M$5,3,TRUE),
VLOOKUP(Z298,Charge!$N$2:$P$5,2,TRUE)+(Z298-VLOOKUP(Z298,Charge!$N$2:$P$5,1,TRUE))*VLOOKUP(Z298,Charge!$N$2:$P$5,3,TRUE)),
IF(AND(B298="G1",M298="DG"),IF(R298="20'",
VLOOKUP(Z298,Charge!$R$2:$T$5,2,TRUE)+(Z298-VLOOKUP(Z298,Charge!$R$2:$T$5,1,TRUE))*VLOOKUP(Z298,Charge!$R$2:$T$5,3,TRUE),
VLOOKUP(Z298,Charge!$U$2:$W$5,2,TRUE)+(Z298-VLOOKUP(Z298,Charge!$U$2:$W$5,1,TRUE))*VLOOKUP(Z298,Charge!$U$2:$W$5,3,TRUE)),
IF(AND(B298="G3",M298=""),IF(R298="20'",
VLOOKUP(Z298,Charge!$K$18:$M$21,2,TRUE)+(Z298-VLOOKUP(Z298,Charge!$K$18:$M$21,1,TRUE))*VLOOKUP(Z298,Charge!$K$18:$M$21,3,TRUE),
VLOOKUP(Z298,Charge!$N$18:$P$21,2,TRUE)+(Z298-VLOOKUP(Z298,Charge!$N$18:$P$21,1,TRUE))*VLOOKUP(Z298,Charge!$N$18:$P$21,3,TRUE)),
IF(AND(B298="G3",M298="DG"),IF(R298="20'",
VLOOKUP(Z298,Charge!$R$18:$T$21,2,TRUE)+(Z298-VLOOKUP(Z298,Charge!$R$18:$T$21,1,TRUE))*VLOOKUP(Z298,Charge!$R$18:$T$21,3,TRUE),
VLOOKUP(Z298,Charge!$U$18:$W$21,2,TRUE)+(Z298-VLOOKUP(Z298,Charge!$U$18:$W$21,1,TRUE))*VLOOKUP(Z298,Charge!$U$18:$W$21,3,TRUE)),
IF(AND(B298="G2",M298=""),IF(R298="20'",
VLOOKUP(Z298,Charge!$K$9:$M$12,2,TRUE)+(Z298-VLOOKUP(Z298,Charge!$K$9:$M$12,1,TRUE))*VLOOKUP(Z298,Charge!$K$9:$M$12,3,TRUE),
VLOOKUP(Z298,Charge!$N$9:$P$12,2,TRUE)+(Z298-VLOOKUP(Z298,Charge!$N$9:$P$12,1,TRUE))*VLOOKUP(Z298,Charge!$N$9:$P$12,3,TRUE)),
IF(AND(B298="G2",M298="DG"),IF(R298="20'",
VLOOKUP(Z298,Charge!$R$9:$T$12,2,TRUE)+(Z298-VLOOKUP(Z298,Charge!$R$9:$T$12,1,TRUE))*VLOOKUP(Z298,Charge!$R$9:$T$12,3,TRUE),
VLOOKUP(Z298,Charge!$U$9:$W$12,2,TRUE)+(Z298-VLOOKUP(Z298,Charge!$U$9:$W$12,1,TRUE))*VLOOKUP(Z298,Charge!$U$9:$W$12,3,TRUE)),IF(AND(B298="G4",M298=""),IF(R298="20'",Z298*Charge!$M$25,Z298*Charge!$P$25),IF(AND(B298="G4",M298="DG"),IF(R298="20'",Z298*Charge!$T$25,Z298*Charge!$W$25),0))))))))</f>
        <v>750</v>
      </c>
      <c r="AB298" s="53"/>
      <c r="AC298" s="53"/>
      <c r="AD298" s="56">
        <f>IF(M298="DG",3,IF(N298="RF",3,5))+IF(AND(LEFT(C298,3)="BKK",N298="RF",Q298="KTS"),1,0)+IF(Q298="KHS",1,0)</f>
        <v>5</v>
      </c>
      <c r="AE298" s="57">
        <f>(T298-V298)+1</f>
        <v>46324</v>
      </c>
      <c r="AF298" s="57">
        <f>IF(AB298&gt;IF((V298-W298)&gt;0,V298-W298,0),0,IF(AB298&lt;IF((V298-W298)&gt;0,V298-W298,0),IF((V298-W298)&gt;0,V298-W298,0)-AB298,IF((V298-W298)&gt;0,V298-W298,0)))</f>
        <v>0</v>
      </c>
      <c r="AG298" s="48">
        <f>IF(AND(M298=""),IF(R298="20'",
VLOOKUP(AF298,Charge!$K$31:$M$34,2,TRUE)+(AF298-VLOOKUP(AF298,Charge!$K$31:$M$34,1,TRUE))*VLOOKUP(AF298,Charge!$K$31:$M$34,3,TRUE),
VLOOKUP(AF298,Charge!$N$31:$P$34,2,TRUE)+(AF298-VLOOKUP(AF298,Charge!$N$31:$P$34,1,TRUE))*VLOOKUP(AF298,Charge!$N$31:$P$34,3,TRUE)),
IF(AND(M298="DG"),IF(R298="20'",
VLOOKUP(AF298,Charge!$R$31:$T$34,2,TRUE)+(AF298-VLOOKUP(AF298,Charge!$R$31:$T$34,1,TRUE))*VLOOKUP(AF298,Charge!$R$31:$T$34,3,TRUE),
VLOOKUP(AF298,Charge!$U$31:$W$34,2,TRUE)+(AF298-VLOOKUP(AF298,Charge!$U$31:$W$34,1,TRUE))*VLOOKUP(AF298,Charge!$U$31:$W$34,3,TRUE)),0))</f>
        <v>0</v>
      </c>
      <c r="AH298" s="60"/>
      <c r="AI298" s="60">
        <f>AA298-AH298</f>
        <v>750</v>
      </c>
      <c r="AJ298" s="61"/>
      <c r="AK298" s="55" t="str">
        <f>VLOOKUP(D298,'2.Bookinglist'!A:CT,40,FALSE)</f>
        <v>Dharaporn</v>
      </c>
      <c r="AL298" s="56" t="str">
        <f>VLOOKUP(D298,'2.Bookinglist'!A:CW,101,FALSE)</f>
        <v>2026-10-14</v>
      </c>
      <c r="AM298" s="56" t="str">
        <f>VLOOKUP(D298,'2.Bookinglist'!A:BK,63,FALSE)</f>
        <v>LCHY5</v>
      </c>
      <c r="AN298" s="55" t="str">
        <f>VLOOKUP(D298,'2.Bookinglist'!A:AZ,52,FALSE)</f>
        <v>[FIX][FIX][FIX]SURVEY+CY :09/10/2026 RTN :10/10/2026
REQUEST SEA BULK CONTAIER + SURVEY EMPTY BEFORE PICK UP
</v>
      </c>
      <c r="AO298" s="55">
        <f>VLOOKUP(D298,'2.Bookinglist'!A:CY,103,FALSE)</f>
        <v>0</v>
      </c>
    </row>
    <row r="299" ht="12.95" customHeight="1" spans="1:41" x14ac:dyDescent="0.25">
      <c r="A299" s="3" t="s">
        <v>300</v>
      </c>
      <c r="B299" s="53" t="str">
        <f>IF(C299=Charge!$M$1,Charge!$J$1,IF(C299=Charge!$M$23,Charge!$J$23,IF(C299=Charge!$M$17,Charge!$J$17,IF(C299=Charge!$N$17,Charge!$J$17,Charge!$J$7))))</f>
        <v>G2</v>
      </c>
      <c r="C299" s="54" t="str">
        <f>VLOOKUP(A299,'1.Loading'!A:R,14,FALSE)</f>
        <v>LCH06</v>
      </c>
      <c r="D299" s="54" t="str">
        <f>VLOOKUP(A299,'1.Loading'!A:R,17,FALSE)</f>
        <v>HASLS22260900170</v>
      </c>
      <c r="E299" s="55" t="str">
        <f>VLOOKUP(D299,'2.Bookinglist'!A:CT,27,FALSE)</f>
        <v>PANDA GOGO LOGISTICS CO., LTD.</v>
      </c>
      <c r="F299" s="55" t="str">
        <f>VLOOKUP(D299,'2.Bookinglist'!A:CT,28,FALSE)</f>
        <v>GC-M PTA COMPANY LIMITED</v>
      </c>
      <c r="G299" s="56">
        <f>VLOOKUP(D299,'2.Bookinglist'!A:E,5,FALSE)</f>
        <v>0</v>
      </c>
      <c r="H299" s="54" t="str">
        <f>VLOOKUP(D299,'2.Bookinglist'!A:CT,15,FALSE)</f>
        <v>THLCH</v>
      </c>
      <c r="I299" s="54" t="str">
        <f>VLOOKUP(D299,'2.Bookinglist'!A:CT,19,FALSE)</f>
        <v>JPTRG</v>
      </c>
      <c r="J299" s="54" t="str">
        <f>VLOOKUP(D299,'2.Bookinglist'!A:CT,26,FALSE)</f>
        <v>KRPUS</v>
      </c>
      <c r="K299" s="54" t="str">
        <f>VLOOKUP(A299,'1.Loading'!A:R,5,FALSE)</f>
        <v>22GP</v>
      </c>
      <c r="L299" s="56" t="str">
        <f>VLOOKUP(D299,'2.Bookinglist'!A:CT,85,FALSE)</f>
        <v>CY/CY</v>
      </c>
      <c r="M299" s="56" t="str">
        <f>IF(VLOOKUP(D299,'2.Bookinglist'!A:CT,43,FALSE)=0,"","DG")</f>
        <v/>
      </c>
      <c r="N299" s="56" t="str">
        <f>IF(RIGHT(K299,2)="RE","RF","")</f>
        <v/>
      </c>
      <c r="O299" s="54" t="str">
        <f>VLOOKUP(A299,'1.Loading'!A:R,3,FALSE)</f>
        <v>HMVY</v>
      </c>
      <c r="P299" s="54" t="str">
        <f>VLOOKUP(A299,'1.Loading'!A:R,4,FALSE)</f>
        <v>2609N</v>
      </c>
      <c r="Q299" s="54" t="str">
        <f>VLOOKUP(D299,'2.Bookinglist'!A:CT,12,FALSE)</f>
        <v>PCI2</v>
      </c>
      <c r="R299" s="56" t="str">
        <f>IF(LEFT(K299,2)="22","20'","40'")</f>
        <v>20'</v>
      </c>
      <c r="S299" s="38"/>
      <c r="T299" s="54" t="str">
        <f>VLOOKUP(A299,'1.Loading'!A:R,2,FALSE)</f>
        <v>2026-10-28</v>
      </c>
      <c r="U299" s="57">
        <f>T299-S299</f>
        <v>46323</v>
      </c>
      <c r="V299" s="58"/>
      <c r="W299" s="54" t="str">
        <f>VLOOKUP(A299,'3.GateMove'!A:D,4,FALSE)</f>
        <v>2026-10-19</v>
      </c>
      <c r="X299" s="57">
        <f>((T299-W299)+1)</f>
        <v>10</v>
      </c>
      <c r="Y299" s="59">
        <f>IF(AND(OR(C299="BKK01",C299="BKK04"),L299="CFS/CY"),0,IF(M299="DG",1,IF(LEFT(C299,3)="LCH",7,IF(C299="BKK02",5,3))))</f>
        <v>7</v>
      </c>
      <c r="Z299" s="57">
        <f>IF(IF(AND(AC299="TML",AB299&gt;0),((T299-W299)+1)-AB299,((T299-W299)+1)-Y299)&gt;0,IF(AND(AC299="TML",AB299&gt;0),((T299-W299)+1)-AB299,((T299-W299)+1)-Y299),0)</f>
        <v>3</v>
      </c>
      <c r="AA299" s="48">
        <f>IF(AND(B299="G1",M299=""),IF(R299="20'",
VLOOKUP(Z299,Charge!$K$2:$M$5,2,TRUE)+(Z299-VLOOKUP(Z299,Charge!$K$2:$M$5,1,TRUE))*VLOOKUP(Z299,Charge!$K$2:$M$5,3,TRUE),
VLOOKUP(Z299,Charge!$N$2:$P$5,2,TRUE)+(Z299-VLOOKUP(Z299,Charge!$N$2:$P$5,1,TRUE))*VLOOKUP(Z299,Charge!$N$2:$P$5,3,TRUE)),
IF(AND(B299="G1",M299="DG"),IF(R299="20'",
VLOOKUP(Z299,Charge!$R$2:$T$5,2,TRUE)+(Z299-VLOOKUP(Z299,Charge!$R$2:$T$5,1,TRUE))*VLOOKUP(Z299,Charge!$R$2:$T$5,3,TRUE),
VLOOKUP(Z299,Charge!$U$2:$W$5,2,TRUE)+(Z299-VLOOKUP(Z299,Charge!$U$2:$W$5,1,TRUE))*VLOOKUP(Z299,Charge!$U$2:$W$5,3,TRUE)),
IF(AND(B299="G3",M299=""),IF(R299="20'",
VLOOKUP(Z299,Charge!$K$18:$M$21,2,TRUE)+(Z299-VLOOKUP(Z299,Charge!$K$18:$M$21,1,TRUE))*VLOOKUP(Z299,Charge!$K$18:$M$21,3,TRUE),
VLOOKUP(Z299,Charge!$N$18:$P$21,2,TRUE)+(Z299-VLOOKUP(Z299,Charge!$N$18:$P$21,1,TRUE))*VLOOKUP(Z299,Charge!$N$18:$P$21,3,TRUE)),
IF(AND(B299="G3",M299="DG"),IF(R299="20'",
VLOOKUP(Z299,Charge!$R$18:$T$21,2,TRUE)+(Z299-VLOOKUP(Z299,Charge!$R$18:$T$21,1,TRUE))*VLOOKUP(Z299,Charge!$R$18:$T$21,3,TRUE),
VLOOKUP(Z299,Charge!$U$18:$W$21,2,TRUE)+(Z299-VLOOKUP(Z299,Charge!$U$18:$W$21,1,TRUE))*VLOOKUP(Z299,Charge!$U$18:$W$21,3,TRUE)),
IF(AND(B299="G2",M299=""),IF(R299="20'",
VLOOKUP(Z299,Charge!$K$9:$M$12,2,TRUE)+(Z299-VLOOKUP(Z299,Charge!$K$9:$M$12,1,TRUE))*VLOOKUP(Z299,Charge!$K$9:$M$12,3,TRUE),
VLOOKUP(Z299,Charge!$N$9:$P$12,2,TRUE)+(Z299-VLOOKUP(Z299,Charge!$N$9:$P$12,1,TRUE))*VLOOKUP(Z299,Charge!$N$9:$P$12,3,TRUE)),
IF(AND(B299="G2",M299="DG"),IF(R299="20'",
VLOOKUP(Z299,Charge!$R$9:$T$12,2,TRUE)+(Z299-VLOOKUP(Z299,Charge!$R$9:$T$12,1,TRUE))*VLOOKUP(Z299,Charge!$R$9:$T$12,3,TRUE),
VLOOKUP(Z299,Charge!$U$9:$W$12,2,TRUE)+(Z299-VLOOKUP(Z299,Charge!$U$9:$W$12,1,TRUE))*VLOOKUP(Z299,Charge!$U$9:$W$12,3,TRUE)),IF(AND(B299="G4",M299=""),IF(R299="20'",Z299*Charge!$M$25,Z299*Charge!$P$25),IF(AND(B299="G4",M299="DG"),IF(R299="20'",Z299*Charge!$T$25,Z299*Charge!$W$25),0))))))))</f>
        <v>375</v>
      </c>
      <c r="AB299" s="53"/>
      <c r="AC299" s="53"/>
      <c r="AD299" s="56">
        <f>IF(M299="DG",3,IF(N299="RF",3,5))+IF(AND(LEFT(C299,3)="BKK",N299="RF",Q299="KTS"),1,0)+IF(Q299="KHS",1,0)</f>
        <v>5</v>
      </c>
      <c r="AE299" s="57">
        <f>(T299-V299)+1</f>
        <v>46324</v>
      </c>
      <c r="AF299" s="57">
        <f>IF(AB299&gt;IF((V299-W299)&gt;0,V299-W299,0),0,IF(AB299&lt;IF((V299-W299)&gt;0,V299-W299,0),IF((V299-W299)&gt;0,V299-W299,0)-AB299,IF((V299-W299)&gt;0,V299-W299,0)))</f>
        <v>0</v>
      </c>
      <c r="AG299" s="48">
        <f>IF(AND(M299=""),IF(R299="20'",
VLOOKUP(AF299,Charge!$K$31:$M$34,2,TRUE)+(AF299-VLOOKUP(AF299,Charge!$K$31:$M$34,1,TRUE))*VLOOKUP(AF299,Charge!$K$31:$M$34,3,TRUE),
VLOOKUP(AF299,Charge!$N$31:$P$34,2,TRUE)+(AF299-VLOOKUP(AF299,Charge!$N$31:$P$34,1,TRUE))*VLOOKUP(AF299,Charge!$N$31:$P$34,3,TRUE)),
IF(AND(M299="DG"),IF(R299="20'",
VLOOKUP(AF299,Charge!$R$31:$T$34,2,TRUE)+(AF299-VLOOKUP(AF299,Charge!$R$31:$T$34,1,TRUE))*VLOOKUP(AF299,Charge!$R$31:$T$34,3,TRUE),
VLOOKUP(AF299,Charge!$U$31:$W$34,2,TRUE)+(AF299-VLOOKUP(AF299,Charge!$U$31:$W$34,1,TRUE))*VLOOKUP(AF299,Charge!$U$31:$W$34,3,TRUE)),0))</f>
        <v>0</v>
      </c>
      <c r="AH299" s="60"/>
      <c r="AI299" s="60">
        <f>AA299-AH299</f>
        <v>375</v>
      </c>
      <c r="AJ299" s="61"/>
      <c r="AK299" s="55" t="str">
        <f>VLOOKUP(D299,'2.Bookinglist'!A:CT,40,FALSE)</f>
        <v>Tarn(Supaporn)</v>
      </c>
      <c r="AL299" s="56" t="str">
        <f>VLOOKUP(D299,'2.Bookinglist'!A:CW,101,FALSE)</f>
        <v>2026-10-22</v>
      </c>
      <c r="AM299" s="56" t="str">
        <f>VLOOKUP(D299,'2.Bookinglist'!A:BK,63,FALSE)</f>
        <v>LCHY5</v>
      </c>
      <c r="AN299" s="55" t="str">
        <f>VLOOKUP(D299,'2.Bookinglist'!A:AZ,52,FALSE)</f>
        <v>[FIX]Pickup : 2026-10-14, Return : 2026-10-15 [1ST RTN 16/10/2026 W/O RENT]
** PLEASE CHECK OPEN GATE BEFORE RETURN CONTAINER ** </v>
      </c>
      <c r="AO299" s="55">
        <f>VLOOKUP(D299,'2.Bookinglist'!A:CY,103,FALSE)</f>
        <v>0</v>
      </c>
    </row>
    <row r="300" ht="12.95" customHeight="1" spans="1:41" x14ac:dyDescent="0.25">
      <c r="A300" s="3" t="s">
        <v>423</v>
      </c>
      <c r="B300" s="53" t="str">
        <f>IF(C300=Charge!$M$1,Charge!$J$1,IF(C300=Charge!$M$23,Charge!$J$23,IF(C300=Charge!$M$17,Charge!$J$17,IF(C300=Charge!$N$17,Charge!$J$17,Charge!$J$7))))</f>
        <v>G2</v>
      </c>
      <c r="C300" s="54" t="str">
        <f>VLOOKUP(A300,'1.Loading'!A:R,14,FALSE)</f>
        <v>LCH06</v>
      </c>
      <c r="D300" s="54" t="str">
        <f>VLOOKUP(A300,'1.Loading'!A:R,17,FALSE)</f>
        <v>HASLS22261000756</v>
      </c>
      <c r="E300" s="55" t="str">
        <f>VLOOKUP(D300,'2.Bookinglist'!A:CT,27,FALSE)</f>
        <v>TOP INTER FREIGHT CO., LTD.</v>
      </c>
      <c r="F300" s="55" t="str">
        <f>VLOOKUP(D300,'2.Bookinglist'!A:CT,28,FALSE)</f>
        <v>TOP PREMIUM STARCH CO., LTD.</v>
      </c>
      <c r="G300" s="56" t="str">
        <f>VLOOKUP(D300,'2.Bookinglist'!A:E,5,FALSE)</f>
        <v>THLKR</v>
      </c>
      <c r="H300" s="54" t="str">
        <f>VLOOKUP(D300,'2.Bookinglist'!A:CT,15,FALSE)</f>
        <v>THLCH</v>
      </c>
      <c r="I300" s="54" t="str">
        <f>VLOOKUP(D300,'2.Bookinglist'!A:CT,19,FALSE)</f>
        <v>CNSHA</v>
      </c>
      <c r="J300" s="54">
        <f>VLOOKUP(D300,'2.Bookinglist'!A:CT,26,FALSE)</f>
        <v>0</v>
      </c>
      <c r="K300" s="54" t="str">
        <f>VLOOKUP(A300,'1.Loading'!A:R,5,FALSE)</f>
        <v>22GP</v>
      </c>
      <c r="L300" s="56" t="str">
        <f>VLOOKUP(D300,'2.Bookinglist'!A:CT,85,FALSE)</f>
        <v>CFS/CY</v>
      </c>
      <c r="M300" s="56" t="str">
        <f>IF(VLOOKUP(D300,'2.Bookinglist'!A:CT,43,FALSE)=0,"","DG")</f>
        <v/>
      </c>
      <c r="N300" s="56" t="str">
        <f>IF(RIGHT(K300,2)="RE","RF","")</f>
        <v/>
      </c>
      <c r="O300" s="54" t="str">
        <f>VLOOKUP(A300,'1.Loading'!A:R,3,FALSE)</f>
        <v>HMVY</v>
      </c>
      <c r="P300" s="54" t="str">
        <f>VLOOKUP(A300,'1.Loading'!A:R,4,FALSE)</f>
        <v>2609N</v>
      </c>
      <c r="Q300" s="54" t="str">
        <f>VLOOKUP(D300,'2.Bookinglist'!A:CT,12,FALSE)</f>
        <v>PCI2</v>
      </c>
      <c r="R300" s="56" t="str">
        <f>IF(LEFT(K300,2)="22","20'","40'")</f>
        <v>20'</v>
      </c>
      <c r="S300" s="38"/>
      <c r="T300" s="54" t="str">
        <f>VLOOKUP(A300,'1.Loading'!A:R,2,FALSE)</f>
        <v>2026-10-28</v>
      </c>
      <c r="U300" s="57">
        <f>T300-S300</f>
        <v>46323</v>
      </c>
      <c r="V300" s="58"/>
      <c r="W300" s="54" t="str">
        <f>VLOOKUP(A300,'3.GateMove'!A:D,4,FALSE)</f>
        <v>2026-10-20</v>
      </c>
      <c r="X300" s="57">
        <f>((T300-W300)+1)</f>
        <v>9</v>
      </c>
      <c r="Y300" s="59">
        <f>IF(AND(OR(C300="BKK01",C300="BKK04"),L300="CFS/CY"),0,IF(M300="DG",1,IF(LEFT(C300,3)="LCH",7,IF(C300="BKK02",5,3))))</f>
        <v>7</v>
      </c>
      <c r="Z300" s="57">
        <f>IF(IF(AND(AC300="TML",AB300&gt;0),((T300-W300)+1)-AB300,((T300-W300)+1)-Y300)&gt;0,IF(AND(AC300="TML",AB300&gt;0),((T300-W300)+1)-AB300,((T300-W300)+1)-Y300),0)</f>
        <v>2</v>
      </c>
      <c r="AA300" s="48">
        <f>IF(AND(B300="G1",M300=""),IF(R300="20'",
VLOOKUP(Z300,Charge!$K$2:$M$5,2,TRUE)+(Z300-VLOOKUP(Z300,Charge!$K$2:$M$5,1,TRUE))*VLOOKUP(Z300,Charge!$K$2:$M$5,3,TRUE),
VLOOKUP(Z300,Charge!$N$2:$P$5,2,TRUE)+(Z300-VLOOKUP(Z300,Charge!$N$2:$P$5,1,TRUE))*VLOOKUP(Z300,Charge!$N$2:$P$5,3,TRUE)),
IF(AND(B300="G1",M300="DG"),IF(R300="20'",
VLOOKUP(Z300,Charge!$R$2:$T$5,2,TRUE)+(Z300-VLOOKUP(Z300,Charge!$R$2:$T$5,1,TRUE))*VLOOKUP(Z300,Charge!$R$2:$T$5,3,TRUE),
VLOOKUP(Z300,Charge!$U$2:$W$5,2,TRUE)+(Z300-VLOOKUP(Z300,Charge!$U$2:$W$5,1,TRUE))*VLOOKUP(Z300,Charge!$U$2:$W$5,3,TRUE)),
IF(AND(B300="G3",M300=""),IF(R300="20'",
VLOOKUP(Z300,Charge!$K$18:$M$21,2,TRUE)+(Z300-VLOOKUP(Z300,Charge!$K$18:$M$21,1,TRUE))*VLOOKUP(Z300,Charge!$K$18:$M$21,3,TRUE),
VLOOKUP(Z300,Charge!$N$18:$P$21,2,TRUE)+(Z300-VLOOKUP(Z300,Charge!$N$18:$P$21,1,TRUE))*VLOOKUP(Z300,Charge!$N$18:$P$21,3,TRUE)),
IF(AND(B300="G3",M300="DG"),IF(R300="20'",
VLOOKUP(Z300,Charge!$R$18:$T$21,2,TRUE)+(Z300-VLOOKUP(Z300,Charge!$R$18:$T$21,1,TRUE))*VLOOKUP(Z300,Charge!$R$18:$T$21,3,TRUE),
VLOOKUP(Z300,Charge!$U$18:$W$21,2,TRUE)+(Z300-VLOOKUP(Z300,Charge!$U$18:$W$21,1,TRUE))*VLOOKUP(Z300,Charge!$U$18:$W$21,3,TRUE)),
IF(AND(B300="G2",M300=""),IF(R300="20'",
VLOOKUP(Z300,Charge!$K$9:$M$12,2,TRUE)+(Z300-VLOOKUP(Z300,Charge!$K$9:$M$12,1,TRUE))*VLOOKUP(Z300,Charge!$K$9:$M$12,3,TRUE),
VLOOKUP(Z300,Charge!$N$9:$P$12,2,TRUE)+(Z300-VLOOKUP(Z300,Charge!$N$9:$P$12,1,TRUE))*VLOOKUP(Z300,Charge!$N$9:$P$12,3,TRUE)),
IF(AND(B300="G2",M300="DG"),IF(R300="20'",
VLOOKUP(Z300,Charge!$R$9:$T$12,2,TRUE)+(Z300-VLOOKUP(Z300,Charge!$R$9:$T$12,1,TRUE))*VLOOKUP(Z300,Charge!$R$9:$T$12,3,TRUE),
VLOOKUP(Z300,Charge!$U$9:$W$12,2,TRUE)+(Z300-VLOOKUP(Z300,Charge!$U$9:$W$12,1,TRUE))*VLOOKUP(Z300,Charge!$U$9:$W$12,3,TRUE)),IF(AND(B300="G4",M300=""),IF(R300="20'",Z300*Charge!$M$25,Z300*Charge!$P$25),IF(AND(B300="G4",M300="DG"),IF(R300="20'",Z300*Charge!$T$25,Z300*Charge!$W$25),0))))))))</f>
        <v>250</v>
      </c>
      <c r="AB300" s="53"/>
      <c r="AC300" s="53"/>
      <c r="AD300" s="56">
        <f>IF(M300="DG",3,IF(N300="RF",3,5))+IF(AND(LEFT(C300,3)="BKK",N300="RF",Q300="KTS"),1,0)+IF(Q300="KHS",1,0)</f>
        <v>5</v>
      </c>
      <c r="AE300" s="57">
        <f>(T300-V300)+1</f>
        <v>46324</v>
      </c>
      <c r="AF300" s="57">
        <f>IF(AB300&gt;IF((V300-W300)&gt;0,V300-W300,0),0,IF(AB300&lt;IF((V300-W300)&gt;0,V300-W300,0),IF((V300-W300)&gt;0,V300-W300,0)-AB300,IF((V300-W300)&gt;0,V300-W300,0)))</f>
        <v>0</v>
      </c>
      <c r="AG300" s="48">
        <f>IF(AND(M300=""),IF(R300="20'",
VLOOKUP(AF300,Charge!$K$31:$M$34,2,TRUE)+(AF300-VLOOKUP(AF300,Charge!$K$31:$M$34,1,TRUE))*VLOOKUP(AF300,Charge!$K$31:$M$34,3,TRUE),
VLOOKUP(AF300,Charge!$N$31:$P$34,2,TRUE)+(AF300-VLOOKUP(AF300,Charge!$N$31:$P$34,1,TRUE))*VLOOKUP(AF300,Charge!$N$31:$P$34,3,TRUE)),
IF(AND(M300="DG"),IF(R300="20'",
VLOOKUP(AF300,Charge!$R$31:$T$34,2,TRUE)+(AF300-VLOOKUP(AF300,Charge!$R$31:$T$34,1,TRUE))*VLOOKUP(AF300,Charge!$R$31:$T$34,3,TRUE),
VLOOKUP(AF300,Charge!$U$31:$W$34,2,TRUE)+(AF300-VLOOKUP(AF300,Charge!$U$31:$W$34,1,TRUE))*VLOOKUP(AF300,Charge!$U$31:$W$34,3,TRUE)),0))</f>
        <v>0</v>
      </c>
      <c r="AH300" s="60"/>
      <c r="AI300" s="60">
        <f>AA300-AH300</f>
        <v>250</v>
      </c>
      <c r="AJ300" s="61"/>
      <c r="AK300" s="55" t="str">
        <f>VLOOKUP(D300,'2.Bookinglist'!A:CT,40,FALSE)</f>
        <v>Arunphat W. (Aiw)</v>
      </c>
      <c r="AL300" s="56" t="str">
        <f>VLOOKUP(D300,'2.Bookinglist'!A:CW,101,FALSE)</f>
        <v>2026-10-22</v>
      </c>
      <c r="AM300" s="56" t="str">
        <f>VLOOKUP(D300,'2.Bookinglist'!A:BK,63,FALSE)</f>
        <v>LCH54</v>
      </c>
      <c r="AN300" s="55" t="str">
        <f>VLOOKUP(D300,'2.Bookinglist'!A:AZ,52,FALSE)</f>
        <v>STUFFING CARGO AT TIFFA ICD DD.16-17/10/26 [PAPERLESS CODE 2829]
CLS TIME 19/10/26 @17.00</v>
      </c>
      <c r="AO300" s="55">
        <f>VLOOKUP(D300,'2.Bookinglist'!A:CY,103,FALSE)</f>
        <v>0</v>
      </c>
    </row>
    <row r="301" ht="12.95" customHeight="1" spans="1:41" x14ac:dyDescent="0.25">
      <c r="A301" s="3" t="s">
        <v>443</v>
      </c>
      <c r="B301" s="53" t="str">
        <f>IF(C301=Charge!$M$1,Charge!$J$1,IF(C301=Charge!$M$23,Charge!$J$23,IF(C301=Charge!$M$17,Charge!$J$17,IF(C301=Charge!$N$17,Charge!$J$17,Charge!$J$7))))</f>
        <v>G2</v>
      </c>
      <c r="C301" s="54" t="str">
        <f>VLOOKUP(A301,'1.Loading'!A:R,14,FALSE)</f>
        <v>LCH06</v>
      </c>
      <c r="D301" s="54" t="str">
        <f>VLOOKUP(A301,'1.Loading'!A:R,17,FALSE)</f>
        <v>HASLS22260901496</v>
      </c>
      <c r="E301" s="55" t="str">
        <f>VLOOKUP(D301,'2.Bookinglist'!A:CT,27,FALSE)</f>
        <v>WHA GC LOGISTICS COMPANY LIMITED</v>
      </c>
      <c r="F301" s="55" t="str">
        <f>VLOOKUP(D301,'2.Bookinglist'!A:CT,28,FALSE)</f>
        <v>PTT GLOBAL CHEMICAL PUBLIC COMPANY LIMITED</v>
      </c>
      <c r="G301" s="56">
        <f>VLOOKUP(D301,'2.Bookinglist'!A:E,5,FALSE)</f>
        <v>0</v>
      </c>
      <c r="H301" s="54" t="str">
        <f>VLOOKUP(D301,'2.Bookinglist'!A:CT,15,FALSE)</f>
        <v>THLCH</v>
      </c>
      <c r="I301" s="54" t="str">
        <f>VLOOKUP(D301,'2.Bookinglist'!A:CT,19,FALSE)</f>
        <v>JPNGO</v>
      </c>
      <c r="J301" s="54" t="str">
        <f>VLOOKUP(D301,'2.Bookinglist'!A:CT,26,FALSE)</f>
        <v>KRPUS</v>
      </c>
      <c r="K301" s="54" t="str">
        <f>VLOOKUP(A301,'1.Loading'!A:R,5,FALSE)</f>
        <v>22GP</v>
      </c>
      <c r="L301" s="56" t="str">
        <f>VLOOKUP(D301,'2.Bookinglist'!A:CT,85,FALSE)</f>
        <v>CY/CY</v>
      </c>
      <c r="M301" s="56" t="str">
        <f>IF(VLOOKUP(D301,'2.Bookinglist'!A:CT,43,FALSE)=0,"","DG")</f>
        <v/>
      </c>
      <c r="N301" s="56" t="str">
        <f>IF(RIGHT(K301,2)="RE","RF","")</f>
        <v/>
      </c>
      <c r="O301" s="54" t="str">
        <f>VLOOKUP(A301,'1.Loading'!A:R,3,FALSE)</f>
        <v>HMVY</v>
      </c>
      <c r="P301" s="54" t="str">
        <f>VLOOKUP(A301,'1.Loading'!A:R,4,FALSE)</f>
        <v>2609N</v>
      </c>
      <c r="Q301" s="54" t="str">
        <f>VLOOKUP(D301,'2.Bookinglist'!A:CT,12,FALSE)</f>
        <v>PCI2</v>
      </c>
      <c r="R301" s="56" t="str">
        <f>IF(LEFT(K301,2)="22","20'","40'")</f>
        <v>20'</v>
      </c>
      <c r="S301" s="38"/>
      <c r="T301" s="54" t="str">
        <f>VLOOKUP(A301,'1.Loading'!A:R,2,FALSE)</f>
        <v>2026-10-28</v>
      </c>
      <c r="U301" s="57">
        <f>T301-S301</f>
        <v>46323</v>
      </c>
      <c r="V301" s="58"/>
      <c r="W301" s="54" t="str">
        <f>VLOOKUP(A301,'3.GateMove'!A:D,4,FALSE)</f>
        <v>2026-10-17</v>
      </c>
      <c r="X301" s="57">
        <f>((T301-W301)+1)</f>
        <v>12</v>
      </c>
      <c r="Y301" s="59">
        <f>IF(AND(OR(C301="BKK01",C301="BKK04"),L301="CFS/CY"),0,IF(M301="DG",1,IF(LEFT(C301,3)="LCH",7,IF(C301="BKK02",5,3))))</f>
        <v>7</v>
      </c>
      <c r="Z301" s="57">
        <f>IF(IF(AND(AC301="TML",AB301&gt;0),((T301-W301)+1)-AB301,((T301-W301)+1)-Y301)&gt;0,IF(AND(AC301="TML",AB301&gt;0),((T301-W301)+1)-AB301,((T301-W301)+1)-Y301),0)</f>
        <v>5</v>
      </c>
      <c r="AA301" s="48">
        <f>IF(AND(B301="G1",M301=""),IF(R301="20'",
VLOOKUP(Z301,Charge!$K$2:$M$5,2,TRUE)+(Z301-VLOOKUP(Z301,Charge!$K$2:$M$5,1,TRUE))*VLOOKUP(Z301,Charge!$K$2:$M$5,3,TRUE),
VLOOKUP(Z301,Charge!$N$2:$P$5,2,TRUE)+(Z301-VLOOKUP(Z301,Charge!$N$2:$P$5,1,TRUE))*VLOOKUP(Z301,Charge!$N$2:$P$5,3,TRUE)),
IF(AND(B301="G1",M301="DG"),IF(R301="20'",
VLOOKUP(Z301,Charge!$R$2:$T$5,2,TRUE)+(Z301-VLOOKUP(Z301,Charge!$R$2:$T$5,1,TRUE))*VLOOKUP(Z301,Charge!$R$2:$T$5,3,TRUE),
VLOOKUP(Z301,Charge!$U$2:$W$5,2,TRUE)+(Z301-VLOOKUP(Z301,Charge!$U$2:$W$5,1,TRUE))*VLOOKUP(Z301,Charge!$U$2:$W$5,3,TRUE)),
IF(AND(B301="G3",M301=""),IF(R301="20'",
VLOOKUP(Z301,Charge!$K$18:$M$21,2,TRUE)+(Z301-VLOOKUP(Z301,Charge!$K$18:$M$21,1,TRUE))*VLOOKUP(Z301,Charge!$K$18:$M$21,3,TRUE),
VLOOKUP(Z301,Charge!$N$18:$P$21,2,TRUE)+(Z301-VLOOKUP(Z301,Charge!$N$18:$P$21,1,TRUE))*VLOOKUP(Z301,Charge!$N$18:$P$21,3,TRUE)),
IF(AND(B301="G3",M301="DG"),IF(R301="20'",
VLOOKUP(Z301,Charge!$R$18:$T$21,2,TRUE)+(Z301-VLOOKUP(Z301,Charge!$R$18:$T$21,1,TRUE))*VLOOKUP(Z301,Charge!$R$18:$T$21,3,TRUE),
VLOOKUP(Z301,Charge!$U$18:$W$21,2,TRUE)+(Z301-VLOOKUP(Z301,Charge!$U$18:$W$21,1,TRUE))*VLOOKUP(Z301,Charge!$U$18:$W$21,3,TRUE)),
IF(AND(B301="G2",M301=""),IF(R301="20'",
VLOOKUP(Z301,Charge!$K$9:$M$12,2,TRUE)+(Z301-VLOOKUP(Z301,Charge!$K$9:$M$12,1,TRUE))*VLOOKUP(Z301,Charge!$K$9:$M$12,3,TRUE),
VLOOKUP(Z301,Charge!$N$9:$P$12,2,TRUE)+(Z301-VLOOKUP(Z301,Charge!$N$9:$P$12,1,TRUE))*VLOOKUP(Z301,Charge!$N$9:$P$12,3,TRUE)),
IF(AND(B301="G2",M301="DG"),IF(R301="20'",
VLOOKUP(Z301,Charge!$R$9:$T$12,2,TRUE)+(Z301-VLOOKUP(Z301,Charge!$R$9:$T$12,1,TRUE))*VLOOKUP(Z301,Charge!$R$9:$T$12,3,TRUE),
VLOOKUP(Z301,Charge!$U$9:$W$12,2,TRUE)+(Z301-VLOOKUP(Z301,Charge!$U$9:$W$12,1,TRUE))*VLOOKUP(Z301,Charge!$U$9:$W$12,3,TRUE)),IF(AND(B301="G4",M301=""),IF(R301="20'",Z301*Charge!$M$25,Z301*Charge!$P$25),IF(AND(B301="G4",M301="DG"),IF(R301="20'",Z301*Charge!$T$25,Z301*Charge!$W$25),0))))))))</f>
        <v>625</v>
      </c>
      <c r="AB301" s="53"/>
      <c r="AC301" s="53"/>
      <c r="AD301" s="56">
        <f>IF(M301="DG",3,IF(N301="RF",3,5))+IF(AND(LEFT(C301,3)="BKK",N301="RF",Q301="KTS"),1,0)+IF(Q301="KHS",1,0)</f>
        <v>5</v>
      </c>
      <c r="AE301" s="57">
        <f>(T301-V301)+1</f>
        <v>46324</v>
      </c>
      <c r="AF301" s="57">
        <f>IF(AB301&gt;IF((V301-W301)&gt;0,V301-W301,0),0,IF(AB301&lt;IF((V301-W301)&gt;0,V301-W301,0),IF((V301-W301)&gt;0,V301-W301,0)-AB301,IF((V301-W301)&gt;0,V301-W301,0)))</f>
        <v>0</v>
      </c>
      <c r="AG301" s="48">
        <f>IF(AND(M301=""),IF(R301="20'",
VLOOKUP(AF301,Charge!$K$31:$M$34,2,TRUE)+(AF301-VLOOKUP(AF301,Charge!$K$31:$M$34,1,TRUE))*VLOOKUP(AF301,Charge!$K$31:$M$34,3,TRUE),
VLOOKUP(AF301,Charge!$N$31:$P$34,2,TRUE)+(AF301-VLOOKUP(AF301,Charge!$N$31:$P$34,1,TRUE))*VLOOKUP(AF301,Charge!$N$31:$P$34,3,TRUE)),
IF(AND(M301="DG"),IF(R301="20'",
VLOOKUP(AF301,Charge!$R$31:$T$34,2,TRUE)+(AF301-VLOOKUP(AF301,Charge!$R$31:$T$34,1,TRUE))*VLOOKUP(AF301,Charge!$R$31:$T$34,3,TRUE),
VLOOKUP(AF301,Charge!$U$31:$W$34,2,TRUE)+(AF301-VLOOKUP(AF301,Charge!$U$31:$W$34,1,TRUE))*VLOOKUP(AF301,Charge!$U$31:$W$34,3,TRUE)),0))</f>
        <v>0</v>
      </c>
      <c r="AH301" s="60"/>
      <c r="AI301" s="60">
        <f>AA301-AH301</f>
        <v>625</v>
      </c>
      <c r="AJ301" s="61"/>
      <c r="AK301" s="55" t="str">
        <f>VLOOKUP(D301,'2.Bookinglist'!A:CT,40,FALSE)</f>
        <v>Dharaporn</v>
      </c>
      <c r="AL301" s="56" t="str">
        <f>VLOOKUP(D301,'2.Bookinglist'!A:CW,101,FALSE)</f>
        <v>2026-10-14</v>
      </c>
      <c r="AM301" s="56" t="str">
        <f>VLOOKUP(D301,'2.Bookinglist'!A:BK,63,FALSE)</f>
        <v>LCHY5</v>
      </c>
      <c r="AN301" s="55" t="str">
        <f>VLOOKUP(D301,'2.Bookinglist'!A:AZ,52,FALSE)</f>
        <v>[FIX][FIX][FIX]SURVEY+CY :07/10/2026 RTN :10/10/2026
REQUEST SEA BULK CONTAIER + SURVEY EMPTY BEFORE PICK UP
</v>
      </c>
      <c r="AO301" s="55">
        <f>VLOOKUP(D301,'2.Bookinglist'!A:CY,103,FALSE)</f>
        <v>0</v>
      </c>
    </row>
    <row r="302" ht="12.95" customHeight="1" spans="1:41" x14ac:dyDescent="0.25">
      <c r="A302" s="3" t="s">
        <v>333</v>
      </c>
      <c r="B302" s="53" t="str">
        <f>IF(C302=Charge!$M$1,Charge!$J$1,IF(C302=Charge!$M$23,Charge!$J$23,IF(C302=Charge!$M$17,Charge!$J$17,IF(C302=Charge!$N$17,Charge!$J$17,Charge!$J$7))))</f>
        <v>G2</v>
      </c>
      <c r="C302" s="54" t="str">
        <f>VLOOKUP(A302,'1.Loading'!A:R,14,FALSE)</f>
        <v>LCH06</v>
      </c>
      <c r="D302" s="54" t="str">
        <f>VLOOKUP(A302,'1.Loading'!A:R,17,FALSE)</f>
        <v>HASLS22260902669</v>
      </c>
      <c r="E302" s="55" t="str">
        <f>VLOOKUP(D302,'2.Bookinglist'!A:CT,27,FALSE)</f>
        <v>WHA GC LOGISTICS COMPANY LIMITED</v>
      </c>
      <c r="F302" s="55" t="str">
        <f>VLOOKUP(D302,'2.Bookinglist'!A:CT,28,FALSE)</f>
        <v>PTT GLOBAL CHEMICAL PUBLIC COMPANY LIMITED</v>
      </c>
      <c r="G302" s="56">
        <f>VLOOKUP(D302,'2.Bookinglist'!A:E,5,FALSE)</f>
        <v>0</v>
      </c>
      <c r="H302" s="54" t="str">
        <f>VLOOKUP(D302,'2.Bookinglist'!A:CT,15,FALSE)</f>
        <v>THLCH</v>
      </c>
      <c r="I302" s="54" t="str">
        <f>VLOOKUP(D302,'2.Bookinglist'!A:CT,19,FALSE)</f>
        <v>JPNGO</v>
      </c>
      <c r="J302" s="54" t="str">
        <f>VLOOKUP(D302,'2.Bookinglist'!A:CT,26,FALSE)</f>
        <v>KRPUS</v>
      </c>
      <c r="K302" s="54" t="str">
        <f>VLOOKUP(A302,'1.Loading'!A:R,5,FALSE)</f>
        <v>22GP</v>
      </c>
      <c r="L302" s="56" t="str">
        <f>VLOOKUP(D302,'2.Bookinglist'!A:CT,85,FALSE)</f>
        <v>CY/CY</v>
      </c>
      <c r="M302" s="56" t="str">
        <f>IF(VLOOKUP(D302,'2.Bookinglist'!A:CT,43,FALSE)=0,"","DG")</f>
        <v/>
      </c>
      <c r="N302" s="56" t="str">
        <f>IF(RIGHT(K302,2)="RE","RF","")</f>
        <v/>
      </c>
      <c r="O302" s="54" t="str">
        <f>VLOOKUP(A302,'1.Loading'!A:R,3,FALSE)</f>
        <v>HMVY</v>
      </c>
      <c r="P302" s="54" t="str">
        <f>VLOOKUP(A302,'1.Loading'!A:R,4,FALSE)</f>
        <v>2609N</v>
      </c>
      <c r="Q302" s="54" t="str">
        <f>VLOOKUP(D302,'2.Bookinglist'!A:CT,12,FALSE)</f>
        <v>PCI2</v>
      </c>
      <c r="R302" s="56" t="str">
        <f>IF(LEFT(K302,2)="22","20'","40'")</f>
        <v>20'</v>
      </c>
      <c r="S302" s="38"/>
      <c r="T302" s="54" t="str">
        <f>VLOOKUP(A302,'1.Loading'!A:R,2,FALSE)</f>
        <v>2026-10-28</v>
      </c>
      <c r="U302" s="57">
        <f>T302-S302</f>
        <v>46323</v>
      </c>
      <c r="V302" s="58"/>
      <c r="W302" s="54" t="str">
        <f>VLOOKUP(A302,'3.GateMove'!A:D,4,FALSE)</f>
        <v>2026-10-16</v>
      </c>
      <c r="X302" s="57">
        <f>((T302-W302)+1)</f>
        <v>13</v>
      </c>
      <c r="Y302" s="59">
        <f>IF(AND(OR(C302="BKK01",C302="BKK04"),L302="CFS/CY"),0,IF(M302="DG",1,IF(LEFT(C302,3)="LCH",7,IF(C302="BKK02",5,3))))</f>
        <v>7</v>
      </c>
      <c r="Z302" s="57">
        <f>IF(IF(AND(AC302="TML",AB302&gt;0),((T302-W302)+1)-AB302,((T302-W302)+1)-Y302)&gt;0,IF(AND(AC302="TML",AB302&gt;0),((T302-W302)+1)-AB302,((T302-W302)+1)-Y302),0)</f>
        <v>6</v>
      </c>
      <c r="AA302" s="48">
        <f>IF(AND(B302="G1",M302=""),IF(R302="20'",
VLOOKUP(Z302,Charge!$K$2:$M$5,2,TRUE)+(Z302-VLOOKUP(Z302,Charge!$K$2:$M$5,1,TRUE))*VLOOKUP(Z302,Charge!$K$2:$M$5,3,TRUE),
VLOOKUP(Z302,Charge!$N$2:$P$5,2,TRUE)+(Z302-VLOOKUP(Z302,Charge!$N$2:$P$5,1,TRUE))*VLOOKUP(Z302,Charge!$N$2:$P$5,3,TRUE)),
IF(AND(B302="G1",M302="DG"),IF(R302="20'",
VLOOKUP(Z302,Charge!$R$2:$T$5,2,TRUE)+(Z302-VLOOKUP(Z302,Charge!$R$2:$T$5,1,TRUE))*VLOOKUP(Z302,Charge!$R$2:$T$5,3,TRUE),
VLOOKUP(Z302,Charge!$U$2:$W$5,2,TRUE)+(Z302-VLOOKUP(Z302,Charge!$U$2:$W$5,1,TRUE))*VLOOKUP(Z302,Charge!$U$2:$W$5,3,TRUE)),
IF(AND(B302="G3",M302=""),IF(R302="20'",
VLOOKUP(Z302,Charge!$K$18:$M$21,2,TRUE)+(Z302-VLOOKUP(Z302,Charge!$K$18:$M$21,1,TRUE))*VLOOKUP(Z302,Charge!$K$18:$M$21,3,TRUE),
VLOOKUP(Z302,Charge!$N$18:$P$21,2,TRUE)+(Z302-VLOOKUP(Z302,Charge!$N$18:$P$21,1,TRUE))*VLOOKUP(Z302,Charge!$N$18:$P$21,3,TRUE)),
IF(AND(B302="G3",M302="DG"),IF(R302="20'",
VLOOKUP(Z302,Charge!$R$18:$T$21,2,TRUE)+(Z302-VLOOKUP(Z302,Charge!$R$18:$T$21,1,TRUE))*VLOOKUP(Z302,Charge!$R$18:$T$21,3,TRUE),
VLOOKUP(Z302,Charge!$U$18:$W$21,2,TRUE)+(Z302-VLOOKUP(Z302,Charge!$U$18:$W$21,1,TRUE))*VLOOKUP(Z302,Charge!$U$18:$W$21,3,TRUE)),
IF(AND(B302="G2",M302=""),IF(R302="20'",
VLOOKUP(Z302,Charge!$K$9:$M$12,2,TRUE)+(Z302-VLOOKUP(Z302,Charge!$K$9:$M$12,1,TRUE))*VLOOKUP(Z302,Charge!$K$9:$M$12,3,TRUE),
VLOOKUP(Z302,Charge!$N$9:$P$12,2,TRUE)+(Z302-VLOOKUP(Z302,Charge!$N$9:$P$12,1,TRUE))*VLOOKUP(Z302,Charge!$N$9:$P$12,3,TRUE)),
IF(AND(B302="G2",M302="DG"),IF(R302="20'",
VLOOKUP(Z302,Charge!$R$9:$T$12,2,TRUE)+(Z302-VLOOKUP(Z302,Charge!$R$9:$T$12,1,TRUE))*VLOOKUP(Z302,Charge!$R$9:$T$12,3,TRUE),
VLOOKUP(Z302,Charge!$U$9:$W$12,2,TRUE)+(Z302-VLOOKUP(Z302,Charge!$U$9:$W$12,1,TRUE))*VLOOKUP(Z302,Charge!$U$9:$W$12,3,TRUE)),IF(AND(B302="G4",M302=""),IF(R302="20'",Z302*Charge!$M$25,Z302*Charge!$P$25),IF(AND(B302="G4",M302="DG"),IF(R302="20'",Z302*Charge!$T$25,Z302*Charge!$W$25),0))))))))</f>
        <v>750</v>
      </c>
      <c r="AB302" s="53"/>
      <c r="AC302" s="53"/>
      <c r="AD302" s="56">
        <f>IF(M302="DG",3,IF(N302="RF",3,5))+IF(AND(LEFT(C302,3)="BKK",N302="RF",Q302="KTS"),1,0)+IF(Q302="KHS",1,0)</f>
        <v>5</v>
      </c>
      <c r="AE302" s="57">
        <f>(T302-V302)+1</f>
        <v>46324</v>
      </c>
      <c r="AF302" s="57">
        <f>IF(AB302&gt;IF((V302-W302)&gt;0,V302-W302,0),0,IF(AB302&lt;IF((V302-W302)&gt;0,V302-W302,0),IF((V302-W302)&gt;0,V302-W302,0)-AB302,IF((V302-W302)&gt;0,V302-W302,0)))</f>
        <v>0</v>
      </c>
      <c r="AG302" s="48">
        <f>IF(AND(M302=""),IF(R302="20'",
VLOOKUP(AF302,Charge!$K$31:$M$34,2,TRUE)+(AF302-VLOOKUP(AF302,Charge!$K$31:$M$34,1,TRUE))*VLOOKUP(AF302,Charge!$K$31:$M$34,3,TRUE),
VLOOKUP(AF302,Charge!$N$31:$P$34,2,TRUE)+(AF302-VLOOKUP(AF302,Charge!$N$31:$P$34,1,TRUE))*VLOOKUP(AF302,Charge!$N$31:$P$34,3,TRUE)),
IF(AND(M302="DG"),IF(R302="20'",
VLOOKUP(AF302,Charge!$R$31:$T$34,2,TRUE)+(AF302-VLOOKUP(AF302,Charge!$R$31:$T$34,1,TRUE))*VLOOKUP(AF302,Charge!$R$31:$T$34,3,TRUE),
VLOOKUP(AF302,Charge!$U$31:$W$34,2,TRUE)+(AF302-VLOOKUP(AF302,Charge!$U$31:$W$34,1,TRUE))*VLOOKUP(AF302,Charge!$U$31:$W$34,3,TRUE)),0))</f>
        <v>0</v>
      </c>
      <c r="AH302" s="60"/>
      <c r="AI302" s="60">
        <f>AA302-AH302</f>
        <v>750</v>
      </c>
      <c r="AJ302" s="61"/>
      <c r="AK302" s="55" t="str">
        <f>VLOOKUP(D302,'2.Bookinglist'!A:CT,40,FALSE)</f>
        <v>Dharaporn</v>
      </c>
      <c r="AL302" s="56" t="str">
        <f>VLOOKUP(D302,'2.Bookinglist'!A:CW,101,FALSE)</f>
        <v>2026-10-14</v>
      </c>
      <c r="AM302" s="56" t="str">
        <f>VLOOKUP(D302,'2.Bookinglist'!A:BK,63,FALSE)</f>
        <v>LCHY5</v>
      </c>
      <c r="AN302" s="55" t="str">
        <f>VLOOKUP(D302,'2.Bookinglist'!A:AZ,52,FALSE)</f>
        <v>[FIX][FIX][FIX]SURVEY+CY :09/10/2026 RTN :10/10/2026
REQUEST SEA BULK CONTAIER + SURVEY EMPTY BEFORE PICK UP
</v>
      </c>
      <c r="AO302" s="55">
        <f>VLOOKUP(D302,'2.Bookinglist'!A:CY,103,FALSE)</f>
        <v>0</v>
      </c>
    </row>
    <row r="303" ht="12.95" customHeight="1" spans="1:41" x14ac:dyDescent="0.25">
      <c r="A303" s="3" t="s">
        <v>322</v>
      </c>
      <c r="B303" s="53" t="str">
        <f>IF(C303=Charge!$M$1,Charge!$J$1,IF(C303=Charge!$M$23,Charge!$J$23,IF(C303=Charge!$M$17,Charge!$J$17,IF(C303=Charge!$N$17,Charge!$J$17,Charge!$J$7))))</f>
        <v>G2</v>
      </c>
      <c r="C303" s="54" t="str">
        <f>VLOOKUP(A303,'1.Loading'!A:R,14,FALSE)</f>
        <v>LCH06</v>
      </c>
      <c r="D303" s="54" t="str">
        <f>VLOOKUP(A303,'1.Loading'!A:R,17,FALSE)</f>
        <v>HASLS22260901522</v>
      </c>
      <c r="E303" s="55" t="str">
        <f>VLOOKUP(D303,'2.Bookinglist'!A:CT,27,FALSE)</f>
        <v>WHA GC LOGISTICS COMPANY LIMITED</v>
      </c>
      <c r="F303" s="55" t="str">
        <f>VLOOKUP(D303,'2.Bookinglist'!A:CT,28,FALSE)</f>
        <v>PTT GLOBAL CHEMICAL PUBLIC COMPANY LIMITED</v>
      </c>
      <c r="G303" s="56">
        <f>VLOOKUP(D303,'2.Bookinglist'!A:E,5,FALSE)</f>
        <v>0</v>
      </c>
      <c r="H303" s="54" t="str">
        <f>VLOOKUP(D303,'2.Bookinglist'!A:CT,15,FALSE)</f>
        <v>THLCH</v>
      </c>
      <c r="I303" s="54" t="str">
        <f>VLOOKUP(D303,'2.Bookinglist'!A:CT,19,FALSE)</f>
        <v>JPKIJ</v>
      </c>
      <c r="J303" s="54" t="str">
        <f>VLOOKUP(D303,'2.Bookinglist'!A:CT,26,FALSE)</f>
        <v>KRPUS</v>
      </c>
      <c r="K303" s="54" t="str">
        <f>VLOOKUP(A303,'1.Loading'!A:R,5,FALSE)</f>
        <v>22GP</v>
      </c>
      <c r="L303" s="56" t="str">
        <f>VLOOKUP(D303,'2.Bookinglist'!A:CT,85,FALSE)</f>
        <v>CY/CY</v>
      </c>
      <c r="M303" s="56" t="str">
        <f>IF(VLOOKUP(D303,'2.Bookinglist'!A:CT,43,FALSE)=0,"","DG")</f>
        <v/>
      </c>
      <c r="N303" s="56" t="str">
        <f>IF(RIGHT(K303,2)="RE","RF","")</f>
        <v/>
      </c>
      <c r="O303" s="54" t="str">
        <f>VLOOKUP(A303,'1.Loading'!A:R,3,FALSE)</f>
        <v>HMVY</v>
      </c>
      <c r="P303" s="54" t="str">
        <f>VLOOKUP(A303,'1.Loading'!A:R,4,FALSE)</f>
        <v>2609N</v>
      </c>
      <c r="Q303" s="54" t="str">
        <f>VLOOKUP(D303,'2.Bookinglist'!A:CT,12,FALSE)</f>
        <v>PCI2</v>
      </c>
      <c r="R303" s="56" t="str">
        <f>IF(LEFT(K303,2)="22","20'","40'")</f>
        <v>20'</v>
      </c>
      <c r="S303" s="38"/>
      <c r="T303" s="54" t="str">
        <f>VLOOKUP(A303,'1.Loading'!A:R,2,FALSE)</f>
        <v>2026-10-28</v>
      </c>
      <c r="U303" s="57">
        <f>T303-S303</f>
        <v>46323</v>
      </c>
      <c r="V303" s="58"/>
      <c r="W303" s="54" t="str">
        <f>VLOOKUP(A303,'3.GateMove'!A:D,4,FALSE)</f>
        <v>2026-10-10</v>
      </c>
      <c r="X303" s="57">
        <f>((T303-W303)+1)</f>
        <v>19</v>
      </c>
      <c r="Y303" s="59">
        <f>IF(AND(OR(C303="BKK01",C303="BKK04"),L303="CFS/CY"),0,IF(M303="DG",1,IF(LEFT(C303,3)="LCH",7,IF(C303="BKK02",5,3))))</f>
        <v>7</v>
      </c>
      <c r="Z303" s="57">
        <f>IF(IF(AND(AC303="TML",AB303&gt;0),((T303-W303)+1)-AB303,((T303-W303)+1)-Y303)&gt;0,IF(AND(AC303="TML",AB303&gt;0),((T303-W303)+1)-AB303,((T303-W303)+1)-Y303),0)</f>
        <v>12</v>
      </c>
      <c r="AA303" s="48">
        <f>IF(AND(B303="G1",M303=""),IF(R303="20'",
VLOOKUP(Z303,Charge!$K$2:$M$5,2,TRUE)+(Z303-VLOOKUP(Z303,Charge!$K$2:$M$5,1,TRUE))*VLOOKUP(Z303,Charge!$K$2:$M$5,3,TRUE),
VLOOKUP(Z303,Charge!$N$2:$P$5,2,TRUE)+(Z303-VLOOKUP(Z303,Charge!$N$2:$P$5,1,TRUE))*VLOOKUP(Z303,Charge!$N$2:$P$5,3,TRUE)),
IF(AND(B303="G1",M303="DG"),IF(R303="20'",
VLOOKUP(Z303,Charge!$R$2:$T$5,2,TRUE)+(Z303-VLOOKUP(Z303,Charge!$R$2:$T$5,1,TRUE))*VLOOKUP(Z303,Charge!$R$2:$T$5,3,TRUE),
VLOOKUP(Z303,Charge!$U$2:$W$5,2,TRUE)+(Z303-VLOOKUP(Z303,Charge!$U$2:$W$5,1,TRUE))*VLOOKUP(Z303,Charge!$U$2:$W$5,3,TRUE)),
IF(AND(B303="G3",M303=""),IF(R303="20'",
VLOOKUP(Z303,Charge!$K$18:$M$21,2,TRUE)+(Z303-VLOOKUP(Z303,Charge!$K$18:$M$21,1,TRUE))*VLOOKUP(Z303,Charge!$K$18:$M$21,3,TRUE),
VLOOKUP(Z303,Charge!$N$18:$P$21,2,TRUE)+(Z303-VLOOKUP(Z303,Charge!$N$18:$P$21,1,TRUE))*VLOOKUP(Z303,Charge!$N$18:$P$21,3,TRUE)),
IF(AND(B303="G3",M303="DG"),IF(R303="20'",
VLOOKUP(Z303,Charge!$R$18:$T$21,2,TRUE)+(Z303-VLOOKUP(Z303,Charge!$R$18:$T$21,1,TRUE))*VLOOKUP(Z303,Charge!$R$18:$T$21,3,TRUE),
VLOOKUP(Z303,Charge!$U$18:$W$21,2,TRUE)+(Z303-VLOOKUP(Z303,Charge!$U$18:$W$21,1,TRUE))*VLOOKUP(Z303,Charge!$U$18:$W$21,3,TRUE)),
IF(AND(B303="G2",M303=""),IF(R303="20'",
VLOOKUP(Z303,Charge!$K$9:$M$12,2,TRUE)+(Z303-VLOOKUP(Z303,Charge!$K$9:$M$12,1,TRUE))*VLOOKUP(Z303,Charge!$K$9:$M$12,3,TRUE),
VLOOKUP(Z303,Charge!$N$9:$P$12,2,TRUE)+(Z303-VLOOKUP(Z303,Charge!$N$9:$P$12,1,TRUE))*VLOOKUP(Z303,Charge!$N$9:$P$12,3,TRUE)),
IF(AND(B303="G2",M303="DG"),IF(R303="20'",
VLOOKUP(Z303,Charge!$R$9:$T$12,2,TRUE)+(Z303-VLOOKUP(Z303,Charge!$R$9:$T$12,1,TRUE))*VLOOKUP(Z303,Charge!$R$9:$T$12,3,TRUE),
VLOOKUP(Z303,Charge!$U$9:$W$12,2,TRUE)+(Z303-VLOOKUP(Z303,Charge!$U$9:$W$12,1,TRUE))*VLOOKUP(Z303,Charge!$U$9:$W$12,3,TRUE)),IF(AND(B303="G4",M303=""),IF(R303="20'",Z303*Charge!$M$25,Z303*Charge!$P$25),IF(AND(B303="G4",M303="DG"),IF(R303="20'",Z303*Charge!$T$25,Z303*Charge!$W$25),0))))))))</f>
        <v>2125</v>
      </c>
      <c r="AB303" s="53"/>
      <c r="AC303" s="53"/>
      <c r="AD303" s="56">
        <f>IF(M303="DG",3,IF(N303="RF",3,5))+IF(AND(LEFT(C303,3)="BKK",N303="RF",Q303="KTS"),1,0)+IF(Q303="KHS",1,0)</f>
        <v>5</v>
      </c>
      <c r="AE303" s="57">
        <f>(T303-V303)+1</f>
        <v>46324</v>
      </c>
      <c r="AF303" s="57">
        <f>IF(AB303&gt;IF((V303-W303)&gt;0,V303-W303,0),0,IF(AB303&lt;IF((V303-W303)&gt;0,V303-W303,0),IF((V303-W303)&gt;0,V303-W303,0)-AB303,IF((V303-W303)&gt;0,V303-W303,0)))</f>
        <v>0</v>
      </c>
      <c r="AG303" s="48">
        <f>IF(AND(M303=""),IF(R303="20'",
VLOOKUP(AF303,Charge!$K$31:$M$34,2,TRUE)+(AF303-VLOOKUP(AF303,Charge!$K$31:$M$34,1,TRUE))*VLOOKUP(AF303,Charge!$K$31:$M$34,3,TRUE),
VLOOKUP(AF303,Charge!$N$31:$P$34,2,TRUE)+(AF303-VLOOKUP(AF303,Charge!$N$31:$P$34,1,TRUE))*VLOOKUP(AF303,Charge!$N$31:$P$34,3,TRUE)),
IF(AND(M303="DG"),IF(R303="20'",
VLOOKUP(AF303,Charge!$R$31:$T$34,2,TRUE)+(AF303-VLOOKUP(AF303,Charge!$R$31:$T$34,1,TRUE))*VLOOKUP(AF303,Charge!$R$31:$T$34,3,TRUE),
VLOOKUP(AF303,Charge!$U$31:$W$34,2,TRUE)+(AF303-VLOOKUP(AF303,Charge!$U$31:$W$34,1,TRUE))*VLOOKUP(AF303,Charge!$U$31:$W$34,3,TRUE)),0))</f>
        <v>0</v>
      </c>
      <c r="AH303" s="60"/>
      <c r="AI303" s="60">
        <f>AA303-AH303</f>
        <v>2125</v>
      </c>
      <c r="AJ303" s="61"/>
      <c r="AK303" s="55" t="str">
        <f>VLOOKUP(D303,'2.Bookinglist'!A:CT,40,FALSE)</f>
        <v>Dharaporn</v>
      </c>
      <c r="AL303" s="56" t="str">
        <f>VLOOKUP(D303,'2.Bookinglist'!A:CW,101,FALSE)</f>
        <v>2026-10-14</v>
      </c>
      <c r="AM303" s="56" t="str">
        <f>VLOOKUP(D303,'2.Bookinglist'!A:BK,63,FALSE)</f>
        <v>LCHY5</v>
      </c>
      <c r="AN303" s="55" t="str">
        <f>VLOOKUP(D303,'2.Bookinglist'!A:AZ,52,FALSE)</f>
        <v>CY-RTN 02-08/10/26 (PR2610002955)
*PLS CHECK OPEN GATE BEFORE RETURN CTNR*</v>
      </c>
      <c r="AO303" s="55">
        <f>VLOOKUP(D303,'2.Bookinglist'!A:CY,103,FALSE)</f>
        <v>0</v>
      </c>
    </row>
    <row r="304" ht="12.95" customHeight="1" spans="1:41" x14ac:dyDescent="0.25">
      <c r="A304" s="3" t="s">
        <v>180</v>
      </c>
      <c r="B304" s="53" t="str">
        <f>IF(C304=Charge!$M$1,Charge!$J$1,IF(C304=Charge!$M$23,Charge!$J$23,IF(C304=Charge!$M$17,Charge!$J$17,IF(C304=Charge!$N$17,Charge!$J$17,Charge!$J$7))))</f>
        <v>G2</v>
      </c>
      <c r="C304" s="54" t="str">
        <f>VLOOKUP(A304,'1.Loading'!A:R,14,FALSE)</f>
        <v>LCH06</v>
      </c>
      <c r="D304" s="54" t="str">
        <f>VLOOKUP(A304,'1.Loading'!A:R,17,FALSE)</f>
        <v>HASLS22261001467</v>
      </c>
      <c r="E304" s="55" t="str">
        <f>VLOOKUP(D304,'2.Bookinglist'!A:CT,27,FALSE)</f>
        <v>MANA GLOBAL LINK CO., LTD.</v>
      </c>
      <c r="F304" s="55" t="str">
        <f>VLOOKUP(D304,'2.Bookinglist'!A:CT,28,FALSE)</f>
        <v>FUZIN PLASTIC CO.,LTD.</v>
      </c>
      <c r="G304" s="56">
        <f>VLOOKUP(D304,'2.Bookinglist'!A:E,5,FALSE)</f>
        <v>0</v>
      </c>
      <c r="H304" s="54" t="str">
        <f>VLOOKUP(D304,'2.Bookinglist'!A:CT,15,FALSE)</f>
        <v>THLCH</v>
      </c>
      <c r="I304" s="54" t="str">
        <f>VLOOKUP(D304,'2.Bookinglist'!A:CT,19,FALSE)</f>
        <v>CNSHA</v>
      </c>
      <c r="J304" s="54">
        <f>VLOOKUP(D304,'2.Bookinglist'!A:CT,26,FALSE)</f>
        <v>0</v>
      </c>
      <c r="K304" s="54" t="str">
        <f>VLOOKUP(A304,'1.Loading'!A:R,5,FALSE)</f>
        <v>45GP</v>
      </c>
      <c r="L304" s="56" t="str">
        <f>VLOOKUP(D304,'2.Bookinglist'!A:CT,85,FALSE)</f>
        <v>CY/CY</v>
      </c>
      <c r="M304" s="56" t="str">
        <f>IF(VLOOKUP(D304,'2.Bookinglist'!A:CT,43,FALSE)=0,"","DG")</f>
        <v/>
      </c>
      <c r="N304" s="56" t="str">
        <f>IF(RIGHT(K304,2)="RE","RF","")</f>
        <v/>
      </c>
      <c r="O304" s="54" t="str">
        <f>VLOOKUP(A304,'1.Loading'!A:R,3,FALSE)</f>
        <v>HMVY</v>
      </c>
      <c r="P304" s="54" t="str">
        <f>VLOOKUP(A304,'1.Loading'!A:R,4,FALSE)</f>
        <v>2609N</v>
      </c>
      <c r="Q304" s="54" t="str">
        <f>VLOOKUP(D304,'2.Bookinglist'!A:CT,12,FALSE)</f>
        <v>PCI2</v>
      </c>
      <c r="R304" s="56" t="str">
        <f>IF(LEFT(K304,2)="22","20'","40'")</f>
        <v>40'</v>
      </c>
      <c r="S304" s="38"/>
      <c r="T304" s="54" t="str">
        <f>VLOOKUP(A304,'1.Loading'!A:R,2,FALSE)</f>
        <v>2026-10-28</v>
      </c>
      <c r="U304" s="57">
        <f>T304-S304</f>
        <v>46323</v>
      </c>
      <c r="V304" s="58"/>
      <c r="W304" s="54" t="str">
        <f>VLOOKUP(A304,'3.GateMove'!A:D,4,FALSE)</f>
        <v>2026-10-25</v>
      </c>
      <c r="X304" s="57">
        <f>((T304-W304)+1)</f>
        <v>4</v>
      </c>
      <c r="Y304" s="59">
        <f>IF(AND(OR(C304="BKK01",C304="BKK04"),L304="CFS/CY"),0,IF(M304="DG",1,IF(LEFT(C304,3)="LCH",7,IF(C304="BKK02",5,3))))</f>
        <v>7</v>
      </c>
      <c r="Z304" s="57">
        <f>IF(IF(AND(AC304="TML",AB304&gt;0),((T304-W304)+1)-AB304,((T304-W304)+1)-Y304)&gt;0,IF(AND(AC304="TML",AB304&gt;0),((T304-W304)+1)-AB304,((T304-W304)+1)-Y304),0)</f>
        <v>0</v>
      </c>
      <c r="AA304" s="48">
        <f>IF(AND(B304="G1",M304=""),IF(R304="20'",
VLOOKUP(Z304,Charge!$K$2:$M$5,2,TRUE)+(Z304-VLOOKUP(Z304,Charge!$K$2:$M$5,1,TRUE))*VLOOKUP(Z304,Charge!$K$2:$M$5,3,TRUE),
VLOOKUP(Z304,Charge!$N$2:$P$5,2,TRUE)+(Z304-VLOOKUP(Z304,Charge!$N$2:$P$5,1,TRUE))*VLOOKUP(Z304,Charge!$N$2:$P$5,3,TRUE)),
IF(AND(B304="G1",M304="DG"),IF(R304="20'",
VLOOKUP(Z304,Charge!$R$2:$T$5,2,TRUE)+(Z304-VLOOKUP(Z304,Charge!$R$2:$T$5,1,TRUE))*VLOOKUP(Z304,Charge!$R$2:$T$5,3,TRUE),
VLOOKUP(Z304,Charge!$U$2:$W$5,2,TRUE)+(Z304-VLOOKUP(Z304,Charge!$U$2:$W$5,1,TRUE))*VLOOKUP(Z304,Charge!$U$2:$W$5,3,TRUE)),
IF(AND(B304="G3",M304=""),IF(R304="20'",
VLOOKUP(Z304,Charge!$K$18:$M$21,2,TRUE)+(Z304-VLOOKUP(Z304,Charge!$K$18:$M$21,1,TRUE))*VLOOKUP(Z304,Charge!$K$18:$M$21,3,TRUE),
VLOOKUP(Z304,Charge!$N$18:$P$21,2,TRUE)+(Z304-VLOOKUP(Z304,Charge!$N$18:$P$21,1,TRUE))*VLOOKUP(Z304,Charge!$N$18:$P$21,3,TRUE)),
IF(AND(B304="G3",M304="DG"),IF(R304="20'",
VLOOKUP(Z304,Charge!$R$18:$T$21,2,TRUE)+(Z304-VLOOKUP(Z304,Charge!$R$18:$T$21,1,TRUE))*VLOOKUP(Z304,Charge!$R$18:$T$21,3,TRUE),
VLOOKUP(Z304,Charge!$U$18:$W$21,2,TRUE)+(Z304-VLOOKUP(Z304,Charge!$U$18:$W$21,1,TRUE))*VLOOKUP(Z304,Charge!$U$18:$W$21,3,TRUE)),
IF(AND(B304="G2",M304=""),IF(R304="20'",
VLOOKUP(Z304,Charge!$K$9:$M$12,2,TRUE)+(Z304-VLOOKUP(Z304,Charge!$K$9:$M$12,1,TRUE))*VLOOKUP(Z304,Charge!$K$9:$M$12,3,TRUE),
VLOOKUP(Z304,Charge!$N$9:$P$12,2,TRUE)+(Z304-VLOOKUP(Z304,Charge!$N$9:$P$12,1,TRUE))*VLOOKUP(Z304,Charge!$N$9:$P$12,3,TRUE)),
IF(AND(B304="G2",M304="DG"),IF(R304="20'",
VLOOKUP(Z304,Charge!$R$9:$T$12,2,TRUE)+(Z304-VLOOKUP(Z304,Charge!$R$9:$T$12,1,TRUE))*VLOOKUP(Z304,Charge!$R$9:$T$12,3,TRUE),
VLOOKUP(Z304,Charge!$U$9:$W$12,2,TRUE)+(Z304-VLOOKUP(Z304,Charge!$U$9:$W$12,1,TRUE))*VLOOKUP(Z304,Charge!$U$9:$W$12,3,TRUE)),IF(AND(B304="G4",M304=""),IF(R304="20'",Z304*Charge!$M$25,Z304*Charge!$P$25),IF(AND(B304="G4",M304="DG"),IF(R304="20'",Z304*Charge!$T$25,Z304*Charge!$W$25),0))))))))</f>
        <v>0</v>
      </c>
      <c r="AB304" s="53"/>
      <c r="AC304" s="53"/>
      <c r="AD304" s="56">
        <f>IF(M304="DG",3,IF(N304="RF",3,5))+IF(AND(LEFT(C304,3)="BKK",N304="RF",Q304="KTS"),1,0)+IF(Q304="KHS",1,0)</f>
        <v>5</v>
      </c>
      <c r="AE304" s="57">
        <f>(T304-V304)+1</f>
        <v>46324</v>
      </c>
      <c r="AF304" s="57">
        <f>IF(AB304&gt;IF((V304-W304)&gt;0,V304-W304,0),0,IF(AB304&lt;IF((V304-W304)&gt;0,V304-W304,0),IF((V304-W304)&gt;0,V304-W304,0)-AB304,IF((V304-W304)&gt;0,V304-W304,0)))</f>
        <v>0</v>
      </c>
      <c r="AG304" s="48">
        <f>IF(AND(M304=""),IF(R304="20'",
VLOOKUP(AF304,Charge!$K$31:$M$34,2,TRUE)+(AF304-VLOOKUP(AF304,Charge!$K$31:$M$34,1,TRUE))*VLOOKUP(AF304,Charge!$K$31:$M$34,3,TRUE),
VLOOKUP(AF304,Charge!$N$31:$P$34,2,TRUE)+(AF304-VLOOKUP(AF304,Charge!$N$31:$P$34,1,TRUE))*VLOOKUP(AF304,Charge!$N$31:$P$34,3,TRUE)),
IF(AND(M304="DG"),IF(R304="20'",
VLOOKUP(AF304,Charge!$R$31:$T$34,2,TRUE)+(AF304-VLOOKUP(AF304,Charge!$R$31:$T$34,1,TRUE))*VLOOKUP(AF304,Charge!$R$31:$T$34,3,TRUE),
VLOOKUP(AF304,Charge!$U$31:$W$34,2,TRUE)+(AF304-VLOOKUP(AF304,Charge!$U$31:$W$34,1,TRUE))*VLOOKUP(AF304,Charge!$U$31:$W$34,3,TRUE)),0))</f>
        <v>0</v>
      </c>
      <c r="AH304" s="60"/>
      <c r="AI304" s="60">
        <f>AA304-AH304</f>
        <v>0</v>
      </c>
      <c r="AJ304" s="61"/>
      <c r="AK304" s="55" t="str">
        <f>VLOOKUP(D304,'2.Bookinglist'!A:CT,40,FALSE)</f>
        <v>Nannaapust Sukporntaweewat</v>
      </c>
      <c r="AL304" s="56" t="str">
        <f>VLOOKUP(D304,'2.Bookinglist'!A:CW,101,FALSE)</f>
        <v>2026-10-28</v>
      </c>
      <c r="AM304" s="56" t="str">
        <f>VLOOKUP(D304,'2.Bookinglist'!A:BK,63,FALSE)</f>
        <v>LCHY5</v>
      </c>
      <c r="AN304" s="55" t="str">
        <f>VLOOKUP(D304,'2.Bookinglist'!A:AZ,52,FALSE)</f>
        <v>Pickup : 2026-10-21, Return : 2026-10-23*1ST RETURN CNTR DD.23/10/2026 WITHOUT RENT*
</v>
      </c>
      <c r="AO304" s="55" t="str">
        <f>VLOOKUP(D304,'2.Bookinglist'!A:CY,103,FALSE)</f>
        <v>ROLL OVER FROM PREVIOUS VSL HAB 2612N BY ALLOCATION TEAM MS.TAN APPROVED COST IS UNDER HA DD.26/10</v>
      </c>
    </row>
    <row r="305" ht="12.95" customHeight="1" spans="1:41" x14ac:dyDescent="0.25">
      <c r="A305" s="3" t="s">
        <v>147</v>
      </c>
      <c r="B305" s="53" t="str">
        <f>IF(C305=Charge!$M$1,Charge!$J$1,IF(C305=Charge!$M$23,Charge!$J$23,IF(C305=Charge!$M$17,Charge!$J$17,IF(C305=Charge!$N$17,Charge!$J$17,Charge!$J$7))))</f>
        <v>G2</v>
      </c>
      <c r="C305" s="54" t="str">
        <f>VLOOKUP(A305,'1.Loading'!A:R,14,FALSE)</f>
        <v>LCH06</v>
      </c>
      <c r="D305" s="54" t="str">
        <f>VLOOKUP(A305,'1.Loading'!A:R,17,FALSE)</f>
        <v>HASLS22261000285</v>
      </c>
      <c r="E305" s="55" t="str">
        <f>VLOOKUP(D305,'2.Bookinglist'!A:CT,27,FALSE)</f>
        <v>AGC VINYTHAI PUBLIC COMPANY LIMITED</v>
      </c>
      <c r="F305" s="55" t="str">
        <f>VLOOKUP(D305,'2.Bookinglist'!A:CT,28,FALSE)</f>
        <v>AGC VINYTHAI PUBLIC COMPANY LIMITED</v>
      </c>
      <c r="G305" s="56">
        <f>VLOOKUP(D305,'2.Bookinglist'!A:E,5,FALSE)</f>
        <v>0</v>
      </c>
      <c r="H305" s="54" t="str">
        <f>VLOOKUP(D305,'2.Bookinglist'!A:CT,15,FALSE)</f>
        <v>THLCH</v>
      </c>
      <c r="I305" s="54" t="str">
        <f>VLOOKUP(D305,'2.Bookinglist'!A:CT,19,FALSE)</f>
        <v>CNSHA</v>
      </c>
      <c r="J305" s="54">
        <f>VLOOKUP(D305,'2.Bookinglist'!A:CT,26,FALSE)</f>
        <v>0</v>
      </c>
      <c r="K305" s="54" t="str">
        <f>VLOOKUP(A305,'1.Loading'!A:R,5,FALSE)</f>
        <v>45GP</v>
      </c>
      <c r="L305" s="56" t="str">
        <f>VLOOKUP(D305,'2.Bookinglist'!A:CT,85,FALSE)</f>
        <v>CY/CY</v>
      </c>
      <c r="M305" s="56" t="str">
        <f>IF(VLOOKUP(D305,'2.Bookinglist'!A:CT,43,FALSE)=0,"","DG")</f>
        <v/>
      </c>
      <c r="N305" s="56" t="str">
        <f>IF(RIGHT(K305,2)="RE","RF","")</f>
        <v/>
      </c>
      <c r="O305" s="54" t="str">
        <f>VLOOKUP(A305,'1.Loading'!A:R,3,FALSE)</f>
        <v>HMVY</v>
      </c>
      <c r="P305" s="54" t="str">
        <f>VLOOKUP(A305,'1.Loading'!A:R,4,FALSE)</f>
        <v>2609N</v>
      </c>
      <c r="Q305" s="54" t="str">
        <f>VLOOKUP(D305,'2.Bookinglist'!A:CT,12,FALSE)</f>
        <v>PCI2</v>
      </c>
      <c r="R305" s="56" t="str">
        <f>IF(LEFT(K305,2)="22","20'","40'")</f>
        <v>40'</v>
      </c>
      <c r="S305" s="38"/>
      <c r="T305" s="54" t="str">
        <f>VLOOKUP(A305,'1.Loading'!A:R,2,FALSE)</f>
        <v>2026-10-28</v>
      </c>
      <c r="U305" s="57">
        <f>T305-S305</f>
        <v>46323</v>
      </c>
      <c r="V305" s="58"/>
      <c r="W305" s="54" t="str">
        <f>VLOOKUP(A305,'3.GateMove'!A:D,4,FALSE)</f>
        <v>2026-10-19</v>
      </c>
      <c r="X305" s="57">
        <f>((T305-W305)+1)</f>
        <v>10</v>
      </c>
      <c r="Y305" s="59">
        <f>IF(AND(OR(C305="BKK01",C305="BKK04"),L305="CFS/CY"),0,IF(M305="DG",1,IF(LEFT(C305,3)="LCH",7,IF(C305="BKK02",5,3))))</f>
        <v>7</v>
      </c>
      <c r="Z305" s="57">
        <f>IF(IF(AND(AC305="TML",AB305&gt;0),((T305-W305)+1)-AB305,((T305-W305)+1)-Y305)&gt;0,IF(AND(AC305="TML",AB305&gt;0),((T305-W305)+1)-AB305,((T305-W305)+1)-Y305),0)</f>
        <v>3</v>
      </c>
      <c r="AA305" s="48">
        <f>IF(AND(B305="G1",M305=""),IF(R305="20'",
VLOOKUP(Z305,Charge!$K$2:$M$5,2,TRUE)+(Z305-VLOOKUP(Z305,Charge!$K$2:$M$5,1,TRUE))*VLOOKUP(Z305,Charge!$K$2:$M$5,3,TRUE),
VLOOKUP(Z305,Charge!$N$2:$P$5,2,TRUE)+(Z305-VLOOKUP(Z305,Charge!$N$2:$P$5,1,TRUE))*VLOOKUP(Z305,Charge!$N$2:$P$5,3,TRUE)),
IF(AND(B305="G1",M305="DG"),IF(R305="20'",
VLOOKUP(Z305,Charge!$R$2:$T$5,2,TRUE)+(Z305-VLOOKUP(Z305,Charge!$R$2:$T$5,1,TRUE))*VLOOKUP(Z305,Charge!$R$2:$T$5,3,TRUE),
VLOOKUP(Z305,Charge!$U$2:$W$5,2,TRUE)+(Z305-VLOOKUP(Z305,Charge!$U$2:$W$5,1,TRUE))*VLOOKUP(Z305,Charge!$U$2:$W$5,3,TRUE)),
IF(AND(B305="G3",M305=""),IF(R305="20'",
VLOOKUP(Z305,Charge!$K$18:$M$21,2,TRUE)+(Z305-VLOOKUP(Z305,Charge!$K$18:$M$21,1,TRUE))*VLOOKUP(Z305,Charge!$K$18:$M$21,3,TRUE),
VLOOKUP(Z305,Charge!$N$18:$P$21,2,TRUE)+(Z305-VLOOKUP(Z305,Charge!$N$18:$P$21,1,TRUE))*VLOOKUP(Z305,Charge!$N$18:$P$21,3,TRUE)),
IF(AND(B305="G3",M305="DG"),IF(R305="20'",
VLOOKUP(Z305,Charge!$R$18:$T$21,2,TRUE)+(Z305-VLOOKUP(Z305,Charge!$R$18:$T$21,1,TRUE))*VLOOKUP(Z305,Charge!$R$18:$T$21,3,TRUE),
VLOOKUP(Z305,Charge!$U$18:$W$21,2,TRUE)+(Z305-VLOOKUP(Z305,Charge!$U$18:$W$21,1,TRUE))*VLOOKUP(Z305,Charge!$U$18:$W$21,3,TRUE)),
IF(AND(B305="G2",M305=""),IF(R305="20'",
VLOOKUP(Z305,Charge!$K$9:$M$12,2,TRUE)+(Z305-VLOOKUP(Z305,Charge!$K$9:$M$12,1,TRUE))*VLOOKUP(Z305,Charge!$K$9:$M$12,3,TRUE),
VLOOKUP(Z305,Charge!$N$9:$P$12,2,TRUE)+(Z305-VLOOKUP(Z305,Charge!$N$9:$P$12,1,TRUE))*VLOOKUP(Z305,Charge!$N$9:$P$12,3,TRUE)),
IF(AND(B305="G2",M305="DG"),IF(R305="20'",
VLOOKUP(Z305,Charge!$R$9:$T$12,2,TRUE)+(Z305-VLOOKUP(Z305,Charge!$R$9:$T$12,1,TRUE))*VLOOKUP(Z305,Charge!$R$9:$T$12,3,TRUE),
VLOOKUP(Z305,Charge!$U$9:$W$12,2,TRUE)+(Z305-VLOOKUP(Z305,Charge!$U$9:$W$12,1,TRUE))*VLOOKUP(Z305,Charge!$U$9:$W$12,3,TRUE)),IF(AND(B305="G4",M305=""),IF(R305="20'",Z305*Charge!$M$25,Z305*Charge!$P$25),IF(AND(B305="G4",M305="DG"),IF(R305="20'",Z305*Charge!$T$25,Z305*Charge!$W$25),0))))))))</f>
        <v>750</v>
      </c>
      <c r="AB305" s="53"/>
      <c r="AC305" s="53"/>
      <c r="AD305" s="56">
        <f>IF(M305="DG",3,IF(N305="RF",3,5))+IF(AND(LEFT(C305,3)="BKK",N305="RF",Q305="KTS"),1,0)+IF(Q305="KHS",1,0)</f>
        <v>5</v>
      </c>
      <c r="AE305" s="57">
        <f>(T305-V305)+1</f>
        <v>46324</v>
      </c>
      <c r="AF305" s="57">
        <f>IF(AB305&gt;IF((V305-W305)&gt;0,V305-W305,0),0,IF(AB305&lt;IF((V305-W305)&gt;0,V305-W305,0),IF((V305-W305)&gt;0,V305-W305,0)-AB305,IF((V305-W305)&gt;0,V305-W305,0)))</f>
        <v>0</v>
      </c>
      <c r="AG305" s="48">
        <f>IF(AND(M305=""),IF(R305="20'",
VLOOKUP(AF305,Charge!$K$31:$M$34,2,TRUE)+(AF305-VLOOKUP(AF305,Charge!$K$31:$M$34,1,TRUE))*VLOOKUP(AF305,Charge!$K$31:$M$34,3,TRUE),
VLOOKUP(AF305,Charge!$N$31:$P$34,2,TRUE)+(AF305-VLOOKUP(AF305,Charge!$N$31:$P$34,1,TRUE))*VLOOKUP(AF305,Charge!$N$31:$P$34,3,TRUE)),
IF(AND(M305="DG"),IF(R305="20'",
VLOOKUP(AF305,Charge!$R$31:$T$34,2,TRUE)+(AF305-VLOOKUP(AF305,Charge!$R$31:$T$34,1,TRUE))*VLOOKUP(AF305,Charge!$R$31:$T$34,3,TRUE),
VLOOKUP(AF305,Charge!$U$31:$W$34,2,TRUE)+(AF305-VLOOKUP(AF305,Charge!$U$31:$W$34,1,TRUE))*VLOOKUP(AF305,Charge!$U$31:$W$34,3,TRUE)),0))</f>
        <v>0</v>
      </c>
      <c r="AH305" s="60"/>
      <c r="AI305" s="60">
        <f>AA305-AH305</f>
        <v>750</v>
      </c>
      <c r="AJ305" s="61"/>
      <c r="AK305" s="55" t="str">
        <f>VLOOKUP(D305,'2.Bookinglist'!A:CT,40,FALSE)</f>
        <v>Nannaapust Sukporntaweewat</v>
      </c>
      <c r="AL305" s="56" t="str">
        <f>VLOOKUP(D305,'2.Bookinglist'!A:CW,101,FALSE)</f>
        <v>2026-10-24</v>
      </c>
      <c r="AM305" s="56" t="str">
        <f>VLOOKUP(D305,'2.Bookinglist'!A:BK,63,FALSE)</f>
        <v>LCHY5</v>
      </c>
      <c r="AN305" s="55" t="str">
        <f>VLOOKUP(D305,'2.Bookinglist'!A:AZ,52,FALSE)</f>
        <v>Pickup : 2026-10-15, Return : 2026-10-16</v>
      </c>
      <c r="AO305" s="55">
        <f>VLOOKUP(D305,'2.Bookinglist'!A:CY,103,FALSE)</f>
        <v>0</v>
      </c>
    </row>
    <row r="306" ht="12.95" customHeight="1" spans="1:41" x14ac:dyDescent="0.25">
      <c r="A306" s="3" t="s">
        <v>148</v>
      </c>
      <c r="B306" s="53" t="str">
        <f>IF(C306=Charge!$M$1,Charge!$J$1,IF(C306=Charge!$M$23,Charge!$J$23,IF(C306=Charge!$M$17,Charge!$J$17,IF(C306=Charge!$N$17,Charge!$J$17,Charge!$J$7))))</f>
        <v>G2</v>
      </c>
      <c r="C306" s="54" t="str">
        <f>VLOOKUP(A306,'1.Loading'!A:R,14,FALSE)</f>
        <v>LCH06</v>
      </c>
      <c r="D306" s="54" t="str">
        <f>VLOOKUP(A306,'1.Loading'!A:R,17,FALSE)</f>
        <v>HASLS22261000285</v>
      </c>
      <c r="E306" s="55" t="str">
        <f>VLOOKUP(D306,'2.Bookinglist'!A:CT,27,FALSE)</f>
        <v>AGC VINYTHAI PUBLIC COMPANY LIMITED</v>
      </c>
      <c r="F306" s="55" t="str">
        <f>VLOOKUP(D306,'2.Bookinglist'!A:CT,28,FALSE)</f>
        <v>AGC VINYTHAI PUBLIC COMPANY LIMITED</v>
      </c>
      <c r="G306" s="56">
        <f>VLOOKUP(D306,'2.Bookinglist'!A:E,5,FALSE)</f>
        <v>0</v>
      </c>
      <c r="H306" s="54" t="str">
        <f>VLOOKUP(D306,'2.Bookinglist'!A:CT,15,FALSE)</f>
        <v>THLCH</v>
      </c>
      <c r="I306" s="54" t="str">
        <f>VLOOKUP(D306,'2.Bookinglist'!A:CT,19,FALSE)</f>
        <v>CNSHA</v>
      </c>
      <c r="J306" s="54">
        <f>VLOOKUP(D306,'2.Bookinglist'!A:CT,26,FALSE)</f>
        <v>0</v>
      </c>
      <c r="K306" s="54" t="str">
        <f>VLOOKUP(A306,'1.Loading'!A:R,5,FALSE)</f>
        <v>45GP</v>
      </c>
      <c r="L306" s="56" t="str">
        <f>VLOOKUP(D306,'2.Bookinglist'!A:CT,85,FALSE)</f>
        <v>CY/CY</v>
      </c>
      <c r="M306" s="56" t="str">
        <f>IF(VLOOKUP(D306,'2.Bookinglist'!A:CT,43,FALSE)=0,"","DG")</f>
        <v/>
      </c>
      <c r="N306" s="56" t="str">
        <f>IF(RIGHT(K306,2)="RE","RF","")</f>
        <v/>
      </c>
      <c r="O306" s="54" t="str">
        <f>VLOOKUP(A306,'1.Loading'!A:R,3,FALSE)</f>
        <v>HMVY</v>
      </c>
      <c r="P306" s="54" t="str">
        <f>VLOOKUP(A306,'1.Loading'!A:R,4,FALSE)</f>
        <v>2609N</v>
      </c>
      <c r="Q306" s="54" t="str">
        <f>VLOOKUP(D306,'2.Bookinglist'!A:CT,12,FALSE)</f>
        <v>PCI2</v>
      </c>
      <c r="R306" s="56" t="str">
        <f>IF(LEFT(K306,2)="22","20'","40'")</f>
        <v>40'</v>
      </c>
      <c r="S306" s="38"/>
      <c r="T306" s="54" t="str">
        <f>VLOOKUP(A306,'1.Loading'!A:R,2,FALSE)</f>
        <v>2026-10-28</v>
      </c>
      <c r="U306" s="57">
        <f>T306-S306</f>
        <v>46323</v>
      </c>
      <c r="V306" s="58"/>
      <c r="W306" s="54" t="str">
        <f>VLOOKUP(A306,'3.GateMove'!A:D,4,FALSE)</f>
        <v>2026-10-19</v>
      </c>
      <c r="X306" s="57">
        <f>((T306-W306)+1)</f>
        <v>10</v>
      </c>
      <c r="Y306" s="59">
        <f>IF(AND(OR(C306="BKK01",C306="BKK04"),L306="CFS/CY"),0,IF(M306="DG",1,IF(LEFT(C306,3)="LCH",7,IF(C306="BKK02",5,3))))</f>
        <v>7</v>
      </c>
      <c r="Z306" s="57">
        <f>IF(IF(AND(AC306="TML",AB306&gt;0),((T306-W306)+1)-AB306,((T306-W306)+1)-Y306)&gt;0,IF(AND(AC306="TML",AB306&gt;0),((T306-W306)+1)-AB306,((T306-W306)+1)-Y306),0)</f>
        <v>3</v>
      </c>
      <c r="AA306" s="48">
        <f>IF(AND(B306="G1",M306=""),IF(R306="20'",
VLOOKUP(Z306,Charge!$K$2:$M$5,2,TRUE)+(Z306-VLOOKUP(Z306,Charge!$K$2:$M$5,1,TRUE))*VLOOKUP(Z306,Charge!$K$2:$M$5,3,TRUE),
VLOOKUP(Z306,Charge!$N$2:$P$5,2,TRUE)+(Z306-VLOOKUP(Z306,Charge!$N$2:$P$5,1,TRUE))*VLOOKUP(Z306,Charge!$N$2:$P$5,3,TRUE)),
IF(AND(B306="G1",M306="DG"),IF(R306="20'",
VLOOKUP(Z306,Charge!$R$2:$T$5,2,TRUE)+(Z306-VLOOKUP(Z306,Charge!$R$2:$T$5,1,TRUE))*VLOOKUP(Z306,Charge!$R$2:$T$5,3,TRUE),
VLOOKUP(Z306,Charge!$U$2:$W$5,2,TRUE)+(Z306-VLOOKUP(Z306,Charge!$U$2:$W$5,1,TRUE))*VLOOKUP(Z306,Charge!$U$2:$W$5,3,TRUE)),
IF(AND(B306="G3",M306=""),IF(R306="20'",
VLOOKUP(Z306,Charge!$K$18:$M$21,2,TRUE)+(Z306-VLOOKUP(Z306,Charge!$K$18:$M$21,1,TRUE))*VLOOKUP(Z306,Charge!$K$18:$M$21,3,TRUE),
VLOOKUP(Z306,Charge!$N$18:$P$21,2,TRUE)+(Z306-VLOOKUP(Z306,Charge!$N$18:$P$21,1,TRUE))*VLOOKUP(Z306,Charge!$N$18:$P$21,3,TRUE)),
IF(AND(B306="G3",M306="DG"),IF(R306="20'",
VLOOKUP(Z306,Charge!$R$18:$T$21,2,TRUE)+(Z306-VLOOKUP(Z306,Charge!$R$18:$T$21,1,TRUE))*VLOOKUP(Z306,Charge!$R$18:$T$21,3,TRUE),
VLOOKUP(Z306,Charge!$U$18:$W$21,2,TRUE)+(Z306-VLOOKUP(Z306,Charge!$U$18:$W$21,1,TRUE))*VLOOKUP(Z306,Charge!$U$18:$W$21,3,TRUE)),
IF(AND(B306="G2",M306=""),IF(R306="20'",
VLOOKUP(Z306,Charge!$K$9:$M$12,2,TRUE)+(Z306-VLOOKUP(Z306,Charge!$K$9:$M$12,1,TRUE))*VLOOKUP(Z306,Charge!$K$9:$M$12,3,TRUE),
VLOOKUP(Z306,Charge!$N$9:$P$12,2,TRUE)+(Z306-VLOOKUP(Z306,Charge!$N$9:$P$12,1,TRUE))*VLOOKUP(Z306,Charge!$N$9:$P$12,3,TRUE)),
IF(AND(B306="G2",M306="DG"),IF(R306="20'",
VLOOKUP(Z306,Charge!$R$9:$T$12,2,TRUE)+(Z306-VLOOKUP(Z306,Charge!$R$9:$T$12,1,TRUE))*VLOOKUP(Z306,Charge!$R$9:$T$12,3,TRUE),
VLOOKUP(Z306,Charge!$U$9:$W$12,2,TRUE)+(Z306-VLOOKUP(Z306,Charge!$U$9:$W$12,1,TRUE))*VLOOKUP(Z306,Charge!$U$9:$W$12,3,TRUE)),IF(AND(B306="G4",M306=""),IF(R306="20'",Z306*Charge!$M$25,Z306*Charge!$P$25),IF(AND(B306="G4",M306="DG"),IF(R306="20'",Z306*Charge!$T$25,Z306*Charge!$W$25),0))))))))</f>
        <v>750</v>
      </c>
      <c r="AB306" s="53"/>
      <c r="AC306" s="53"/>
      <c r="AD306" s="56">
        <f>IF(M306="DG",3,IF(N306="RF",3,5))+IF(AND(LEFT(C306,3)="BKK",N306="RF",Q306="KTS"),1,0)+IF(Q306="KHS",1,0)</f>
        <v>5</v>
      </c>
      <c r="AE306" s="57">
        <f>(T306-V306)+1</f>
        <v>46324</v>
      </c>
      <c r="AF306" s="57">
        <f>IF(AB306&gt;IF((V306-W306)&gt;0,V306-W306,0),0,IF(AB306&lt;IF((V306-W306)&gt;0,V306-W306,0),IF((V306-W306)&gt;0,V306-W306,0)-AB306,IF((V306-W306)&gt;0,V306-W306,0)))</f>
        <v>0</v>
      </c>
      <c r="AG306" s="48">
        <f>IF(AND(M306=""),IF(R306="20'",
VLOOKUP(AF306,Charge!$K$31:$M$34,2,TRUE)+(AF306-VLOOKUP(AF306,Charge!$K$31:$M$34,1,TRUE))*VLOOKUP(AF306,Charge!$K$31:$M$34,3,TRUE),
VLOOKUP(AF306,Charge!$N$31:$P$34,2,TRUE)+(AF306-VLOOKUP(AF306,Charge!$N$31:$P$34,1,TRUE))*VLOOKUP(AF306,Charge!$N$31:$P$34,3,TRUE)),
IF(AND(M306="DG"),IF(R306="20'",
VLOOKUP(AF306,Charge!$R$31:$T$34,2,TRUE)+(AF306-VLOOKUP(AF306,Charge!$R$31:$T$34,1,TRUE))*VLOOKUP(AF306,Charge!$R$31:$T$34,3,TRUE),
VLOOKUP(AF306,Charge!$U$31:$W$34,2,TRUE)+(AF306-VLOOKUP(AF306,Charge!$U$31:$W$34,1,TRUE))*VLOOKUP(AF306,Charge!$U$31:$W$34,3,TRUE)),0))</f>
        <v>0</v>
      </c>
      <c r="AH306" s="60"/>
      <c r="AI306" s="60">
        <f>AA306-AH306</f>
        <v>750</v>
      </c>
      <c r="AJ306" s="61"/>
      <c r="AK306" s="55" t="str">
        <f>VLOOKUP(D306,'2.Bookinglist'!A:CT,40,FALSE)</f>
        <v>Nannaapust Sukporntaweewat</v>
      </c>
      <c r="AL306" s="56" t="str">
        <f>VLOOKUP(D306,'2.Bookinglist'!A:CW,101,FALSE)</f>
        <v>2026-10-24</v>
      </c>
      <c r="AM306" s="56" t="str">
        <f>VLOOKUP(D306,'2.Bookinglist'!A:BK,63,FALSE)</f>
        <v>LCHY5</v>
      </c>
      <c r="AN306" s="55" t="str">
        <f>VLOOKUP(D306,'2.Bookinglist'!A:AZ,52,FALSE)</f>
        <v>Pickup : 2026-10-15, Return : 2026-10-16</v>
      </c>
      <c r="AO306" s="55">
        <f>VLOOKUP(D306,'2.Bookinglist'!A:CY,103,FALSE)</f>
        <v>0</v>
      </c>
    </row>
    <row r="307" ht="12.95" customHeight="1" spans="1:41" x14ac:dyDescent="0.25">
      <c r="A307" s="3" t="s">
        <v>153</v>
      </c>
      <c r="B307" s="53" t="str">
        <f>IF(C307=Charge!$M$1,Charge!$J$1,IF(C307=Charge!$M$23,Charge!$J$23,IF(C307=Charge!$M$17,Charge!$J$17,IF(C307=Charge!$N$17,Charge!$J$17,Charge!$J$7))))</f>
        <v>G2</v>
      </c>
      <c r="C307" s="54" t="str">
        <f>VLOOKUP(A307,'1.Loading'!A:R,14,FALSE)</f>
        <v>LCH06</v>
      </c>
      <c r="D307" s="54" t="str">
        <f>VLOOKUP(A307,'1.Loading'!A:R,17,FALSE)</f>
        <v>HASLS22261000876</v>
      </c>
      <c r="E307" s="55" t="str">
        <f>VLOOKUP(D307,'2.Bookinglist'!A:CT,27,FALSE)</f>
        <v>SUN-OCEAN GLOBAL SUPPLY CHAIN CO., LTD.</v>
      </c>
      <c r="F307" s="55" t="str">
        <f>VLOOKUP(D307,'2.Bookinglist'!A:CT,28,FALSE)</f>
        <v>I.P. ONE COMPANY LIMITED</v>
      </c>
      <c r="G307" s="56" t="str">
        <f>VLOOKUP(D307,'2.Bookinglist'!A:E,5,FALSE)</f>
        <v>THSRP</v>
      </c>
      <c r="H307" s="54" t="str">
        <f>VLOOKUP(D307,'2.Bookinglist'!A:CT,15,FALSE)</f>
        <v>THLCH</v>
      </c>
      <c r="I307" s="54" t="str">
        <f>VLOOKUP(D307,'2.Bookinglist'!A:CT,19,FALSE)</f>
        <v>CNSHA</v>
      </c>
      <c r="J307" s="54">
        <f>VLOOKUP(D307,'2.Bookinglist'!A:CT,26,FALSE)</f>
        <v>0</v>
      </c>
      <c r="K307" s="54" t="str">
        <f>VLOOKUP(A307,'1.Loading'!A:R,5,FALSE)</f>
        <v>45GP</v>
      </c>
      <c r="L307" s="56" t="str">
        <f>VLOOKUP(D307,'2.Bookinglist'!A:CT,85,FALSE)</f>
        <v>CY/CY</v>
      </c>
      <c r="M307" s="56" t="str">
        <f>IF(VLOOKUP(D307,'2.Bookinglist'!A:CT,43,FALSE)=0,"","DG")</f>
        <v/>
      </c>
      <c r="N307" s="56" t="str">
        <f>IF(RIGHT(K307,2)="RE","RF","")</f>
        <v/>
      </c>
      <c r="O307" s="54" t="str">
        <f>VLOOKUP(A307,'1.Loading'!A:R,3,FALSE)</f>
        <v>HMVY</v>
      </c>
      <c r="P307" s="54" t="str">
        <f>VLOOKUP(A307,'1.Loading'!A:R,4,FALSE)</f>
        <v>2609N</v>
      </c>
      <c r="Q307" s="54" t="str">
        <f>VLOOKUP(D307,'2.Bookinglist'!A:CT,12,FALSE)</f>
        <v>PCI2</v>
      </c>
      <c r="R307" s="56" t="str">
        <f>IF(LEFT(K307,2)="22","20'","40'")</f>
        <v>40'</v>
      </c>
      <c r="S307" s="38"/>
      <c r="T307" s="54" t="str">
        <f>VLOOKUP(A307,'1.Loading'!A:R,2,FALSE)</f>
        <v>2026-10-28</v>
      </c>
      <c r="U307" s="57">
        <f>T307-S307</f>
        <v>46323</v>
      </c>
      <c r="V307" s="58"/>
      <c r="W307" s="54" t="str">
        <f>VLOOKUP(A307,'3.GateMove'!A:D,4,FALSE)</f>
        <v>2026-10-23</v>
      </c>
      <c r="X307" s="57">
        <f>((T307-W307)+1)</f>
        <v>6</v>
      </c>
      <c r="Y307" s="59">
        <f>IF(AND(OR(C307="BKK01",C307="BKK04"),L307="CFS/CY"),0,IF(M307="DG",1,IF(LEFT(C307,3)="LCH",7,IF(C307="BKK02",5,3))))</f>
        <v>7</v>
      </c>
      <c r="Z307" s="57">
        <f>IF(IF(AND(AC307="TML",AB307&gt;0),((T307-W307)+1)-AB307,((T307-W307)+1)-Y307)&gt;0,IF(AND(AC307="TML",AB307&gt;0),((T307-W307)+1)-AB307,((T307-W307)+1)-Y307),0)</f>
        <v>0</v>
      </c>
      <c r="AA307" s="48">
        <f>IF(AND(B307="G1",M307=""),IF(R307="20'",
VLOOKUP(Z307,Charge!$K$2:$M$5,2,TRUE)+(Z307-VLOOKUP(Z307,Charge!$K$2:$M$5,1,TRUE))*VLOOKUP(Z307,Charge!$K$2:$M$5,3,TRUE),
VLOOKUP(Z307,Charge!$N$2:$P$5,2,TRUE)+(Z307-VLOOKUP(Z307,Charge!$N$2:$P$5,1,TRUE))*VLOOKUP(Z307,Charge!$N$2:$P$5,3,TRUE)),
IF(AND(B307="G1",M307="DG"),IF(R307="20'",
VLOOKUP(Z307,Charge!$R$2:$T$5,2,TRUE)+(Z307-VLOOKUP(Z307,Charge!$R$2:$T$5,1,TRUE))*VLOOKUP(Z307,Charge!$R$2:$T$5,3,TRUE),
VLOOKUP(Z307,Charge!$U$2:$W$5,2,TRUE)+(Z307-VLOOKUP(Z307,Charge!$U$2:$W$5,1,TRUE))*VLOOKUP(Z307,Charge!$U$2:$W$5,3,TRUE)),
IF(AND(B307="G3",M307=""),IF(R307="20'",
VLOOKUP(Z307,Charge!$K$18:$M$21,2,TRUE)+(Z307-VLOOKUP(Z307,Charge!$K$18:$M$21,1,TRUE))*VLOOKUP(Z307,Charge!$K$18:$M$21,3,TRUE),
VLOOKUP(Z307,Charge!$N$18:$P$21,2,TRUE)+(Z307-VLOOKUP(Z307,Charge!$N$18:$P$21,1,TRUE))*VLOOKUP(Z307,Charge!$N$18:$P$21,3,TRUE)),
IF(AND(B307="G3",M307="DG"),IF(R307="20'",
VLOOKUP(Z307,Charge!$R$18:$T$21,2,TRUE)+(Z307-VLOOKUP(Z307,Charge!$R$18:$T$21,1,TRUE))*VLOOKUP(Z307,Charge!$R$18:$T$21,3,TRUE),
VLOOKUP(Z307,Charge!$U$18:$W$21,2,TRUE)+(Z307-VLOOKUP(Z307,Charge!$U$18:$W$21,1,TRUE))*VLOOKUP(Z307,Charge!$U$18:$W$21,3,TRUE)),
IF(AND(B307="G2",M307=""),IF(R307="20'",
VLOOKUP(Z307,Charge!$K$9:$M$12,2,TRUE)+(Z307-VLOOKUP(Z307,Charge!$K$9:$M$12,1,TRUE))*VLOOKUP(Z307,Charge!$K$9:$M$12,3,TRUE),
VLOOKUP(Z307,Charge!$N$9:$P$12,2,TRUE)+(Z307-VLOOKUP(Z307,Charge!$N$9:$P$12,1,TRUE))*VLOOKUP(Z307,Charge!$N$9:$P$12,3,TRUE)),
IF(AND(B307="G2",M307="DG"),IF(R307="20'",
VLOOKUP(Z307,Charge!$R$9:$T$12,2,TRUE)+(Z307-VLOOKUP(Z307,Charge!$R$9:$T$12,1,TRUE))*VLOOKUP(Z307,Charge!$R$9:$T$12,3,TRUE),
VLOOKUP(Z307,Charge!$U$9:$W$12,2,TRUE)+(Z307-VLOOKUP(Z307,Charge!$U$9:$W$12,1,TRUE))*VLOOKUP(Z307,Charge!$U$9:$W$12,3,TRUE)),IF(AND(B307="G4",M307=""),IF(R307="20'",Z307*Charge!$M$25,Z307*Charge!$P$25),IF(AND(B307="G4",M307="DG"),IF(R307="20'",Z307*Charge!$T$25,Z307*Charge!$W$25),0))))))))</f>
        <v>0</v>
      </c>
      <c r="AB307" s="53"/>
      <c r="AC307" s="53"/>
      <c r="AD307" s="56">
        <f>IF(M307="DG",3,IF(N307="RF",3,5))+IF(AND(LEFT(C307,3)="BKK",N307="RF",Q307="KTS"),1,0)+IF(Q307="KHS",1,0)</f>
        <v>5</v>
      </c>
      <c r="AE307" s="57">
        <f>(T307-V307)+1</f>
        <v>46324</v>
      </c>
      <c r="AF307" s="57">
        <f>IF(AB307&gt;IF((V307-W307)&gt;0,V307-W307,0),0,IF(AB307&lt;IF((V307-W307)&gt;0,V307-W307,0),IF((V307-W307)&gt;0,V307-W307,0)-AB307,IF((V307-W307)&gt;0,V307-W307,0)))</f>
        <v>0</v>
      </c>
      <c r="AG307" s="48">
        <f>IF(AND(M307=""),IF(R307="20'",
VLOOKUP(AF307,Charge!$K$31:$M$34,2,TRUE)+(AF307-VLOOKUP(AF307,Charge!$K$31:$M$34,1,TRUE))*VLOOKUP(AF307,Charge!$K$31:$M$34,3,TRUE),
VLOOKUP(AF307,Charge!$N$31:$P$34,2,TRUE)+(AF307-VLOOKUP(AF307,Charge!$N$31:$P$34,1,TRUE))*VLOOKUP(AF307,Charge!$N$31:$P$34,3,TRUE)),
IF(AND(M307="DG"),IF(R307="20'",
VLOOKUP(AF307,Charge!$R$31:$T$34,2,TRUE)+(AF307-VLOOKUP(AF307,Charge!$R$31:$T$34,1,TRUE))*VLOOKUP(AF307,Charge!$R$31:$T$34,3,TRUE),
VLOOKUP(AF307,Charge!$U$31:$W$34,2,TRUE)+(AF307-VLOOKUP(AF307,Charge!$U$31:$W$34,1,TRUE))*VLOOKUP(AF307,Charge!$U$31:$W$34,3,TRUE)),0))</f>
        <v>0</v>
      </c>
      <c r="AH307" s="60"/>
      <c r="AI307" s="60">
        <f>AA307-AH307</f>
        <v>0</v>
      </c>
      <c r="AJ307" s="61"/>
      <c r="AK307" s="55" t="str">
        <f>VLOOKUP(D307,'2.Bookinglist'!A:CT,40,FALSE)</f>
        <v>Arunphat W. (Aiw)</v>
      </c>
      <c r="AL307" s="56" t="str">
        <f>VLOOKUP(D307,'2.Bookinglist'!A:CW,101,FALSE)</f>
        <v>2026-10-22</v>
      </c>
      <c r="AM307" s="56" t="str">
        <f>VLOOKUP(D307,'2.Bookinglist'!A:BK,63,FALSE)</f>
        <v>BKK27</v>
      </c>
      <c r="AN307" s="55" t="str">
        <f>VLOOKUP(D307,'2.Bookinglist'!A:AZ,52,FALSE)</f>
        <v>Pickup : 2026-10-16, Return SRP : 2026-10-17 [PAPERLESS CODE 2829]
CLS TIME 24/10/26 @21.00 (1ST RETURN 17/10/26)</v>
      </c>
      <c r="AO307" s="55">
        <f>VLOOKUP(D307,'2.Bookinglist'!A:CY,103,FALSE)</f>
        <v>0</v>
      </c>
    </row>
    <row r="308" ht="12.95" customHeight="1" spans="1:41" x14ac:dyDescent="0.25">
      <c r="A308" s="3" t="s">
        <v>149</v>
      </c>
      <c r="B308" s="53" t="str">
        <f>IF(C308=Charge!$M$1,Charge!$J$1,IF(C308=Charge!$M$23,Charge!$J$23,IF(C308=Charge!$M$17,Charge!$J$17,IF(C308=Charge!$N$17,Charge!$J$17,Charge!$J$7))))</f>
        <v>G2</v>
      </c>
      <c r="C308" s="54" t="str">
        <f>VLOOKUP(A308,'1.Loading'!A:R,14,FALSE)</f>
        <v>LCH06</v>
      </c>
      <c r="D308" s="54" t="str">
        <f>VLOOKUP(A308,'1.Loading'!A:R,17,FALSE)</f>
        <v>HASLS22261000285</v>
      </c>
      <c r="E308" s="55" t="str">
        <f>VLOOKUP(D308,'2.Bookinglist'!A:CT,27,FALSE)</f>
        <v>AGC VINYTHAI PUBLIC COMPANY LIMITED</v>
      </c>
      <c r="F308" s="55" t="str">
        <f>VLOOKUP(D308,'2.Bookinglist'!A:CT,28,FALSE)</f>
        <v>AGC VINYTHAI PUBLIC COMPANY LIMITED</v>
      </c>
      <c r="G308" s="56">
        <f>VLOOKUP(D308,'2.Bookinglist'!A:E,5,FALSE)</f>
        <v>0</v>
      </c>
      <c r="H308" s="54" t="str">
        <f>VLOOKUP(D308,'2.Bookinglist'!A:CT,15,FALSE)</f>
        <v>THLCH</v>
      </c>
      <c r="I308" s="54" t="str">
        <f>VLOOKUP(D308,'2.Bookinglist'!A:CT,19,FALSE)</f>
        <v>CNSHA</v>
      </c>
      <c r="J308" s="54">
        <f>VLOOKUP(D308,'2.Bookinglist'!A:CT,26,FALSE)</f>
        <v>0</v>
      </c>
      <c r="K308" s="54" t="str">
        <f>VLOOKUP(A308,'1.Loading'!A:R,5,FALSE)</f>
        <v>45GP</v>
      </c>
      <c r="L308" s="56" t="str">
        <f>VLOOKUP(D308,'2.Bookinglist'!A:CT,85,FALSE)</f>
        <v>CY/CY</v>
      </c>
      <c r="M308" s="56" t="str">
        <f>IF(VLOOKUP(D308,'2.Bookinglist'!A:CT,43,FALSE)=0,"","DG")</f>
        <v/>
      </c>
      <c r="N308" s="56" t="str">
        <f>IF(RIGHT(K308,2)="RE","RF","")</f>
        <v/>
      </c>
      <c r="O308" s="54" t="str">
        <f>VLOOKUP(A308,'1.Loading'!A:R,3,FALSE)</f>
        <v>HMVY</v>
      </c>
      <c r="P308" s="54" t="str">
        <f>VLOOKUP(A308,'1.Loading'!A:R,4,FALSE)</f>
        <v>2609N</v>
      </c>
      <c r="Q308" s="54" t="str">
        <f>VLOOKUP(D308,'2.Bookinglist'!A:CT,12,FALSE)</f>
        <v>PCI2</v>
      </c>
      <c r="R308" s="56" t="str">
        <f>IF(LEFT(K308,2)="22","20'","40'")</f>
        <v>40'</v>
      </c>
      <c r="S308" s="38"/>
      <c r="T308" s="54" t="str">
        <f>VLOOKUP(A308,'1.Loading'!A:R,2,FALSE)</f>
        <v>2026-10-28</v>
      </c>
      <c r="U308" s="57">
        <f>T308-S308</f>
        <v>46323</v>
      </c>
      <c r="V308" s="58"/>
      <c r="W308" s="54" t="str">
        <f>VLOOKUP(A308,'3.GateMove'!A:D,4,FALSE)</f>
        <v>2026-10-20</v>
      </c>
      <c r="X308" s="57">
        <f>((T308-W308)+1)</f>
        <v>9</v>
      </c>
      <c r="Y308" s="59">
        <f>IF(AND(OR(C308="BKK01",C308="BKK04"),L308="CFS/CY"),0,IF(M308="DG",1,IF(LEFT(C308,3)="LCH",7,IF(C308="BKK02",5,3))))</f>
        <v>7</v>
      </c>
      <c r="Z308" s="57">
        <f>IF(IF(AND(AC308="TML",AB308&gt;0),((T308-W308)+1)-AB308,((T308-W308)+1)-Y308)&gt;0,IF(AND(AC308="TML",AB308&gt;0),((T308-W308)+1)-AB308,((T308-W308)+1)-Y308),0)</f>
        <v>2</v>
      </c>
      <c r="AA308" s="48">
        <f>IF(AND(B308="G1",M308=""),IF(R308="20'",
VLOOKUP(Z308,Charge!$K$2:$M$5,2,TRUE)+(Z308-VLOOKUP(Z308,Charge!$K$2:$M$5,1,TRUE))*VLOOKUP(Z308,Charge!$K$2:$M$5,3,TRUE),
VLOOKUP(Z308,Charge!$N$2:$P$5,2,TRUE)+(Z308-VLOOKUP(Z308,Charge!$N$2:$P$5,1,TRUE))*VLOOKUP(Z308,Charge!$N$2:$P$5,3,TRUE)),
IF(AND(B308="G1",M308="DG"),IF(R308="20'",
VLOOKUP(Z308,Charge!$R$2:$T$5,2,TRUE)+(Z308-VLOOKUP(Z308,Charge!$R$2:$T$5,1,TRUE))*VLOOKUP(Z308,Charge!$R$2:$T$5,3,TRUE),
VLOOKUP(Z308,Charge!$U$2:$W$5,2,TRUE)+(Z308-VLOOKUP(Z308,Charge!$U$2:$W$5,1,TRUE))*VLOOKUP(Z308,Charge!$U$2:$W$5,3,TRUE)),
IF(AND(B308="G3",M308=""),IF(R308="20'",
VLOOKUP(Z308,Charge!$K$18:$M$21,2,TRUE)+(Z308-VLOOKUP(Z308,Charge!$K$18:$M$21,1,TRUE))*VLOOKUP(Z308,Charge!$K$18:$M$21,3,TRUE),
VLOOKUP(Z308,Charge!$N$18:$P$21,2,TRUE)+(Z308-VLOOKUP(Z308,Charge!$N$18:$P$21,1,TRUE))*VLOOKUP(Z308,Charge!$N$18:$P$21,3,TRUE)),
IF(AND(B308="G3",M308="DG"),IF(R308="20'",
VLOOKUP(Z308,Charge!$R$18:$T$21,2,TRUE)+(Z308-VLOOKUP(Z308,Charge!$R$18:$T$21,1,TRUE))*VLOOKUP(Z308,Charge!$R$18:$T$21,3,TRUE),
VLOOKUP(Z308,Charge!$U$18:$W$21,2,TRUE)+(Z308-VLOOKUP(Z308,Charge!$U$18:$W$21,1,TRUE))*VLOOKUP(Z308,Charge!$U$18:$W$21,3,TRUE)),
IF(AND(B308="G2",M308=""),IF(R308="20'",
VLOOKUP(Z308,Charge!$K$9:$M$12,2,TRUE)+(Z308-VLOOKUP(Z308,Charge!$K$9:$M$12,1,TRUE))*VLOOKUP(Z308,Charge!$K$9:$M$12,3,TRUE),
VLOOKUP(Z308,Charge!$N$9:$P$12,2,TRUE)+(Z308-VLOOKUP(Z308,Charge!$N$9:$P$12,1,TRUE))*VLOOKUP(Z308,Charge!$N$9:$P$12,3,TRUE)),
IF(AND(B308="G2",M308="DG"),IF(R308="20'",
VLOOKUP(Z308,Charge!$R$9:$T$12,2,TRUE)+(Z308-VLOOKUP(Z308,Charge!$R$9:$T$12,1,TRUE))*VLOOKUP(Z308,Charge!$R$9:$T$12,3,TRUE),
VLOOKUP(Z308,Charge!$U$9:$W$12,2,TRUE)+(Z308-VLOOKUP(Z308,Charge!$U$9:$W$12,1,TRUE))*VLOOKUP(Z308,Charge!$U$9:$W$12,3,TRUE)),IF(AND(B308="G4",M308=""),IF(R308="20'",Z308*Charge!$M$25,Z308*Charge!$P$25),IF(AND(B308="G4",M308="DG"),IF(R308="20'",Z308*Charge!$T$25,Z308*Charge!$W$25),0))))))))</f>
        <v>500</v>
      </c>
      <c r="AB308" s="53"/>
      <c r="AC308" s="53"/>
      <c r="AD308" s="56">
        <f>IF(M308="DG",3,IF(N308="RF",3,5))+IF(AND(LEFT(C308,3)="BKK",N308="RF",Q308="KTS"),1,0)+IF(Q308="KHS",1,0)</f>
        <v>5</v>
      </c>
      <c r="AE308" s="57">
        <f>(T308-V308)+1</f>
        <v>46324</v>
      </c>
      <c r="AF308" s="57">
        <f>IF(AB308&gt;IF((V308-W308)&gt;0,V308-W308,0),0,IF(AB308&lt;IF((V308-W308)&gt;0,V308-W308,0),IF((V308-W308)&gt;0,V308-W308,0)-AB308,IF((V308-W308)&gt;0,V308-W308,0)))</f>
        <v>0</v>
      </c>
      <c r="AG308" s="48">
        <f>IF(AND(M308=""),IF(R308="20'",
VLOOKUP(AF308,Charge!$K$31:$M$34,2,TRUE)+(AF308-VLOOKUP(AF308,Charge!$K$31:$M$34,1,TRUE))*VLOOKUP(AF308,Charge!$K$31:$M$34,3,TRUE),
VLOOKUP(AF308,Charge!$N$31:$P$34,2,TRUE)+(AF308-VLOOKUP(AF308,Charge!$N$31:$P$34,1,TRUE))*VLOOKUP(AF308,Charge!$N$31:$P$34,3,TRUE)),
IF(AND(M308="DG"),IF(R308="20'",
VLOOKUP(AF308,Charge!$R$31:$T$34,2,TRUE)+(AF308-VLOOKUP(AF308,Charge!$R$31:$T$34,1,TRUE))*VLOOKUP(AF308,Charge!$R$31:$T$34,3,TRUE),
VLOOKUP(AF308,Charge!$U$31:$W$34,2,TRUE)+(AF308-VLOOKUP(AF308,Charge!$U$31:$W$34,1,TRUE))*VLOOKUP(AF308,Charge!$U$31:$W$34,3,TRUE)),0))</f>
        <v>0</v>
      </c>
      <c r="AH308" s="60"/>
      <c r="AI308" s="60">
        <f>AA308-AH308</f>
        <v>500</v>
      </c>
      <c r="AJ308" s="61"/>
      <c r="AK308" s="55" t="str">
        <f>VLOOKUP(D308,'2.Bookinglist'!A:CT,40,FALSE)</f>
        <v>Nannaapust Sukporntaweewat</v>
      </c>
      <c r="AL308" s="56" t="str">
        <f>VLOOKUP(D308,'2.Bookinglist'!A:CW,101,FALSE)</f>
        <v>2026-10-24</v>
      </c>
      <c r="AM308" s="56" t="str">
        <f>VLOOKUP(D308,'2.Bookinglist'!A:BK,63,FALSE)</f>
        <v>LCHY5</v>
      </c>
      <c r="AN308" s="55" t="str">
        <f>VLOOKUP(D308,'2.Bookinglist'!A:AZ,52,FALSE)</f>
        <v>Pickup : 2026-10-15, Return : 2026-10-16</v>
      </c>
      <c r="AO308" s="55">
        <f>VLOOKUP(D308,'2.Bookinglist'!A:CY,103,FALSE)</f>
        <v>0</v>
      </c>
    </row>
    <row r="309" ht="12.95" customHeight="1" spans="1:41" x14ac:dyDescent="0.25">
      <c r="A309" s="3" t="s">
        <v>248</v>
      </c>
      <c r="B309" s="53" t="str">
        <f>IF(C309=Charge!$M$1,Charge!$J$1,IF(C309=Charge!$M$23,Charge!$J$23,IF(C309=Charge!$M$17,Charge!$J$17,IF(C309=Charge!$N$17,Charge!$J$17,Charge!$J$7))))</f>
        <v>G2</v>
      </c>
      <c r="C309" s="54" t="str">
        <f>VLOOKUP(A309,'1.Loading'!A:R,14,FALSE)</f>
        <v>LCH06</v>
      </c>
      <c r="D309" s="54" t="str">
        <f>VLOOKUP(A309,'1.Loading'!A:R,17,FALSE)</f>
        <v>HASLS22260902362</v>
      </c>
      <c r="E309" s="55" t="str">
        <f>VLOOKUP(D309,'2.Bookinglist'!A:CT,27,FALSE)</f>
        <v>AGC VINYTHAI PUBLIC COMPANY LIMITED</v>
      </c>
      <c r="F309" s="55" t="str">
        <f>VLOOKUP(D309,'2.Bookinglist'!A:CT,28,FALSE)</f>
        <v>AGC VINYTHAI PUBLIC COMPANY LIMITED</v>
      </c>
      <c r="G309" s="56">
        <f>VLOOKUP(D309,'2.Bookinglist'!A:E,5,FALSE)</f>
        <v>0</v>
      </c>
      <c r="H309" s="54" t="str">
        <f>VLOOKUP(D309,'2.Bookinglist'!A:CT,15,FALSE)</f>
        <v>THLCH</v>
      </c>
      <c r="I309" s="54" t="str">
        <f>VLOOKUP(D309,'2.Bookinglist'!A:CT,19,FALSE)</f>
        <v>CNSHA</v>
      </c>
      <c r="J309" s="54">
        <f>VLOOKUP(D309,'2.Bookinglist'!A:CT,26,FALSE)</f>
        <v>0</v>
      </c>
      <c r="K309" s="54" t="str">
        <f>VLOOKUP(A309,'1.Loading'!A:R,5,FALSE)</f>
        <v>45GP</v>
      </c>
      <c r="L309" s="56" t="str">
        <f>VLOOKUP(D309,'2.Bookinglist'!A:CT,85,FALSE)</f>
        <v>CY/CY</v>
      </c>
      <c r="M309" s="56" t="str">
        <f>IF(VLOOKUP(D309,'2.Bookinglist'!A:CT,43,FALSE)=0,"","DG")</f>
        <v/>
      </c>
      <c r="N309" s="56" t="str">
        <f>IF(RIGHT(K309,2)="RE","RF","")</f>
        <v/>
      </c>
      <c r="O309" s="54" t="str">
        <f>VLOOKUP(A309,'1.Loading'!A:R,3,FALSE)</f>
        <v>HMVY</v>
      </c>
      <c r="P309" s="54" t="str">
        <f>VLOOKUP(A309,'1.Loading'!A:R,4,FALSE)</f>
        <v>2609N</v>
      </c>
      <c r="Q309" s="54" t="str">
        <f>VLOOKUP(D309,'2.Bookinglist'!A:CT,12,FALSE)</f>
        <v>PCI2</v>
      </c>
      <c r="R309" s="56" t="str">
        <f>IF(LEFT(K309,2)="22","20'","40'")</f>
        <v>40'</v>
      </c>
      <c r="S309" s="38"/>
      <c r="T309" s="54" t="str">
        <f>VLOOKUP(A309,'1.Loading'!A:R,2,FALSE)</f>
        <v>2026-10-28</v>
      </c>
      <c r="U309" s="57">
        <f>T309-S309</f>
        <v>46323</v>
      </c>
      <c r="V309" s="58"/>
      <c r="W309" s="54" t="str">
        <f>VLOOKUP(A309,'3.GateMove'!A:D,4,FALSE)</f>
        <v>2026-10-19</v>
      </c>
      <c r="X309" s="57">
        <f>((T309-W309)+1)</f>
        <v>10</v>
      </c>
      <c r="Y309" s="59">
        <f>IF(AND(OR(C309="BKK01",C309="BKK04"),L309="CFS/CY"),0,IF(M309="DG",1,IF(LEFT(C309,3)="LCH",7,IF(C309="BKK02",5,3))))</f>
        <v>7</v>
      </c>
      <c r="Z309" s="57">
        <f>IF(IF(AND(AC309="TML",AB309&gt;0),((T309-W309)+1)-AB309,((T309-W309)+1)-Y309)&gt;0,IF(AND(AC309="TML",AB309&gt;0),((T309-W309)+1)-AB309,((T309-W309)+1)-Y309),0)</f>
        <v>3</v>
      </c>
      <c r="AA309" s="48">
        <f>IF(AND(B309="G1",M309=""),IF(R309="20'",
VLOOKUP(Z309,Charge!$K$2:$M$5,2,TRUE)+(Z309-VLOOKUP(Z309,Charge!$K$2:$M$5,1,TRUE))*VLOOKUP(Z309,Charge!$K$2:$M$5,3,TRUE),
VLOOKUP(Z309,Charge!$N$2:$P$5,2,TRUE)+(Z309-VLOOKUP(Z309,Charge!$N$2:$P$5,1,TRUE))*VLOOKUP(Z309,Charge!$N$2:$P$5,3,TRUE)),
IF(AND(B309="G1",M309="DG"),IF(R309="20'",
VLOOKUP(Z309,Charge!$R$2:$T$5,2,TRUE)+(Z309-VLOOKUP(Z309,Charge!$R$2:$T$5,1,TRUE))*VLOOKUP(Z309,Charge!$R$2:$T$5,3,TRUE),
VLOOKUP(Z309,Charge!$U$2:$W$5,2,TRUE)+(Z309-VLOOKUP(Z309,Charge!$U$2:$W$5,1,TRUE))*VLOOKUP(Z309,Charge!$U$2:$W$5,3,TRUE)),
IF(AND(B309="G3",M309=""),IF(R309="20'",
VLOOKUP(Z309,Charge!$K$18:$M$21,2,TRUE)+(Z309-VLOOKUP(Z309,Charge!$K$18:$M$21,1,TRUE))*VLOOKUP(Z309,Charge!$K$18:$M$21,3,TRUE),
VLOOKUP(Z309,Charge!$N$18:$P$21,2,TRUE)+(Z309-VLOOKUP(Z309,Charge!$N$18:$P$21,1,TRUE))*VLOOKUP(Z309,Charge!$N$18:$P$21,3,TRUE)),
IF(AND(B309="G3",M309="DG"),IF(R309="20'",
VLOOKUP(Z309,Charge!$R$18:$T$21,2,TRUE)+(Z309-VLOOKUP(Z309,Charge!$R$18:$T$21,1,TRUE))*VLOOKUP(Z309,Charge!$R$18:$T$21,3,TRUE),
VLOOKUP(Z309,Charge!$U$18:$W$21,2,TRUE)+(Z309-VLOOKUP(Z309,Charge!$U$18:$W$21,1,TRUE))*VLOOKUP(Z309,Charge!$U$18:$W$21,3,TRUE)),
IF(AND(B309="G2",M309=""),IF(R309="20'",
VLOOKUP(Z309,Charge!$K$9:$M$12,2,TRUE)+(Z309-VLOOKUP(Z309,Charge!$K$9:$M$12,1,TRUE))*VLOOKUP(Z309,Charge!$K$9:$M$12,3,TRUE),
VLOOKUP(Z309,Charge!$N$9:$P$12,2,TRUE)+(Z309-VLOOKUP(Z309,Charge!$N$9:$P$12,1,TRUE))*VLOOKUP(Z309,Charge!$N$9:$P$12,3,TRUE)),
IF(AND(B309="G2",M309="DG"),IF(R309="20'",
VLOOKUP(Z309,Charge!$R$9:$T$12,2,TRUE)+(Z309-VLOOKUP(Z309,Charge!$R$9:$T$12,1,TRUE))*VLOOKUP(Z309,Charge!$R$9:$T$12,3,TRUE),
VLOOKUP(Z309,Charge!$U$9:$W$12,2,TRUE)+(Z309-VLOOKUP(Z309,Charge!$U$9:$W$12,1,TRUE))*VLOOKUP(Z309,Charge!$U$9:$W$12,3,TRUE)),IF(AND(B309="G4",M309=""),IF(R309="20'",Z309*Charge!$M$25,Z309*Charge!$P$25),IF(AND(B309="G4",M309="DG"),IF(R309="20'",Z309*Charge!$T$25,Z309*Charge!$W$25),0))))))))</f>
        <v>750</v>
      </c>
      <c r="AB309" s="53"/>
      <c r="AC309" s="53"/>
      <c r="AD309" s="56">
        <f>IF(M309="DG",3,IF(N309="RF",3,5))+IF(AND(LEFT(C309,3)="BKK",N309="RF",Q309="KTS"),1,0)+IF(Q309="KHS",1,0)</f>
        <v>5</v>
      </c>
      <c r="AE309" s="57">
        <f>(T309-V309)+1</f>
        <v>46324</v>
      </c>
      <c r="AF309" s="57">
        <f>IF(AB309&gt;IF((V309-W309)&gt;0,V309-W309,0),0,IF(AB309&lt;IF((V309-W309)&gt;0,V309-W309,0),IF((V309-W309)&gt;0,V309-W309,0)-AB309,IF((V309-W309)&gt;0,V309-W309,0)))</f>
        <v>0</v>
      </c>
      <c r="AG309" s="48">
        <f>IF(AND(M309=""),IF(R309="20'",
VLOOKUP(AF309,Charge!$K$31:$M$34,2,TRUE)+(AF309-VLOOKUP(AF309,Charge!$K$31:$M$34,1,TRUE))*VLOOKUP(AF309,Charge!$K$31:$M$34,3,TRUE),
VLOOKUP(AF309,Charge!$N$31:$P$34,2,TRUE)+(AF309-VLOOKUP(AF309,Charge!$N$31:$P$34,1,TRUE))*VLOOKUP(AF309,Charge!$N$31:$P$34,3,TRUE)),
IF(AND(M309="DG"),IF(R309="20'",
VLOOKUP(AF309,Charge!$R$31:$T$34,2,TRUE)+(AF309-VLOOKUP(AF309,Charge!$R$31:$T$34,1,TRUE))*VLOOKUP(AF309,Charge!$R$31:$T$34,3,TRUE),
VLOOKUP(AF309,Charge!$U$31:$W$34,2,TRUE)+(AF309-VLOOKUP(AF309,Charge!$U$31:$W$34,1,TRUE))*VLOOKUP(AF309,Charge!$U$31:$W$34,3,TRUE)),0))</f>
        <v>0</v>
      </c>
      <c r="AH309" s="60"/>
      <c r="AI309" s="60">
        <f>AA309-AH309</f>
        <v>750</v>
      </c>
      <c r="AJ309" s="61"/>
      <c r="AK309" s="55" t="str">
        <f>VLOOKUP(D309,'2.Bookinglist'!A:CT,40,FALSE)</f>
        <v>Nannaapust Sukporntaweewat</v>
      </c>
      <c r="AL309" s="56" t="str">
        <f>VLOOKUP(D309,'2.Bookinglist'!A:CW,101,FALSE)</f>
        <v>2026-10-22</v>
      </c>
      <c r="AM309" s="56" t="str">
        <f>VLOOKUP(D309,'2.Bookinglist'!A:BK,63,FALSE)</f>
        <v>LCHY5</v>
      </c>
      <c r="AN309" s="55" t="str">
        <f>VLOOKUP(D309,'2.Bookinglist'!A:AZ,52,FALSE)</f>
        <v>Pickup : 2026-10-16, Return : 2026-10-17 </v>
      </c>
      <c r="AO309" s="55">
        <f>VLOOKUP(D309,'2.Bookinglist'!A:CY,103,FALSE)</f>
        <v>0</v>
      </c>
    </row>
    <row r="310" ht="12.95" customHeight="1" spans="1:41" x14ac:dyDescent="0.25">
      <c r="A310" s="3" t="s">
        <v>223</v>
      </c>
      <c r="B310" s="53" t="str">
        <f>IF(C310=Charge!$M$1,Charge!$J$1,IF(C310=Charge!$M$23,Charge!$J$23,IF(C310=Charge!$M$17,Charge!$J$17,IF(C310=Charge!$N$17,Charge!$J$17,Charge!$J$7))))</f>
        <v>G2</v>
      </c>
      <c r="C310" s="54" t="str">
        <f>VLOOKUP(A310,'1.Loading'!A:R,14,FALSE)</f>
        <v>LCH06</v>
      </c>
      <c r="D310" s="54" t="str">
        <f>VLOOKUP(A310,'1.Loading'!A:R,17,FALSE)</f>
        <v>HASLS22261001118</v>
      </c>
      <c r="E310" s="55" t="str">
        <f>VLOOKUP(D310,'2.Bookinglist'!A:CT,27,FALSE)</f>
        <v>K-APEX (THAILAND) CO., LTD.</v>
      </c>
      <c r="F310" s="55" t="str">
        <f>VLOOKUP(D310,'2.Bookinglist'!A:CT,28,FALSE)</f>
        <v>FIRST MATERIAL SCIENCE (THAILAND) CO., LTD.</v>
      </c>
      <c r="G310" s="56">
        <f>VLOOKUP(D310,'2.Bookinglist'!A:E,5,FALSE)</f>
        <v>0</v>
      </c>
      <c r="H310" s="54" t="str">
        <f>VLOOKUP(D310,'2.Bookinglist'!A:CT,15,FALSE)</f>
        <v>THLCH</v>
      </c>
      <c r="I310" s="54" t="str">
        <f>VLOOKUP(D310,'2.Bookinglist'!A:CT,19,FALSE)</f>
        <v>CNSHA</v>
      </c>
      <c r="J310" s="54">
        <f>VLOOKUP(D310,'2.Bookinglist'!A:CT,26,FALSE)</f>
        <v>0</v>
      </c>
      <c r="K310" s="54" t="str">
        <f>VLOOKUP(A310,'1.Loading'!A:R,5,FALSE)</f>
        <v>45GP</v>
      </c>
      <c r="L310" s="56" t="str">
        <f>VLOOKUP(D310,'2.Bookinglist'!A:CT,85,FALSE)</f>
        <v>CY/CY</v>
      </c>
      <c r="M310" s="56" t="str">
        <f>IF(VLOOKUP(D310,'2.Bookinglist'!A:CT,43,FALSE)=0,"","DG")</f>
        <v/>
      </c>
      <c r="N310" s="56" t="str">
        <f>IF(RIGHT(K310,2)="RE","RF","")</f>
        <v/>
      </c>
      <c r="O310" s="54" t="str">
        <f>VLOOKUP(A310,'1.Loading'!A:R,3,FALSE)</f>
        <v>HMVY</v>
      </c>
      <c r="P310" s="54" t="str">
        <f>VLOOKUP(A310,'1.Loading'!A:R,4,FALSE)</f>
        <v>2609N</v>
      </c>
      <c r="Q310" s="54" t="str">
        <f>VLOOKUP(D310,'2.Bookinglist'!A:CT,12,FALSE)</f>
        <v>PCI2</v>
      </c>
      <c r="R310" s="56" t="str">
        <f>IF(LEFT(K310,2)="22","20'","40'")</f>
        <v>40'</v>
      </c>
      <c r="S310" s="38"/>
      <c r="T310" s="54" t="str">
        <f>VLOOKUP(A310,'1.Loading'!A:R,2,FALSE)</f>
        <v>2026-10-28</v>
      </c>
      <c r="U310" s="57">
        <f>T310-S310</f>
        <v>46323</v>
      </c>
      <c r="V310" s="58"/>
      <c r="W310" s="54" t="str">
        <f>VLOOKUP(A310,'3.GateMove'!A:D,4,FALSE)</f>
        <v>2026-10-21</v>
      </c>
      <c r="X310" s="57">
        <f>((T310-W310)+1)</f>
        <v>8</v>
      </c>
      <c r="Y310" s="59">
        <f>IF(AND(OR(C310="BKK01",C310="BKK04"),L310="CFS/CY"),0,IF(M310="DG",1,IF(LEFT(C310,3)="LCH",7,IF(C310="BKK02",5,3))))</f>
        <v>7</v>
      </c>
      <c r="Z310" s="57">
        <f>IF(IF(AND(AC310="TML",AB310&gt;0),((T310-W310)+1)-AB310,((T310-W310)+1)-Y310)&gt;0,IF(AND(AC310="TML",AB310&gt;0),((T310-W310)+1)-AB310,((T310-W310)+1)-Y310),0)</f>
        <v>1</v>
      </c>
      <c r="AA310" s="48">
        <f>IF(AND(B310="G1",M310=""),IF(R310="20'",
VLOOKUP(Z310,Charge!$K$2:$M$5,2,TRUE)+(Z310-VLOOKUP(Z310,Charge!$K$2:$M$5,1,TRUE))*VLOOKUP(Z310,Charge!$K$2:$M$5,3,TRUE),
VLOOKUP(Z310,Charge!$N$2:$P$5,2,TRUE)+(Z310-VLOOKUP(Z310,Charge!$N$2:$P$5,1,TRUE))*VLOOKUP(Z310,Charge!$N$2:$P$5,3,TRUE)),
IF(AND(B310="G1",M310="DG"),IF(R310="20'",
VLOOKUP(Z310,Charge!$R$2:$T$5,2,TRUE)+(Z310-VLOOKUP(Z310,Charge!$R$2:$T$5,1,TRUE))*VLOOKUP(Z310,Charge!$R$2:$T$5,3,TRUE),
VLOOKUP(Z310,Charge!$U$2:$W$5,2,TRUE)+(Z310-VLOOKUP(Z310,Charge!$U$2:$W$5,1,TRUE))*VLOOKUP(Z310,Charge!$U$2:$W$5,3,TRUE)),
IF(AND(B310="G3",M310=""),IF(R310="20'",
VLOOKUP(Z310,Charge!$K$18:$M$21,2,TRUE)+(Z310-VLOOKUP(Z310,Charge!$K$18:$M$21,1,TRUE))*VLOOKUP(Z310,Charge!$K$18:$M$21,3,TRUE),
VLOOKUP(Z310,Charge!$N$18:$P$21,2,TRUE)+(Z310-VLOOKUP(Z310,Charge!$N$18:$P$21,1,TRUE))*VLOOKUP(Z310,Charge!$N$18:$P$21,3,TRUE)),
IF(AND(B310="G3",M310="DG"),IF(R310="20'",
VLOOKUP(Z310,Charge!$R$18:$T$21,2,TRUE)+(Z310-VLOOKUP(Z310,Charge!$R$18:$T$21,1,TRUE))*VLOOKUP(Z310,Charge!$R$18:$T$21,3,TRUE),
VLOOKUP(Z310,Charge!$U$18:$W$21,2,TRUE)+(Z310-VLOOKUP(Z310,Charge!$U$18:$W$21,1,TRUE))*VLOOKUP(Z310,Charge!$U$18:$W$21,3,TRUE)),
IF(AND(B310="G2",M310=""),IF(R310="20'",
VLOOKUP(Z310,Charge!$K$9:$M$12,2,TRUE)+(Z310-VLOOKUP(Z310,Charge!$K$9:$M$12,1,TRUE))*VLOOKUP(Z310,Charge!$K$9:$M$12,3,TRUE),
VLOOKUP(Z310,Charge!$N$9:$P$12,2,TRUE)+(Z310-VLOOKUP(Z310,Charge!$N$9:$P$12,1,TRUE))*VLOOKUP(Z310,Charge!$N$9:$P$12,3,TRUE)),
IF(AND(B310="G2",M310="DG"),IF(R310="20'",
VLOOKUP(Z310,Charge!$R$9:$T$12,2,TRUE)+(Z310-VLOOKUP(Z310,Charge!$R$9:$T$12,1,TRUE))*VLOOKUP(Z310,Charge!$R$9:$T$12,3,TRUE),
VLOOKUP(Z310,Charge!$U$9:$W$12,2,TRUE)+(Z310-VLOOKUP(Z310,Charge!$U$9:$W$12,1,TRUE))*VLOOKUP(Z310,Charge!$U$9:$W$12,3,TRUE)),IF(AND(B310="G4",M310=""),IF(R310="20'",Z310*Charge!$M$25,Z310*Charge!$P$25),IF(AND(B310="G4",M310="DG"),IF(R310="20'",Z310*Charge!$T$25,Z310*Charge!$W$25),0))))))))</f>
        <v>250</v>
      </c>
      <c r="AB310" s="53"/>
      <c r="AC310" s="53"/>
      <c r="AD310" s="56">
        <f>IF(M310="DG",3,IF(N310="RF",3,5))+IF(AND(LEFT(C310,3)="BKK",N310="RF",Q310="KTS"),1,0)+IF(Q310="KHS",1,0)</f>
        <v>5</v>
      </c>
      <c r="AE310" s="57">
        <f>(T310-V310)+1</f>
        <v>46324</v>
      </c>
      <c r="AF310" s="57">
        <f>IF(AB310&gt;IF((V310-W310)&gt;0,V310-W310,0),0,IF(AB310&lt;IF((V310-W310)&gt;0,V310-W310,0),IF((V310-W310)&gt;0,V310-W310,0)-AB310,IF((V310-W310)&gt;0,V310-W310,0)))</f>
        <v>0</v>
      </c>
      <c r="AG310" s="48">
        <f>IF(AND(M310=""),IF(R310="20'",
VLOOKUP(AF310,Charge!$K$31:$M$34,2,TRUE)+(AF310-VLOOKUP(AF310,Charge!$K$31:$M$34,1,TRUE))*VLOOKUP(AF310,Charge!$K$31:$M$34,3,TRUE),
VLOOKUP(AF310,Charge!$N$31:$P$34,2,TRUE)+(AF310-VLOOKUP(AF310,Charge!$N$31:$P$34,1,TRUE))*VLOOKUP(AF310,Charge!$N$31:$P$34,3,TRUE)),
IF(AND(M310="DG"),IF(R310="20'",
VLOOKUP(AF310,Charge!$R$31:$T$34,2,TRUE)+(AF310-VLOOKUP(AF310,Charge!$R$31:$T$34,1,TRUE))*VLOOKUP(AF310,Charge!$R$31:$T$34,3,TRUE),
VLOOKUP(AF310,Charge!$U$31:$W$34,2,TRUE)+(AF310-VLOOKUP(AF310,Charge!$U$31:$W$34,1,TRUE))*VLOOKUP(AF310,Charge!$U$31:$W$34,3,TRUE)),0))</f>
        <v>0</v>
      </c>
      <c r="AH310" s="60"/>
      <c r="AI310" s="60">
        <f>AA310-AH310</f>
        <v>250</v>
      </c>
      <c r="AJ310" s="61"/>
      <c r="AK310" s="55" t="str">
        <f>VLOOKUP(D310,'2.Bookinglist'!A:CT,40,FALSE)</f>
        <v>Nannaapust Sukporntaweewat</v>
      </c>
      <c r="AL310" s="56" t="str">
        <f>VLOOKUP(D310,'2.Bookinglist'!A:CW,101,FALSE)</f>
        <v>2026-10-25</v>
      </c>
      <c r="AM310" s="56" t="str">
        <f>VLOOKUP(D310,'2.Bookinglist'!A:BK,63,FALSE)</f>
        <v>LCHY5</v>
      </c>
      <c r="AN310" s="55" t="str">
        <f>VLOOKUP(D310,'2.Bookinglist'!A:AZ,52,FALSE)</f>
        <v>Pickup : 2026-10-20, Return : 2026-10-21</v>
      </c>
      <c r="AO310" s="55">
        <f>VLOOKUP(D310,'2.Bookinglist'!A:CY,103,FALSE)</f>
        <v>0</v>
      </c>
    </row>
    <row r="311" ht="12.95" customHeight="1" spans="1:41" x14ac:dyDescent="0.25">
      <c r="A311" s="3" t="s">
        <v>285</v>
      </c>
      <c r="B311" s="53" t="str">
        <f>IF(C311=Charge!$M$1,Charge!$J$1,IF(C311=Charge!$M$23,Charge!$J$23,IF(C311=Charge!$M$17,Charge!$J$17,IF(C311=Charge!$N$17,Charge!$J$17,Charge!$J$7))))</f>
        <v>G2</v>
      </c>
      <c r="C311" s="54" t="str">
        <f>VLOOKUP(A311,'1.Loading'!A:R,14,FALSE)</f>
        <v>LCH06</v>
      </c>
      <c r="D311" s="54" t="str">
        <f>VLOOKUP(A311,'1.Loading'!A:R,17,FALSE)</f>
        <v>HASLS22261000090</v>
      </c>
      <c r="E311" s="55" t="str">
        <f>VLOOKUP(D311,'2.Bookinglist'!A:CT,27,FALSE)</f>
        <v>WHA GC LOGISTICS COMPANY LIMITED</v>
      </c>
      <c r="F311" s="55" t="str">
        <f>VLOOKUP(D311,'2.Bookinglist'!A:CT,28,FALSE)</f>
        <v>PTT GLOBAL CHEMICAL PUBLIC COMPANY LIMITED</v>
      </c>
      <c r="G311" s="56">
        <f>VLOOKUP(D311,'2.Bookinglist'!A:E,5,FALSE)</f>
        <v>0</v>
      </c>
      <c r="H311" s="54" t="str">
        <f>VLOOKUP(D311,'2.Bookinglist'!A:CT,15,FALSE)</f>
        <v>THLCH</v>
      </c>
      <c r="I311" s="54" t="str">
        <f>VLOOKUP(D311,'2.Bookinglist'!A:CT,19,FALSE)</f>
        <v>JPIYM</v>
      </c>
      <c r="J311" s="54" t="str">
        <f>VLOOKUP(D311,'2.Bookinglist'!A:CT,26,FALSE)</f>
        <v>KRPUS</v>
      </c>
      <c r="K311" s="54" t="str">
        <f>VLOOKUP(A311,'1.Loading'!A:R,5,FALSE)</f>
        <v>22GP</v>
      </c>
      <c r="L311" s="56" t="str">
        <f>VLOOKUP(D311,'2.Bookinglist'!A:CT,85,FALSE)</f>
        <v>CY/CY</v>
      </c>
      <c r="M311" s="56" t="str">
        <f>IF(VLOOKUP(D311,'2.Bookinglist'!A:CT,43,FALSE)=0,"","DG")</f>
        <v/>
      </c>
      <c r="N311" s="56" t="str">
        <f>IF(RIGHT(K311,2)="RE","RF","")</f>
        <v/>
      </c>
      <c r="O311" s="54" t="str">
        <f>VLOOKUP(A311,'1.Loading'!A:R,3,FALSE)</f>
        <v>HMVY</v>
      </c>
      <c r="P311" s="54" t="str">
        <f>VLOOKUP(A311,'1.Loading'!A:R,4,FALSE)</f>
        <v>2609N</v>
      </c>
      <c r="Q311" s="54" t="str">
        <f>VLOOKUP(D311,'2.Bookinglist'!A:CT,12,FALSE)</f>
        <v>PCI2</v>
      </c>
      <c r="R311" s="56" t="str">
        <f>IF(LEFT(K311,2)="22","20'","40'")</f>
        <v>20'</v>
      </c>
      <c r="S311" s="38"/>
      <c r="T311" s="54" t="str">
        <f>VLOOKUP(A311,'1.Loading'!A:R,2,FALSE)</f>
        <v>2026-10-28</v>
      </c>
      <c r="U311" s="57">
        <f>T311-S311</f>
        <v>46323</v>
      </c>
      <c r="V311" s="58"/>
      <c r="W311" s="54" t="str">
        <f>VLOOKUP(A311,'3.GateMove'!A:D,4,FALSE)</f>
        <v>2026-10-24</v>
      </c>
      <c r="X311" s="57">
        <f>((T311-W311)+1)</f>
        <v>5</v>
      </c>
      <c r="Y311" s="59">
        <f>IF(AND(OR(C311="BKK01",C311="BKK04"),L311="CFS/CY"),0,IF(M311="DG",1,IF(LEFT(C311,3)="LCH",7,IF(C311="BKK02",5,3))))</f>
        <v>7</v>
      </c>
      <c r="Z311" s="57">
        <f>IF(IF(AND(AC311="TML",AB311&gt;0),((T311-W311)+1)-AB311,((T311-W311)+1)-Y311)&gt;0,IF(AND(AC311="TML",AB311&gt;0),((T311-W311)+1)-AB311,((T311-W311)+1)-Y311),0)</f>
        <v>0</v>
      </c>
      <c r="AA311" s="48">
        <f>IF(AND(B311="G1",M311=""),IF(R311="20'",
VLOOKUP(Z311,Charge!$K$2:$M$5,2,TRUE)+(Z311-VLOOKUP(Z311,Charge!$K$2:$M$5,1,TRUE))*VLOOKUP(Z311,Charge!$K$2:$M$5,3,TRUE),
VLOOKUP(Z311,Charge!$N$2:$P$5,2,TRUE)+(Z311-VLOOKUP(Z311,Charge!$N$2:$P$5,1,TRUE))*VLOOKUP(Z311,Charge!$N$2:$P$5,3,TRUE)),
IF(AND(B311="G1",M311="DG"),IF(R311="20'",
VLOOKUP(Z311,Charge!$R$2:$T$5,2,TRUE)+(Z311-VLOOKUP(Z311,Charge!$R$2:$T$5,1,TRUE))*VLOOKUP(Z311,Charge!$R$2:$T$5,3,TRUE),
VLOOKUP(Z311,Charge!$U$2:$W$5,2,TRUE)+(Z311-VLOOKUP(Z311,Charge!$U$2:$W$5,1,TRUE))*VLOOKUP(Z311,Charge!$U$2:$W$5,3,TRUE)),
IF(AND(B311="G3",M311=""),IF(R311="20'",
VLOOKUP(Z311,Charge!$K$18:$M$21,2,TRUE)+(Z311-VLOOKUP(Z311,Charge!$K$18:$M$21,1,TRUE))*VLOOKUP(Z311,Charge!$K$18:$M$21,3,TRUE),
VLOOKUP(Z311,Charge!$N$18:$P$21,2,TRUE)+(Z311-VLOOKUP(Z311,Charge!$N$18:$P$21,1,TRUE))*VLOOKUP(Z311,Charge!$N$18:$P$21,3,TRUE)),
IF(AND(B311="G3",M311="DG"),IF(R311="20'",
VLOOKUP(Z311,Charge!$R$18:$T$21,2,TRUE)+(Z311-VLOOKUP(Z311,Charge!$R$18:$T$21,1,TRUE))*VLOOKUP(Z311,Charge!$R$18:$T$21,3,TRUE),
VLOOKUP(Z311,Charge!$U$18:$W$21,2,TRUE)+(Z311-VLOOKUP(Z311,Charge!$U$18:$W$21,1,TRUE))*VLOOKUP(Z311,Charge!$U$18:$W$21,3,TRUE)),
IF(AND(B311="G2",M311=""),IF(R311="20'",
VLOOKUP(Z311,Charge!$K$9:$M$12,2,TRUE)+(Z311-VLOOKUP(Z311,Charge!$K$9:$M$12,1,TRUE))*VLOOKUP(Z311,Charge!$K$9:$M$12,3,TRUE),
VLOOKUP(Z311,Charge!$N$9:$P$12,2,TRUE)+(Z311-VLOOKUP(Z311,Charge!$N$9:$P$12,1,TRUE))*VLOOKUP(Z311,Charge!$N$9:$P$12,3,TRUE)),
IF(AND(B311="G2",M311="DG"),IF(R311="20'",
VLOOKUP(Z311,Charge!$R$9:$T$12,2,TRUE)+(Z311-VLOOKUP(Z311,Charge!$R$9:$T$12,1,TRUE))*VLOOKUP(Z311,Charge!$R$9:$T$12,3,TRUE),
VLOOKUP(Z311,Charge!$U$9:$W$12,2,TRUE)+(Z311-VLOOKUP(Z311,Charge!$U$9:$W$12,1,TRUE))*VLOOKUP(Z311,Charge!$U$9:$W$12,3,TRUE)),IF(AND(B311="G4",M311=""),IF(R311="20'",Z311*Charge!$M$25,Z311*Charge!$P$25),IF(AND(B311="G4",M311="DG"),IF(R311="20'",Z311*Charge!$T$25,Z311*Charge!$W$25),0))))))))</f>
        <v>0</v>
      </c>
      <c r="AB311" s="53"/>
      <c r="AC311" s="53"/>
      <c r="AD311" s="56">
        <f>IF(M311="DG",3,IF(N311="RF",3,5))+IF(AND(LEFT(C311,3)="BKK",N311="RF",Q311="KTS"),1,0)+IF(Q311="KHS",1,0)</f>
        <v>5</v>
      </c>
      <c r="AE311" s="57">
        <f>(T311-V311)+1</f>
        <v>46324</v>
      </c>
      <c r="AF311" s="57">
        <f>IF(AB311&gt;IF((V311-W311)&gt;0,V311-W311,0),0,IF(AB311&lt;IF((V311-W311)&gt;0,V311-W311,0),IF((V311-W311)&gt;0,V311-W311,0)-AB311,IF((V311-W311)&gt;0,V311-W311,0)))</f>
        <v>0</v>
      </c>
      <c r="AG311" s="48">
        <f>IF(AND(M311=""),IF(R311="20'",
VLOOKUP(AF311,Charge!$K$31:$M$34,2,TRUE)+(AF311-VLOOKUP(AF311,Charge!$K$31:$M$34,1,TRUE))*VLOOKUP(AF311,Charge!$K$31:$M$34,3,TRUE),
VLOOKUP(AF311,Charge!$N$31:$P$34,2,TRUE)+(AF311-VLOOKUP(AF311,Charge!$N$31:$P$34,1,TRUE))*VLOOKUP(AF311,Charge!$N$31:$P$34,3,TRUE)),
IF(AND(M311="DG"),IF(R311="20'",
VLOOKUP(AF311,Charge!$R$31:$T$34,2,TRUE)+(AF311-VLOOKUP(AF311,Charge!$R$31:$T$34,1,TRUE))*VLOOKUP(AF311,Charge!$R$31:$T$34,3,TRUE),
VLOOKUP(AF311,Charge!$U$31:$W$34,2,TRUE)+(AF311-VLOOKUP(AF311,Charge!$U$31:$W$34,1,TRUE))*VLOOKUP(AF311,Charge!$U$31:$W$34,3,TRUE)),0))</f>
        <v>0</v>
      </c>
      <c r="AH311" s="60"/>
      <c r="AI311" s="60">
        <f>AA311-AH311</f>
        <v>0</v>
      </c>
      <c r="AJ311" s="61"/>
      <c r="AK311" s="55" t="str">
        <f>VLOOKUP(D311,'2.Bookinglist'!A:CT,40,FALSE)</f>
        <v>Dharaporn</v>
      </c>
      <c r="AL311" s="56" t="str">
        <f>VLOOKUP(D311,'2.Bookinglist'!A:CW,101,FALSE)</f>
        <v>2026-10-27</v>
      </c>
      <c r="AM311" s="56" t="str">
        <f>VLOOKUP(D311,'2.Bookinglist'!A:BK,63,FALSE)</f>
        <v>LCHY5</v>
      </c>
      <c r="AN311" s="55" t="str">
        <f>VLOOKUP(D311,'2.Bookinglist'!A:AZ,52,FALSE)</f>
        <v>[FIX]CY-RTN 21-22/10/26 </v>
      </c>
      <c r="AO311" s="55" t="str">
        <f>VLOOKUP(D311,'2.Bookinglist'!A:CY,103,FALSE)</f>
        <v>ROLL OVER FROM PREVIOUS VSL HAB 2612N BY ALLOCATION TEAM MS.TAN APPROVED COST IS UNDER HA DD.26/10</v>
      </c>
    </row>
    <row r="312" ht="12.95" customHeight="1" spans="1:41" x14ac:dyDescent="0.25">
      <c r="A312" s="3" t="s">
        <v>150</v>
      </c>
      <c r="B312" s="53" t="str">
        <f>IF(C312=Charge!$M$1,Charge!$J$1,IF(C312=Charge!$M$23,Charge!$J$23,IF(C312=Charge!$M$17,Charge!$J$17,IF(C312=Charge!$N$17,Charge!$J$17,Charge!$J$7))))</f>
        <v>G2</v>
      </c>
      <c r="C312" s="54" t="str">
        <f>VLOOKUP(A312,'1.Loading'!A:R,14,FALSE)</f>
        <v>LCH06</v>
      </c>
      <c r="D312" s="54" t="str">
        <f>VLOOKUP(A312,'1.Loading'!A:R,17,FALSE)</f>
        <v>HASLS22261000285</v>
      </c>
      <c r="E312" s="55" t="str">
        <f>VLOOKUP(D312,'2.Bookinglist'!A:CT,27,FALSE)</f>
        <v>AGC VINYTHAI PUBLIC COMPANY LIMITED</v>
      </c>
      <c r="F312" s="55" t="str">
        <f>VLOOKUP(D312,'2.Bookinglist'!A:CT,28,FALSE)</f>
        <v>AGC VINYTHAI PUBLIC COMPANY LIMITED</v>
      </c>
      <c r="G312" s="56">
        <f>VLOOKUP(D312,'2.Bookinglist'!A:E,5,FALSE)</f>
        <v>0</v>
      </c>
      <c r="H312" s="54" t="str">
        <f>VLOOKUP(D312,'2.Bookinglist'!A:CT,15,FALSE)</f>
        <v>THLCH</v>
      </c>
      <c r="I312" s="54" t="str">
        <f>VLOOKUP(D312,'2.Bookinglist'!A:CT,19,FALSE)</f>
        <v>CNSHA</v>
      </c>
      <c r="J312" s="54">
        <f>VLOOKUP(D312,'2.Bookinglist'!A:CT,26,FALSE)</f>
        <v>0</v>
      </c>
      <c r="K312" s="54" t="str">
        <f>VLOOKUP(A312,'1.Loading'!A:R,5,FALSE)</f>
        <v>45GP</v>
      </c>
      <c r="L312" s="56" t="str">
        <f>VLOOKUP(D312,'2.Bookinglist'!A:CT,85,FALSE)</f>
        <v>CY/CY</v>
      </c>
      <c r="M312" s="56" t="str">
        <f>IF(VLOOKUP(D312,'2.Bookinglist'!A:CT,43,FALSE)=0,"","DG")</f>
        <v/>
      </c>
      <c r="N312" s="56" t="str">
        <f>IF(RIGHT(K312,2)="RE","RF","")</f>
        <v/>
      </c>
      <c r="O312" s="54" t="str">
        <f>VLOOKUP(A312,'1.Loading'!A:R,3,FALSE)</f>
        <v>HMVY</v>
      </c>
      <c r="P312" s="54" t="str">
        <f>VLOOKUP(A312,'1.Loading'!A:R,4,FALSE)</f>
        <v>2609N</v>
      </c>
      <c r="Q312" s="54" t="str">
        <f>VLOOKUP(D312,'2.Bookinglist'!A:CT,12,FALSE)</f>
        <v>PCI2</v>
      </c>
      <c r="R312" s="56" t="str">
        <f>IF(LEFT(K312,2)="22","20'","40'")</f>
        <v>40'</v>
      </c>
      <c r="S312" s="38"/>
      <c r="T312" s="54" t="str">
        <f>VLOOKUP(A312,'1.Loading'!A:R,2,FALSE)</f>
        <v>2026-10-28</v>
      </c>
      <c r="U312" s="57">
        <f>T312-S312</f>
        <v>46323</v>
      </c>
      <c r="V312" s="58"/>
      <c r="W312" s="54" t="str">
        <f>VLOOKUP(A312,'3.GateMove'!A:D,4,FALSE)</f>
        <v>2026-10-20</v>
      </c>
      <c r="X312" s="57">
        <f>((T312-W312)+1)</f>
        <v>9</v>
      </c>
      <c r="Y312" s="59">
        <f>IF(AND(OR(C312="BKK01",C312="BKK04"),L312="CFS/CY"),0,IF(M312="DG",1,IF(LEFT(C312,3)="LCH",7,IF(C312="BKK02",5,3))))</f>
        <v>7</v>
      </c>
      <c r="Z312" s="57">
        <f>IF(IF(AND(AC312="TML",AB312&gt;0),((T312-W312)+1)-AB312,((T312-W312)+1)-Y312)&gt;0,IF(AND(AC312="TML",AB312&gt;0),((T312-W312)+1)-AB312,((T312-W312)+1)-Y312),0)</f>
        <v>2</v>
      </c>
      <c r="AA312" s="48">
        <f>IF(AND(B312="G1",M312=""),IF(R312="20'",
VLOOKUP(Z312,Charge!$K$2:$M$5,2,TRUE)+(Z312-VLOOKUP(Z312,Charge!$K$2:$M$5,1,TRUE))*VLOOKUP(Z312,Charge!$K$2:$M$5,3,TRUE),
VLOOKUP(Z312,Charge!$N$2:$P$5,2,TRUE)+(Z312-VLOOKUP(Z312,Charge!$N$2:$P$5,1,TRUE))*VLOOKUP(Z312,Charge!$N$2:$P$5,3,TRUE)),
IF(AND(B312="G1",M312="DG"),IF(R312="20'",
VLOOKUP(Z312,Charge!$R$2:$T$5,2,TRUE)+(Z312-VLOOKUP(Z312,Charge!$R$2:$T$5,1,TRUE))*VLOOKUP(Z312,Charge!$R$2:$T$5,3,TRUE),
VLOOKUP(Z312,Charge!$U$2:$W$5,2,TRUE)+(Z312-VLOOKUP(Z312,Charge!$U$2:$W$5,1,TRUE))*VLOOKUP(Z312,Charge!$U$2:$W$5,3,TRUE)),
IF(AND(B312="G3",M312=""),IF(R312="20'",
VLOOKUP(Z312,Charge!$K$18:$M$21,2,TRUE)+(Z312-VLOOKUP(Z312,Charge!$K$18:$M$21,1,TRUE))*VLOOKUP(Z312,Charge!$K$18:$M$21,3,TRUE),
VLOOKUP(Z312,Charge!$N$18:$P$21,2,TRUE)+(Z312-VLOOKUP(Z312,Charge!$N$18:$P$21,1,TRUE))*VLOOKUP(Z312,Charge!$N$18:$P$21,3,TRUE)),
IF(AND(B312="G3",M312="DG"),IF(R312="20'",
VLOOKUP(Z312,Charge!$R$18:$T$21,2,TRUE)+(Z312-VLOOKUP(Z312,Charge!$R$18:$T$21,1,TRUE))*VLOOKUP(Z312,Charge!$R$18:$T$21,3,TRUE),
VLOOKUP(Z312,Charge!$U$18:$W$21,2,TRUE)+(Z312-VLOOKUP(Z312,Charge!$U$18:$W$21,1,TRUE))*VLOOKUP(Z312,Charge!$U$18:$W$21,3,TRUE)),
IF(AND(B312="G2",M312=""),IF(R312="20'",
VLOOKUP(Z312,Charge!$K$9:$M$12,2,TRUE)+(Z312-VLOOKUP(Z312,Charge!$K$9:$M$12,1,TRUE))*VLOOKUP(Z312,Charge!$K$9:$M$12,3,TRUE),
VLOOKUP(Z312,Charge!$N$9:$P$12,2,TRUE)+(Z312-VLOOKUP(Z312,Charge!$N$9:$P$12,1,TRUE))*VLOOKUP(Z312,Charge!$N$9:$P$12,3,TRUE)),
IF(AND(B312="G2",M312="DG"),IF(R312="20'",
VLOOKUP(Z312,Charge!$R$9:$T$12,2,TRUE)+(Z312-VLOOKUP(Z312,Charge!$R$9:$T$12,1,TRUE))*VLOOKUP(Z312,Charge!$R$9:$T$12,3,TRUE),
VLOOKUP(Z312,Charge!$U$9:$W$12,2,TRUE)+(Z312-VLOOKUP(Z312,Charge!$U$9:$W$12,1,TRUE))*VLOOKUP(Z312,Charge!$U$9:$W$12,3,TRUE)),IF(AND(B312="G4",M312=""),IF(R312="20'",Z312*Charge!$M$25,Z312*Charge!$P$25),IF(AND(B312="G4",M312="DG"),IF(R312="20'",Z312*Charge!$T$25,Z312*Charge!$W$25),0))))))))</f>
        <v>500</v>
      </c>
      <c r="AB312" s="53"/>
      <c r="AC312" s="53"/>
      <c r="AD312" s="56">
        <f>IF(M312="DG",3,IF(N312="RF",3,5))+IF(AND(LEFT(C312,3)="BKK",N312="RF",Q312="KTS"),1,0)+IF(Q312="KHS",1,0)</f>
        <v>5</v>
      </c>
      <c r="AE312" s="57">
        <f>(T312-V312)+1</f>
        <v>46324</v>
      </c>
      <c r="AF312" s="57">
        <f>IF(AB312&gt;IF((V312-W312)&gt;0,V312-W312,0),0,IF(AB312&lt;IF((V312-W312)&gt;0,V312-W312,0),IF((V312-W312)&gt;0,V312-W312,0)-AB312,IF((V312-W312)&gt;0,V312-W312,0)))</f>
        <v>0</v>
      </c>
      <c r="AG312" s="48">
        <f>IF(AND(M312=""),IF(R312="20'",
VLOOKUP(AF312,Charge!$K$31:$M$34,2,TRUE)+(AF312-VLOOKUP(AF312,Charge!$K$31:$M$34,1,TRUE))*VLOOKUP(AF312,Charge!$K$31:$M$34,3,TRUE),
VLOOKUP(AF312,Charge!$N$31:$P$34,2,TRUE)+(AF312-VLOOKUP(AF312,Charge!$N$31:$P$34,1,TRUE))*VLOOKUP(AF312,Charge!$N$31:$P$34,3,TRUE)),
IF(AND(M312="DG"),IF(R312="20'",
VLOOKUP(AF312,Charge!$R$31:$T$34,2,TRUE)+(AF312-VLOOKUP(AF312,Charge!$R$31:$T$34,1,TRUE))*VLOOKUP(AF312,Charge!$R$31:$T$34,3,TRUE),
VLOOKUP(AF312,Charge!$U$31:$W$34,2,TRUE)+(AF312-VLOOKUP(AF312,Charge!$U$31:$W$34,1,TRUE))*VLOOKUP(AF312,Charge!$U$31:$W$34,3,TRUE)),0))</f>
        <v>0</v>
      </c>
      <c r="AH312" s="60"/>
      <c r="AI312" s="60">
        <f>AA312-AH312</f>
        <v>500</v>
      </c>
      <c r="AJ312" s="61"/>
      <c r="AK312" s="55" t="str">
        <f>VLOOKUP(D312,'2.Bookinglist'!A:CT,40,FALSE)</f>
        <v>Nannaapust Sukporntaweewat</v>
      </c>
      <c r="AL312" s="56" t="str">
        <f>VLOOKUP(D312,'2.Bookinglist'!A:CW,101,FALSE)</f>
        <v>2026-10-24</v>
      </c>
      <c r="AM312" s="56" t="str">
        <f>VLOOKUP(D312,'2.Bookinglist'!A:BK,63,FALSE)</f>
        <v>LCHY5</v>
      </c>
      <c r="AN312" s="55" t="str">
        <f>VLOOKUP(D312,'2.Bookinglist'!A:AZ,52,FALSE)</f>
        <v>Pickup : 2026-10-15, Return : 2026-10-16</v>
      </c>
      <c r="AO312" s="55">
        <f>VLOOKUP(D312,'2.Bookinglist'!A:CY,103,FALSE)</f>
        <v>0</v>
      </c>
    </row>
    <row r="313" ht="12.95" customHeight="1" spans="1:41" x14ac:dyDescent="0.25">
      <c r="A313" s="3" t="s">
        <v>230</v>
      </c>
      <c r="B313" s="53" t="str">
        <f>IF(C313=Charge!$M$1,Charge!$J$1,IF(C313=Charge!$M$23,Charge!$J$23,IF(C313=Charge!$M$17,Charge!$J$17,IF(C313=Charge!$N$17,Charge!$J$17,Charge!$J$7))))</f>
        <v>G2</v>
      </c>
      <c r="C313" s="54" t="str">
        <f>VLOOKUP(A313,'1.Loading'!A:R,14,FALSE)</f>
        <v>LCH06</v>
      </c>
      <c r="D313" s="54" t="str">
        <f>VLOOKUP(A313,'1.Loading'!A:R,17,FALSE)</f>
        <v>HASLS22261001024</v>
      </c>
      <c r="E313" s="55" t="str">
        <f>VLOOKUP(D313,'2.Bookinglist'!A:CT,27,FALSE)</f>
        <v>SUN-OCEAN GLOBAL SUPPLY CHAIN CO., LTD.</v>
      </c>
      <c r="F313" s="55" t="str">
        <f>VLOOKUP(D313,'2.Bookinglist'!A:CT,28,FALSE)</f>
        <v>I.P. ONE COMPANY LIMITED</v>
      </c>
      <c r="G313" s="56" t="str">
        <f>VLOOKUP(D313,'2.Bookinglist'!A:E,5,FALSE)</f>
        <v>THSRP</v>
      </c>
      <c r="H313" s="54" t="str">
        <f>VLOOKUP(D313,'2.Bookinglist'!A:CT,15,FALSE)</f>
        <v>THLCH</v>
      </c>
      <c r="I313" s="54" t="str">
        <f>VLOOKUP(D313,'2.Bookinglist'!A:CT,19,FALSE)</f>
        <v>CNSHA</v>
      </c>
      <c r="J313" s="54">
        <f>VLOOKUP(D313,'2.Bookinglist'!A:CT,26,FALSE)</f>
        <v>0</v>
      </c>
      <c r="K313" s="54" t="str">
        <f>VLOOKUP(A313,'1.Loading'!A:R,5,FALSE)</f>
        <v>45GP</v>
      </c>
      <c r="L313" s="56" t="str">
        <f>VLOOKUP(D313,'2.Bookinglist'!A:CT,85,FALSE)</f>
        <v>CY/CY</v>
      </c>
      <c r="M313" s="56" t="str">
        <f>IF(VLOOKUP(D313,'2.Bookinglist'!A:CT,43,FALSE)=0,"","DG")</f>
        <v/>
      </c>
      <c r="N313" s="56" t="str">
        <f>IF(RIGHT(K313,2)="RE","RF","")</f>
        <v/>
      </c>
      <c r="O313" s="54" t="str">
        <f>VLOOKUP(A313,'1.Loading'!A:R,3,FALSE)</f>
        <v>HMVY</v>
      </c>
      <c r="P313" s="54" t="str">
        <f>VLOOKUP(A313,'1.Loading'!A:R,4,FALSE)</f>
        <v>2609N</v>
      </c>
      <c r="Q313" s="54" t="str">
        <f>VLOOKUP(D313,'2.Bookinglist'!A:CT,12,FALSE)</f>
        <v>PCI2</v>
      </c>
      <c r="R313" s="56" t="str">
        <f>IF(LEFT(K313,2)="22","20'","40'")</f>
        <v>40'</v>
      </c>
      <c r="S313" s="38"/>
      <c r="T313" s="54" t="str">
        <f>VLOOKUP(A313,'1.Loading'!A:R,2,FALSE)</f>
        <v>2026-10-28</v>
      </c>
      <c r="U313" s="57">
        <f>T313-S313</f>
        <v>46323</v>
      </c>
      <c r="V313" s="58"/>
      <c r="W313" s="54" t="str">
        <f>VLOOKUP(A313,'3.GateMove'!A:D,4,FALSE)</f>
        <v>2026-10-23</v>
      </c>
      <c r="X313" s="57">
        <f>((T313-W313)+1)</f>
        <v>6</v>
      </c>
      <c r="Y313" s="59">
        <f>IF(AND(OR(C313="BKK01",C313="BKK04"),L313="CFS/CY"),0,IF(M313="DG",1,IF(LEFT(C313,3)="LCH",7,IF(C313="BKK02",5,3))))</f>
        <v>7</v>
      </c>
      <c r="Z313" s="57">
        <f>IF(IF(AND(AC313="TML",AB313&gt;0),((T313-W313)+1)-AB313,((T313-W313)+1)-Y313)&gt;0,IF(AND(AC313="TML",AB313&gt;0),((T313-W313)+1)-AB313,((T313-W313)+1)-Y313),0)</f>
        <v>0</v>
      </c>
      <c r="AA313" s="48">
        <f>IF(AND(B313="G1",M313=""),IF(R313="20'",
VLOOKUP(Z313,Charge!$K$2:$M$5,2,TRUE)+(Z313-VLOOKUP(Z313,Charge!$K$2:$M$5,1,TRUE))*VLOOKUP(Z313,Charge!$K$2:$M$5,3,TRUE),
VLOOKUP(Z313,Charge!$N$2:$P$5,2,TRUE)+(Z313-VLOOKUP(Z313,Charge!$N$2:$P$5,1,TRUE))*VLOOKUP(Z313,Charge!$N$2:$P$5,3,TRUE)),
IF(AND(B313="G1",M313="DG"),IF(R313="20'",
VLOOKUP(Z313,Charge!$R$2:$T$5,2,TRUE)+(Z313-VLOOKUP(Z313,Charge!$R$2:$T$5,1,TRUE))*VLOOKUP(Z313,Charge!$R$2:$T$5,3,TRUE),
VLOOKUP(Z313,Charge!$U$2:$W$5,2,TRUE)+(Z313-VLOOKUP(Z313,Charge!$U$2:$W$5,1,TRUE))*VLOOKUP(Z313,Charge!$U$2:$W$5,3,TRUE)),
IF(AND(B313="G3",M313=""),IF(R313="20'",
VLOOKUP(Z313,Charge!$K$18:$M$21,2,TRUE)+(Z313-VLOOKUP(Z313,Charge!$K$18:$M$21,1,TRUE))*VLOOKUP(Z313,Charge!$K$18:$M$21,3,TRUE),
VLOOKUP(Z313,Charge!$N$18:$P$21,2,TRUE)+(Z313-VLOOKUP(Z313,Charge!$N$18:$P$21,1,TRUE))*VLOOKUP(Z313,Charge!$N$18:$P$21,3,TRUE)),
IF(AND(B313="G3",M313="DG"),IF(R313="20'",
VLOOKUP(Z313,Charge!$R$18:$T$21,2,TRUE)+(Z313-VLOOKUP(Z313,Charge!$R$18:$T$21,1,TRUE))*VLOOKUP(Z313,Charge!$R$18:$T$21,3,TRUE),
VLOOKUP(Z313,Charge!$U$18:$W$21,2,TRUE)+(Z313-VLOOKUP(Z313,Charge!$U$18:$W$21,1,TRUE))*VLOOKUP(Z313,Charge!$U$18:$W$21,3,TRUE)),
IF(AND(B313="G2",M313=""),IF(R313="20'",
VLOOKUP(Z313,Charge!$K$9:$M$12,2,TRUE)+(Z313-VLOOKUP(Z313,Charge!$K$9:$M$12,1,TRUE))*VLOOKUP(Z313,Charge!$K$9:$M$12,3,TRUE),
VLOOKUP(Z313,Charge!$N$9:$P$12,2,TRUE)+(Z313-VLOOKUP(Z313,Charge!$N$9:$P$12,1,TRUE))*VLOOKUP(Z313,Charge!$N$9:$P$12,3,TRUE)),
IF(AND(B313="G2",M313="DG"),IF(R313="20'",
VLOOKUP(Z313,Charge!$R$9:$T$12,2,TRUE)+(Z313-VLOOKUP(Z313,Charge!$R$9:$T$12,1,TRUE))*VLOOKUP(Z313,Charge!$R$9:$T$12,3,TRUE),
VLOOKUP(Z313,Charge!$U$9:$W$12,2,TRUE)+(Z313-VLOOKUP(Z313,Charge!$U$9:$W$12,1,TRUE))*VLOOKUP(Z313,Charge!$U$9:$W$12,3,TRUE)),IF(AND(B313="G4",M313=""),IF(R313="20'",Z313*Charge!$M$25,Z313*Charge!$P$25),IF(AND(B313="G4",M313="DG"),IF(R313="20'",Z313*Charge!$T$25,Z313*Charge!$W$25),0))))))))</f>
        <v>0</v>
      </c>
      <c r="AB313" s="53"/>
      <c r="AC313" s="53"/>
      <c r="AD313" s="56">
        <f>IF(M313="DG",3,IF(N313="RF",3,5))+IF(AND(LEFT(C313,3)="BKK",N313="RF",Q313="KTS"),1,0)+IF(Q313="KHS",1,0)</f>
        <v>5</v>
      </c>
      <c r="AE313" s="57">
        <f>(T313-V313)+1</f>
        <v>46324</v>
      </c>
      <c r="AF313" s="57">
        <f>IF(AB313&gt;IF((V313-W313)&gt;0,V313-W313,0),0,IF(AB313&lt;IF((V313-W313)&gt;0,V313-W313,0),IF((V313-W313)&gt;0,V313-W313,0)-AB313,IF((V313-W313)&gt;0,V313-W313,0)))</f>
        <v>0</v>
      </c>
      <c r="AG313" s="48">
        <f>IF(AND(M313=""),IF(R313="20'",
VLOOKUP(AF313,Charge!$K$31:$M$34,2,TRUE)+(AF313-VLOOKUP(AF313,Charge!$K$31:$M$34,1,TRUE))*VLOOKUP(AF313,Charge!$K$31:$M$34,3,TRUE),
VLOOKUP(AF313,Charge!$N$31:$P$34,2,TRUE)+(AF313-VLOOKUP(AF313,Charge!$N$31:$P$34,1,TRUE))*VLOOKUP(AF313,Charge!$N$31:$P$34,3,TRUE)),
IF(AND(M313="DG"),IF(R313="20'",
VLOOKUP(AF313,Charge!$R$31:$T$34,2,TRUE)+(AF313-VLOOKUP(AF313,Charge!$R$31:$T$34,1,TRUE))*VLOOKUP(AF313,Charge!$R$31:$T$34,3,TRUE),
VLOOKUP(AF313,Charge!$U$31:$W$34,2,TRUE)+(AF313-VLOOKUP(AF313,Charge!$U$31:$W$34,1,TRUE))*VLOOKUP(AF313,Charge!$U$31:$W$34,3,TRUE)),0))</f>
        <v>0</v>
      </c>
      <c r="AH313" s="60"/>
      <c r="AI313" s="60">
        <f>AA313-AH313</f>
        <v>0</v>
      </c>
      <c r="AJ313" s="61"/>
      <c r="AK313" s="55" t="str">
        <f>VLOOKUP(D313,'2.Bookinglist'!A:CT,40,FALSE)</f>
        <v>Arunphat W. (Aiw)</v>
      </c>
      <c r="AL313" s="56" t="str">
        <f>VLOOKUP(D313,'2.Bookinglist'!A:CW,101,FALSE)</f>
        <v>2026-10-24</v>
      </c>
      <c r="AM313" s="56" t="str">
        <f>VLOOKUP(D313,'2.Bookinglist'!A:BK,63,FALSE)</f>
        <v>BKK27</v>
      </c>
      <c r="AN313" s="55" t="str">
        <f>VLOOKUP(D313,'2.Bookinglist'!A:AZ,52,FALSE)</f>
        <v>Pickup : 2026-10-19, Return SRP : 2026-10-20 [PAPERLESS CODE 2829]
CLS TIME 24/10/26 @21.00 (1ST RETURN DD.21/10/26)</v>
      </c>
      <c r="AO313" s="55">
        <f>VLOOKUP(D313,'2.Bookinglist'!A:CY,103,FALSE)</f>
        <v>0</v>
      </c>
    </row>
    <row r="314" ht="12.95" customHeight="1" spans="1:41" x14ac:dyDescent="0.25">
      <c r="A314" s="3" t="s">
        <v>216</v>
      </c>
      <c r="B314" s="53" t="str">
        <f>IF(C314=Charge!$M$1,Charge!$J$1,IF(C314=Charge!$M$23,Charge!$J$23,IF(C314=Charge!$M$17,Charge!$J$17,IF(C314=Charge!$N$17,Charge!$J$17,Charge!$J$7))))</f>
        <v>G2</v>
      </c>
      <c r="C314" s="54" t="str">
        <f>VLOOKUP(A314,'1.Loading'!A:R,14,FALSE)</f>
        <v>LCH06</v>
      </c>
      <c r="D314" s="54" t="str">
        <f>VLOOKUP(A314,'1.Loading'!A:R,17,FALSE)</f>
        <v>HASLS22260900442</v>
      </c>
      <c r="E314" s="55" t="str">
        <f>VLOOKUP(D314,'2.Bookinglist'!A:CT,27,FALSE)</f>
        <v>BARKLAYS LOGISTICS (THAILAND) CO., LTD.</v>
      </c>
      <c r="F314" s="55" t="str">
        <f>VLOOKUP(D314,'2.Bookinglist'!A:CT,28,FALSE)</f>
        <v>SHUN YI INTERNATIONAL TRADING CO., LTD.</v>
      </c>
      <c r="G314" s="56">
        <f>VLOOKUP(D314,'2.Bookinglist'!A:E,5,FALSE)</f>
        <v>0</v>
      </c>
      <c r="H314" s="54" t="str">
        <f>VLOOKUP(D314,'2.Bookinglist'!A:CT,15,FALSE)</f>
        <v>THLCH</v>
      </c>
      <c r="I314" s="54" t="str">
        <f>VLOOKUP(D314,'2.Bookinglist'!A:CT,19,FALSE)</f>
        <v>CNSHA</v>
      </c>
      <c r="J314" s="54">
        <f>VLOOKUP(D314,'2.Bookinglist'!A:CT,26,FALSE)</f>
        <v>0</v>
      </c>
      <c r="K314" s="54" t="str">
        <f>VLOOKUP(A314,'1.Loading'!A:R,5,FALSE)</f>
        <v>45GP</v>
      </c>
      <c r="L314" s="56" t="str">
        <f>VLOOKUP(D314,'2.Bookinglist'!A:CT,85,FALSE)</f>
        <v>CY/CY</v>
      </c>
      <c r="M314" s="56" t="str">
        <f>IF(VLOOKUP(D314,'2.Bookinglist'!A:CT,43,FALSE)=0,"","DG")</f>
        <v/>
      </c>
      <c r="N314" s="56" t="str">
        <f>IF(RIGHT(K314,2)="RE","RF","")</f>
        <v/>
      </c>
      <c r="O314" s="54" t="str">
        <f>VLOOKUP(A314,'1.Loading'!A:R,3,FALSE)</f>
        <v>HMVY</v>
      </c>
      <c r="P314" s="54" t="str">
        <f>VLOOKUP(A314,'1.Loading'!A:R,4,FALSE)</f>
        <v>2609N</v>
      </c>
      <c r="Q314" s="54" t="str">
        <f>VLOOKUP(D314,'2.Bookinglist'!A:CT,12,FALSE)</f>
        <v>PCI2</v>
      </c>
      <c r="R314" s="56" t="str">
        <f>IF(LEFT(K314,2)="22","20'","40'")</f>
        <v>40'</v>
      </c>
      <c r="S314" s="38"/>
      <c r="T314" s="54" t="str">
        <f>VLOOKUP(A314,'1.Loading'!A:R,2,FALSE)</f>
        <v>2026-10-28</v>
      </c>
      <c r="U314" s="57">
        <f>T314-S314</f>
        <v>46323</v>
      </c>
      <c r="V314" s="58"/>
      <c r="W314" s="54" t="str">
        <f>VLOOKUP(A314,'3.GateMove'!A:D,4,FALSE)</f>
        <v>2026-10-04</v>
      </c>
      <c r="X314" s="57">
        <f>((T314-W314)+1)</f>
        <v>25</v>
      </c>
      <c r="Y314" s="59">
        <f>IF(AND(OR(C314="BKK01",C314="BKK04"),L314="CFS/CY"),0,IF(M314="DG",1,IF(LEFT(C314,3)="LCH",7,IF(C314="BKK02",5,3))))</f>
        <v>7</v>
      </c>
      <c r="Z314" s="57">
        <f>IF(IF(AND(AC314="TML",AB314&gt;0),((T314-W314)+1)-AB314,((T314-W314)+1)-Y314)&gt;0,IF(AND(AC314="TML",AB314&gt;0),((T314-W314)+1)-AB314,((T314-W314)+1)-Y314),0)</f>
        <v>18</v>
      </c>
      <c r="AA314" s="48">
        <f>IF(AND(B314="G1",M314=""),IF(R314="20'",
VLOOKUP(Z314,Charge!$K$2:$M$5,2,TRUE)+(Z314-VLOOKUP(Z314,Charge!$K$2:$M$5,1,TRUE))*VLOOKUP(Z314,Charge!$K$2:$M$5,3,TRUE),
VLOOKUP(Z314,Charge!$N$2:$P$5,2,TRUE)+(Z314-VLOOKUP(Z314,Charge!$N$2:$P$5,1,TRUE))*VLOOKUP(Z314,Charge!$N$2:$P$5,3,TRUE)),
IF(AND(B314="G1",M314="DG"),IF(R314="20'",
VLOOKUP(Z314,Charge!$R$2:$T$5,2,TRUE)+(Z314-VLOOKUP(Z314,Charge!$R$2:$T$5,1,TRUE))*VLOOKUP(Z314,Charge!$R$2:$T$5,3,TRUE),
VLOOKUP(Z314,Charge!$U$2:$W$5,2,TRUE)+(Z314-VLOOKUP(Z314,Charge!$U$2:$W$5,1,TRUE))*VLOOKUP(Z314,Charge!$U$2:$W$5,3,TRUE)),
IF(AND(B314="G3",M314=""),IF(R314="20'",
VLOOKUP(Z314,Charge!$K$18:$M$21,2,TRUE)+(Z314-VLOOKUP(Z314,Charge!$K$18:$M$21,1,TRUE))*VLOOKUP(Z314,Charge!$K$18:$M$21,3,TRUE),
VLOOKUP(Z314,Charge!$N$18:$P$21,2,TRUE)+(Z314-VLOOKUP(Z314,Charge!$N$18:$P$21,1,TRUE))*VLOOKUP(Z314,Charge!$N$18:$P$21,3,TRUE)),
IF(AND(B314="G3",M314="DG"),IF(R314="20'",
VLOOKUP(Z314,Charge!$R$18:$T$21,2,TRUE)+(Z314-VLOOKUP(Z314,Charge!$R$18:$T$21,1,TRUE))*VLOOKUP(Z314,Charge!$R$18:$T$21,3,TRUE),
VLOOKUP(Z314,Charge!$U$18:$W$21,2,TRUE)+(Z314-VLOOKUP(Z314,Charge!$U$18:$W$21,1,TRUE))*VLOOKUP(Z314,Charge!$U$18:$W$21,3,TRUE)),
IF(AND(B314="G2",M314=""),IF(R314="20'",
VLOOKUP(Z314,Charge!$K$9:$M$12,2,TRUE)+(Z314-VLOOKUP(Z314,Charge!$K$9:$M$12,1,TRUE))*VLOOKUP(Z314,Charge!$K$9:$M$12,3,TRUE),
VLOOKUP(Z314,Charge!$N$9:$P$12,2,TRUE)+(Z314-VLOOKUP(Z314,Charge!$N$9:$P$12,1,TRUE))*VLOOKUP(Z314,Charge!$N$9:$P$12,3,TRUE)),
IF(AND(B314="G2",M314="DG"),IF(R314="20'",
VLOOKUP(Z314,Charge!$R$9:$T$12,2,TRUE)+(Z314-VLOOKUP(Z314,Charge!$R$9:$T$12,1,TRUE))*VLOOKUP(Z314,Charge!$R$9:$T$12,3,TRUE),
VLOOKUP(Z314,Charge!$U$9:$W$12,2,TRUE)+(Z314-VLOOKUP(Z314,Charge!$U$9:$W$12,1,TRUE))*VLOOKUP(Z314,Charge!$U$9:$W$12,3,TRUE)),IF(AND(B314="G4",M314=""),IF(R314="20'",Z314*Charge!$M$25,Z314*Charge!$P$25),IF(AND(B314="G4",M314="DG"),IF(R314="20'",Z314*Charge!$T$25,Z314*Charge!$W$25),0))))))))</f>
        <v>8450</v>
      </c>
      <c r="AB314" s="53"/>
      <c r="AC314" s="53"/>
      <c r="AD314" s="56">
        <f>IF(M314="DG",3,IF(N314="RF",3,5))+IF(AND(LEFT(C314,3)="BKK",N314="RF",Q314="KTS"),1,0)+IF(Q314="KHS",1,0)</f>
        <v>5</v>
      </c>
      <c r="AE314" s="57">
        <f>(T314-V314)+1</f>
        <v>46324</v>
      </c>
      <c r="AF314" s="57">
        <f>IF(AB314&gt;IF((V314-W314)&gt;0,V314-W314,0),0,IF(AB314&lt;IF((V314-W314)&gt;0,V314-W314,0),IF((V314-W314)&gt;0,V314-W314,0)-AB314,IF((V314-W314)&gt;0,V314-W314,0)))</f>
        <v>0</v>
      </c>
      <c r="AG314" s="48">
        <f>IF(AND(M314=""),IF(R314="20'",
VLOOKUP(AF314,Charge!$K$31:$M$34,2,TRUE)+(AF314-VLOOKUP(AF314,Charge!$K$31:$M$34,1,TRUE))*VLOOKUP(AF314,Charge!$K$31:$M$34,3,TRUE),
VLOOKUP(AF314,Charge!$N$31:$P$34,2,TRUE)+(AF314-VLOOKUP(AF314,Charge!$N$31:$P$34,1,TRUE))*VLOOKUP(AF314,Charge!$N$31:$P$34,3,TRUE)),
IF(AND(M314="DG"),IF(R314="20'",
VLOOKUP(AF314,Charge!$R$31:$T$34,2,TRUE)+(AF314-VLOOKUP(AF314,Charge!$R$31:$T$34,1,TRUE))*VLOOKUP(AF314,Charge!$R$31:$T$34,3,TRUE),
VLOOKUP(AF314,Charge!$U$31:$W$34,2,TRUE)+(AF314-VLOOKUP(AF314,Charge!$U$31:$W$34,1,TRUE))*VLOOKUP(AF314,Charge!$U$31:$W$34,3,TRUE)),0))</f>
        <v>0</v>
      </c>
      <c r="AH314" s="60"/>
      <c r="AI314" s="60">
        <f>AA314-AH314</f>
        <v>8450</v>
      </c>
      <c r="AJ314" s="61"/>
      <c r="AK314" s="55" t="str">
        <f>VLOOKUP(D314,'2.Bookinglist'!A:CT,40,FALSE)</f>
        <v>Nannaapust Sukporntaweewat</v>
      </c>
      <c r="AL314" s="56" t="str">
        <f>VLOOKUP(D314,'2.Bookinglist'!A:CW,101,FALSE)</f>
        <v>2026-10-22</v>
      </c>
      <c r="AM314" s="56" t="str">
        <f>VLOOKUP(D314,'2.Bookinglist'!A:BK,63,FALSE)</f>
        <v>LCHY5</v>
      </c>
      <c r="AN314" s="55" t="str">
        <f>VLOOKUP(D314,'2.Bookinglist'!A:AZ,52,FALSE)</f>
        <v>Pickup : 2026-10-02, Return : 2026-10-04 *1ST RETURN CNTR DD.08/10/2026*</v>
      </c>
      <c r="AO314" s="55" t="str">
        <f>VLOOKUP(D314,'2.Bookinglist'!A:CY,103,FALSE)</f>
        <v>ROLL OVER FROM PREVIOUS VSL SWRG 2609N BY ALLOCATION TEAM MS.TAN APPROVED COST IS UNDER HA DD.09/10</v>
      </c>
    </row>
    <row r="315" ht="12.95" customHeight="1" spans="1:41" x14ac:dyDescent="0.25">
      <c r="A315" s="3" t="s">
        <v>151</v>
      </c>
      <c r="B315" s="53" t="str">
        <f>IF(C315=Charge!$M$1,Charge!$J$1,IF(C315=Charge!$M$23,Charge!$J$23,IF(C315=Charge!$M$17,Charge!$J$17,IF(C315=Charge!$N$17,Charge!$J$17,Charge!$J$7))))</f>
        <v>G2</v>
      </c>
      <c r="C315" s="54" t="str">
        <f>VLOOKUP(A315,'1.Loading'!A:R,14,FALSE)</f>
        <v>LCH06</v>
      </c>
      <c r="D315" s="54" t="str">
        <f>VLOOKUP(A315,'1.Loading'!A:R,17,FALSE)</f>
        <v>HASLS22261000285</v>
      </c>
      <c r="E315" s="55" t="str">
        <f>VLOOKUP(D315,'2.Bookinglist'!A:CT,27,FALSE)</f>
        <v>AGC VINYTHAI PUBLIC COMPANY LIMITED</v>
      </c>
      <c r="F315" s="55" t="str">
        <f>VLOOKUP(D315,'2.Bookinglist'!A:CT,28,FALSE)</f>
        <v>AGC VINYTHAI PUBLIC COMPANY LIMITED</v>
      </c>
      <c r="G315" s="56">
        <f>VLOOKUP(D315,'2.Bookinglist'!A:E,5,FALSE)</f>
        <v>0</v>
      </c>
      <c r="H315" s="54" t="str">
        <f>VLOOKUP(D315,'2.Bookinglist'!A:CT,15,FALSE)</f>
        <v>THLCH</v>
      </c>
      <c r="I315" s="54" t="str">
        <f>VLOOKUP(D315,'2.Bookinglist'!A:CT,19,FALSE)</f>
        <v>CNSHA</v>
      </c>
      <c r="J315" s="54">
        <f>VLOOKUP(D315,'2.Bookinglist'!A:CT,26,FALSE)</f>
        <v>0</v>
      </c>
      <c r="K315" s="54" t="str">
        <f>VLOOKUP(A315,'1.Loading'!A:R,5,FALSE)</f>
        <v>45GP</v>
      </c>
      <c r="L315" s="56" t="str">
        <f>VLOOKUP(D315,'2.Bookinglist'!A:CT,85,FALSE)</f>
        <v>CY/CY</v>
      </c>
      <c r="M315" s="56" t="str">
        <f>IF(VLOOKUP(D315,'2.Bookinglist'!A:CT,43,FALSE)=0,"","DG")</f>
        <v/>
      </c>
      <c r="N315" s="56" t="str">
        <f>IF(RIGHT(K315,2)="RE","RF","")</f>
        <v/>
      </c>
      <c r="O315" s="54" t="str">
        <f>VLOOKUP(A315,'1.Loading'!A:R,3,FALSE)</f>
        <v>HMVY</v>
      </c>
      <c r="P315" s="54" t="str">
        <f>VLOOKUP(A315,'1.Loading'!A:R,4,FALSE)</f>
        <v>2609N</v>
      </c>
      <c r="Q315" s="54" t="str">
        <f>VLOOKUP(D315,'2.Bookinglist'!A:CT,12,FALSE)</f>
        <v>PCI2</v>
      </c>
      <c r="R315" s="56" t="str">
        <f>IF(LEFT(K315,2)="22","20'","40'")</f>
        <v>40'</v>
      </c>
      <c r="S315" s="38"/>
      <c r="T315" s="54" t="str">
        <f>VLOOKUP(A315,'1.Loading'!A:R,2,FALSE)</f>
        <v>2026-10-28</v>
      </c>
      <c r="U315" s="57">
        <f>T315-S315</f>
        <v>46323</v>
      </c>
      <c r="V315" s="58"/>
      <c r="W315" s="54" t="str">
        <f>VLOOKUP(A315,'3.GateMove'!A:D,4,FALSE)</f>
        <v>2026-10-20</v>
      </c>
      <c r="X315" s="57">
        <f>((T315-W315)+1)</f>
        <v>9</v>
      </c>
      <c r="Y315" s="59">
        <f>IF(AND(OR(C315="BKK01",C315="BKK04"),L315="CFS/CY"),0,IF(M315="DG",1,IF(LEFT(C315,3)="LCH",7,IF(C315="BKK02",5,3))))</f>
        <v>7</v>
      </c>
      <c r="Z315" s="57">
        <f>IF(IF(AND(AC315="TML",AB315&gt;0),((T315-W315)+1)-AB315,((T315-W315)+1)-Y315)&gt;0,IF(AND(AC315="TML",AB315&gt;0),((T315-W315)+1)-AB315,((T315-W315)+1)-Y315),0)</f>
        <v>2</v>
      </c>
      <c r="AA315" s="48">
        <f>IF(AND(B315="G1",M315=""),IF(R315="20'",
VLOOKUP(Z315,Charge!$K$2:$M$5,2,TRUE)+(Z315-VLOOKUP(Z315,Charge!$K$2:$M$5,1,TRUE))*VLOOKUP(Z315,Charge!$K$2:$M$5,3,TRUE),
VLOOKUP(Z315,Charge!$N$2:$P$5,2,TRUE)+(Z315-VLOOKUP(Z315,Charge!$N$2:$P$5,1,TRUE))*VLOOKUP(Z315,Charge!$N$2:$P$5,3,TRUE)),
IF(AND(B315="G1",M315="DG"),IF(R315="20'",
VLOOKUP(Z315,Charge!$R$2:$T$5,2,TRUE)+(Z315-VLOOKUP(Z315,Charge!$R$2:$T$5,1,TRUE))*VLOOKUP(Z315,Charge!$R$2:$T$5,3,TRUE),
VLOOKUP(Z315,Charge!$U$2:$W$5,2,TRUE)+(Z315-VLOOKUP(Z315,Charge!$U$2:$W$5,1,TRUE))*VLOOKUP(Z315,Charge!$U$2:$W$5,3,TRUE)),
IF(AND(B315="G3",M315=""),IF(R315="20'",
VLOOKUP(Z315,Charge!$K$18:$M$21,2,TRUE)+(Z315-VLOOKUP(Z315,Charge!$K$18:$M$21,1,TRUE))*VLOOKUP(Z315,Charge!$K$18:$M$21,3,TRUE),
VLOOKUP(Z315,Charge!$N$18:$P$21,2,TRUE)+(Z315-VLOOKUP(Z315,Charge!$N$18:$P$21,1,TRUE))*VLOOKUP(Z315,Charge!$N$18:$P$21,3,TRUE)),
IF(AND(B315="G3",M315="DG"),IF(R315="20'",
VLOOKUP(Z315,Charge!$R$18:$T$21,2,TRUE)+(Z315-VLOOKUP(Z315,Charge!$R$18:$T$21,1,TRUE))*VLOOKUP(Z315,Charge!$R$18:$T$21,3,TRUE),
VLOOKUP(Z315,Charge!$U$18:$W$21,2,TRUE)+(Z315-VLOOKUP(Z315,Charge!$U$18:$W$21,1,TRUE))*VLOOKUP(Z315,Charge!$U$18:$W$21,3,TRUE)),
IF(AND(B315="G2",M315=""),IF(R315="20'",
VLOOKUP(Z315,Charge!$K$9:$M$12,2,TRUE)+(Z315-VLOOKUP(Z315,Charge!$K$9:$M$12,1,TRUE))*VLOOKUP(Z315,Charge!$K$9:$M$12,3,TRUE),
VLOOKUP(Z315,Charge!$N$9:$P$12,2,TRUE)+(Z315-VLOOKUP(Z315,Charge!$N$9:$P$12,1,TRUE))*VLOOKUP(Z315,Charge!$N$9:$P$12,3,TRUE)),
IF(AND(B315="G2",M315="DG"),IF(R315="20'",
VLOOKUP(Z315,Charge!$R$9:$T$12,2,TRUE)+(Z315-VLOOKUP(Z315,Charge!$R$9:$T$12,1,TRUE))*VLOOKUP(Z315,Charge!$R$9:$T$12,3,TRUE),
VLOOKUP(Z315,Charge!$U$9:$W$12,2,TRUE)+(Z315-VLOOKUP(Z315,Charge!$U$9:$W$12,1,TRUE))*VLOOKUP(Z315,Charge!$U$9:$W$12,3,TRUE)),IF(AND(B315="G4",M315=""),IF(R315="20'",Z315*Charge!$M$25,Z315*Charge!$P$25),IF(AND(B315="G4",M315="DG"),IF(R315="20'",Z315*Charge!$T$25,Z315*Charge!$W$25),0))))))))</f>
        <v>500</v>
      </c>
      <c r="AB315" s="53"/>
      <c r="AC315" s="53"/>
      <c r="AD315" s="56">
        <f>IF(M315="DG",3,IF(N315="RF",3,5))+IF(AND(LEFT(C315,3)="BKK",N315="RF",Q315="KTS"),1,0)+IF(Q315="KHS",1,0)</f>
        <v>5</v>
      </c>
      <c r="AE315" s="57">
        <f>(T315-V315)+1</f>
        <v>46324</v>
      </c>
      <c r="AF315" s="57">
        <f>IF(AB315&gt;IF((V315-W315)&gt;0,V315-W315,0),0,IF(AB315&lt;IF((V315-W315)&gt;0,V315-W315,0),IF((V315-W315)&gt;0,V315-W315,0)-AB315,IF((V315-W315)&gt;0,V315-W315,0)))</f>
        <v>0</v>
      </c>
      <c r="AG315" s="48">
        <f>IF(AND(M315=""),IF(R315="20'",
VLOOKUP(AF315,Charge!$K$31:$M$34,2,TRUE)+(AF315-VLOOKUP(AF315,Charge!$K$31:$M$34,1,TRUE))*VLOOKUP(AF315,Charge!$K$31:$M$34,3,TRUE),
VLOOKUP(AF315,Charge!$N$31:$P$34,2,TRUE)+(AF315-VLOOKUP(AF315,Charge!$N$31:$P$34,1,TRUE))*VLOOKUP(AF315,Charge!$N$31:$P$34,3,TRUE)),
IF(AND(M315="DG"),IF(R315="20'",
VLOOKUP(AF315,Charge!$R$31:$T$34,2,TRUE)+(AF315-VLOOKUP(AF315,Charge!$R$31:$T$34,1,TRUE))*VLOOKUP(AF315,Charge!$R$31:$T$34,3,TRUE),
VLOOKUP(AF315,Charge!$U$31:$W$34,2,TRUE)+(AF315-VLOOKUP(AF315,Charge!$U$31:$W$34,1,TRUE))*VLOOKUP(AF315,Charge!$U$31:$W$34,3,TRUE)),0))</f>
        <v>0</v>
      </c>
      <c r="AH315" s="60"/>
      <c r="AI315" s="60">
        <f>AA315-AH315</f>
        <v>500</v>
      </c>
      <c r="AJ315" s="61"/>
      <c r="AK315" s="55" t="str">
        <f>VLOOKUP(D315,'2.Bookinglist'!A:CT,40,FALSE)</f>
        <v>Nannaapust Sukporntaweewat</v>
      </c>
      <c r="AL315" s="56" t="str">
        <f>VLOOKUP(D315,'2.Bookinglist'!A:CW,101,FALSE)</f>
        <v>2026-10-24</v>
      </c>
      <c r="AM315" s="56" t="str">
        <f>VLOOKUP(D315,'2.Bookinglist'!A:BK,63,FALSE)</f>
        <v>LCHY5</v>
      </c>
      <c r="AN315" s="55" t="str">
        <f>VLOOKUP(D315,'2.Bookinglist'!A:AZ,52,FALSE)</f>
        <v>Pickup : 2026-10-15, Return : 2026-10-16</v>
      </c>
      <c r="AO315" s="55">
        <f>VLOOKUP(D315,'2.Bookinglist'!A:CY,103,FALSE)</f>
        <v>0</v>
      </c>
    </row>
    <row r="316" ht="12.95" customHeight="1" spans="1:41" x14ac:dyDescent="0.25">
      <c r="A316" s="3" t="s">
        <v>264</v>
      </c>
      <c r="B316" s="53" t="str">
        <f>IF(C316=Charge!$M$1,Charge!$J$1,IF(C316=Charge!$M$23,Charge!$J$23,IF(C316=Charge!$M$17,Charge!$J$17,IF(C316=Charge!$N$17,Charge!$J$17,Charge!$J$7))))</f>
        <v>G2</v>
      </c>
      <c r="C316" s="54" t="str">
        <f>VLOOKUP(A316,'1.Loading'!A:R,14,FALSE)</f>
        <v>LCH06</v>
      </c>
      <c r="D316" s="54" t="str">
        <f>VLOOKUP(A316,'1.Loading'!A:R,17,FALSE)</f>
        <v>HASLS22260901311</v>
      </c>
      <c r="E316" s="55" t="str">
        <f>VLOOKUP(D316,'2.Bookinglist'!A:CT,27,FALSE)</f>
        <v>WHA GC LOGISTICS COMPANY LIMITED</v>
      </c>
      <c r="F316" s="55" t="str">
        <f>VLOOKUP(D316,'2.Bookinglist'!A:CT,28,FALSE)</f>
        <v>PTT GLOBAL CHEMICAL PUBLIC COMPANY LIMITED</v>
      </c>
      <c r="G316" s="56">
        <f>VLOOKUP(D316,'2.Bookinglist'!A:E,5,FALSE)</f>
        <v>0</v>
      </c>
      <c r="H316" s="54" t="str">
        <f>VLOOKUP(D316,'2.Bookinglist'!A:CT,15,FALSE)</f>
        <v>THLCH</v>
      </c>
      <c r="I316" s="54" t="str">
        <f>VLOOKUP(D316,'2.Bookinglist'!A:CT,19,FALSE)</f>
        <v>CNSHA</v>
      </c>
      <c r="J316" s="54">
        <f>VLOOKUP(D316,'2.Bookinglist'!A:CT,26,FALSE)</f>
        <v>0</v>
      </c>
      <c r="K316" s="54" t="str">
        <f>VLOOKUP(A316,'1.Loading'!A:R,5,FALSE)</f>
        <v>45GP</v>
      </c>
      <c r="L316" s="56" t="str">
        <f>VLOOKUP(D316,'2.Bookinglist'!A:CT,85,FALSE)</f>
        <v>CY/CY</v>
      </c>
      <c r="M316" s="56" t="str">
        <f>IF(VLOOKUP(D316,'2.Bookinglist'!A:CT,43,FALSE)=0,"","DG")</f>
        <v/>
      </c>
      <c r="N316" s="56" t="str">
        <f>IF(RIGHT(K316,2)="RE","RF","")</f>
        <v/>
      </c>
      <c r="O316" s="54" t="str">
        <f>VLOOKUP(A316,'1.Loading'!A:R,3,FALSE)</f>
        <v>HMVY</v>
      </c>
      <c r="P316" s="54" t="str">
        <f>VLOOKUP(A316,'1.Loading'!A:R,4,FALSE)</f>
        <v>2609N</v>
      </c>
      <c r="Q316" s="54" t="str">
        <f>VLOOKUP(D316,'2.Bookinglist'!A:CT,12,FALSE)</f>
        <v>PCI2</v>
      </c>
      <c r="R316" s="56" t="str">
        <f>IF(LEFT(K316,2)="22","20'","40'")</f>
        <v>40'</v>
      </c>
      <c r="S316" s="38"/>
      <c r="T316" s="54" t="str">
        <f>VLOOKUP(A316,'1.Loading'!A:R,2,FALSE)</f>
        <v>2026-10-28</v>
      </c>
      <c r="U316" s="57">
        <f>T316-S316</f>
        <v>46323</v>
      </c>
      <c r="V316" s="58"/>
      <c r="W316" s="54" t="str">
        <f>VLOOKUP(A316,'3.GateMove'!A:D,4,FALSE)</f>
        <v>2026-10-25</v>
      </c>
      <c r="X316" s="57">
        <f>((T316-W316)+1)</f>
        <v>4</v>
      </c>
      <c r="Y316" s="59">
        <f>IF(AND(OR(C316="BKK01",C316="BKK04"),L316="CFS/CY"),0,IF(M316="DG",1,IF(LEFT(C316,3)="LCH",7,IF(C316="BKK02",5,3))))</f>
        <v>7</v>
      </c>
      <c r="Z316" s="57">
        <f>IF(IF(AND(AC316="TML",AB316&gt;0),((T316-W316)+1)-AB316,((T316-W316)+1)-Y316)&gt;0,IF(AND(AC316="TML",AB316&gt;0),((T316-W316)+1)-AB316,((T316-W316)+1)-Y316),0)</f>
        <v>0</v>
      </c>
      <c r="AA316" s="48">
        <f>IF(AND(B316="G1",M316=""),IF(R316="20'",
VLOOKUP(Z316,Charge!$K$2:$M$5,2,TRUE)+(Z316-VLOOKUP(Z316,Charge!$K$2:$M$5,1,TRUE))*VLOOKUP(Z316,Charge!$K$2:$M$5,3,TRUE),
VLOOKUP(Z316,Charge!$N$2:$P$5,2,TRUE)+(Z316-VLOOKUP(Z316,Charge!$N$2:$P$5,1,TRUE))*VLOOKUP(Z316,Charge!$N$2:$P$5,3,TRUE)),
IF(AND(B316="G1",M316="DG"),IF(R316="20'",
VLOOKUP(Z316,Charge!$R$2:$T$5,2,TRUE)+(Z316-VLOOKUP(Z316,Charge!$R$2:$T$5,1,TRUE))*VLOOKUP(Z316,Charge!$R$2:$T$5,3,TRUE),
VLOOKUP(Z316,Charge!$U$2:$W$5,2,TRUE)+(Z316-VLOOKUP(Z316,Charge!$U$2:$W$5,1,TRUE))*VLOOKUP(Z316,Charge!$U$2:$W$5,3,TRUE)),
IF(AND(B316="G3",M316=""),IF(R316="20'",
VLOOKUP(Z316,Charge!$K$18:$M$21,2,TRUE)+(Z316-VLOOKUP(Z316,Charge!$K$18:$M$21,1,TRUE))*VLOOKUP(Z316,Charge!$K$18:$M$21,3,TRUE),
VLOOKUP(Z316,Charge!$N$18:$P$21,2,TRUE)+(Z316-VLOOKUP(Z316,Charge!$N$18:$P$21,1,TRUE))*VLOOKUP(Z316,Charge!$N$18:$P$21,3,TRUE)),
IF(AND(B316="G3",M316="DG"),IF(R316="20'",
VLOOKUP(Z316,Charge!$R$18:$T$21,2,TRUE)+(Z316-VLOOKUP(Z316,Charge!$R$18:$T$21,1,TRUE))*VLOOKUP(Z316,Charge!$R$18:$T$21,3,TRUE),
VLOOKUP(Z316,Charge!$U$18:$W$21,2,TRUE)+(Z316-VLOOKUP(Z316,Charge!$U$18:$W$21,1,TRUE))*VLOOKUP(Z316,Charge!$U$18:$W$21,3,TRUE)),
IF(AND(B316="G2",M316=""),IF(R316="20'",
VLOOKUP(Z316,Charge!$K$9:$M$12,2,TRUE)+(Z316-VLOOKUP(Z316,Charge!$K$9:$M$12,1,TRUE))*VLOOKUP(Z316,Charge!$K$9:$M$12,3,TRUE),
VLOOKUP(Z316,Charge!$N$9:$P$12,2,TRUE)+(Z316-VLOOKUP(Z316,Charge!$N$9:$P$12,1,TRUE))*VLOOKUP(Z316,Charge!$N$9:$P$12,3,TRUE)),
IF(AND(B316="G2",M316="DG"),IF(R316="20'",
VLOOKUP(Z316,Charge!$R$9:$T$12,2,TRUE)+(Z316-VLOOKUP(Z316,Charge!$R$9:$T$12,1,TRUE))*VLOOKUP(Z316,Charge!$R$9:$T$12,3,TRUE),
VLOOKUP(Z316,Charge!$U$9:$W$12,2,TRUE)+(Z316-VLOOKUP(Z316,Charge!$U$9:$W$12,1,TRUE))*VLOOKUP(Z316,Charge!$U$9:$W$12,3,TRUE)),IF(AND(B316="G4",M316=""),IF(R316="20'",Z316*Charge!$M$25,Z316*Charge!$P$25),IF(AND(B316="G4",M316="DG"),IF(R316="20'",Z316*Charge!$T$25,Z316*Charge!$W$25),0))))))))</f>
        <v>0</v>
      </c>
      <c r="AB316" s="53"/>
      <c r="AC316" s="53"/>
      <c r="AD316" s="56">
        <f>IF(M316="DG",3,IF(N316="RF",3,5))+IF(AND(LEFT(C316,3)="BKK",N316="RF",Q316="KTS"),1,0)+IF(Q316="KHS",1,0)</f>
        <v>5</v>
      </c>
      <c r="AE316" s="57">
        <f>(T316-V316)+1</f>
        <v>46324</v>
      </c>
      <c r="AF316" s="57">
        <f>IF(AB316&gt;IF((V316-W316)&gt;0,V316-W316,0),0,IF(AB316&lt;IF((V316-W316)&gt;0,V316-W316,0),IF((V316-W316)&gt;0,V316-W316,0)-AB316,IF((V316-W316)&gt;0,V316-W316,0)))</f>
        <v>0</v>
      </c>
      <c r="AG316" s="48">
        <f>IF(AND(M316=""),IF(R316="20'",
VLOOKUP(AF316,Charge!$K$31:$M$34,2,TRUE)+(AF316-VLOOKUP(AF316,Charge!$K$31:$M$34,1,TRUE))*VLOOKUP(AF316,Charge!$K$31:$M$34,3,TRUE),
VLOOKUP(AF316,Charge!$N$31:$P$34,2,TRUE)+(AF316-VLOOKUP(AF316,Charge!$N$31:$P$34,1,TRUE))*VLOOKUP(AF316,Charge!$N$31:$P$34,3,TRUE)),
IF(AND(M316="DG"),IF(R316="20'",
VLOOKUP(AF316,Charge!$R$31:$T$34,2,TRUE)+(AF316-VLOOKUP(AF316,Charge!$R$31:$T$34,1,TRUE))*VLOOKUP(AF316,Charge!$R$31:$T$34,3,TRUE),
VLOOKUP(AF316,Charge!$U$31:$W$34,2,TRUE)+(AF316-VLOOKUP(AF316,Charge!$U$31:$W$34,1,TRUE))*VLOOKUP(AF316,Charge!$U$31:$W$34,3,TRUE)),0))</f>
        <v>0</v>
      </c>
      <c r="AH316" s="60"/>
      <c r="AI316" s="60">
        <f>AA316-AH316</f>
        <v>0</v>
      </c>
      <c r="AJ316" s="61"/>
      <c r="AK316" s="55" t="str">
        <f>VLOOKUP(D316,'2.Bookinglist'!A:CT,40,FALSE)</f>
        <v>Dharaporn</v>
      </c>
      <c r="AL316" s="56" t="str">
        <f>VLOOKUP(D316,'2.Bookinglist'!A:CW,101,FALSE)</f>
        <v>2026-10-28</v>
      </c>
      <c r="AM316" s="56" t="str">
        <f>VLOOKUP(D316,'2.Bookinglist'!A:BK,63,FALSE)</f>
        <v>LCHY5</v>
      </c>
      <c r="AN316" s="55" t="str">
        <f>VLOOKUP(D316,'2.Bookinglist'!A:AZ,52,FALSE)</f>
        <v>CY-RTN: 20-23/10/2026  (1ST RETURN 22/10/26)</v>
      </c>
      <c r="AO316" s="55" t="str">
        <f>VLOOKUP(D316,'2.Bookinglist'!A:CY,103,FALSE)</f>
        <v>ROLL OVER FORM PREIVOUS VSL HAB 2612N BY ALLOCATION TEAM MS.TAN APPROVED COST IS UNDER HA DD.26/10</v>
      </c>
    </row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SUM(R4:R661)</f>
      </c>
      <c r="S2" s="21" t="s">
        <v>1874</v>
      </c>
      <c r="T2" s="32">
        <f>SUM(T4:T661)</f>
      </c>
      <c r="U2" s="32">
        <f>SUM(U4:U661)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647</v>
      </c>
      <c r="F3" s="40" t="s">
        <v>651</v>
      </c>
      <c r="G3" s="43" t="s">
        <v>4</v>
      </c>
      <c r="H3" s="40" t="s">
        <v>2</v>
      </c>
      <c r="I3" s="40" t="s">
        <v>3</v>
      </c>
      <c r="J3" s="44" t="s">
        <v>1855</v>
      </c>
      <c r="K3" s="62" t="s">
        <v>1875</v>
      </c>
      <c r="L3" s="44" t="s">
        <v>1856</v>
      </c>
      <c r="M3" s="63" t="s">
        <v>1858</v>
      </c>
      <c r="N3" s="63" t="s">
        <v>1876</v>
      </c>
      <c r="O3" s="46" t="s">
        <v>1859</v>
      </c>
      <c r="P3" s="46" t="s">
        <v>1877</v>
      </c>
      <c r="Q3" s="46" t="s">
        <v>1878</v>
      </c>
      <c r="R3" s="64" t="s">
        <v>1879</v>
      </c>
      <c r="S3" s="46" t="s">
        <v>1865</v>
      </c>
      <c r="T3" s="49" t="s">
        <v>1880</v>
      </c>
      <c r="U3" s="64" t="s">
        <v>1881</v>
      </c>
      <c r="V3" s="54" t="s">
        <v>20</v>
      </c>
      <c r="W3" s="65" t="s">
        <v>671</v>
      </c>
      <c r="X3" s="66"/>
    </row>
    <row r="4" ht="16.5" customHeight="1" spans="1:23" x14ac:dyDescent="0.25">
      <c r="A4" s="3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67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68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68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68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68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68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68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68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68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68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68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68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8"/>
      <c r="B476" s="54">
        <f>IFERROR(VLOOKUP($A:$A,CS!$A:$AK,3,FALSE),"")</f>
      </c>
      <c r="C476" s="54">
        <f>IFERROR(VLOOKUP($A:$A,CS!$A:$AK,4,FALSE),"")</f>
      </c>
      <c r="D476" s="54">
        <f>IFERROR(VLOOKUP($A:$A,CS!$A:$AK,5,FALSE),"")</f>
      </c>
      <c r="E476" s="54">
        <f>IFERROR(VLOOKUP($A:$A,CS!$A:$AK,7,FALSE),"")</f>
      </c>
      <c r="F476" s="54">
        <f>IFERROR(VLOOKUP($A:$A,CS!$A:$AK,8,FALSE),"")</f>
      </c>
      <c r="G476" s="54">
        <f>IFERROR(VLOOKUP($A:$A,CS!$A:$AK,10,FALSE),"")</f>
      </c>
      <c r="H476" s="54">
        <f>IFERROR(VLOOKUP($A:$A,CS!$A:$AK,14,FALSE),"")</f>
      </c>
      <c r="I476" s="54">
        <f>IFERROR(VLOOKUP($A:$A,CS!$A:$AK,15,FALSE),"")</f>
      </c>
      <c r="J476" s="54">
        <f>IFERROR(VLOOKUP($A:$A,CS!$A:$AK,18,FALSE),"")</f>
      </c>
      <c r="K476" s="54">
        <f>IFERROR(VLOOKUP($A:$A,CS!$A:$AK,19,FALSE),"")</f>
      </c>
      <c r="L476" s="54">
        <f>IFERROR(VLOOKUP($A:$A,CS!$A:$AK,20,FALSE),"")</f>
      </c>
      <c r="M476" s="54">
        <f>IFERROR(VLOOKUP($A:$A,CS!$A:$AK,22,FALSE),"")</f>
      </c>
      <c r="N476" s="54">
        <f>IFERROR(VLOOKUP($A:$A,CS!$A:$AK,19,FALSE),"")</f>
      </c>
      <c r="O476" s="54">
        <f>IFERROR(VLOOKUP($A:$A,CS!$A:$AK,23,FALSE),"")</f>
      </c>
      <c r="P476" s="54">
        <f>IFERROR(VLOOKUP($A:$A,CS!$A:$AK,24,FALSE),"")</f>
      </c>
      <c r="Q476" s="54">
        <f>IFERROR(VLOOKUP($A:$A,CS!$A:$AK,25,FALSE),"")</f>
      </c>
      <c r="R476" s="54">
        <f>IFERROR(VLOOKUP($A:$A,CS!$A:$AK,26,FALSE),"")</f>
      </c>
      <c r="S476" s="54">
        <f>IFERROR(VLOOKUP($A:$A,CS!$A:$AK,29,FALSE),"")</f>
      </c>
      <c r="T476" s="54">
        <f>IFERROR(VLOOKUP($A:$A,CS!$A:$AK,33,FALSE),"")</f>
      </c>
      <c r="U476" s="54">
        <f>IFERROR(VLOOKUP($A:$A,CS!$A:$AK,34,FALSE),"")</f>
      </c>
      <c r="V476" s="54">
        <f>IFERROR(VLOOKUP($A:$A,CS!$A:$AK,35,FALSE),"")</f>
      </c>
      <c r="W476" s="54">
        <f>IFERROR(VLOOKUP($A:$A,CS!$A:$AK,36,FALSE),"")</f>
      </c>
    </row>
    <row r="477" ht="16.5" customHeight="1" spans="1:23" x14ac:dyDescent="0.25">
      <c r="A477" s="68"/>
      <c r="B477" s="54">
        <f>IFERROR(VLOOKUP($A:$A,CS!$A:$AK,3,FALSE),"")</f>
      </c>
      <c r="C477" s="54">
        <f>IFERROR(VLOOKUP($A:$A,CS!$A:$AK,4,FALSE),"")</f>
      </c>
      <c r="D477" s="54">
        <f>IFERROR(VLOOKUP($A:$A,CS!$A:$AK,5,FALSE),"")</f>
      </c>
      <c r="E477" s="54">
        <f>IFERROR(VLOOKUP($A:$A,CS!$A:$AK,7,FALSE),"")</f>
      </c>
      <c r="F477" s="54">
        <f>IFERROR(VLOOKUP($A:$A,CS!$A:$AK,8,FALSE),"")</f>
      </c>
      <c r="G477" s="54">
        <f>IFERROR(VLOOKUP($A:$A,CS!$A:$AK,10,FALSE),"")</f>
      </c>
      <c r="H477" s="54">
        <f>IFERROR(VLOOKUP($A:$A,CS!$A:$AK,14,FALSE),"")</f>
      </c>
      <c r="I477" s="54">
        <f>IFERROR(VLOOKUP($A:$A,CS!$A:$AK,15,FALSE),"")</f>
      </c>
      <c r="J477" s="54">
        <f>IFERROR(VLOOKUP($A:$A,CS!$A:$AK,18,FALSE),"")</f>
      </c>
      <c r="K477" s="54">
        <f>IFERROR(VLOOKUP($A:$A,CS!$A:$AK,19,FALSE),"")</f>
      </c>
      <c r="L477" s="54">
        <f>IFERROR(VLOOKUP($A:$A,CS!$A:$AK,20,FALSE),"")</f>
      </c>
      <c r="M477" s="54">
        <f>IFERROR(VLOOKUP($A:$A,CS!$A:$AK,22,FALSE),"")</f>
      </c>
      <c r="N477" s="54">
        <f>IFERROR(VLOOKUP($A:$A,CS!$A:$AK,19,FALSE),"")</f>
      </c>
      <c r="O477" s="54">
        <f>IFERROR(VLOOKUP($A:$A,CS!$A:$AK,23,FALSE),"")</f>
      </c>
      <c r="P477" s="54">
        <f>IFERROR(VLOOKUP($A:$A,CS!$A:$AK,24,FALSE),"")</f>
      </c>
      <c r="Q477" s="54">
        <f>IFERROR(VLOOKUP($A:$A,CS!$A:$AK,25,FALSE),"")</f>
      </c>
      <c r="R477" s="54">
        <f>IFERROR(VLOOKUP($A:$A,CS!$A:$AK,26,FALSE),"")</f>
      </c>
      <c r="S477" s="54">
        <f>IFERROR(VLOOKUP($A:$A,CS!$A:$AK,29,FALSE),"")</f>
      </c>
      <c r="T477" s="54">
        <f>IFERROR(VLOOKUP($A:$A,CS!$A:$AK,33,FALSE),"")</f>
      </c>
      <c r="U477" s="54">
        <f>IFERROR(VLOOKUP($A:$A,CS!$A:$AK,34,FALSE),"")</f>
      </c>
      <c r="V477" s="54">
        <f>IFERROR(VLOOKUP($A:$A,CS!$A:$AK,35,FALSE),"")</f>
      </c>
      <c r="W477" s="54">
        <f>IFERROR(VLOOKUP($A:$A,CS!$A:$AK,36,FALSE),"")</f>
      </c>
    </row>
    <row r="478" ht="16.5" customHeight="1" spans="1:23" x14ac:dyDescent="0.25">
      <c r="A478" s="68"/>
      <c r="B478" s="54">
        <f>IFERROR(VLOOKUP($A:$A,CS!$A:$AK,3,FALSE),"")</f>
      </c>
      <c r="C478" s="54">
        <f>IFERROR(VLOOKUP($A:$A,CS!$A:$AK,4,FALSE),"")</f>
      </c>
      <c r="D478" s="54">
        <f>IFERROR(VLOOKUP($A:$A,CS!$A:$AK,5,FALSE),"")</f>
      </c>
      <c r="E478" s="54">
        <f>IFERROR(VLOOKUP($A:$A,CS!$A:$AK,7,FALSE),"")</f>
      </c>
      <c r="F478" s="54">
        <f>IFERROR(VLOOKUP($A:$A,CS!$A:$AK,8,FALSE),"")</f>
      </c>
      <c r="G478" s="54">
        <f>IFERROR(VLOOKUP($A:$A,CS!$A:$AK,10,FALSE),"")</f>
      </c>
      <c r="H478" s="54">
        <f>IFERROR(VLOOKUP($A:$A,CS!$A:$AK,14,FALSE),"")</f>
      </c>
      <c r="I478" s="54">
        <f>IFERROR(VLOOKUP($A:$A,CS!$A:$AK,15,FALSE),"")</f>
      </c>
      <c r="J478" s="54">
        <f>IFERROR(VLOOKUP($A:$A,CS!$A:$AK,18,FALSE),"")</f>
      </c>
      <c r="K478" s="54">
        <f>IFERROR(VLOOKUP($A:$A,CS!$A:$AK,19,FALSE),"")</f>
      </c>
      <c r="L478" s="54">
        <f>IFERROR(VLOOKUP($A:$A,CS!$A:$AK,20,FALSE),"")</f>
      </c>
      <c r="M478" s="54">
        <f>IFERROR(VLOOKUP($A:$A,CS!$A:$AK,22,FALSE),"")</f>
      </c>
      <c r="N478" s="54">
        <f>IFERROR(VLOOKUP($A:$A,CS!$A:$AK,19,FALSE),"")</f>
      </c>
      <c r="O478" s="54">
        <f>IFERROR(VLOOKUP($A:$A,CS!$A:$AK,23,FALSE),"")</f>
      </c>
      <c r="P478" s="54">
        <f>IFERROR(VLOOKUP($A:$A,CS!$A:$AK,24,FALSE),"")</f>
      </c>
      <c r="Q478" s="54">
        <f>IFERROR(VLOOKUP($A:$A,CS!$A:$AK,25,FALSE),"")</f>
      </c>
      <c r="R478" s="54">
        <f>IFERROR(VLOOKUP($A:$A,CS!$A:$AK,26,FALSE),"")</f>
      </c>
      <c r="S478" s="54">
        <f>IFERROR(VLOOKUP($A:$A,CS!$A:$AK,29,FALSE),"")</f>
      </c>
      <c r="T478" s="54">
        <f>IFERROR(VLOOKUP($A:$A,CS!$A:$AK,33,FALSE),"")</f>
      </c>
      <c r="U478" s="54">
        <f>IFERROR(VLOOKUP($A:$A,CS!$A:$AK,34,FALSE),"")</f>
      </c>
      <c r="V478" s="54">
        <f>IFERROR(VLOOKUP($A:$A,CS!$A:$AK,35,FALSE),"")</f>
      </c>
      <c r="W478" s="54">
        <f>IFERROR(VLOOKUP($A:$A,CS!$A:$AK,36,FALSE),"")</f>
      </c>
    </row>
    <row r="479" ht="16.5" customHeight="1" spans="1:23" x14ac:dyDescent="0.25">
      <c r="A479" s="68"/>
      <c r="B479" s="54">
        <f>IFERROR(VLOOKUP($A:$A,CS!$A:$AK,3,FALSE),"")</f>
      </c>
      <c r="C479" s="54">
        <f>IFERROR(VLOOKUP($A:$A,CS!$A:$AK,4,FALSE),"")</f>
      </c>
      <c r="D479" s="54">
        <f>IFERROR(VLOOKUP($A:$A,CS!$A:$AK,5,FALSE),"")</f>
      </c>
      <c r="E479" s="54">
        <f>IFERROR(VLOOKUP($A:$A,CS!$A:$AK,7,FALSE),"")</f>
      </c>
      <c r="F479" s="54">
        <f>IFERROR(VLOOKUP($A:$A,CS!$A:$AK,8,FALSE),"")</f>
      </c>
      <c r="G479" s="54">
        <f>IFERROR(VLOOKUP($A:$A,CS!$A:$AK,10,FALSE),"")</f>
      </c>
      <c r="H479" s="54">
        <f>IFERROR(VLOOKUP($A:$A,CS!$A:$AK,14,FALSE),"")</f>
      </c>
      <c r="I479" s="54">
        <f>IFERROR(VLOOKUP($A:$A,CS!$A:$AK,15,FALSE),"")</f>
      </c>
      <c r="J479" s="54">
        <f>IFERROR(VLOOKUP($A:$A,CS!$A:$AK,18,FALSE),"")</f>
      </c>
      <c r="K479" s="54">
        <f>IFERROR(VLOOKUP($A:$A,CS!$A:$AK,19,FALSE),"")</f>
      </c>
      <c r="L479" s="54">
        <f>IFERROR(VLOOKUP($A:$A,CS!$A:$AK,20,FALSE),"")</f>
      </c>
      <c r="M479" s="54">
        <f>IFERROR(VLOOKUP($A:$A,CS!$A:$AK,22,FALSE),"")</f>
      </c>
      <c r="N479" s="54">
        <f>IFERROR(VLOOKUP($A:$A,CS!$A:$AK,19,FALSE),"")</f>
      </c>
      <c r="O479" s="54">
        <f>IFERROR(VLOOKUP($A:$A,CS!$A:$AK,23,FALSE),"")</f>
      </c>
      <c r="P479" s="54">
        <f>IFERROR(VLOOKUP($A:$A,CS!$A:$AK,24,FALSE),"")</f>
      </c>
      <c r="Q479" s="54">
        <f>IFERROR(VLOOKUP($A:$A,CS!$A:$AK,25,FALSE),"")</f>
      </c>
      <c r="R479" s="54">
        <f>IFERROR(VLOOKUP($A:$A,CS!$A:$AK,26,FALSE),"")</f>
      </c>
      <c r="S479" s="54">
        <f>IFERROR(VLOOKUP($A:$A,CS!$A:$AK,29,FALSE),"")</f>
      </c>
      <c r="T479" s="54">
        <f>IFERROR(VLOOKUP($A:$A,CS!$A:$AK,33,FALSE),"")</f>
      </c>
      <c r="U479" s="54">
        <f>IFERROR(VLOOKUP($A:$A,CS!$A:$AK,34,FALSE),"")</f>
      </c>
      <c r="V479" s="54">
        <f>IFERROR(VLOOKUP($A:$A,CS!$A:$AK,35,FALSE),"")</f>
      </c>
      <c r="W479" s="54">
        <f>IFERROR(VLOOKUP($A:$A,CS!$A:$AK,36,FALSE),"")</f>
      </c>
    </row>
    <row r="480" ht="16.5" customHeight="1" spans="1:23" x14ac:dyDescent="0.25">
      <c r="A480" s="68"/>
      <c r="B480" s="54">
        <f>IFERROR(VLOOKUP($A:$A,CS!$A:$AK,3,FALSE),"")</f>
      </c>
      <c r="C480" s="54">
        <f>IFERROR(VLOOKUP($A:$A,CS!$A:$AK,4,FALSE),"")</f>
      </c>
      <c r="D480" s="54">
        <f>IFERROR(VLOOKUP($A:$A,CS!$A:$AK,5,FALSE),"")</f>
      </c>
      <c r="E480" s="54">
        <f>IFERROR(VLOOKUP($A:$A,CS!$A:$AK,7,FALSE),"")</f>
      </c>
      <c r="F480" s="54">
        <f>IFERROR(VLOOKUP($A:$A,CS!$A:$AK,8,FALSE),"")</f>
      </c>
      <c r="G480" s="54">
        <f>IFERROR(VLOOKUP($A:$A,CS!$A:$AK,10,FALSE),"")</f>
      </c>
      <c r="H480" s="54">
        <f>IFERROR(VLOOKUP($A:$A,CS!$A:$AK,14,FALSE),"")</f>
      </c>
      <c r="I480" s="54">
        <f>IFERROR(VLOOKUP($A:$A,CS!$A:$AK,15,FALSE),"")</f>
      </c>
      <c r="J480" s="54">
        <f>IFERROR(VLOOKUP($A:$A,CS!$A:$AK,18,FALSE),"")</f>
      </c>
      <c r="K480" s="54">
        <f>IFERROR(VLOOKUP($A:$A,CS!$A:$AK,19,FALSE),"")</f>
      </c>
      <c r="L480" s="54">
        <f>IFERROR(VLOOKUP($A:$A,CS!$A:$AK,20,FALSE),"")</f>
      </c>
      <c r="M480" s="54">
        <f>IFERROR(VLOOKUP($A:$A,CS!$A:$AK,22,FALSE),"")</f>
      </c>
      <c r="N480" s="54">
        <f>IFERROR(VLOOKUP($A:$A,CS!$A:$AK,19,FALSE),"")</f>
      </c>
      <c r="O480" s="54">
        <f>IFERROR(VLOOKUP($A:$A,CS!$A:$AK,23,FALSE),"")</f>
      </c>
      <c r="P480" s="54">
        <f>IFERROR(VLOOKUP($A:$A,CS!$A:$AK,24,FALSE),"")</f>
      </c>
      <c r="Q480" s="54">
        <f>IFERROR(VLOOKUP($A:$A,CS!$A:$AK,25,FALSE),"")</f>
      </c>
      <c r="R480" s="54">
        <f>IFERROR(VLOOKUP($A:$A,CS!$A:$AK,26,FALSE),"")</f>
      </c>
      <c r="S480" s="54">
        <f>IFERROR(VLOOKUP($A:$A,CS!$A:$AK,29,FALSE),"")</f>
      </c>
      <c r="T480" s="54">
        <f>IFERROR(VLOOKUP($A:$A,CS!$A:$AK,33,FALSE),"")</f>
      </c>
      <c r="U480" s="54">
        <f>IFERROR(VLOOKUP($A:$A,CS!$A:$AK,34,FALSE),"")</f>
      </c>
      <c r="V480" s="54">
        <f>IFERROR(VLOOKUP($A:$A,CS!$A:$AK,35,FALSE),"")</f>
      </c>
      <c r="W480" s="54">
        <f>IFERROR(VLOOKUP($A:$A,CS!$A:$AK,36,FALSE),"")</f>
      </c>
    </row>
    <row r="481" ht="16.5" customHeight="1" spans="1:23" x14ac:dyDescent="0.25">
      <c r="A481" s="68"/>
      <c r="B481" s="54">
        <f>IFERROR(VLOOKUP($A:$A,CS!$A:$AK,3,FALSE),"")</f>
      </c>
      <c r="C481" s="54">
        <f>IFERROR(VLOOKUP($A:$A,CS!$A:$AK,4,FALSE),"")</f>
      </c>
      <c r="D481" s="54">
        <f>IFERROR(VLOOKUP($A:$A,CS!$A:$AK,5,FALSE),"")</f>
      </c>
      <c r="E481" s="54">
        <f>IFERROR(VLOOKUP($A:$A,CS!$A:$AK,7,FALSE),"")</f>
      </c>
      <c r="F481" s="54">
        <f>IFERROR(VLOOKUP($A:$A,CS!$A:$AK,8,FALSE),"")</f>
      </c>
      <c r="G481" s="54">
        <f>IFERROR(VLOOKUP($A:$A,CS!$A:$AK,10,FALSE),"")</f>
      </c>
      <c r="H481" s="54">
        <f>IFERROR(VLOOKUP($A:$A,CS!$A:$AK,14,FALSE),"")</f>
      </c>
      <c r="I481" s="54">
        <f>IFERROR(VLOOKUP($A:$A,CS!$A:$AK,15,FALSE),"")</f>
      </c>
      <c r="J481" s="54">
        <f>IFERROR(VLOOKUP($A:$A,CS!$A:$AK,18,FALSE),"")</f>
      </c>
      <c r="K481" s="54">
        <f>IFERROR(VLOOKUP($A:$A,CS!$A:$AK,19,FALSE),"")</f>
      </c>
      <c r="L481" s="54">
        <f>IFERROR(VLOOKUP($A:$A,CS!$A:$AK,20,FALSE),"")</f>
      </c>
      <c r="M481" s="54">
        <f>IFERROR(VLOOKUP($A:$A,CS!$A:$AK,22,FALSE),"")</f>
      </c>
      <c r="N481" s="54">
        <f>IFERROR(VLOOKUP($A:$A,CS!$A:$AK,19,FALSE),"")</f>
      </c>
      <c r="O481" s="54">
        <f>IFERROR(VLOOKUP($A:$A,CS!$A:$AK,23,FALSE),"")</f>
      </c>
      <c r="P481" s="54">
        <f>IFERROR(VLOOKUP($A:$A,CS!$A:$AK,24,FALSE),"")</f>
      </c>
      <c r="Q481" s="54">
        <f>IFERROR(VLOOKUP($A:$A,CS!$A:$AK,25,FALSE),"")</f>
      </c>
      <c r="R481" s="54">
        <f>IFERROR(VLOOKUP($A:$A,CS!$A:$AK,26,FALSE),"")</f>
      </c>
      <c r="S481" s="54">
        <f>IFERROR(VLOOKUP($A:$A,CS!$A:$AK,29,FALSE),"")</f>
      </c>
      <c r="T481" s="54">
        <f>IFERROR(VLOOKUP($A:$A,CS!$A:$AK,33,FALSE),"")</f>
      </c>
      <c r="U481" s="54">
        <f>IFERROR(VLOOKUP($A:$A,CS!$A:$AK,34,FALSE),"")</f>
      </c>
      <c r="V481" s="54">
        <f>IFERROR(VLOOKUP($A:$A,CS!$A:$AK,35,FALSE),"")</f>
      </c>
      <c r="W481" s="54">
        <f>IFERROR(VLOOKUP($A:$A,CS!$A:$AK,36,FALSE),"")</f>
      </c>
    </row>
    <row r="482" ht="16.5" customHeight="1" spans="1:23" x14ac:dyDescent="0.25">
      <c r="A482" s="68"/>
      <c r="B482" s="54">
        <f>IFERROR(VLOOKUP($A:$A,CS!$A:$AK,3,FALSE),"")</f>
      </c>
      <c r="C482" s="54">
        <f>IFERROR(VLOOKUP($A:$A,CS!$A:$AK,4,FALSE),"")</f>
      </c>
      <c r="D482" s="54">
        <f>IFERROR(VLOOKUP($A:$A,CS!$A:$AK,5,FALSE),"")</f>
      </c>
      <c r="E482" s="54">
        <f>IFERROR(VLOOKUP($A:$A,CS!$A:$AK,7,FALSE),"")</f>
      </c>
      <c r="F482" s="54">
        <f>IFERROR(VLOOKUP($A:$A,CS!$A:$AK,8,FALSE),"")</f>
      </c>
      <c r="G482" s="54">
        <f>IFERROR(VLOOKUP($A:$A,CS!$A:$AK,10,FALSE),"")</f>
      </c>
      <c r="H482" s="54">
        <f>IFERROR(VLOOKUP($A:$A,CS!$A:$AK,14,FALSE),"")</f>
      </c>
      <c r="I482" s="54">
        <f>IFERROR(VLOOKUP($A:$A,CS!$A:$AK,15,FALSE),"")</f>
      </c>
      <c r="J482" s="54">
        <f>IFERROR(VLOOKUP($A:$A,CS!$A:$AK,18,FALSE),"")</f>
      </c>
      <c r="K482" s="54">
        <f>IFERROR(VLOOKUP($A:$A,CS!$A:$AK,19,FALSE),"")</f>
      </c>
      <c r="L482" s="54">
        <f>IFERROR(VLOOKUP($A:$A,CS!$A:$AK,20,FALSE),"")</f>
      </c>
      <c r="M482" s="54">
        <f>IFERROR(VLOOKUP($A:$A,CS!$A:$AK,22,FALSE),"")</f>
      </c>
      <c r="N482" s="54">
        <f>IFERROR(VLOOKUP($A:$A,CS!$A:$AK,19,FALSE),"")</f>
      </c>
      <c r="O482" s="54">
        <f>IFERROR(VLOOKUP($A:$A,CS!$A:$AK,23,FALSE),"")</f>
      </c>
      <c r="P482" s="54">
        <f>IFERROR(VLOOKUP($A:$A,CS!$A:$AK,24,FALSE),"")</f>
      </c>
      <c r="Q482" s="54">
        <f>IFERROR(VLOOKUP($A:$A,CS!$A:$AK,25,FALSE),"")</f>
      </c>
      <c r="R482" s="54">
        <f>IFERROR(VLOOKUP($A:$A,CS!$A:$AK,26,FALSE),"")</f>
      </c>
      <c r="S482" s="54">
        <f>IFERROR(VLOOKUP($A:$A,CS!$A:$AK,29,FALSE),"")</f>
      </c>
      <c r="T482" s="54">
        <f>IFERROR(VLOOKUP($A:$A,CS!$A:$AK,33,FALSE),"")</f>
      </c>
      <c r="U482" s="54">
        <f>IFERROR(VLOOKUP($A:$A,CS!$A:$AK,34,FALSE),"")</f>
      </c>
      <c r="V482" s="54">
        <f>IFERROR(VLOOKUP($A:$A,CS!$A:$AK,35,FALSE),"")</f>
      </c>
      <c r="W482" s="54">
        <f>IFERROR(VLOOKUP($A:$A,CS!$A:$AK,36,FALSE),"")</f>
      </c>
    </row>
    <row r="483" ht="16.5" customHeight="1" spans="1:23" x14ac:dyDescent="0.25">
      <c r="A483" s="68"/>
      <c r="B483" s="54">
        <f>IFERROR(VLOOKUP($A:$A,CS!$A:$AK,3,FALSE),"")</f>
      </c>
      <c r="C483" s="54">
        <f>IFERROR(VLOOKUP($A:$A,CS!$A:$AK,4,FALSE),"")</f>
      </c>
      <c r="D483" s="54">
        <f>IFERROR(VLOOKUP($A:$A,CS!$A:$AK,5,FALSE),"")</f>
      </c>
      <c r="E483" s="54">
        <f>IFERROR(VLOOKUP($A:$A,CS!$A:$AK,7,FALSE),"")</f>
      </c>
      <c r="F483" s="54">
        <f>IFERROR(VLOOKUP($A:$A,CS!$A:$AK,8,FALSE),"")</f>
      </c>
      <c r="G483" s="54">
        <f>IFERROR(VLOOKUP($A:$A,CS!$A:$AK,10,FALSE),"")</f>
      </c>
      <c r="H483" s="54">
        <f>IFERROR(VLOOKUP($A:$A,CS!$A:$AK,14,FALSE),"")</f>
      </c>
      <c r="I483" s="54">
        <f>IFERROR(VLOOKUP($A:$A,CS!$A:$AK,15,FALSE),"")</f>
      </c>
      <c r="J483" s="54">
        <f>IFERROR(VLOOKUP($A:$A,CS!$A:$AK,18,FALSE),"")</f>
      </c>
      <c r="K483" s="54">
        <f>IFERROR(VLOOKUP($A:$A,CS!$A:$AK,19,FALSE),"")</f>
      </c>
      <c r="L483" s="54">
        <f>IFERROR(VLOOKUP($A:$A,CS!$A:$AK,20,FALSE),"")</f>
      </c>
      <c r="M483" s="54">
        <f>IFERROR(VLOOKUP($A:$A,CS!$A:$AK,22,FALSE),"")</f>
      </c>
      <c r="N483" s="54">
        <f>IFERROR(VLOOKUP($A:$A,CS!$A:$AK,19,FALSE),"")</f>
      </c>
      <c r="O483" s="54">
        <f>IFERROR(VLOOKUP($A:$A,CS!$A:$AK,23,FALSE),"")</f>
      </c>
      <c r="P483" s="54">
        <f>IFERROR(VLOOKUP($A:$A,CS!$A:$AK,24,FALSE),"")</f>
      </c>
      <c r="Q483" s="54">
        <f>IFERROR(VLOOKUP($A:$A,CS!$A:$AK,25,FALSE),"")</f>
      </c>
      <c r="R483" s="54">
        <f>IFERROR(VLOOKUP($A:$A,CS!$A:$AK,26,FALSE),"")</f>
      </c>
      <c r="S483" s="54">
        <f>IFERROR(VLOOKUP($A:$A,CS!$A:$AK,29,FALSE),"")</f>
      </c>
      <c r="T483" s="54">
        <f>IFERROR(VLOOKUP($A:$A,CS!$A:$AK,33,FALSE),"")</f>
      </c>
      <c r="U483" s="54">
        <f>IFERROR(VLOOKUP($A:$A,CS!$A:$AK,34,FALSE),"")</f>
      </c>
      <c r="V483" s="54">
        <f>IFERROR(VLOOKUP($A:$A,CS!$A:$AK,35,FALSE),"")</f>
      </c>
      <c r="W483" s="54">
        <f>IFERROR(VLOOKUP($A:$A,CS!$A:$AK,36,FALSE),"")</f>
      </c>
    </row>
    <row r="484" ht="16.5" customHeight="1" spans="1:23" x14ac:dyDescent="0.25">
      <c r="A484" s="68"/>
      <c r="B484" s="54">
        <f>IFERROR(VLOOKUP($A:$A,CS!$A:$AK,3,FALSE),"")</f>
      </c>
      <c r="C484" s="54">
        <f>IFERROR(VLOOKUP($A:$A,CS!$A:$AK,4,FALSE),"")</f>
      </c>
      <c r="D484" s="54">
        <f>IFERROR(VLOOKUP($A:$A,CS!$A:$AK,5,FALSE),"")</f>
      </c>
      <c r="E484" s="54">
        <f>IFERROR(VLOOKUP($A:$A,CS!$A:$AK,7,FALSE),"")</f>
      </c>
      <c r="F484" s="54">
        <f>IFERROR(VLOOKUP($A:$A,CS!$A:$AK,8,FALSE),"")</f>
      </c>
      <c r="G484" s="54">
        <f>IFERROR(VLOOKUP($A:$A,CS!$A:$AK,10,FALSE),"")</f>
      </c>
      <c r="H484" s="54">
        <f>IFERROR(VLOOKUP($A:$A,CS!$A:$AK,14,FALSE),"")</f>
      </c>
      <c r="I484" s="54">
        <f>IFERROR(VLOOKUP($A:$A,CS!$A:$AK,15,FALSE),"")</f>
      </c>
      <c r="J484" s="54">
        <f>IFERROR(VLOOKUP($A:$A,CS!$A:$AK,18,FALSE),"")</f>
      </c>
      <c r="K484" s="54">
        <f>IFERROR(VLOOKUP($A:$A,CS!$A:$AK,19,FALSE),"")</f>
      </c>
      <c r="L484" s="54">
        <f>IFERROR(VLOOKUP($A:$A,CS!$A:$AK,20,FALSE),"")</f>
      </c>
      <c r="M484" s="54">
        <f>IFERROR(VLOOKUP($A:$A,CS!$A:$AK,22,FALSE),"")</f>
      </c>
      <c r="N484" s="54">
        <f>IFERROR(VLOOKUP($A:$A,CS!$A:$AK,19,FALSE),"")</f>
      </c>
      <c r="O484" s="54">
        <f>IFERROR(VLOOKUP($A:$A,CS!$A:$AK,23,FALSE),"")</f>
      </c>
      <c r="P484" s="54">
        <f>IFERROR(VLOOKUP($A:$A,CS!$A:$AK,24,FALSE),"")</f>
      </c>
      <c r="Q484" s="54">
        <f>IFERROR(VLOOKUP($A:$A,CS!$A:$AK,25,FALSE),"")</f>
      </c>
      <c r="R484" s="54">
        <f>IFERROR(VLOOKUP($A:$A,CS!$A:$AK,26,FALSE),"")</f>
      </c>
      <c r="S484" s="54">
        <f>IFERROR(VLOOKUP($A:$A,CS!$A:$AK,29,FALSE),"")</f>
      </c>
      <c r="T484" s="54">
        <f>IFERROR(VLOOKUP($A:$A,CS!$A:$AK,33,FALSE),"")</f>
      </c>
      <c r="U484" s="54">
        <f>IFERROR(VLOOKUP($A:$A,CS!$A:$AK,34,FALSE),"")</f>
      </c>
      <c r="V484" s="54">
        <f>IFERROR(VLOOKUP($A:$A,CS!$A:$AK,35,FALSE),"")</f>
      </c>
      <c r="W484" s="54">
        <f>IFERROR(VLOOKUP($A:$A,CS!$A:$AK,36,FALSE),"")</f>
      </c>
    </row>
    <row r="485" ht="16.5" customHeight="1" spans="1:23" x14ac:dyDescent="0.25">
      <c r="A485" s="68"/>
      <c r="B485" s="54">
        <f>IFERROR(VLOOKUP($A:$A,CS!$A:$AK,3,FALSE),"")</f>
      </c>
      <c r="C485" s="54">
        <f>IFERROR(VLOOKUP($A:$A,CS!$A:$AK,4,FALSE),"")</f>
      </c>
      <c r="D485" s="54">
        <f>IFERROR(VLOOKUP($A:$A,CS!$A:$AK,5,FALSE),"")</f>
      </c>
      <c r="E485" s="54">
        <f>IFERROR(VLOOKUP($A:$A,CS!$A:$AK,7,FALSE),"")</f>
      </c>
      <c r="F485" s="54">
        <f>IFERROR(VLOOKUP($A:$A,CS!$A:$AK,8,FALSE),"")</f>
      </c>
      <c r="G485" s="54">
        <f>IFERROR(VLOOKUP($A:$A,CS!$A:$AK,10,FALSE),"")</f>
      </c>
      <c r="H485" s="54">
        <f>IFERROR(VLOOKUP($A:$A,CS!$A:$AK,14,FALSE),"")</f>
      </c>
      <c r="I485" s="54">
        <f>IFERROR(VLOOKUP($A:$A,CS!$A:$AK,15,FALSE),"")</f>
      </c>
      <c r="J485" s="54">
        <f>IFERROR(VLOOKUP($A:$A,CS!$A:$AK,18,FALSE),"")</f>
      </c>
      <c r="K485" s="54">
        <f>IFERROR(VLOOKUP($A:$A,CS!$A:$AK,19,FALSE),"")</f>
      </c>
      <c r="L485" s="54">
        <f>IFERROR(VLOOKUP($A:$A,CS!$A:$AK,20,FALSE),"")</f>
      </c>
      <c r="M485" s="54">
        <f>IFERROR(VLOOKUP($A:$A,CS!$A:$AK,22,FALSE),"")</f>
      </c>
      <c r="N485" s="54">
        <f>IFERROR(VLOOKUP($A:$A,CS!$A:$AK,19,FALSE),"")</f>
      </c>
      <c r="O485" s="54">
        <f>IFERROR(VLOOKUP($A:$A,CS!$A:$AK,23,FALSE),"")</f>
      </c>
      <c r="P485" s="54">
        <f>IFERROR(VLOOKUP($A:$A,CS!$A:$AK,24,FALSE),"")</f>
      </c>
      <c r="Q485" s="54">
        <f>IFERROR(VLOOKUP($A:$A,CS!$A:$AK,25,FALSE),"")</f>
      </c>
      <c r="R485" s="54">
        <f>IFERROR(VLOOKUP($A:$A,CS!$A:$AK,26,FALSE),"")</f>
      </c>
      <c r="S485" s="54">
        <f>IFERROR(VLOOKUP($A:$A,CS!$A:$AK,29,FALSE),"")</f>
      </c>
      <c r="T485" s="54">
        <f>IFERROR(VLOOKUP($A:$A,CS!$A:$AK,33,FALSE),"")</f>
      </c>
      <c r="U485" s="54">
        <f>IFERROR(VLOOKUP($A:$A,CS!$A:$AK,34,FALSE),"")</f>
      </c>
      <c r="V485" s="54">
        <f>IFERROR(VLOOKUP($A:$A,CS!$A:$AK,35,FALSE),"")</f>
      </c>
      <c r="W485" s="54">
        <f>IFERROR(VLOOKUP($A:$A,CS!$A:$AK,36,FALSE),"")</f>
      </c>
    </row>
    <row r="486" ht="16.5" customHeight="1" spans="1:23" x14ac:dyDescent="0.25">
      <c r="A486" s="68"/>
      <c r="B486" s="54">
        <f>IFERROR(VLOOKUP($A:$A,CS!$A:$AK,3,FALSE),"")</f>
      </c>
      <c r="C486" s="54">
        <f>IFERROR(VLOOKUP($A:$A,CS!$A:$AK,4,FALSE),"")</f>
      </c>
      <c r="D486" s="54">
        <f>IFERROR(VLOOKUP($A:$A,CS!$A:$AK,5,FALSE),"")</f>
      </c>
      <c r="E486" s="54">
        <f>IFERROR(VLOOKUP($A:$A,CS!$A:$AK,7,FALSE),"")</f>
      </c>
      <c r="F486" s="54">
        <f>IFERROR(VLOOKUP($A:$A,CS!$A:$AK,8,FALSE),"")</f>
      </c>
      <c r="G486" s="54">
        <f>IFERROR(VLOOKUP($A:$A,CS!$A:$AK,10,FALSE),"")</f>
      </c>
      <c r="H486" s="54">
        <f>IFERROR(VLOOKUP($A:$A,CS!$A:$AK,14,FALSE),"")</f>
      </c>
      <c r="I486" s="54">
        <f>IFERROR(VLOOKUP($A:$A,CS!$A:$AK,15,FALSE),"")</f>
      </c>
      <c r="J486" s="54">
        <f>IFERROR(VLOOKUP($A:$A,CS!$A:$AK,18,FALSE),"")</f>
      </c>
      <c r="K486" s="54">
        <f>IFERROR(VLOOKUP($A:$A,CS!$A:$AK,19,FALSE),"")</f>
      </c>
      <c r="L486" s="54">
        <f>IFERROR(VLOOKUP($A:$A,CS!$A:$AK,20,FALSE),"")</f>
      </c>
      <c r="M486" s="54">
        <f>IFERROR(VLOOKUP($A:$A,CS!$A:$AK,22,FALSE),"")</f>
      </c>
      <c r="N486" s="54">
        <f>IFERROR(VLOOKUP($A:$A,CS!$A:$AK,19,FALSE),"")</f>
      </c>
      <c r="O486" s="54">
        <f>IFERROR(VLOOKUP($A:$A,CS!$A:$AK,23,FALSE),"")</f>
      </c>
      <c r="P486" s="54">
        <f>IFERROR(VLOOKUP($A:$A,CS!$A:$AK,24,FALSE),"")</f>
      </c>
      <c r="Q486" s="54">
        <f>IFERROR(VLOOKUP($A:$A,CS!$A:$AK,25,FALSE),"")</f>
      </c>
      <c r="R486" s="54">
        <f>IFERROR(VLOOKUP($A:$A,CS!$A:$AK,26,FALSE),"")</f>
      </c>
      <c r="S486" s="54">
        <f>IFERROR(VLOOKUP($A:$A,CS!$A:$AK,29,FALSE),"")</f>
      </c>
      <c r="T486" s="54">
        <f>IFERROR(VLOOKUP($A:$A,CS!$A:$AK,33,FALSE),"")</f>
      </c>
      <c r="U486" s="54">
        <f>IFERROR(VLOOKUP($A:$A,CS!$A:$AK,34,FALSE),"")</f>
      </c>
      <c r="V486" s="54">
        <f>IFERROR(VLOOKUP($A:$A,CS!$A:$AK,35,FALSE),"")</f>
      </c>
      <c r="W486" s="54">
        <f>IFERROR(VLOOKUP($A:$A,CS!$A:$AK,36,FALSE),"")</f>
      </c>
    </row>
    <row r="487" ht="16.5" customHeight="1" spans="1:23" x14ac:dyDescent="0.25">
      <c r="A487" s="68"/>
      <c r="B487" s="54">
        <f>IFERROR(VLOOKUP($A:$A,CS!$A:$AK,3,FALSE),"")</f>
      </c>
      <c r="C487" s="54">
        <f>IFERROR(VLOOKUP($A:$A,CS!$A:$AK,4,FALSE),"")</f>
      </c>
      <c r="D487" s="54">
        <f>IFERROR(VLOOKUP($A:$A,CS!$A:$AK,5,FALSE),"")</f>
      </c>
      <c r="E487" s="54">
        <f>IFERROR(VLOOKUP($A:$A,CS!$A:$AK,7,FALSE),"")</f>
      </c>
      <c r="F487" s="54">
        <f>IFERROR(VLOOKUP($A:$A,CS!$A:$AK,8,FALSE),"")</f>
      </c>
      <c r="G487" s="54">
        <f>IFERROR(VLOOKUP($A:$A,CS!$A:$AK,10,FALSE),"")</f>
      </c>
      <c r="H487" s="54">
        <f>IFERROR(VLOOKUP($A:$A,CS!$A:$AK,14,FALSE),"")</f>
      </c>
      <c r="I487" s="54">
        <f>IFERROR(VLOOKUP($A:$A,CS!$A:$AK,15,FALSE),"")</f>
      </c>
      <c r="J487" s="54">
        <f>IFERROR(VLOOKUP($A:$A,CS!$A:$AK,18,FALSE),"")</f>
      </c>
      <c r="K487" s="54">
        <f>IFERROR(VLOOKUP($A:$A,CS!$A:$AK,19,FALSE),"")</f>
      </c>
      <c r="L487" s="54">
        <f>IFERROR(VLOOKUP($A:$A,CS!$A:$AK,20,FALSE),"")</f>
      </c>
      <c r="M487" s="54">
        <f>IFERROR(VLOOKUP($A:$A,CS!$A:$AK,22,FALSE),"")</f>
      </c>
      <c r="N487" s="54">
        <f>IFERROR(VLOOKUP($A:$A,CS!$A:$AK,19,FALSE),"")</f>
      </c>
      <c r="O487" s="54">
        <f>IFERROR(VLOOKUP($A:$A,CS!$A:$AK,23,FALSE),"")</f>
      </c>
      <c r="P487" s="54">
        <f>IFERROR(VLOOKUP($A:$A,CS!$A:$AK,24,FALSE),"")</f>
      </c>
      <c r="Q487" s="54">
        <f>IFERROR(VLOOKUP($A:$A,CS!$A:$AK,25,FALSE),"")</f>
      </c>
      <c r="R487" s="54">
        <f>IFERROR(VLOOKUP($A:$A,CS!$A:$AK,26,FALSE),"")</f>
      </c>
      <c r="S487" s="54">
        <f>IFERROR(VLOOKUP($A:$A,CS!$A:$AK,29,FALSE),"")</f>
      </c>
      <c r="T487" s="54">
        <f>IFERROR(VLOOKUP($A:$A,CS!$A:$AK,33,FALSE),"")</f>
      </c>
      <c r="U487" s="54">
        <f>IFERROR(VLOOKUP($A:$A,CS!$A:$AK,34,FALSE),"")</f>
      </c>
      <c r="V487" s="54">
        <f>IFERROR(VLOOKUP($A:$A,CS!$A:$AK,35,FALSE),"")</f>
      </c>
      <c r="W487" s="54">
        <f>IFERROR(VLOOKUP($A:$A,CS!$A:$AK,36,FALSE),"")</f>
      </c>
    </row>
    <row r="488" ht="16.5" customHeight="1" spans="1:23" x14ac:dyDescent="0.25">
      <c r="A488" s="68"/>
      <c r="B488" s="54">
        <f>IFERROR(VLOOKUP($A:$A,CS!$A:$AK,3,FALSE),"")</f>
      </c>
      <c r="C488" s="54">
        <f>IFERROR(VLOOKUP($A:$A,CS!$A:$AK,4,FALSE),"")</f>
      </c>
      <c r="D488" s="54">
        <f>IFERROR(VLOOKUP($A:$A,CS!$A:$AK,5,FALSE),"")</f>
      </c>
      <c r="E488" s="54">
        <f>IFERROR(VLOOKUP($A:$A,CS!$A:$AK,7,FALSE),"")</f>
      </c>
      <c r="F488" s="54">
        <f>IFERROR(VLOOKUP($A:$A,CS!$A:$AK,8,FALSE),"")</f>
      </c>
      <c r="G488" s="54">
        <f>IFERROR(VLOOKUP($A:$A,CS!$A:$AK,10,FALSE),"")</f>
      </c>
      <c r="H488" s="54">
        <f>IFERROR(VLOOKUP($A:$A,CS!$A:$AK,14,FALSE),"")</f>
      </c>
      <c r="I488" s="54">
        <f>IFERROR(VLOOKUP($A:$A,CS!$A:$AK,15,FALSE),"")</f>
      </c>
      <c r="J488" s="54">
        <f>IFERROR(VLOOKUP($A:$A,CS!$A:$AK,18,FALSE),"")</f>
      </c>
      <c r="K488" s="54">
        <f>IFERROR(VLOOKUP($A:$A,CS!$A:$AK,19,FALSE),"")</f>
      </c>
      <c r="L488" s="54">
        <f>IFERROR(VLOOKUP($A:$A,CS!$A:$AK,20,FALSE),"")</f>
      </c>
      <c r="M488" s="54">
        <f>IFERROR(VLOOKUP($A:$A,CS!$A:$AK,22,FALSE),"")</f>
      </c>
      <c r="N488" s="54">
        <f>IFERROR(VLOOKUP($A:$A,CS!$A:$AK,19,FALSE),"")</f>
      </c>
      <c r="O488" s="54">
        <f>IFERROR(VLOOKUP($A:$A,CS!$A:$AK,23,FALSE),"")</f>
      </c>
      <c r="P488" s="54">
        <f>IFERROR(VLOOKUP($A:$A,CS!$A:$AK,24,FALSE),"")</f>
      </c>
      <c r="Q488" s="54">
        <f>IFERROR(VLOOKUP($A:$A,CS!$A:$AK,25,FALSE),"")</f>
      </c>
      <c r="R488" s="54">
        <f>IFERROR(VLOOKUP($A:$A,CS!$A:$AK,26,FALSE),"")</f>
      </c>
      <c r="S488" s="54">
        <f>IFERROR(VLOOKUP($A:$A,CS!$A:$AK,29,FALSE),"")</f>
      </c>
      <c r="T488" s="54">
        <f>IFERROR(VLOOKUP($A:$A,CS!$A:$AK,33,FALSE),"")</f>
      </c>
      <c r="U488" s="54">
        <f>IFERROR(VLOOKUP($A:$A,CS!$A:$AK,34,FALSE),"")</f>
      </c>
      <c r="V488" s="54">
        <f>IFERROR(VLOOKUP($A:$A,CS!$A:$AK,35,FALSE),"")</f>
      </c>
      <c r="W488" s="54">
        <f>IFERROR(VLOOKUP($A:$A,CS!$A:$AK,36,FALSE),"")</f>
      </c>
    </row>
    <row r="489" ht="16.5" customHeight="1" spans="1:23" x14ac:dyDescent="0.25">
      <c r="A489" s="68"/>
      <c r="B489" s="54">
        <f>IFERROR(VLOOKUP($A:$A,CS!$A:$AK,3,FALSE),"")</f>
      </c>
      <c r="C489" s="54">
        <f>IFERROR(VLOOKUP($A:$A,CS!$A:$AK,4,FALSE),"")</f>
      </c>
      <c r="D489" s="54">
        <f>IFERROR(VLOOKUP($A:$A,CS!$A:$AK,5,FALSE),"")</f>
      </c>
      <c r="E489" s="54">
        <f>IFERROR(VLOOKUP($A:$A,CS!$A:$AK,7,FALSE),"")</f>
      </c>
      <c r="F489" s="54">
        <f>IFERROR(VLOOKUP($A:$A,CS!$A:$AK,8,FALSE),"")</f>
      </c>
      <c r="G489" s="54">
        <f>IFERROR(VLOOKUP($A:$A,CS!$A:$AK,10,FALSE),"")</f>
      </c>
      <c r="H489" s="54">
        <f>IFERROR(VLOOKUP($A:$A,CS!$A:$AK,14,FALSE),"")</f>
      </c>
      <c r="I489" s="54">
        <f>IFERROR(VLOOKUP($A:$A,CS!$A:$AK,15,FALSE),"")</f>
      </c>
      <c r="J489" s="54">
        <f>IFERROR(VLOOKUP($A:$A,CS!$A:$AK,18,FALSE),"")</f>
      </c>
      <c r="K489" s="54">
        <f>IFERROR(VLOOKUP($A:$A,CS!$A:$AK,19,FALSE),"")</f>
      </c>
      <c r="L489" s="54">
        <f>IFERROR(VLOOKUP($A:$A,CS!$A:$AK,20,FALSE),"")</f>
      </c>
      <c r="M489" s="54">
        <f>IFERROR(VLOOKUP($A:$A,CS!$A:$AK,22,FALSE),"")</f>
      </c>
      <c r="N489" s="54">
        <f>IFERROR(VLOOKUP($A:$A,CS!$A:$AK,19,FALSE),"")</f>
      </c>
      <c r="O489" s="54">
        <f>IFERROR(VLOOKUP($A:$A,CS!$A:$AK,23,FALSE),"")</f>
      </c>
      <c r="P489" s="54">
        <f>IFERROR(VLOOKUP($A:$A,CS!$A:$AK,24,FALSE),"")</f>
      </c>
      <c r="Q489" s="54">
        <f>IFERROR(VLOOKUP($A:$A,CS!$A:$AK,25,FALSE),"")</f>
      </c>
      <c r="R489" s="54">
        <f>IFERROR(VLOOKUP($A:$A,CS!$A:$AK,26,FALSE),"")</f>
      </c>
      <c r="S489" s="54">
        <f>IFERROR(VLOOKUP($A:$A,CS!$A:$AK,29,FALSE),"")</f>
      </c>
      <c r="T489" s="54">
        <f>IFERROR(VLOOKUP($A:$A,CS!$A:$AK,33,FALSE),"")</f>
      </c>
      <c r="U489" s="54">
        <f>IFERROR(VLOOKUP($A:$A,CS!$A:$AK,34,FALSE),"")</f>
      </c>
      <c r="V489" s="54">
        <f>IFERROR(VLOOKUP($A:$A,CS!$A:$AK,35,FALSE),"")</f>
      </c>
      <c r="W489" s="54">
        <f>IFERROR(VLOOKUP($A:$A,CS!$A:$AK,36,FALSE),"")</f>
      </c>
    </row>
    <row r="490" ht="16.5" customHeight="1" spans="1:23" x14ac:dyDescent="0.25">
      <c r="A490" s="68"/>
      <c r="B490" s="54">
        <f>IFERROR(VLOOKUP($A:$A,CS!$A:$AK,3,FALSE),"")</f>
      </c>
      <c r="C490" s="54">
        <f>IFERROR(VLOOKUP($A:$A,CS!$A:$AK,4,FALSE),"")</f>
      </c>
      <c r="D490" s="54">
        <f>IFERROR(VLOOKUP($A:$A,CS!$A:$AK,5,FALSE),"")</f>
      </c>
      <c r="E490" s="54">
        <f>IFERROR(VLOOKUP($A:$A,CS!$A:$AK,7,FALSE),"")</f>
      </c>
      <c r="F490" s="54">
        <f>IFERROR(VLOOKUP($A:$A,CS!$A:$AK,8,FALSE),"")</f>
      </c>
      <c r="G490" s="54">
        <f>IFERROR(VLOOKUP($A:$A,CS!$A:$AK,10,FALSE),"")</f>
      </c>
      <c r="H490" s="54">
        <f>IFERROR(VLOOKUP($A:$A,CS!$A:$AK,14,FALSE),"")</f>
      </c>
      <c r="I490" s="54">
        <f>IFERROR(VLOOKUP($A:$A,CS!$A:$AK,15,FALSE),"")</f>
      </c>
      <c r="J490" s="54">
        <f>IFERROR(VLOOKUP($A:$A,CS!$A:$AK,18,FALSE),"")</f>
      </c>
      <c r="K490" s="54">
        <f>IFERROR(VLOOKUP($A:$A,CS!$A:$AK,19,FALSE),"")</f>
      </c>
      <c r="L490" s="54">
        <f>IFERROR(VLOOKUP($A:$A,CS!$A:$AK,20,FALSE),"")</f>
      </c>
      <c r="M490" s="54">
        <f>IFERROR(VLOOKUP($A:$A,CS!$A:$AK,22,FALSE),"")</f>
      </c>
      <c r="N490" s="54">
        <f>IFERROR(VLOOKUP($A:$A,CS!$A:$AK,19,FALSE),"")</f>
      </c>
      <c r="O490" s="54">
        <f>IFERROR(VLOOKUP($A:$A,CS!$A:$AK,23,FALSE),"")</f>
      </c>
      <c r="P490" s="54">
        <f>IFERROR(VLOOKUP($A:$A,CS!$A:$AK,24,FALSE),"")</f>
      </c>
      <c r="Q490" s="54">
        <f>IFERROR(VLOOKUP($A:$A,CS!$A:$AK,25,FALSE),"")</f>
      </c>
      <c r="R490" s="54">
        <f>IFERROR(VLOOKUP($A:$A,CS!$A:$AK,26,FALSE),"")</f>
      </c>
      <c r="S490" s="54">
        <f>IFERROR(VLOOKUP($A:$A,CS!$A:$AK,29,FALSE),"")</f>
      </c>
      <c r="T490" s="54">
        <f>IFERROR(VLOOKUP($A:$A,CS!$A:$AK,33,FALSE),"")</f>
      </c>
      <c r="U490" s="54">
        <f>IFERROR(VLOOKUP($A:$A,CS!$A:$AK,34,FALSE),"")</f>
      </c>
      <c r="V490" s="54">
        <f>IFERROR(VLOOKUP($A:$A,CS!$A:$AK,35,FALSE),"")</f>
      </c>
      <c r="W490" s="54">
        <f>IFERROR(VLOOKUP($A:$A,CS!$A:$AK,36,FALSE),"")</f>
      </c>
    </row>
    <row r="491" ht="16.5" customHeight="1" spans="1:23" x14ac:dyDescent="0.25">
      <c r="A491" s="68"/>
      <c r="B491" s="54">
        <f>IFERROR(VLOOKUP($A:$A,CS!$A:$AK,3,FALSE),"")</f>
      </c>
      <c r="C491" s="54">
        <f>IFERROR(VLOOKUP($A:$A,CS!$A:$AK,4,FALSE),"")</f>
      </c>
      <c r="D491" s="54">
        <f>IFERROR(VLOOKUP($A:$A,CS!$A:$AK,5,FALSE),"")</f>
      </c>
      <c r="E491" s="54">
        <f>IFERROR(VLOOKUP($A:$A,CS!$A:$AK,7,FALSE),"")</f>
      </c>
      <c r="F491" s="54">
        <f>IFERROR(VLOOKUP($A:$A,CS!$A:$AK,8,FALSE),"")</f>
      </c>
      <c r="G491" s="54">
        <f>IFERROR(VLOOKUP($A:$A,CS!$A:$AK,10,FALSE),"")</f>
      </c>
      <c r="H491" s="54">
        <f>IFERROR(VLOOKUP($A:$A,CS!$A:$AK,14,FALSE),"")</f>
      </c>
      <c r="I491" s="54">
        <f>IFERROR(VLOOKUP($A:$A,CS!$A:$AK,15,FALSE),"")</f>
      </c>
      <c r="J491" s="54">
        <f>IFERROR(VLOOKUP($A:$A,CS!$A:$AK,18,FALSE),"")</f>
      </c>
      <c r="K491" s="54">
        <f>IFERROR(VLOOKUP($A:$A,CS!$A:$AK,19,FALSE),"")</f>
      </c>
      <c r="L491" s="54">
        <f>IFERROR(VLOOKUP($A:$A,CS!$A:$AK,20,FALSE),"")</f>
      </c>
      <c r="M491" s="54">
        <f>IFERROR(VLOOKUP($A:$A,CS!$A:$AK,22,FALSE),"")</f>
      </c>
      <c r="N491" s="54">
        <f>IFERROR(VLOOKUP($A:$A,CS!$A:$AK,19,FALSE),"")</f>
      </c>
      <c r="O491" s="54">
        <f>IFERROR(VLOOKUP($A:$A,CS!$A:$AK,23,FALSE),"")</f>
      </c>
      <c r="P491" s="54">
        <f>IFERROR(VLOOKUP($A:$A,CS!$A:$AK,24,FALSE),"")</f>
      </c>
      <c r="Q491" s="54">
        <f>IFERROR(VLOOKUP($A:$A,CS!$A:$AK,25,FALSE),"")</f>
      </c>
      <c r="R491" s="54">
        <f>IFERROR(VLOOKUP($A:$A,CS!$A:$AK,26,FALSE),"")</f>
      </c>
      <c r="S491" s="54">
        <f>IFERROR(VLOOKUP($A:$A,CS!$A:$AK,29,FALSE),"")</f>
      </c>
      <c r="T491" s="54">
        <f>IFERROR(VLOOKUP($A:$A,CS!$A:$AK,33,FALSE),"")</f>
      </c>
      <c r="U491" s="54">
        <f>IFERROR(VLOOKUP($A:$A,CS!$A:$AK,34,FALSE),"")</f>
      </c>
      <c r="V491" s="54">
        <f>IFERROR(VLOOKUP($A:$A,CS!$A:$AK,35,FALSE),"")</f>
      </c>
      <c r="W491" s="54">
        <f>IFERROR(VLOOKUP($A:$A,CS!$A:$AK,36,FALSE),"")</f>
      </c>
    </row>
    <row r="492" ht="16.5" customHeight="1" spans="1:23" x14ac:dyDescent="0.25">
      <c r="A492" s="68"/>
      <c r="B492" s="54">
        <f>IFERROR(VLOOKUP($A:$A,CS!$A:$AK,3,FALSE),"")</f>
      </c>
      <c r="C492" s="54">
        <f>IFERROR(VLOOKUP($A:$A,CS!$A:$AK,4,FALSE),"")</f>
      </c>
      <c r="D492" s="54">
        <f>IFERROR(VLOOKUP($A:$A,CS!$A:$AK,5,FALSE),"")</f>
      </c>
      <c r="E492" s="54">
        <f>IFERROR(VLOOKUP($A:$A,CS!$A:$AK,7,FALSE),"")</f>
      </c>
      <c r="F492" s="54">
        <f>IFERROR(VLOOKUP($A:$A,CS!$A:$AK,8,FALSE),"")</f>
      </c>
      <c r="G492" s="54">
        <f>IFERROR(VLOOKUP($A:$A,CS!$A:$AK,10,FALSE),"")</f>
      </c>
      <c r="H492" s="54">
        <f>IFERROR(VLOOKUP($A:$A,CS!$A:$AK,14,FALSE),"")</f>
      </c>
      <c r="I492" s="54">
        <f>IFERROR(VLOOKUP($A:$A,CS!$A:$AK,15,FALSE),"")</f>
      </c>
      <c r="J492" s="54">
        <f>IFERROR(VLOOKUP($A:$A,CS!$A:$AK,18,FALSE),"")</f>
      </c>
      <c r="K492" s="54">
        <f>IFERROR(VLOOKUP($A:$A,CS!$A:$AK,19,FALSE),"")</f>
      </c>
      <c r="L492" s="54">
        <f>IFERROR(VLOOKUP($A:$A,CS!$A:$AK,20,FALSE),"")</f>
      </c>
      <c r="M492" s="54">
        <f>IFERROR(VLOOKUP($A:$A,CS!$A:$AK,22,FALSE),"")</f>
      </c>
      <c r="N492" s="54">
        <f>IFERROR(VLOOKUP($A:$A,CS!$A:$AK,19,FALSE),"")</f>
      </c>
      <c r="O492" s="54">
        <f>IFERROR(VLOOKUP($A:$A,CS!$A:$AK,23,FALSE),"")</f>
      </c>
      <c r="P492" s="54">
        <f>IFERROR(VLOOKUP($A:$A,CS!$A:$AK,24,FALSE),"")</f>
      </c>
      <c r="Q492" s="54">
        <f>IFERROR(VLOOKUP($A:$A,CS!$A:$AK,25,FALSE),"")</f>
      </c>
      <c r="R492" s="54">
        <f>IFERROR(VLOOKUP($A:$A,CS!$A:$AK,26,FALSE),"")</f>
      </c>
      <c r="S492" s="54">
        <f>IFERROR(VLOOKUP($A:$A,CS!$A:$AK,29,FALSE),"")</f>
      </c>
      <c r="T492" s="54">
        <f>IFERROR(VLOOKUP($A:$A,CS!$A:$AK,33,FALSE),"")</f>
      </c>
      <c r="U492" s="54">
        <f>IFERROR(VLOOKUP($A:$A,CS!$A:$AK,34,FALSE),"")</f>
      </c>
      <c r="V492" s="54">
        <f>IFERROR(VLOOKUP($A:$A,CS!$A:$AK,35,FALSE),"")</f>
      </c>
      <c r="W492" s="54">
        <f>IFERROR(VLOOKUP($A:$A,CS!$A:$AK,36,FALSE),"")</f>
      </c>
    </row>
    <row r="493" ht="16.5" customHeight="1" spans="1:23" x14ac:dyDescent="0.25">
      <c r="A493" s="68"/>
      <c r="B493" s="54">
        <f>IFERROR(VLOOKUP($A:$A,CS!$A:$AK,3,FALSE),"")</f>
      </c>
      <c r="C493" s="54">
        <f>IFERROR(VLOOKUP($A:$A,CS!$A:$AK,4,FALSE),"")</f>
      </c>
      <c r="D493" s="54">
        <f>IFERROR(VLOOKUP($A:$A,CS!$A:$AK,5,FALSE),"")</f>
      </c>
      <c r="E493" s="54">
        <f>IFERROR(VLOOKUP($A:$A,CS!$A:$AK,7,FALSE),"")</f>
      </c>
      <c r="F493" s="54">
        <f>IFERROR(VLOOKUP($A:$A,CS!$A:$AK,8,FALSE),"")</f>
      </c>
      <c r="G493" s="54">
        <f>IFERROR(VLOOKUP($A:$A,CS!$A:$AK,10,FALSE),"")</f>
      </c>
      <c r="H493" s="54">
        <f>IFERROR(VLOOKUP($A:$A,CS!$A:$AK,14,FALSE),"")</f>
      </c>
      <c r="I493" s="54">
        <f>IFERROR(VLOOKUP($A:$A,CS!$A:$AK,15,FALSE),"")</f>
      </c>
      <c r="J493" s="54">
        <f>IFERROR(VLOOKUP($A:$A,CS!$A:$AK,18,FALSE),"")</f>
      </c>
      <c r="K493" s="54">
        <f>IFERROR(VLOOKUP($A:$A,CS!$A:$AK,19,FALSE),"")</f>
      </c>
      <c r="L493" s="54">
        <f>IFERROR(VLOOKUP($A:$A,CS!$A:$AK,20,FALSE),"")</f>
      </c>
      <c r="M493" s="54">
        <f>IFERROR(VLOOKUP($A:$A,CS!$A:$AK,22,FALSE),"")</f>
      </c>
      <c r="N493" s="54">
        <f>IFERROR(VLOOKUP($A:$A,CS!$A:$AK,19,FALSE),"")</f>
      </c>
      <c r="O493" s="54">
        <f>IFERROR(VLOOKUP($A:$A,CS!$A:$AK,23,FALSE),"")</f>
      </c>
      <c r="P493" s="54">
        <f>IFERROR(VLOOKUP($A:$A,CS!$A:$AK,24,FALSE),"")</f>
      </c>
      <c r="Q493" s="54">
        <f>IFERROR(VLOOKUP($A:$A,CS!$A:$AK,25,FALSE),"")</f>
      </c>
      <c r="R493" s="54">
        <f>IFERROR(VLOOKUP($A:$A,CS!$A:$AK,26,FALSE),"")</f>
      </c>
      <c r="S493" s="54">
        <f>IFERROR(VLOOKUP($A:$A,CS!$A:$AK,29,FALSE),"")</f>
      </c>
      <c r="T493" s="54">
        <f>IFERROR(VLOOKUP($A:$A,CS!$A:$AK,33,FALSE),"")</f>
      </c>
      <c r="U493" s="54">
        <f>IFERROR(VLOOKUP($A:$A,CS!$A:$AK,34,FALSE),"")</f>
      </c>
      <c r="V493" s="54">
        <f>IFERROR(VLOOKUP($A:$A,CS!$A:$AK,35,FALSE),"")</f>
      </c>
      <c r="W493" s="54">
        <f>IFERROR(VLOOKUP($A:$A,CS!$A:$AK,36,FALSE),"")</f>
      </c>
    </row>
    <row r="494" ht="16.5" customHeight="1" spans="1:23" x14ac:dyDescent="0.25">
      <c r="A494" s="68"/>
      <c r="B494" s="54">
        <f>IFERROR(VLOOKUP($A:$A,CS!$A:$AK,3,FALSE),"")</f>
      </c>
      <c r="C494" s="54">
        <f>IFERROR(VLOOKUP($A:$A,CS!$A:$AK,4,FALSE),"")</f>
      </c>
      <c r="D494" s="54">
        <f>IFERROR(VLOOKUP($A:$A,CS!$A:$AK,5,FALSE),"")</f>
      </c>
      <c r="E494" s="54">
        <f>IFERROR(VLOOKUP($A:$A,CS!$A:$AK,7,FALSE),"")</f>
      </c>
      <c r="F494" s="54">
        <f>IFERROR(VLOOKUP($A:$A,CS!$A:$AK,8,FALSE),"")</f>
      </c>
      <c r="G494" s="54">
        <f>IFERROR(VLOOKUP($A:$A,CS!$A:$AK,10,FALSE),"")</f>
      </c>
      <c r="H494" s="54">
        <f>IFERROR(VLOOKUP($A:$A,CS!$A:$AK,14,FALSE),"")</f>
      </c>
      <c r="I494" s="54">
        <f>IFERROR(VLOOKUP($A:$A,CS!$A:$AK,15,FALSE),"")</f>
      </c>
      <c r="J494" s="54">
        <f>IFERROR(VLOOKUP($A:$A,CS!$A:$AK,18,FALSE),"")</f>
      </c>
      <c r="K494" s="54">
        <f>IFERROR(VLOOKUP($A:$A,CS!$A:$AK,19,FALSE),"")</f>
      </c>
      <c r="L494" s="54">
        <f>IFERROR(VLOOKUP($A:$A,CS!$A:$AK,20,FALSE),"")</f>
      </c>
      <c r="M494" s="54">
        <f>IFERROR(VLOOKUP($A:$A,CS!$A:$AK,22,FALSE),"")</f>
      </c>
      <c r="N494" s="54">
        <f>IFERROR(VLOOKUP($A:$A,CS!$A:$AK,19,FALSE),"")</f>
      </c>
      <c r="O494" s="54">
        <f>IFERROR(VLOOKUP($A:$A,CS!$A:$AK,23,FALSE),"")</f>
      </c>
      <c r="P494" s="54">
        <f>IFERROR(VLOOKUP($A:$A,CS!$A:$AK,24,FALSE),"")</f>
      </c>
      <c r="Q494" s="54">
        <f>IFERROR(VLOOKUP($A:$A,CS!$A:$AK,25,FALSE),"")</f>
      </c>
      <c r="R494" s="54">
        <f>IFERROR(VLOOKUP($A:$A,CS!$A:$AK,26,FALSE),"")</f>
      </c>
      <c r="S494" s="54">
        <f>IFERROR(VLOOKUP($A:$A,CS!$A:$AK,29,FALSE),"")</f>
      </c>
      <c r="T494" s="54">
        <f>IFERROR(VLOOKUP($A:$A,CS!$A:$AK,33,FALSE),"")</f>
      </c>
      <c r="U494" s="54">
        <f>IFERROR(VLOOKUP($A:$A,CS!$A:$AK,34,FALSE),"")</f>
      </c>
      <c r="V494" s="54">
        <f>IFERROR(VLOOKUP($A:$A,CS!$A:$AK,35,FALSE),"")</f>
      </c>
      <c r="W494" s="54">
        <f>IFERROR(VLOOKUP($A:$A,CS!$A:$AK,36,FALSE),"")</f>
      </c>
    </row>
    <row r="495" ht="16.5" customHeight="1" spans="1:23" x14ac:dyDescent="0.25">
      <c r="A495" s="68"/>
      <c r="B495" s="54">
        <f>IFERROR(VLOOKUP($A:$A,CS!$A:$AK,3,FALSE),"")</f>
      </c>
      <c r="C495" s="54">
        <f>IFERROR(VLOOKUP($A:$A,CS!$A:$AK,4,FALSE),"")</f>
      </c>
      <c r="D495" s="54">
        <f>IFERROR(VLOOKUP($A:$A,CS!$A:$AK,5,FALSE),"")</f>
      </c>
      <c r="E495" s="54">
        <f>IFERROR(VLOOKUP($A:$A,CS!$A:$AK,7,FALSE),"")</f>
      </c>
      <c r="F495" s="54">
        <f>IFERROR(VLOOKUP($A:$A,CS!$A:$AK,8,FALSE),"")</f>
      </c>
      <c r="G495" s="54">
        <f>IFERROR(VLOOKUP($A:$A,CS!$A:$AK,10,FALSE),"")</f>
      </c>
      <c r="H495" s="54">
        <f>IFERROR(VLOOKUP($A:$A,CS!$A:$AK,14,FALSE),"")</f>
      </c>
      <c r="I495" s="54">
        <f>IFERROR(VLOOKUP($A:$A,CS!$A:$AK,15,FALSE),"")</f>
      </c>
      <c r="J495" s="54">
        <f>IFERROR(VLOOKUP($A:$A,CS!$A:$AK,18,FALSE),"")</f>
      </c>
      <c r="K495" s="54">
        <f>IFERROR(VLOOKUP($A:$A,CS!$A:$AK,19,FALSE),"")</f>
      </c>
      <c r="L495" s="54">
        <f>IFERROR(VLOOKUP($A:$A,CS!$A:$AK,20,FALSE),"")</f>
      </c>
      <c r="M495" s="54">
        <f>IFERROR(VLOOKUP($A:$A,CS!$A:$AK,22,FALSE),"")</f>
      </c>
      <c r="N495" s="54">
        <f>IFERROR(VLOOKUP($A:$A,CS!$A:$AK,19,FALSE),"")</f>
      </c>
      <c r="O495" s="54">
        <f>IFERROR(VLOOKUP($A:$A,CS!$A:$AK,23,FALSE),"")</f>
      </c>
      <c r="P495" s="54">
        <f>IFERROR(VLOOKUP($A:$A,CS!$A:$AK,24,FALSE),"")</f>
      </c>
      <c r="Q495" s="54">
        <f>IFERROR(VLOOKUP($A:$A,CS!$A:$AK,25,FALSE),"")</f>
      </c>
      <c r="R495" s="54">
        <f>IFERROR(VLOOKUP($A:$A,CS!$A:$AK,26,FALSE),"")</f>
      </c>
      <c r="S495" s="54">
        <f>IFERROR(VLOOKUP($A:$A,CS!$A:$AK,29,FALSE),"")</f>
      </c>
      <c r="T495" s="54">
        <f>IFERROR(VLOOKUP($A:$A,CS!$A:$AK,33,FALSE),"")</f>
      </c>
      <c r="U495" s="54">
        <f>IFERROR(VLOOKUP($A:$A,CS!$A:$AK,34,FALSE),"")</f>
      </c>
      <c r="V495" s="54">
        <f>IFERROR(VLOOKUP($A:$A,CS!$A:$AK,35,FALSE),"")</f>
      </c>
      <c r="W495" s="54">
        <f>IFERROR(VLOOKUP($A:$A,CS!$A:$AK,36,FALSE),"")</f>
      </c>
    </row>
    <row r="496" ht="16.5" customHeight="1" spans="1:23" x14ac:dyDescent="0.25">
      <c r="A496" s="68"/>
      <c r="B496" s="54">
        <f>IFERROR(VLOOKUP($A:$A,CS!$A:$AK,3,FALSE),"")</f>
      </c>
      <c r="C496" s="54">
        <f>IFERROR(VLOOKUP($A:$A,CS!$A:$AK,4,FALSE),"")</f>
      </c>
      <c r="D496" s="54">
        <f>IFERROR(VLOOKUP($A:$A,CS!$A:$AK,5,FALSE),"")</f>
      </c>
      <c r="E496" s="54">
        <f>IFERROR(VLOOKUP($A:$A,CS!$A:$AK,7,FALSE),"")</f>
      </c>
      <c r="F496" s="54">
        <f>IFERROR(VLOOKUP($A:$A,CS!$A:$AK,8,FALSE),"")</f>
      </c>
      <c r="G496" s="54">
        <f>IFERROR(VLOOKUP($A:$A,CS!$A:$AK,10,FALSE),"")</f>
      </c>
      <c r="H496" s="54">
        <f>IFERROR(VLOOKUP($A:$A,CS!$A:$AK,14,FALSE),"")</f>
      </c>
      <c r="I496" s="54">
        <f>IFERROR(VLOOKUP($A:$A,CS!$A:$AK,15,FALSE),"")</f>
      </c>
      <c r="J496" s="54">
        <f>IFERROR(VLOOKUP($A:$A,CS!$A:$AK,18,FALSE),"")</f>
      </c>
      <c r="K496" s="54">
        <f>IFERROR(VLOOKUP($A:$A,CS!$A:$AK,19,FALSE),"")</f>
      </c>
      <c r="L496" s="54">
        <f>IFERROR(VLOOKUP($A:$A,CS!$A:$AK,20,FALSE),"")</f>
      </c>
      <c r="M496" s="54">
        <f>IFERROR(VLOOKUP($A:$A,CS!$A:$AK,22,FALSE),"")</f>
      </c>
      <c r="N496" s="54">
        <f>IFERROR(VLOOKUP($A:$A,CS!$A:$AK,19,FALSE),"")</f>
      </c>
      <c r="O496" s="54">
        <f>IFERROR(VLOOKUP($A:$A,CS!$A:$AK,23,FALSE),"")</f>
      </c>
      <c r="P496" s="54">
        <f>IFERROR(VLOOKUP($A:$A,CS!$A:$AK,24,FALSE),"")</f>
      </c>
      <c r="Q496" s="54">
        <f>IFERROR(VLOOKUP($A:$A,CS!$A:$AK,25,FALSE),"")</f>
      </c>
      <c r="R496" s="54">
        <f>IFERROR(VLOOKUP($A:$A,CS!$A:$AK,26,FALSE),"")</f>
      </c>
      <c r="S496" s="54">
        <f>IFERROR(VLOOKUP($A:$A,CS!$A:$AK,29,FALSE),"")</f>
      </c>
      <c r="T496" s="54">
        <f>IFERROR(VLOOKUP($A:$A,CS!$A:$AK,33,FALSE),"")</f>
      </c>
      <c r="U496" s="54">
        <f>IFERROR(VLOOKUP($A:$A,CS!$A:$AK,34,FALSE),"")</f>
      </c>
      <c r="V496" s="54">
        <f>IFERROR(VLOOKUP($A:$A,CS!$A:$AK,35,FALSE),"")</f>
      </c>
      <c r="W496" s="54">
        <f>IFERROR(VLOOKUP($A:$A,CS!$A:$AK,36,FALSE),"")</f>
      </c>
    </row>
    <row r="497" ht="16.5" customHeight="1" spans="1:23" x14ac:dyDescent="0.25">
      <c r="A497" s="68"/>
      <c r="B497" s="54">
        <f>IFERROR(VLOOKUP($A:$A,CS!$A:$AK,3,FALSE),"")</f>
      </c>
      <c r="C497" s="54">
        <f>IFERROR(VLOOKUP($A:$A,CS!$A:$AK,4,FALSE),"")</f>
      </c>
      <c r="D497" s="54">
        <f>IFERROR(VLOOKUP($A:$A,CS!$A:$AK,5,FALSE),"")</f>
      </c>
      <c r="E497" s="54">
        <f>IFERROR(VLOOKUP($A:$A,CS!$A:$AK,7,FALSE),"")</f>
      </c>
      <c r="F497" s="54">
        <f>IFERROR(VLOOKUP($A:$A,CS!$A:$AK,8,FALSE),"")</f>
      </c>
      <c r="G497" s="54">
        <f>IFERROR(VLOOKUP($A:$A,CS!$A:$AK,10,FALSE),"")</f>
      </c>
      <c r="H497" s="54">
        <f>IFERROR(VLOOKUP($A:$A,CS!$A:$AK,14,FALSE),"")</f>
      </c>
      <c r="I497" s="54">
        <f>IFERROR(VLOOKUP($A:$A,CS!$A:$AK,15,FALSE),"")</f>
      </c>
      <c r="J497" s="54">
        <f>IFERROR(VLOOKUP($A:$A,CS!$A:$AK,18,FALSE),"")</f>
      </c>
      <c r="K497" s="54">
        <f>IFERROR(VLOOKUP($A:$A,CS!$A:$AK,19,FALSE),"")</f>
      </c>
      <c r="L497" s="54">
        <f>IFERROR(VLOOKUP($A:$A,CS!$A:$AK,20,FALSE),"")</f>
      </c>
      <c r="M497" s="54">
        <f>IFERROR(VLOOKUP($A:$A,CS!$A:$AK,22,FALSE),"")</f>
      </c>
      <c r="N497" s="54">
        <f>IFERROR(VLOOKUP($A:$A,CS!$A:$AK,19,FALSE),"")</f>
      </c>
      <c r="O497" s="54">
        <f>IFERROR(VLOOKUP($A:$A,CS!$A:$AK,23,FALSE),"")</f>
      </c>
      <c r="P497" s="54">
        <f>IFERROR(VLOOKUP($A:$A,CS!$A:$AK,24,FALSE),"")</f>
      </c>
      <c r="Q497" s="54">
        <f>IFERROR(VLOOKUP($A:$A,CS!$A:$AK,25,FALSE),"")</f>
      </c>
      <c r="R497" s="54">
        <f>IFERROR(VLOOKUP($A:$A,CS!$A:$AK,26,FALSE),"")</f>
      </c>
      <c r="S497" s="54">
        <f>IFERROR(VLOOKUP($A:$A,CS!$A:$AK,29,FALSE),"")</f>
      </c>
      <c r="T497" s="54">
        <f>IFERROR(VLOOKUP($A:$A,CS!$A:$AK,33,FALSE),"")</f>
      </c>
      <c r="U497" s="54">
        <f>IFERROR(VLOOKUP($A:$A,CS!$A:$AK,34,FALSE),"")</f>
      </c>
      <c r="V497" s="54">
        <f>IFERROR(VLOOKUP($A:$A,CS!$A:$AK,35,FALSE),"")</f>
      </c>
      <c r="W497" s="54">
        <f>IFERROR(VLOOKUP($A:$A,CS!$A:$AK,36,FALSE),"")</f>
      </c>
    </row>
    <row r="498" ht="16.5" customHeight="1" spans="1:23" x14ac:dyDescent="0.25">
      <c r="A498" s="68"/>
      <c r="B498" s="54">
        <f>IFERROR(VLOOKUP($A:$A,CS!$A:$AK,3,FALSE),"")</f>
      </c>
      <c r="C498" s="54">
        <f>IFERROR(VLOOKUP($A:$A,CS!$A:$AK,4,FALSE),"")</f>
      </c>
      <c r="D498" s="54">
        <f>IFERROR(VLOOKUP($A:$A,CS!$A:$AK,5,FALSE),"")</f>
      </c>
      <c r="E498" s="54">
        <f>IFERROR(VLOOKUP($A:$A,CS!$A:$AK,7,FALSE),"")</f>
      </c>
      <c r="F498" s="54">
        <f>IFERROR(VLOOKUP($A:$A,CS!$A:$AK,8,FALSE),"")</f>
      </c>
      <c r="G498" s="54">
        <f>IFERROR(VLOOKUP($A:$A,CS!$A:$AK,10,FALSE),"")</f>
      </c>
      <c r="H498" s="54">
        <f>IFERROR(VLOOKUP($A:$A,CS!$A:$AK,14,FALSE),"")</f>
      </c>
      <c r="I498" s="54">
        <f>IFERROR(VLOOKUP($A:$A,CS!$A:$AK,15,FALSE),"")</f>
      </c>
      <c r="J498" s="54">
        <f>IFERROR(VLOOKUP($A:$A,CS!$A:$AK,18,FALSE),"")</f>
      </c>
      <c r="K498" s="54">
        <f>IFERROR(VLOOKUP($A:$A,CS!$A:$AK,19,FALSE),"")</f>
      </c>
      <c r="L498" s="54">
        <f>IFERROR(VLOOKUP($A:$A,CS!$A:$AK,20,FALSE),"")</f>
      </c>
      <c r="M498" s="54">
        <f>IFERROR(VLOOKUP($A:$A,CS!$A:$AK,22,FALSE),"")</f>
      </c>
      <c r="N498" s="54">
        <f>IFERROR(VLOOKUP($A:$A,CS!$A:$AK,19,FALSE),"")</f>
      </c>
      <c r="O498" s="54">
        <f>IFERROR(VLOOKUP($A:$A,CS!$A:$AK,23,FALSE),"")</f>
      </c>
      <c r="P498" s="54">
        <f>IFERROR(VLOOKUP($A:$A,CS!$A:$AK,24,FALSE),"")</f>
      </c>
      <c r="Q498" s="54">
        <f>IFERROR(VLOOKUP($A:$A,CS!$A:$AK,25,FALSE),"")</f>
      </c>
      <c r="R498" s="54">
        <f>IFERROR(VLOOKUP($A:$A,CS!$A:$AK,26,FALSE),"")</f>
      </c>
      <c r="S498" s="54">
        <f>IFERROR(VLOOKUP($A:$A,CS!$A:$AK,29,FALSE),"")</f>
      </c>
      <c r="T498" s="54">
        <f>IFERROR(VLOOKUP($A:$A,CS!$A:$AK,33,FALSE),"")</f>
      </c>
      <c r="U498" s="54">
        <f>IFERROR(VLOOKUP($A:$A,CS!$A:$AK,34,FALSE),"")</f>
      </c>
      <c r="V498" s="54">
        <f>IFERROR(VLOOKUP($A:$A,CS!$A:$AK,35,FALSE),"")</f>
      </c>
      <c r="W498" s="54">
        <f>IFERROR(VLOOKUP($A:$A,CS!$A:$AK,36,FALSE),"")</f>
      </c>
    </row>
    <row r="499" ht="16.5" customHeight="1" spans="1:23" x14ac:dyDescent="0.25">
      <c r="A499" s="68"/>
      <c r="B499" s="54">
        <f>IFERROR(VLOOKUP($A:$A,CS!$A:$AK,3,FALSE),"")</f>
      </c>
      <c r="C499" s="54">
        <f>IFERROR(VLOOKUP($A:$A,CS!$A:$AK,4,FALSE),"")</f>
      </c>
      <c r="D499" s="54">
        <f>IFERROR(VLOOKUP($A:$A,CS!$A:$AK,5,FALSE),"")</f>
      </c>
      <c r="E499" s="54">
        <f>IFERROR(VLOOKUP($A:$A,CS!$A:$AK,7,FALSE),"")</f>
      </c>
      <c r="F499" s="54">
        <f>IFERROR(VLOOKUP($A:$A,CS!$A:$AK,8,FALSE),"")</f>
      </c>
      <c r="G499" s="54">
        <f>IFERROR(VLOOKUP($A:$A,CS!$A:$AK,10,FALSE),"")</f>
      </c>
      <c r="H499" s="54">
        <f>IFERROR(VLOOKUP($A:$A,CS!$A:$AK,14,FALSE),"")</f>
      </c>
      <c r="I499" s="54">
        <f>IFERROR(VLOOKUP($A:$A,CS!$A:$AK,15,FALSE),"")</f>
      </c>
      <c r="J499" s="54">
        <f>IFERROR(VLOOKUP($A:$A,CS!$A:$AK,18,FALSE),"")</f>
      </c>
      <c r="K499" s="54">
        <f>IFERROR(VLOOKUP($A:$A,CS!$A:$AK,19,FALSE),"")</f>
      </c>
      <c r="L499" s="54">
        <f>IFERROR(VLOOKUP($A:$A,CS!$A:$AK,20,FALSE),"")</f>
      </c>
      <c r="M499" s="54">
        <f>IFERROR(VLOOKUP($A:$A,CS!$A:$AK,22,FALSE),"")</f>
      </c>
      <c r="N499" s="54">
        <f>IFERROR(VLOOKUP($A:$A,CS!$A:$AK,19,FALSE),"")</f>
      </c>
      <c r="O499" s="54">
        <f>IFERROR(VLOOKUP($A:$A,CS!$A:$AK,23,FALSE),"")</f>
      </c>
      <c r="P499" s="54">
        <f>IFERROR(VLOOKUP($A:$A,CS!$A:$AK,24,FALSE),"")</f>
      </c>
      <c r="Q499" s="54">
        <f>IFERROR(VLOOKUP($A:$A,CS!$A:$AK,25,FALSE),"")</f>
      </c>
      <c r="R499" s="54">
        <f>IFERROR(VLOOKUP($A:$A,CS!$A:$AK,26,FALSE),"")</f>
      </c>
      <c r="S499" s="54">
        <f>IFERROR(VLOOKUP($A:$A,CS!$A:$AK,29,FALSE),"")</f>
      </c>
      <c r="T499" s="54">
        <f>IFERROR(VLOOKUP($A:$A,CS!$A:$AK,33,FALSE),"")</f>
      </c>
      <c r="U499" s="54">
        <f>IFERROR(VLOOKUP($A:$A,CS!$A:$AK,34,FALSE),"")</f>
      </c>
      <c r="V499" s="54">
        <f>IFERROR(VLOOKUP($A:$A,CS!$A:$AK,35,FALSE),"")</f>
      </c>
      <c r="W499" s="54">
        <f>IFERROR(VLOOKUP($A:$A,CS!$A:$AK,36,FALSE),"")</f>
      </c>
    </row>
    <row r="500" ht="16.5" customHeight="1" spans="1:23" x14ac:dyDescent="0.25">
      <c r="A500" s="68"/>
      <c r="B500" s="54">
        <f>IFERROR(VLOOKUP($A:$A,CS!$A:$AK,3,FALSE),"")</f>
      </c>
      <c r="C500" s="54">
        <f>IFERROR(VLOOKUP($A:$A,CS!$A:$AK,4,FALSE),"")</f>
      </c>
      <c r="D500" s="54">
        <f>IFERROR(VLOOKUP($A:$A,CS!$A:$AK,5,FALSE),"")</f>
      </c>
      <c r="E500" s="54">
        <f>IFERROR(VLOOKUP($A:$A,CS!$A:$AK,7,FALSE),"")</f>
      </c>
      <c r="F500" s="54">
        <f>IFERROR(VLOOKUP($A:$A,CS!$A:$AK,8,FALSE),"")</f>
      </c>
      <c r="G500" s="54">
        <f>IFERROR(VLOOKUP($A:$A,CS!$A:$AK,10,FALSE),"")</f>
      </c>
      <c r="H500" s="54">
        <f>IFERROR(VLOOKUP($A:$A,CS!$A:$AK,14,FALSE),"")</f>
      </c>
      <c r="I500" s="54">
        <f>IFERROR(VLOOKUP($A:$A,CS!$A:$AK,15,FALSE),"")</f>
      </c>
      <c r="J500" s="54">
        <f>IFERROR(VLOOKUP($A:$A,CS!$A:$AK,18,FALSE),"")</f>
      </c>
      <c r="K500" s="54">
        <f>IFERROR(VLOOKUP($A:$A,CS!$A:$AK,19,FALSE),"")</f>
      </c>
      <c r="L500" s="54">
        <f>IFERROR(VLOOKUP($A:$A,CS!$A:$AK,20,FALSE),"")</f>
      </c>
      <c r="M500" s="54">
        <f>IFERROR(VLOOKUP($A:$A,CS!$A:$AK,22,FALSE),"")</f>
      </c>
      <c r="N500" s="54">
        <f>IFERROR(VLOOKUP($A:$A,CS!$A:$AK,19,FALSE),"")</f>
      </c>
      <c r="O500" s="54">
        <f>IFERROR(VLOOKUP($A:$A,CS!$A:$AK,23,FALSE),"")</f>
      </c>
      <c r="P500" s="54">
        <f>IFERROR(VLOOKUP($A:$A,CS!$A:$AK,24,FALSE),"")</f>
      </c>
      <c r="Q500" s="54">
        <f>IFERROR(VLOOKUP($A:$A,CS!$A:$AK,25,FALSE),"")</f>
      </c>
      <c r="R500" s="54">
        <f>IFERROR(VLOOKUP($A:$A,CS!$A:$AK,26,FALSE),"")</f>
      </c>
      <c r="S500" s="54">
        <f>IFERROR(VLOOKUP($A:$A,CS!$A:$AK,29,FALSE),"")</f>
      </c>
      <c r="T500" s="54">
        <f>IFERROR(VLOOKUP($A:$A,CS!$A:$AK,33,FALSE),"")</f>
      </c>
      <c r="U500" s="54">
        <f>IFERROR(VLOOKUP($A:$A,CS!$A:$AK,34,FALSE),"")</f>
      </c>
      <c r="V500" s="54">
        <f>IFERROR(VLOOKUP($A:$A,CS!$A:$AK,35,FALSE),"")</f>
      </c>
      <c r="W500" s="54">
        <f>IFERROR(VLOOKUP($A:$A,CS!$A:$AK,36,FALSE),"")</f>
      </c>
    </row>
    <row r="501" ht="16.5" customHeight="1" spans="1:23" x14ac:dyDescent="0.25">
      <c r="A501" s="68"/>
      <c r="B501" s="54">
        <f>IFERROR(VLOOKUP($A:$A,CS!$A:$AK,3,FALSE),"")</f>
      </c>
      <c r="C501" s="54">
        <f>IFERROR(VLOOKUP($A:$A,CS!$A:$AK,4,FALSE),"")</f>
      </c>
      <c r="D501" s="54">
        <f>IFERROR(VLOOKUP($A:$A,CS!$A:$AK,5,FALSE),"")</f>
      </c>
      <c r="E501" s="54">
        <f>IFERROR(VLOOKUP($A:$A,CS!$A:$AK,7,FALSE),"")</f>
      </c>
      <c r="F501" s="54">
        <f>IFERROR(VLOOKUP($A:$A,CS!$A:$AK,8,FALSE),"")</f>
      </c>
      <c r="G501" s="54">
        <f>IFERROR(VLOOKUP($A:$A,CS!$A:$AK,10,FALSE),"")</f>
      </c>
      <c r="H501" s="54">
        <f>IFERROR(VLOOKUP($A:$A,CS!$A:$AK,14,FALSE),"")</f>
      </c>
      <c r="I501" s="54">
        <f>IFERROR(VLOOKUP($A:$A,CS!$A:$AK,15,FALSE),"")</f>
      </c>
      <c r="J501" s="54">
        <f>IFERROR(VLOOKUP($A:$A,CS!$A:$AK,18,FALSE),"")</f>
      </c>
      <c r="K501" s="54">
        <f>IFERROR(VLOOKUP($A:$A,CS!$A:$AK,19,FALSE),"")</f>
      </c>
      <c r="L501" s="54">
        <f>IFERROR(VLOOKUP($A:$A,CS!$A:$AK,20,FALSE),"")</f>
      </c>
      <c r="M501" s="54">
        <f>IFERROR(VLOOKUP($A:$A,CS!$A:$AK,22,FALSE),"")</f>
      </c>
      <c r="N501" s="54">
        <f>IFERROR(VLOOKUP($A:$A,CS!$A:$AK,19,FALSE),"")</f>
      </c>
      <c r="O501" s="54">
        <f>IFERROR(VLOOKUP($A:$A,CS!$A:$AK,23,FALSE),"")</f>
      </c>
      <c r="P501" s="54">
        <f>IFERROR(VLOOKUP($A:$A,CS!$A:$AK,24,FALSE),"")</f>
      </c>
      <c r="Q501" s="54">
        <f>IFERROR(VLOOKUP($A:$A,CS!$A:$AK,25,FALSE),"")</f>
      </c>
      <c r="R501" s="54">
        <f>IFERROR(VLOOKUP($A:$A,CS!$A:$AK,26,FALSE),"")</f>
      </c>
      <c r="S501" s="54">
        <f>IFERROR(VLOOKUP($A:$A,CS!$A:$AK,29,FALSE),"")</f>
      </c>
      <c r="T501" s="54">
        <f>IFERROR(VLOOKUP($A:$A,CS!$A:$AK,33,FALSE),"")</f>
      </c>
      <c r="U501" s="54">
        <f>IFERROR(VLOOKUP($A:$A,CS!$A:$AK,34,FALSE),"")</f>
      </c>
      <c r="V501" s="54">
        <f>IFERROR(VLOOKUP($A:$A,CS!$A:$AK,35,FALSE),"")</f>
      </c>
      <c r="W501" s="54">
        <f>IFERROR(VLOOKUP($A:$A,CS!$A:$AK,36,FALSE),"")</f>
      </c>
    </row>
    <row r="502" ht="16.5" customHeight="1" spans="1:23" x14ac:dyDescent="0.25">
      <c r="A502" s="68"/>
      <c r="B502" s="54">
        <f>IFERROR(VLOOKUP($A:$A,CS!$A:$AK,3,FALSE),"")</f>
      </c>
      <c r="C502" s="54">
        <f>IFERROR(VLOOKUP($A:$A,CS!$A:$AK,4,FALSE),"")</f>
      </c>
      <c r="D502" s="54">
        <f>IFERROR(VLOOKUP($A:$A,CS!$A:$AK,5,FALSE),"")</f>
      </c>
      <c r="E502" s="54">
        <f>IFERROR(VLOOKUP($A:$A,CS!$A:$AK,7,FALSE),"")</f>
      </c>
      <c r="F502" s="54">
        <f>IFERROR(VLOOKUP($A:$A,CS!$A:$AK,8,FALSE),"")</f>
      </c>
      <c r="G502" s="54">
        <f>IFERROR(VLOOKUP($A:$A,CS!$A:$AK,10,FALSE),"")</f>
      </c>
      <c r="H502" s="54">
        <f>IFERROR(VLOOKUP($A:$A,CS!$A:$AK,14,FALSE),"")</f>
      </c>
      <c r="I502" s="54">
        <f>IFERROR(VLOOKUP($A:$A,CS!$A:$AK,15,FALSE),"")</f>
      </c>
      <c r="J502" s="54">
        <f>IFERROR(VLOOKUP($A:$A,CS!$A:$AK,18,FALSE),"")</f>
      </c>
      <c r="K502" s="54">
        <f>IFERROR(VLOOKUP($A:$A,CS!$A:$AK,19,FALSE),"")</f>
      </c>
      <c r="L502" s="54">
        <f>IFERROR(VLOOKUP($A:$A,CS!$A:$AK,20,FALSE),"")</f>
      </c>
      <c r="M502" s="54">
        <f>IFERROR(VLOOKUP($A:$A,CS!$A:$AK,22,FALSE),"")</f>
      </c>
      <c r="N502" s="54">
        <f>IFERROR(VLOOKUP($A:$A,CS!$A:$AK,19,FALSE),"")</f>
      </c>
      <c r="O502" s="54">
        <f>IFERROR(VLOOKUP($A:$A,CS!$A:$AK,23,FALSE),"")</f>
      </c>
      <c r="P502" s="54">
        <f>IFERROR(VLOOKUP($A:$A,CS!$A:$AK,24,FALSE),"")</f>
      </c>
      <c r="Q502" s="54">
        <f>IFERROR(VLOOKUP($A:$A,CS!$A:$AK,25,FALSE),"")</f>
      </c>
      <c r="R502" s="54">
        <f>IFERROR(VLOOKUP($A:$A,CS!$A:$AK,26,FALSE),"")</f>
      </c>
      <c r="S502" s="54">
        <f>IFERROR(VLOOKUP($A:$A,CS!$A:$AK,29,FALSE),"")</f>
      </c>
      <c r="T502" s="54">
        <f>IFERROR(VLOOKUP($A:$A,CS!$A:$AK,33,FALSE),"")</f>
      </c>
      <c r="U502" s="54">
        <f>IFERROR(VLOOKUP($A:$A,CS!$A:$AK,34,FALSE),"")</f>
      </c>
      <c r="V502" s="54">
        <f>IFERROR(VLOOKUP($A:$A,CS!$A:$AK,35,FALSE),"")</f>
      </c>
      <c r="W502" s="54">
        <f>IFERROR(VLOOKUP($A:$A,CS!$A:$AK,36,FALSE),"")</f>
      </c>
    </row>
    <row r="503" ht="16.5" customHeight="1" spans="1:23" x14ac:dyDescent="0.25">
      <c r="A503" s="68"/>
      <c r="B503" s="54">
        <f>IFERROR(VLOOKUP($A:$A,CS!$A:$AK,3,FALSE),"")</f>
      </c>
      <c r="C503" s="54">
        <f>IFERROR(VLOOKUP($A:$A,CS!$A:$AK,4,FALSE),"")</f>
      </c>
      <c r="D503" s="54">
        <f>IFERROR(VLOOKUP($A:$A,CS!$A:$AK,5,FALSE),"")</f>
      </c>
      <c r="E503" s="54">
        <f>IFERROR(VLOOKUP($A:$A,CS!$A:$AK,7,FALSE),"")</f>
      </c>
      <c r="F503" s="54">
        <f>IFERROR(VLOOKUP($A:$A,CS!$A:$AK,8,FALSE),"")</f>
      </c>
      <c r="G503" s="54">
        <f>IFERROR(VLOOKUP($A:$A,CS!$A:$AK,10,FALSE),"")</f>
      </c>
      <c r="H503" s="54">
        <f>IFERROR(VLOOKUP($A:$A,CS!$A:$AK,14,FALSE),"")</f>
      </c>
      <c r="I503" s="54">
        <f>IFERROR(VLOOKUP($A:$A,CS!$A:$AK,15,FALSE),"")</f>
      </c>
      <c r="J503" s="54">
        <f>IFERROR(VLOOKUP($A:$A,CS!$A:$AK,18,FALSE),"")</f>
      </c>
      <c r="K503" s="54">
        <f>IFERROR(VLOOKUP($A:$A,CS!$A:$AK,19,FALSE),"")</f>
      </c>
      <c r="L503" s="54">
        <f>IFERROR(VLOOKUP($A:$A,CS!$A:$AK,20,FALSE),"")</f>
      </c>
      <c r="M503" s="54">
        <f>IFERROR(VLOOKUP($A:$A,CS!$A:$AK,22,FALSE),"")</f>
      </c>
      <c r="N503" s="54">
        <f>IFERROR(VLOOKUP($A:$A,CS!$A:$AK,19,FALSE),"")</f>
      </c>
      <c r="O503" s="54">
        <f>IFERROR(VLOOKUP($A:$A,CS!$A:$AK,23,FALSE),"")</f>
      </c>
      <c r="P503" s="54">
        <f>IFERROR(VLOOKUP($A:$A,CS!$A:$AK,24,FALSE),"")</f>
      </c>
      <c r="Q503" s="54">
        <f>IFERROR(VLOOKUP($A:$A,CS!$A:$AK,25,FALSE),"")</f>
      </c>
      <c r="R503" s="54">
        <f>IFERROR(VLOOKUP($A:$A,CS!$A:$AK,26,FALSE),"")</f>
      </c>
      <c r="S503" s="54">
        <f>IFERROR(VLOOKUP($A:$A,CS!$A:$AK,29,FALSE),"")</f>
      </c>
      <c r="T503" s="54">
        <f>IFERROR(VLOOKUP($A:$A,CS!$A:$AK,33,FALSE),"")</f>
      </c>
      <c r="U503" s="54">
        <f>IFERROR(VLOOKUP($A:$A,CS!$A:$AK,34,FALSE),"")</f>
      </c>
      <c r="V503" s="54">
        <f>IFERROR(VLOOKUP($A:$A,CS!$A:$AK,35,FALSE),"")</f>
      </c>
      <c r="W503" s="54">
        <f>IFERROR(VLOOKUP($A:$A,CS!$A:$AK,36,FALSE),"")</f>
      </c>
    </row>
    <row r="504" ht="16.5" customHeight="1" spans="1:23" x14ac:dyDescent="0.25">
      <c r="A504" s="68"/>
      <c r="B504" s="54">
        <f>IFERROR(VLOOKUP($A:$A,CS!$A:$AK,3,FALSE),"")</f>
      </c>
      <c r="C504" s="54">
        <f>IFERROR(VLOOKUP($A:$A,CS!$A:$AK,4,FALSE),"")</f>
      </c>
      <c r="D504" s="54">
        <f>IFERROR(VLOOKUP($A:$A,CS!$A:$AK,5,FALSE),"")</f>
      </c>
      <c r="E504" s="54">
        <f>IFERROR(VLOOKUP($A:$A,CS!$A:$AK,7,FALSE),"")</f>
      </c>
      <c r="F504" s="54">
        <f>IFERROR(VLOOKUP($A:$A,CS!$A:$AK,8,FALSE),"")</f>
      </c>
      <c r="G504" s="54">
        <f>IFERROR(VLOOKUP($A:$A,CS!$A:$AK,10,FALSE),"")</f>
      </c>
      <c r="H504" s="54">
        <f>IFERROR(VLOOKUP($A:$A,CS!$A:$AK,14,FALSE),"")</f>
      </c>
      <c r="I504" s="54">
        <f>IFERROR(VLOOKUP($A:$A,CS!$A:$AK,15,FALSE),"")</f>
      </c>
      <c r="J504" s="54">
        <f>IFERROR(VLOOKUP($A:$A,CS!$A:$AK,18,FALSE),"")</f>
      </c>
      <c r="K504" s="54">
        <f>IFERROR(VLOOKUP($A:$A,CS!$A:$AK,19,FALSE),"")</f>
      </c>
      <c r="L504" s="54">
        <f>IFERROR(VLOOKUP($A:$A,CS!$A:$AK,20,FALSE),"")</f>
      </c>
      <c r="M504" s="54">
        <f>IFERROR(VLOOKUP($A:$A,CS!$A:$AK,22,FALSE),"")</f>
      </c>
      <c r="N504" s="54">
        <f>IFERROR(VLOOKUP($A:$A,CS!$A:$AK,19,FALSE),"")</f>
      </c>
      <c r="O504" s="54">
        <f>IFERROR(VLOOKUP($A:$A,CS!$A:$AK,23,FALSE),"")</f>
      </c>
      <c r="P504" s="54">
        <f>IFERROR(VLOOKUP($A:$A,CS!$A:$AK,24,FALSE),"")</f>
      </c>
      <c r="Q504" s="54">
        <f>IFERROR(VLOOKUP($A:$A,CS!$A:$AK,25,FALSE),"")</f>
      </c>
      <c r="R504" s="54">
        <f>IFERROR(VLOOKUP($A:$A,CS!$A:$AK,26,FALSE),"")</f>
      </c>
      <c r="S504" s="54">
        <f>IFERROR(VLOOKUP($A:$A,CS!$A:$AK,29,FALSE),"")</f>
      </c>
      <c r="T504" s="54">
        <f>IFERROR(VLOOKUP($A:$A,CS!$A:$AK,33,FALSE),"")</f>
      </c>
      <c r="U504" s="54">
        <f>IFERROR(VLOOKUP($A:$A,CS!$A:$AK,34,FALSE),"")</f>
      </c>
      <c r="V504" s="54">
        <f>IFERROR(VLOOKUP($A:$A,CS!$A:$AK,35,FALSE),"")</f>
      </c>
      <c r="W504" s="54">
        <f>IFERROR(VLOOKUP($A:$A,CS!$A:$AK,36,FALSE),"")</f>
      </c>
    </row>
    <row r="505" ht="16.5" customHeight="1" spans="1:23" x14ac:dyDescent="0.25">
      <c r="A505" s="68"/>
      <c r="B505" s="54">
        <f>IFERROR(VLOOKUP($A:$A,CS!$A:$AK,3,FALSE),"")</f>
      </c>
      <c r="C505" s="54">
        <f>IFERROR(VLOOKUP($A:$A,CS!$A:$AK,4,FALSE),"")</f>
      </c>
      <c r="D505" s="54">
        <f>IFERROR(VLOOKUP($A:$A,CS!$A:$AK,5,FALSE),"")</f>
      </c>
      <c r="E505" s="54">
        <f>IFERROR(VLOOKUP($A:$A,CS!$A:$AK,7,FALSE),"")</f>
      </c>
      <c r="F505" s="54">
        <f>IFERROR(VLOOKUP($A:$A,CS!$A:$AK,8,FALSE),"")</f>
      </c>
      <c r="G505" s="54">
        <f>IFERROR(VLOOKUP($A:$A,CS!$A:$AK,10,FALSE),"")</f>
      </c>
      <c r="H505" s="54">
        <f>IFERROR(VLOOKUP($A:$A,CS!$A:$AK,14,FALSE),"")</f>
      </c>
      <c r="I505" s="54">
        <f>IFERROR(VLOOKUP($A:$A,CS!$A:$AK,15,FALSE),"")</f>
      </c>
      <c r="J505" s="54">
        <f>IFERROR(VLOOKUP($A:$A,CS!$A:$AK,18,FALSE),"")</f>
      </c>
      <c r="K505" s="54">
        <f>IFERROR(VLOOKUP($A:$A,CS!$A:$AK,19,FALSE),"")</f>
      </c>
      <c r="L505" s="54">
        <f>IFERROR(VLOOKUP($A:$A,CS!$A:$AK,20,FALSE),"")</f>
      </c>
      <c r="M505" s="54">
        <f>IFERROR(VLOOKUP($A:$A,CS!$A:$AK,22,FALSE),"")</f>
      </c>
      <c r="N505" s="54">
        <f>IFERROR(VLOOKUP($A:$A,CS!$A:$AK,19,FALSE),"")</f>
      </c>
      <c r="O505" s="54">
        <f>IFERROR(VLOOKUP($A:$A,CS!$A:$AK,23,FALSE),"")</f>
      </c>
      <c r="P505" s="54">
        <f>IFERROR(VLOOKUP($A:$A,CS!$A:$AK,24,FALSE),"")</f>
      </c>
      <c r="Q505" s="54">
        <f>IFERROR(VLOOKUP($A:$A,CS!$A:$AK,25,FALSE),"")</f>
      </c>
      <c r="R505" s="54">
        <f>IFERROR(VLOOKUP($A:$A,CS!$A:$AK,26,FALSE),"")</f>
      </c>
      <c r="S505" s="54">
        <f>IFERROR(VLOOKUP($A:$A,CS!$A:$AK,29,FALSE),"")</f>
      </c>
      <c r="T505" s="54">
        <f>IFERROR(VLOOKUP($A:$A,CS!$A:$AK,33,FALSE),"")</f>
      </c>
      <c r="U505" s="54">
        <f>IFERROR(VLOOKUP($A:$A,CS!$A:$AK,34,FALSE),"")</f>
      </c>
      <c r="V505" s="54">
        <f>IFERROR(VLOOKUP($A:$A,CS!$A:$AK,35,FALSE),"")</f>
      </c>
      <c r="W505" s="54">
        <f>IFERROR(VLOOKUP($A:$A,CS!$A:$AK,36,FALSE),"")</f>
      </c>
    </row>
    <row r="506" ht="16.5" customHeight="1" spans="1:23" x14ac:dyDescent="0.25">
      <c r="A506" s="68"/>
      <c r="B506" s="54">
        <f>IFERROR(VLOOKUP($A:$A,CS!$A:$AK,3,FALSE),"")</f>
      </c>
      <c r="C506" s="54">
        <f>IFERROR(VLOOKUP($A:$A,CS!$A:$AK,4,FALSE),"")</f>
      </c>
      <c r="D506" s="54">
        <f>IFERROR(VLOOKUP($A:$A,CS!$A:$AK,5,FALSE),"")</f>
      </c>
      <c r="E506" s="54">
        <f>IFERROR(VLOOKUP($A:$A,CS!$A:$AK,7,FALSE),"")</f>
      </c>
      <c r="F506" s="54">
        <f>IFERROR(VLOOKUP($A:$A,CS!$A:$AK,8,FALSE),"")</f>
      </c>
      <c r="G506" s="54">
        <f>IFERROR(VLOOKUP($A:$A,CS!$A:$AK,10,FALSE),"")</f>
      </c>
      <c r="H506" s="54">
        <f>IFERROR(VLOOKUP($A:$A,CS!$A:$AK,14,FALSE),"")</f>
      </c>
      <c r="I506" s="54">
        <f>IFERROR(VLOOKUP($A:$A,CS!$A:$AK,15,FALSE),"")</f>
      </c>
      <c r="J506" s="54">
        <f>IFERROR(VLOOKUP($A:$A,CS!$A:$AK,18,FALSE),"")</f>
      </c>
      <c r="K506" s="54">
        <f>IFERROR(VLOOKUP($A:$A,CS!$A:$AK,19,FALSE),"")</f>
      </c>
      <c r="L506" s="54">
        <f>IFERROR(VLOOKUP($A:$A,CS!$A:$AK,20,FALSE),"")</f>
      </c>
      <c r="M506" s="54">
        <f>IFERROR(VLOOKUP($A:$A,CS!$A:$AK,22,FALSE),"")</f>
      </c>
      <c r="N506" s="54">
        <f>IFERROR(VLOOKUP($A:$A,CS!$A:$AK,19,FALSE),"")</f>
      </c>
      <c r="O506" s="54">
        <f>IFERROR(VLOOKUP($A:$A,CS!$A:$AK,23,FALSE),"")</f>
      </c>
      <c r="P506" s="54">
        <f>IFERROR(VLOOKUP($A:$A,CS!$A:$AK,24,FALSE),"")</f>
      </c>
      <c r="Q506" s="54">
        <f>IFERROR(VLOOKUP($A:$A,CS!$A:$AK,25,FALSE),"")</f>
      </c>
      <c r="R506" s="54">
        <f>IFERROR(VLOOKUP($A:$A,CS!$A:$AK,26,FALSE),"")</f>
      </c>
      <c r="S506" s="54">
        <f>IFERROR(VLOOKUP($A:$A,CS!$A:$AK,29,FALSE),"")</f>
      </c>
      <c r="T506" s="54">
        <f>IFERROR(VLOOKUP($A:$A,CS!$A:$AK,33,FALSE),"")</f>
      </c>
      <c r="U506" s="54">
        <f>IFERROR(VLOOKUP($A:$A,CS!$A:$AK,34,FALSE),"")</f>
      </c>
      <c r="V506" s="54">
        <f>IFERROR(VLOOKUP($A:$A,CS!$A:$AK,35,FALSE),"")</f>
      </c>
      <c r="W506" s="54">
        <f>IFERROR(VLOOKUP($A:$A,CS!$A:$AK,36,FALSE),"")</f>
      </c>
    </row>
    <row r="507" ht="16.5" customHeight="1" spans="1:23" x14ac:dyDescent="0.25">
      <c r="A507" s="68"/>
      <c r="B507" s="54">
        <f>IFERROR(VLOOKUP($A:$A,CS!$A:$AK,3,FALSE),"")</f>
      </c>
      <c r="C507" s="54">
        <f>IFERROR(VLOOKUP($A:$A,CS!$A:$AK,4,FALSE),"")</f>
      </c>
      <c r="D507" s="54">
        <f>IFERROR(VLOOKUP($A:$A,CS!$A:$AK,5,FALSE),"")</f>
      </c>
      <c r="E507" s="54">
        <f>IFERROR(VLOOKUP($A:$A,CS!$A:$AK,7,FALSE),"")</f>
      </c>
      <c r="F507" s="54">
        <f>IFERROR(VLOOKUP($A:$A,CS!$A:$AK,8,FALSE),"")</f>
      </c>
      <c r="G507" s="54">
        <f>IFERROR(VLOOKUP($A:$A,CS!$A:$AK,10,FALSE),"")</f>
      </c>
      <c r="H507" s="54">
        <f>IFERROR(VLOOKUP($A:$A,CS!$A:$AK,14,FALSE),"")</f>
      </c>
      <c r="I507" s="54">
        <f>IFERROR(VLOOKUP($A:$A,CS!$A:$AK,15,FALSE),"")</f>
      </c>
      <c r="J507" s="54">
        <f>IFERROR(VLOOKUP($A:$A,CS!$A:$AK,18,FALSE),"")</f>
      </c>
      <c r="K507" s="54">
        <f>IFERROR(VLOOKUP($A:$A,CS!$A:$AK,19,FALSE),"")</f>
      </c>
      <c r="L507" s="54">
        <f>IFERROR(VLOOKUP($A:$A,CS!$A:$AK,20,FALSE),"")</f>
      </c>
      <c r="M507" s="54">
        <f>IFERROR(VLOOKUP($A:$A,CS!$A:$AK,22,FALSE),"")</f>
      </c>
      <c r="N507" s="54">
        <f>IFERROR(VLOOKUP($A:$A,CS!$A:$AK,19,FALSE),"")</f>
      </c>
      <c r="O507" s="54">
        <f>IFERROR(VLOOKUP($A:$A,CS!$A:$AK,23,FALSE),"")</f>
      </c>
      <c r="P507" s="54">
        <f>IFERROR(VLOOKUP($A:$A,CS!$A:$AK,24,FALSE),"")</f>
      </c>
      <c r="Q507" s="54">
        <f>IFERROR(VLOOKUP($A:$A,CS!$A:$AK,25,FALSE),"")</f>
      </c>
      <c r="R507" s="54">
        <f>IFERROR(VLOOKUP($A:$A,CS!$A:$AK,26,FALSE),"")</f>
      </c>
      <c r="S507" s="54">
        <f>IFERROR(VLOOKUP($A:$A,CS!$A:$AK,29,FALSE),"")</f>
      </c>
      <c r="T507" s="54">
        <f>IFERROR(VLOOKUP($A:$A,CS!$A:$AK,33,FALSE),"")</f>
      </c>
      <c r="U507" s="54">
        <f>IFERROR(VLOOKUP($A:$A,CS!$A:$AK,34,FALSE),"")</f>
      </c>
      <c r="V507" s="54">
        <f>IFERROR(VLOOKUP($A:$A,CS!$A:$AK,35,FALSE),"")</f>
      </c>
      <c r="W507" s="54">
        <f>IFERROR(VLOOKUP($A:$A,CS!$A:$AK,36,FALSE),"")</f>
      </c>
    </row>
    <row r="508" ht="16.5" customHeight="1" spans="1:23" x14ac:dyDescent="0.25">
      <c r="A508" s="68"/>
      <c r="B508" s="54">
        <f>IFERROR(VLOOKUP($A:$A,CS!$A:$AK,3,FALSE),"")</f>
      </c>
      <c r="C508" s="54">
        <f>IFERROR(VLOOKUP($A:$A,CS!$A:$AK,4,FALSE),"")</f>
      </c>
      <c r="D508" s="54">
        <f>IFERROR(VLOOKUP($A:$A,CS!$A:$AK,5,FALSE),"")</f>
      </c>
      <c r="E508" s="54">
        <f>IFERROR(VLOOKUP($A:$A,CS!$A:$AK,7,FALSE),"")</f>
      </c>
      <c r="F508" s="54">
        <f>IFERROR(VLOOKUP($A:$A,CS!$A:$AK,8,FALSE),"")</f>
      </c>
      <c r="G508" s="54">
        <f>IFERROR(VLOOKUP($A:$A,CS!$A:$AK,10,FALSE),"")</f>
      </c>
      <c r="H508" s="54">
        <f>IFERROR(VLOOKUP($A:$A,CS!$A:$AK,14,FALSE),"")</f>
      </c>
      <c r="I508" s="54">
        <f>IFERROR(VLOOKUP($A:$A,CS!$A:$AK,15,FALSE),"")</f>
      </c>
      <c r="J508" s="54">
        <f>IFERROR(VLOOKUP($A:$A,CS!$A:$AK,18,FALSE),"")</f>
      </c>
      <c r="K508" s="54">
        <f>IFERROR(VLOOKUP($A:$A,CS!$A:$AK,19,FALSE),"")</f>
      </c>
      <c r="L508" s="54">
        <f>IFERROR(VLOOKUP($A:$A,CS!$A:$AK,20,FALSE),"")</f>
      </c>
      <c r="M508" s="54">
        <f>IFERROR(VLOOKUP($A:$A,CS!$A:$AK,22,FALSE),"")</f>
      </c>
      <c r="N508" s="54">
        <f>IFERROR(VLOOKUP($A:$A,CS!$A:$AK,19,FALSE),"")</f>
      </c>
      <c r="O508" s="54">
        <f>IFERROR(VLOOKUP($A:$A,CS!$A:$AK,23,FALSE),"")</f>
      </c>
      <c r="P508" s="54">
        <f>IFERROR(VLOOKUP($A:$A,CS!$A:$AK,24,FALSE),"")</f>
      </c>
      <c r="Q508" s="54">
        <f>IFERROR(VLOOKUP($A:$A,CS!$A:$AK,25,FALSE),"")</f>
      </c>
      <c r="R508" s="54">
        <f>IFERROR(VLOOKUP($A:$A,CS!$A:$AK,26,FALSE),"")</f>
      </c>
      <c r="S508" s="54">
        <f>IFERROR(VLOOKUP($A:$A,CS!$A:$AK,29,FALSE),"")</f>
      </c>
      <c r="T508" s="54">
        <f>IFERROR(VLOOKUP($A:$A,CS!$A:$AK,33,FALSE),"")</f>
      </c>
      <c r="U508" s="54">
        <f>IFERROR(VLOOKUP($A:$A,CS!$A:$AK,34,FALSE),"")</f>
      </c>
      <c r="V508" s="54">
        <f>IFERROR(VLOOKUP($A:$A,CS!$A:$AK,35,FALSE),"")</f>
      </c>
      <c r="W508" s="54">
        <f>IFERROR(VLOOKUP($A:$A,CS!$A:$AK,36,FALSE),"")</f>
      </c>
    </row>
    <row r="509" ht="16.5" customHeight="1" spans="1:23" x14ac:dyDescent="0.25">
      <c r="A509" s="68"/>
      <c r="B509" s="54">
        <f>IFERROR(VLOOKUP($A:$A,CS!$A:$AK,3,FALSE),"")</f>
      </c>
      <c r="C509" s="54">
        <f>IFERROR(VLOOKUP($A:$A,CS!$A:$AK,4,FALSE),"")</f>
      </c>
      <c r="D509" s="54">
        <f>IFERROR(VLOOKUP($A:$A,CS!$A:$AK,5,FALSE),"")</f>
      </c>
      <c r="E509" s="54">
        <f>IFERROR(VLOOKUP($A:$A,CS!$A:$AK,7,FALSE),"")</f>
      </c>
      <c r="F509" s="54">
        <f>IFERROR(VLOOKUP($A:$A,CS!$A:$AK,8,FALSE),"")</f>
      </c>
      <c r="G509" s="54">
        <f>IFERROR(VLOOKUP($A:$A,CS!$A:$AK,10,FALSE),"")</f>
      </c>
      <c r="H509" s="54">
        <f>IFERROR(VLOOKUP($A:$A,CS!$A:$AK,14,FALSE),"")</f>
      </c>
      <c r="I509" s="54">
        <f>IFERROR(VLOOKUP($A:$A,CS!$A:$AK,15,FALSE),"")</f>
      </c>
      <c r="J509" s="54">
        <f>IFERROR(VLOOKUP($A:$A,CS!$A:$AK,18,FALSE),"")</f>
      </c>
      <c r="K509" s="54">
        <f>IFERROR(VLOOKUP($A:$A,CS!$A:$AK,19,FALSE),"")</f>
      </c>
      <c r="L509" s="54">
        <f>IFERROR(VLOOKUP($A:$A,CS!$A:$AK,20,FALSE),"")</f>
      </c>
      <c r="M509" s="54">
        <f>IFERROR(VLOOKUP($A:$A,CS!$A:$AK,22,FALSE),"")</f>
      </c>
      <c r="N509" s="54">
        <f>IFERROR(VLOOKUP($A:$A,CS!$A:$AK,19,FALSE),"")</f>
      </c>
      <c r="O509" s="54">
        <f>IFERROR(VLOOKUP($A:$A,CS!$A:$AK,23,FALSE),"")</f>
      </c>
      <c r="P509" s="54">
        <f>IFERROR(VLOOKUP($A:$A,CS!$A:$AK,24,FALSE),"")</f>
      </c>
      <c r="Q509" s="54">
        <f>IFERROR(VLOOKUP($A:$A,CS!$A:$AK,25,FALSE),"")</f>
      </c>
      <c r="R509" s="54">
        <f>IFERROR(VLOOKUP($A:$A,CS!$A:$AK,26,FALSE),"")</f>
      </c>
      <c r="S509" s="54">
        <f>IFERROR(VLOOKUP($A:$A,CS!$A:$AK,29,FALSE),"")</f>
      </c>
      <c r="T509" s="54">
        <f>IFERROR(VLOOKUP($A:$A,CS!$A:$AK,33,FALSE),"")</f>
      </c>
      <c r="U509" s="54">
        <f>IFERROR(VLOOKUP($A:$A,CS!$A:$AK,34,FALSE),"")</f>
      </c>
      <c r="V509" s="54">
        <f>IFERROR(VLOOKUP($A:$A,CS!$A:$AK,35,FALSE),"")</f>
      </c>
      <c r="W509" s="54">
        <f>IFERROR(VLOOKUP($A:$A,CS!$A:$AK,36,FALSE),"")</f>
      </c>
    </row>
    <row r="510" ht="16.5" customHeight="1" spans="1:23" x14ac:dyDescent="0.25">
      <c r="A510" s="68"/>
      <c r="B510" s="54">
        <f>IFERROR(VLOOKUP($A:$A,CS!$A:$AK,3,FALSE),"")</f>
      </c>
      <c r="C510" s="54">
        <f>IFERROR(VLOOKUP($A:$A,CS!$A:$AK,4,FALSE),"")</f>
      </c>
      <c r="D510" s="54">
        <f>IFERROR(VLOOKUP($A:$A,CS!$A:$AK,5,FALSE),"")</f>
      </c>
      <c r="E510" s="54">
        <f>IFERROR(VLOOKUP($A:$A,CS!$A:$AK,7,FALSE),"")</f>
      </c>
      <c r="F510" s="54">
        <f>IFERROR(VLOOKUP($A:$A,CS!$A:$AK,8,FALSE),"")</f>
      </c>
      <c r="G510" s="54">
        <f>IFERROR(VLOOKUP($A:$A,CS!$A:$AK,10,FALSE),"")</f>
      </c>
      <c r="H510" s="54">
        <f>IFERROR(VLOOKUP($A:$A,CS!$A:$AK,14,FALSE),"")</f>
      </c>
      <c r="I510" s="54">
        <f>IFERROR(VLOOKUP($A:$A,CS!$A:$AK,15,FALSE),"")</f>
      </c>
      <c r="J510" s="54">
        <f>IFERROR(VLOOKUP($A:$A,CS!$A:$AK,18,FALSE),"")</f>
      </c>
      <c r="K510" s="54">
        <f>IFERROR(VLOOKUP($A:$A,CS!$A:$AK,19,FALSE),"")</f>
      </c>
      <c r="L510" s="54">
        <f>IFERROR(VLOOKUP($A:$A,CS!$A:$AK,20,FALSE),"")</f>
      </c>
      <c r="M510" s="54">
        <f>IFERROR(VLOOKUP($A:$A,CS!$A:$AK,22,FALSE),"")</f>
      </c>
      <c r="N510" s="54">
        <f>IFERROR(VLOOKUP($A:$A,CS!$A:$AK,19,FALSE),"")</f>
      </c>
      <c r="O510" s="54">
        <f>IFERROR(VLOOKUP($A:$A,CS!$A:$AK,23,FALSE),"")</f>
      </c>
      <c r="P510" s="54">
        <f>IFERROR(VLOOKUP($A:$A,CS!$A:$AK,24,FALSE),"")</f>
      </c>
      <c r="Q510" s="54">
        <f>IFERROR(VLOOKUP($A:$A,CS!$A:$AK,25,FALSE),"")</f>
      </c>
      <c r="R510" s="54">
        <f>IFERROR(VLOOKUP($A:$A,CS!$A:$AK,26,FALSE),"")</f>
      </c>
      <c r="S510" s="54">
        <f>IFERROR(VLOOKUP($A:$A,CS!$A:$AK,29,FALSE),"")</f>
      </c>
      <c r="T510" s="54">
        <f>IFERROR(VLOOKUP($A:$A,CS!$A:$AK,33,FALSE),"")</f>
      </c>
      <c r="U510" s="54">
        <f>IFERROR(VLOOKUP($A:$A,CS!$A:$AK,34,FALSE),"")</f>
      </c>
      <c r="V510" s="54">
        <f>IFERROR(VLOOKUP($A:$A,CS!$A:$AK,35,FALSE),"")</f>
      </c>
      <c r="W510" s="54">
        <f>IFERROR(VLOOKUP($A:$A,CS!$A:$AK,36,FALSE),"")</f>
      </c>
    </row>
    <row r="511" ht="16.5" customHeight="1" spans="1:23" x14ac:dyDescent="0.25">
      <c r="A511" s="68"/>
      <c r="B511" s="54">
        <f>IFERROR(VLOOKUP($A:$A,CS!$A:$AK,3,FALSE),"")</f>
      </c>
      <c r="C511" s="54">
        <f>IFERROR(VLOOKUP($A:$A,CS!$A:$AK,4,FALSE),"")</f>
      </c>
      <c r="D511" s="54">
        <f>IFERROR(VLOOKUP($A:$A,CS!$A:$AK,5,FALSE),"")</f>
      </c>
      <c r="E511" s="54">
        <f>IFERROR(VLOOKUP($A:$A,CS!$A:$AK,7,FALSE),"")</f>
      </c>
      <c r="F511" s="54">
        <f>IFERROR(VLOOKUP($A:$A,CS!$A:$AK,8,FALSE),"")</f>
      </c>
      <c r="G511" s="54">
        <f>IFERROR(VLOOKUP($A:$A,CS!$A:$AK,10,FALSE),"")</f>
      </c>
      <c r="H511" s="54">
        <f>IFERROR(VLOOKUP($A:$A,CS!$A:$AK,14,FALSE),"")</f>
      </c>
      <c r="I511" s="54">
        <f>IFERROR(VLOOKUP($A:$A,CS!$A:$AK,15,FALSE),"")</f>
      </c>
      <c r="J511" s="54">
        <f>IFERROR(VLOOKUP($A:$A,CS!$A:$AK,18,FALSE),"")</f>
      </c>
      <c r="K511" s="54">
        <f>IFERROR(VLOOKUP($A:$A,CS!$A:$AK,19,FALSE),"")</f>
      </c>
      <c r="L511" s="54">
        <f>IFERROR(VLOOKUP($A:$A,CS!$A:$AK,20,FALSE),"")</f>
      </c>
      <c r="M511" s="54">
        <f>IFERROR(VLOOKUP($A:$A,CS!$A:$AK,22,FALSE),"")</f>
      </c>
      <c r="N511" s="54">
        <f>IFERROR(VLOOKUP($A:$A,CS!$A:$AK,19,FALSE),"")</f>
      </c>
      <c r="O511" s="54">
        <f>IFERROR(VLOOKUP($A:$A,CS!$A:$AK,23,FALSE),"")</f>
      </c>
      <c r="P511" s="54">
        <f>IFERROR(VLOOKUP($A:$A,CS!$A:$AK,24,FALSE),"")</f>
      </c>
      <c r="Q511" s="54">
        <f>IFERROR(VLOOKUP($A:$A,CS!$A:$AK,25,FALSE),"")</f>
      </c>
      <c r="R511" s="54">
        <f>IFERROR(VLOOKUP($A:$A,CS!$A:$AK,26,FALSE),"")</f>
      </c>
      <c r="S511" s="54">
        <f>IFERROR(VLOOKUP($A:$A,CS!$A:$AK,29,FALSE),"")</f>
      </c>
      <c r="T511" s="54">
        <f>IFERROR(VLOOKUP($A:$A,CS!$A:$AK,33,FALSE),"")</f>
      </c>
      <c r="U511" s="54">
        <f>IFERROR(VLOOKUP($A:$A,CS!$A:$AK,34,FALSE),"")</f>
      </c>
      <c r="V511" s="54">
        <f>IFERROR(VLOOKUP($A:$A,CS!$A:$AK,35,FALSE),"")</f>
      </c>
      <c r="W511" s="54">
        <f>IFERROR(VLOOKUP($A:$A,CS!$A:$AK,36,FALSE),"")</f>
      </c>
    </row>
    <row r="512" ht="16.5" customHeight="1" spans="1:23" x14ac:dyDescent="0.25">
      <c r="A512" s="68"/>
      <c r="B512" s="54">
        <f>IFERROR(VLOOKUP($A:$A,CS!$A:$AK,3,FALSE),"")</f>
      </c>
      <c r="C512" s="54">
        <f>IFERROR(VLOOKUP($A:$A,CS!$A:$AK,4,FALSE),"")</f>
      </c>
      <c r="D512" s="54">
        <f>IFERROR(VLOOKUP($A:$A,CS!$A:$AK,5,FALSE),"")</f>
      </c>
      <c r="E512" s="54">
        <f>IFERROR(VLOOKUP($A:$A,CS!$A:$AK,7,FALSE),"")</f>
      </c>
      <c r="F512" s="54">
        <f>IFERROR(VLOOKUP($A:$A,CS!$A:$AK,8,FALSE),"")</f>
      </c>
      <c r="G512" s="54">
        <f>IFERROR(VLOOKUP($A:$A,CS!$A:$AK,10,FALSE),"")</f>
      </c>
      <c r="H512" s="54">
        <f>IFERROR(VLOOKUP($A:$A,CS!$A:$AK,14,FALSE),"")</f>
      </c>
      <c r="I512" s="54">
        <f>IFERROR(VLOOKUP($A:$A,CS!$A:$AK,15,FALSE),"")</f>
      </c>
      <c r="J512" s="54">
        <f>IFERROR(VLOOKUP($A:$A,CS!$A:$AK,18,FALSE),"")</f>
      </c>
      <c r="K512" s="54">
        <f>IFERROR(VLOOKUP($A:$A,CS!$A:$AK,19,FALSE),"")</f>
      </c>
      <c r="L512" s="54">
        <f>IFERROR(VLOOKUP($A:$A,CS!$A:$AK,20,FALSE),"")</f>
      </c>
      <c r="M512" s="54">
        <f>IFERROR(VLOOKUP($A:$A,CS!$A:$AK,22,FALSE),"")</f>
      </c>
      <c r="N512" s="54">
        <f>IFERROR(VLOOKUP($A:$A,CS!$A:$AK,19,FALSE),"")</f>
      </c>
      <c r="O512" s="54">
        <f>IFERROR(VLOOKUP($A:$A,CS!$A:$AK,23,FALSE),"")</f>
      </c>
      <c r="P512" s="54">
        <f>IFERROR(VLOOKUP($A:$A,CS!$A:$AK,24,FALSE),"")</f>
      </c>
      <c r="Q512" s="54">
        <f>IFERROR(VLOOKUP($A:$A,CS!$A:$AK,25,FALSE),"")</f>
      </c>
      <c r="R512" s="54">
        <f>IFERROR(VLOOKUP($A:$A,CS!$A:$AK,26,FALSE),"")</f>
      </c>
      <c r="S512" s="54">
        <f>IFERROR(VLOOKUP($A:$A,CS!$A:$AK,29,FALSE),"")</f>
      </c>
      <c r="T512" s="54">
        <f>IFERROR(VLOOKUP($A:$A,CS!$A:$AK,33,FALSE),"")</f>
      </c>
      <c r="U512" s="54">
        <f>IFERROR(VLOOKUP($A:$A,CS!$A:$AK,34,FALSE),"")</f>
      </c>
      <c r="V512" s="54">
        <f>IFERROR(VLOOKUP($A:$A,CS!$A:$AK,35,FALSE),"")</f>
      </c>
      <c r="W512" s="54">
        <f>IFERROR(VLOOKUP($A:$A,CS!$A:$AK,36,FALSE),"")</f>
      </c>
    </row>
    <row r="513" ht="16.5" customHeight="1" spans="1:23" x14ac:dyDescent="0.25">
      <c r="A513" s="68"/>
      <c r="B513" s="54">
        <f>IFERROR(VLOOKUP($A:$A,CS!$A:$AK,3,FALSE),"")</f>
      </c>
      <c r="C513" s="54">
        <f>IFERROR(VLOOKUP($A:$A,CS!$A:$AK,4,FALSE),"")</f>
      </c>
      <c r="D513" s="54">
        <f>IFERROR(VLOOKUP($A:$A,CS!$A:$AK,5,FALSE),"")</f>
      </c>
      <c r="E513" s="54">
        <f>IFERROR(VLOOKUP($A:$A,CS!$A:$AK,7,FALSE),"")</f>
      </c>
      <c r="F513" s="54">
        <f>IFERROR(VLOOKUP($A:$A,CS!$A:$AK,8,FALSE),"")</f>
      </c>
      <c r="G513" s="54">
        <f>IFERROR(VLOOKUP($A:$A,CS!$A:$AK,10,FALSE),"")</f>
      </c>
      <c r="H513" s="54">
        <f>IFERROR(VLOOKUP($A:$A,CS!$A:$AK,14,FALSE),"")</f>
      </c>
      <c r="I513" s="54">
        <f>IFERROR(VLOOKUP($A:$A,CS!$A:$AK,15,FALSE),"")</f>
      </c>
      <c r="J513" s="54">
        <f>IFERROR(VLOOKUP($A:$A,CS!$A:$AK,18,FALSE),"")</f>
      </c>
      <c r="K513" s="54">
        <f>IFERROR(VLOOKUP($A:$A,CS!$A:$AK,19,FALSE),"")</f>
      </c>
      <c r="L513" s="54">
        <f>IFERROR(VLOOKUP($A:$A,CS!$A:$AK,20,FALSE),"")</f>
      </c>
      <c r="M513" s="54">
        <f>IFERROR(VLOOKUP($A:$A,CS!$A:$AK,22,FALSE),"")</f>
      </c>
      <c r="N513" s="54">
        <f>IFERROR(VLOOKUP($A:$A,CS!$A:$AK,19,FALSE),"")</f>
      </c>
      <c r="O513" s="54">
        <f>IFERROR(VLOOKUP($A:$A,CS!$A:$AK,23,FALSE),"")</f>
      </c>
      <c r="P513" s="54">
        <f>IFERROR(VLOOKUP($A:$A,CS!$A:$AK,24,FALSE),"")</f>
      </c>
      <c r="Q513" s="54">
        <f>IFERROR(VLOOKUP($A:$A,CS!$A:$AK,25,FALSE),"")</f>
      </c>
      <c r="R513" s="54">
        <f>IFERROR(VLOOKUP($A:$A,CS!$A:$AK,26,FALSE),"")</f>
      </c>
      <c r="S513" s="54">
        <f>IFERROR(VLOOKUP($A:$A,CS!$A:$AK,29,FALSE),"")</f>
      </c>
      <c r="T513" s="54">
        <f>IFERROR(VLOOKUP($A:$A,CS!$A:$AK,33,FALSE),"")</f>
      </c>
      <c r="U513" s="54">
        <f>IFERROR(VLOOKUP($A:$A,CS!$A:$AK,34,FALSE),"")</f>
      </c>
      <c r="V513" s="54">
        <f>IFERROR(VLOOKUP($A:$A,CS!$A:$AK,35,FALSE),"")</f>
      </c>
      <c r="W513" s="54">
        <f>IFERROR(VLOOKUP($A:$A,CS!$A:$AK,36,FALSE),"")</f>
      </c>
    </row>
    <row r="514" ht="16.5" customHeight="1" spans="1:23" x14ac:dyDescent="0.25">
      <c r="A514" s="68"/>
      <c r="B514" s="54">
        <f>IFERROR(VLOOKUP($A:$A,CS!$A:$AK,3,FALSE),"")</f>
      </c>
      <c r="C514" s="54">
        <f>IFERROR(VLOOKUP($A:$A,CS!$A:$AK,4,FALSE),"")</f>
      </c>
      <c r="D514" s="54">
        <f>IFERROR(VLOOKUP($A:$A,CS!$A:$AK,5,FALSE),"")</f>
      </c>
      <c r="E514" s="54">
        <f>IFERROR(VLOOKUP($A:$A,CS!$A:$AK,7,FALSE),"")</f>
      </c>
      <c r="F514" s="54">
        <f>IFERROR(VLOOKUP($A:$A,CS!$A:$AK,8,FALSE),"")</f>
      </c>
      <c r="G514" s="54">
        <f>IFERROR(VLOOKUP($A:$A,CS!$A:$AK,10,FALSE),"")</f>
      </c>
      <c r="H514" s="54">
        <f>IFERROR(VLOOKUP($A:$A,CS!$A:$AK,14,FALSE),"")</f>
      </c>
      <c r="I514" s="54">
        <f>IFERROR(VLOOKUP($A:$A,CS!$A:$AK,15,FALSE),"")</f>
      </c>
      <c r="J514" s="54">
        <f>IFERROR(VLOOKUP($A:$A,CS!$A:$AK,18,FALSE),"")</f>
      </c>
      <c r="K514" s="54">
        <f>IFERROR(VLOOKUP($A:$A,CS!$A:$AK,19,FALSE),"")</f>
      </c>
      <c r="L514" s="54">
        <f>IFERROR(VLOOKUP($A:$A,CS!$A:$AK,20,FALSE),"")</f>
      </c>
      <c r="M514" s="54">
        <f>IFERROR(VLOOKUP($A:$A,CS!$A:$AK,22,FALSE),"")</f>
      </c>
      <c r="N514" s="54">
        <f>IFERROR(VLOOKUP($A:$A,CS!$A:$AK,19,FALSE),"")</f>
      </c>
      <c r="O514" s="54">
        <f>IFERROR(VLOOKUP($A:$A,CS!$A:$AK,23,FALSE),"")</f>
      </c>
      <c r="P514" s="54">
        <f>IFERROR(VLOOKUP($A:$A,CS!$A:$AK,24,FALSE),"")</f>
      </c>
      <c r="Q514" s="54">
        <f>IFERROR(VLOOKUP($A:$A,CS!$A:$AK,25,FALSE),"")</f>
      </c>
      <c r="R514" s="54">
        <f>IFERROR(VLOOKUP($A:$A,CS!$A:$AK,26,FALSE),"")</f>
      </c>
      <c r="S514" s="54">
        <f>IFERROR(VLOOKUP($A:$A,CS!$A:$AK,29,FALSE),"")</f>
      </c>
      <c r="T514" s="54">
        <f>IFERROR(VLOOKUP($A:$A,CS!$A:$AK,33,FALSE),"")</f>
      </c>
      <c r="U514" s="54">
        <f>IFERROR(VLOOKUP($A:$A,CS!$A:$AK,34,FALSE),"")</f>
      </c>
      <c r="V514" s="54">
        <f>IFERROR(VLOOKUP($A:$A,CS!$A:$AK,35,FALSE),"")</f>
      </c>
      <c r="W514" s="54">
        <f>IFERROR(VLOOKUP($A:$A,CS!$A:$AK,36,FALSE),"")</f>
      </c>
    </row>
    <row r="515" ht="16.5" customHeight="1" spans="1:23" x14ac:dyDescent="0.25">
      <c r="A515" s="68"/>
      <c r="B515" s="54">
        <f>IFERROR(VLOOKUP($A:$A,CS!$A:$AK,3,FALSE),"")</f>
      </c>
      <c r="C515" s="54">
        <f>IFERROR(VLOOKUP($A:$A,CS!$A:$AK,4,FALSE),"")</f>
      </c>
      <c r="D515" s="54">
        <f>IFERROR(VLOOKUP($A:$A,CS!$A:$AK,5,FALSE),"")</f>
      </c>
      <c r="E515" s="54">
        <f>IFERROR(VLOOKUP($A:$A,CS!$A:$AK,7,FALSE),"")</f>
      </c>
      <c r="F515" s="54">
        <f>IFERROR(VLOOKUP($A:$A,CS!$A:$AK,8,FALSE),"")</f>
      </c>
      <c r="G515" s="54">
        <f>IFERROR(VLOOKUP($A:$A,CS!$A:$AK,10,FALSE),"")</f>
      </c>
      <c r="H515" s="54">
        <f>IFERROR(VLOOKUP($A:$A,CS!$A:$AK,14,FALSE),"")</f>
      </c>
      <c r="I515" s="54">
        <f>IFERROR(VLOOKUP($A:$A,CS!$A:$AK,15,FALSE),"")</f>
      </c>
      <c r="J515" s="54">
        <f>IFERROR(VLOOKUP($A:$A,CS!$A:$AK,18,FALSE),"")</f>
      </c>
      <c r="K515" s="54">
        <f>IFERROR(VLOOKUP($A:$A,CS!$A:$AK,19,FALSE),"")</f>
      </c>
      <c r="L515" s="54">
        <f>IFERROR(VLOOKUP($A:$A,CS!$A:$AK,20,FALSE),"")</f>
      </c>
      <c r="M515" s="54">
        <f>IFERROR(VLOOKUP($A:$A,CS!$A:$AK,22,FALSE),"")</f>
      </c>
      <c r="N515" s="54">
        <f>IFERROR(VLOOKUP($A:$A,CS!$A:$AK,19,FALSE),"")</f>
      </c>
      <c r="O515" s="54">
        <f>IFERROR(VLOOKUP($A:$A,CS!$A:$AK,23,FALSE),"")</f>
      </c>
      <c r="P515" s="54">
        <f>IFERROR(VLOOKUP($A:$A,CS!$A:$AK,24,FALSE),"")</f>
      </c>
      <c r="Q515" s="54">
        <f>IFERROR(VLOOKUP($A:$A,CS!$A:$AK,25,FALSE),"")</f>
      </c>
      <c r="R515" s="54">
        <f>IFERROR(VLOOKUP($A:$A,CS!$A:$AK,26,FALSE),"")</f>
      </c>
      <c r="S515" s="54">
        <f>IFERROR(VLOOKUP($A:$A,CS!$A:$AK,29,FALSE),"")</f>
      </c>
      <c r="T515" s="54">
        <f>IFERROR(VLOOKUP($A:$A,CS!$A:$AK,33,FALSE),"")</f>
      </c>
      <c r="U515" s="54">
        <f>IFERROR(VLOOKUP($A:$A,CS!$A:$AK,34,FALSE),"")</f>
      </c>
      <c r="V515" s="54">
        <f>IFERROR(VLOOKUP($A:$A,CS!$A:$AK,35,FALSE),"")</f>
      </c>
      <c r="W515" s="54">
        <f>IFERROR(VLOOKUP($A:$A,CS!$A:$AK,36,FALSE),"")</f>
      </c>
    </row>
    <row r="516" ht="16.5" customHeight="1" spans="1:23" x14ac:dyDescent="0.25">
      <c r="A516" s="68"/>
      <c r="B516" s="54">
        <f>IFERROR(VLOOKUP($A:$A,CS!$A:$AK,3,FALSE),"")</f>
      </c>
      <c r="C516" s="54">
        <f>IFERROR(VLOOKUP($A:$A,CS!$A:$AK,4,FALSE),"")</f>
      </c>
      <c r="D516" s="54">
        <f>IFERROR(VLOOKUP($A:$A,CS!$A:$AK,5,FALSE),"")</f>
      </c>
      <c r="E516" s="54">
        <f>IFERROR(VLOOKUP($A:$A,CS!$A:$AK,7,FALSE),"")</f>
      </c>
      <c r="F516" s="54">
        <f>IFERROR(VLOOKUP($A:$A,CS!$A:$AK,8,FALSE),"")</f>
      </c>
      <c r="G516" s="54">
        <f>IFERROR(VLOOKUP($A:$A,CS!$A:$AK,10,FALSE),"")</f>
      </c>
      <c r="H516" s="54">
        <f>IFERROR(VLOOKUP($A:$A,CS!$A:$AK,14,FALSE),"")</f>
      </c>
      <c r="I516" s="54">
        <f>IFERROR(VLOOKUP($A:$A,CS!$A:$AK,15,FALSE),"")</f>
      </c>
      <c r="J516" s="54">
        <f>IFERROR(VLOOKUP($A:$A,CS!$A:$AK,18,FALSE),"")</f>
      </c>
      <c r="K516" s="54">
        <f>IFERROR(VLOOKUP($A:$A,CS!$A:$AK,19,FALSE),"")</f>
      </c>
      <c r="L516" s="54">
        <f>IFERROR(VLOOKUP($A:$A,CS!$A:$AK,20,FALSE),"")</f>
      </c>
      <c r="M516" s="54">
        <f>IFERROR(VLOOKUP($A:$A,CS!$A:$AK,22,FALSE),"")</f>
      </c>
      <c r="N516" s="54">
        <f>IFERROR(VLOOKUP($A:$A,CS!$A:$AK,19,FALSE),"")</f>
      </c>
      <c r="O516" s="54">
        <f>IFERROR(VLOOKUP($A:$A,CS!$A:$AK,23,FALSE),"")</f>
      </c>
      <c r="P516" s="54">
        <f>IFERROR(VLOOKUP($A:$A,CS!$A:$AK,24,FALSE),"")</f>
      </c>
      <c r="Q516" s="54">
        <f>IFERROR(VLOOKUP($A:$A,CS!$A:$AK,25,FALSE),"")</f>
      </c>
      <c r="R516" s="54">
        <f>IFERROR(VLOOKUP($A:$A,CS!$A:$AK,26,FALSE),"")</f>
      </c>
      <c r="S516" s="54">
        <f>IFERROR(VLOOKUP($A:$A,CS!$A:$AK,29,FALSE),"")</f>
      </c>
      <c r="T516" s="54">
        <f>IFERROR(VLOOKUP($A:$A,CS!$A:$AK,33,FALSE),"")</f>
      </c>
      <c r="U516" s="54">
        <f>IFERROR(VLOOKUP($A:$A,CS!$A:$AK,34,FALSE),"")</f>
      </c>
      <c r="V516" s="54">
        <f>IFERROR(VLOOKUP($A:$A,CS!$A:$AK,35,FALSE),"")</f>
      </c>
      <c r="W516" s="54">
        <f>IFERROR(VLOOKUP($A:$A,CS!$A:$AK,36,FALSE),"")</f>
      </c>
    </row>
    <row r="517" ht="16.5" customHeight="1" spans="1:23" x14ac:dyDescent="0.25">
      <c r="A517" s="68"/>
      <c r="B517" s="54">
        <f>IFERROR(VLOOKUP($A:$A,CS!$A:$AK,3,FALSE),"")</f>
      </c>
      <c r="C517" s="54">
        <f>IFERROR(VLOOKUP($A:$A,CS!$A:$AK,4,FALSE),"")</f>
      </c>
      <c r="D517" s="54">
        <f>IFERROR(VLOOKUP($A:$A,CS!$A:$AK,5,FALSE),"")</f>
      </c>
      <c r="E517" s="54">
        <f>IFERROR(VLOOKUP($A:$A,CS!$A:$AK,7,FALSE),"")</f>
      </c>
      <c r="F517" s="54">
        <f>IFERROR(VLOOKUP($A:$A,CS!$A:$AK,8,FALSE),"")</f>
      </c>
      <c r="G517" s="54">
        <f>IFERROR(VLOOKUP($A:$A,CS!$A:$AK,10,FALSE),"")</f>
      </c>
      <c r="H517" s="54">
        <f>IFERROR(VLOOKUP($A:$A,CS!$A:$AK,14,FALSE),"")</f>
      </c>
      <c r="I517" s="54">
        <f>IFERROR(VLOOKUP($A:$A,CS!$A:$AK,15,FALSE),"")</f>
      </c>
      <c r="J517" s="54">
        <f>IFERROR(VLOOKUP($A:$A,CS!$A:$AK,18,FALSE),"")</f>
      </c>
      <c r="K517" s="54">
        <f>IFERROR(VLOOKUP($A:$A,CS!$A:$AK,19,FALSE),"")</f>
      </c>
      <c r="L517" s="54">
        <f>IFERROR(VLOOKUP($A:$A,CS!$A:$AK,20,FALSE),"")</f>
      </c>
      <c r="M517" s="54">
        <f>IFERROR(VLOOKUP($A:$A,CS!$A:$AK,22,FALSE),"")</f>
      </c>
      <c r="N517" s="54">
        <f>IFERROR(VLOOKUP($A:$A,CS!$A:$AK,19,FALSE),"")</f>
      </c>
      <c r="O517" s="54">
        <f>IFERROR(VLOOKUP($A:$A,CS!$A:$AK,23,FALSE),"")</f>
      </c>
      <c r="P517" s="54">
        <f>IFERROR(VLOOKUP($A:$A,CS!$A:$AK,24,FALSE),"")</f>
      </c>
      <c r="Q517" s="54">
        <f>IFERROR(VLOOKUP($A:$A,CS!$A:$AK,25,FALSE),"")</f>
      </c>
      <c r="R517" s="54">
        <f>IFERROR(VLOOKUP($A:$A,CS!$A:$AK,26,FALSE),"")</f>
      </c>
      <c r="S517" s="54">
        <f>IFERROR(VLOOKUP($A:$A,CS!$A:$AK,29,FALSE),"")</f>
      </c>
      <c r="T517" s="54">
        <f>IFERROR(VLOOKUP($A:$A,CS!$A:$AK,33,FALSE),"")</f>
      </c>
      <c r="U517" s="54">
        <f>IFERROR(VLOOKUP($A:$A,CS!$A:$AK,34,FALSE),"")</f>
      </c>
      <c r="V517" s="54">
        <f>IFERROR(VLOOKUP($A:$A,CS!$A:$AK,35,FALSE),"")</f>
      </c>
      <c r="W517" s="54">
        <f>IFERROR(VLOOKUP($A:$A,CS!$A:$AK,36,FALSE),"")</f>
      </c>
    </row>
    <row r="518" ht="16.5" customHeight="1" spans="1:23" x14ac:dyDescent="0.25">
      <c r="A518" s="68"/>
      <c r="B518" s="54">
        <f>IFERROR(VLOOKUP($A:$A,CS!$A:$AK,3,FALSE),"")</f>
      </c>
      <c r="C518" s="54">
        <f>IFERROR(VLOOKUP($A:$A,CS!$A:$AK,4,FALSE),"")</f>
      </c>
      <c r="D518" s="54">
        <f>IFERROR(VLOOKUP($A:$A,CS!$A:$AK,5,FALSE),"")</f>
      </c>
      <c r="E518" s="54">
        <f>IFERROR(VLOOKUP($A:$A,CS!$A:$AK,7,FALSE),"")</f>
      </c>
      <c r="F518" s="54">
        <f>IFERROR(VLOOKUP($A:$A,CS!$A:$AK,8,FALSE),"")</f>
      </c>
      <c r="G518" s="54">
        <f>IFERROR(VLOOKUP($A:$A,CS!$A:$AK,10,FALSE),"")</f>
      </c>
      <c r="H518" s="54">
        <f>IFERROR(VLOOKUP($A:$A,CS!$A:$AK,14,FALSE),"")</f>
      </c>
      <c r="I518" s="54">
        <f>IFERROR(VLOOKUP($A:$A,CS!$A:$AK,15,FALSE),"")</f>
      </c>
      <c r="J518" s="54">
        <f>IFERROR(VLOOKUP($A:$A,CS!$A:$AK,18,FALSE),"")</f>
      </c>
      <c r="K518" s="54">
        <f>IFERROR(VLOOKUP($A:$A,CS!$A:$AK,19,FALSE),"")</f>
      </c>
      <c r="L518" s="54">
        <f>IFERROR(VLOOKUP($A:$A,CS!$A:$AK,20,FALSE),"")</f>
      </c>
      <c r="M518" s="54">
        <f>IFERROR(VLOOKUP($A:$A,CS!$A:$AK,22,FALSE),"")</f>
      </c>
      <c r="N518" s="54">
        <f>IFERROR(VLOOKUP($A:$A,CS!$A:$AK,19,FALSE),"")</f>
      </c>
      <c r="O518" s="54">
        <f>IFERROR(VLOOKUP($A:$A,CS!$A:$AK,23,FALSE),"")</f>
      </c>
      <c r="P518" s="54">
        <f>IFERROR(VLOOKUP($A:$A,CS!$A:$AK,24,FALSE),"")</f>
      </c>
      <c r="Q518" s="54">
        <f>IFERROR(VLOOKUP($A:$A,CS!$A:$AK,25,FALSE),"")</f>
      </c>
      <c r="R518" s="54">
        <f>IFERROR(VLOOKUP($A:$A,CS!$A:$AK,26,FALSE),"")</f>
      </c>
      <c r="S518" s="54">
        <f>IFERROR(VLOOKUP($A:$A,CS!$A:$AK,29,FALSE),"")</f>
      </c>
      <c r="T518" s="54">
        <f>IFERROR(VLOOKUP($A:$A,CS!$A:$AK,33,FALSE),"")</f>
      </c>
      <c r="U518" s="54">
        <f>IFERROR(VLOOKUP($A:$A,CS!$A:$AK,34,FALSE),"")</f>
      </c>
      <c r="V518" s="54">
        <f>IFERROR(VLOOKUP($A:$A,CS!$A:$AK,35,FALSE),"")</f>
      </c>
      <c r="W518" s="54">
        <f>IFERROR(VLOOKUP($A:$A,CS!$A:$AK,36,FALSE),"")</f>
      </c>
    </row>
    <row r="519" ht="16.5" customHeight="1" spans="1:23" x14ac:dyDescent="0.25">
      <c r="A519" s="68"/>
      <c r="B519" s="54">
        <f>IFERROR(VLOOKUP($A:$A,CS!$A:$AK,3,FALSE),"")</f>
      </c>
      <c r="C519" s="54">
        <f>IFERROR(VLOOKUP($A:$A,CS!$A:$AK,4,FALSE),"")</f>
      </c>
      <c r="D519" s="54">
        <f>IFERROR(VLOOKUP($A:$A,CS!$A:$AK,5,FALSE),"")</f>
      </c>
      <c r="E519" s="54">
        <f>IFERROR(VLOOKUP($A:$A,CS!$A:$AK,7,FALSE),"")</f>
      </c>
      <c r="F519" s="54">
        <f>IFERROR(VLOOKUP($A:$A,CS!$A:$AK,8,FALSE),"")</f>
      </c>
      <c r="G519" s="54">
        <f>IFERROR(VLOOKUP($A:$A,CS!$A:$AK,10,FALSE),"")</f>
      </c>
      <c r="H519" s="54">
        <f>IFERROR(VLOOKUP($A:$A,CS!$A:$AK,14,FALSE),"")</f>
      </c>
      <c r="I519" s="54">
        <f>IFERROR(VLOOKUP($A:$A,CS!$A:$AK,15,FALSE),"")</f>
      </c>
      <c r="J519" s="54">
        <f>IFERROR(VLOOKUP($A:$A,CS!$A:$AK,18,FALSE),"")</f>
      </c>
      <c r="K519" s="54">
        <f>IFERROR(VLOOKUP($A:$A,CS!$A:$AK,19,FALSE),"")</f>
      </c>
      <c r="L519" s="54">
        <f>IFERROR(VLOOKUP($A:$A,CS!$A:$AK,20,FALSE),"")</f>
      </c>
      <c r="M519" s="54">
        <f>IFERROR(VLOOKUP($A:$A,CS!$A:$AK,22,FALSE),"")</f>
      </c>
      <c r="N519" s="54">
        <f>IFERROR(VLOOKUP($A:$A,CS!$A:$AK,19,FALSE),"")</f>
      </c>
      <c r="O519" s="54">
        <f>IFERROR(VLOOKUP($A:$A,CS!$A:$AK,23,FALSE),"")</f>
      </c>
      <c r="P519" s="54">
        <f>IFERROR(VLOOKUP($A:$A,CS!$A:$AK,24,FALSE),"")</f>
      </c>
      <c r="Q519" s="54">
        <f>IFERROR(VLOOKUP($A:$A,CS!$A:$AK,25,FALSE),"")</f>
      </c>
      <c r="R519" s="54">
        <f>IFERROR(VLOOKUP($A:$A,CS!$A:$AK,26,FALSE),"")</f>
      </c>
      <c r="S519" s="54">
        <f>IFERROR(VLOOKUP($A:$A,CS!$A:$AK,29,FALSE),"")</f>
      </c>
      <c r="T519" s="54">
        <f>IFERROR(VLOOKUP($A:$A,CS!$A:$AK,33,FALSE),"")</f>
      </c>
      <c r="U519" s="54">
        <f>IFERROR(VLOOKUP($A:$A,CS!$A:$AK,34,FALSE),"")</f>
      </c>
      <c r="V519" s="54">
        <f>IFERROR(VLOOKUP($A:$A,CS!$A:$AK,35,FALSE),"")</f>
      </c>
      <c r="W519" s="54">
        <f>IFERROR(VLOOKUP($A:$A,CS!$A:$AK,36,FALSE),"")</f>
      </c>
    </row>
    <row r="520" ht="16.5" customHeight="1" spans="1:23" x14ac:dyDescent="0.25">
      <c r="A520" s="68"/>
      <c r="B520" s="54">
        <f>IFERROR(VLOOKUP($A:$A,CS!$A:$AK,3,FALSE),"")</f>
      </c>
      <c r="C520" s="54">
        <f>IFERROR(VLOOKUP($A:$A,CS!$A:$AK,4,FALSE),"")</f>
      </c>
      <c r="D520" s="54">
        <f>IFERROR(VLOOKUP($A:$A,CS!$A:$AK,5,FALSE),"")</f>
      </c>
      <c r="E520" s="54">
        <f>IFERROR(VLOOKUP($A:$A,CS!$A:$AK,7,FALSE),"")</f>
      </c>
      <c r="F520" s="54">
        <f>IFERROR(VLOOKUP($A:$A,CS!$A:$AK,8,FALSE),"")</f>
      </c>
      <c r="G520" s="54">
        <f>IFERROR(VLOOKUP($A:$A,CS!$A:$AK,10,FALSE),"")</f>
      </c>
      <c r="H520" s="54">
        <f>IFERROR(VLOOKUP($A:$A,CS!$A:$AK,14,FALSE),"")</f>
      </c>
      <c r="I520" s="54">
        <f>IFERROR(VLOOKUP($A:$A,CS!$A:$AK,15,FALSE),"")</f>
      </c>
      <c r="J520" s="54">
        <f>IFERROR(VLOOKUP($A:$A,CS!$A:$AK,18,FALSE),"")</f>
      </c>
      <c r="K520" s="54">
        <f>IFERROR(VLOOKUP($A:$A,CS!$A:$AK,19,FALSE),"")</f>
      </c>
      <c r="L520" s="54">
        <f>IFERROR(VLOOKUP($A:$A,CS!$A:$AK,20,FALSE),"")</f>
      </c>
      <c r="M520" s="54">
        <f>IFERROR(VLOOKUP($A:$A,CS!$A:$AK,22,FALSE),"")</f>
      </c>
      <c r="N520" s="54">
        <f>IFERROR(VLOOKUP($A:$A,CS!$A:$AK,19,FALSE),"")</f>
      </c>
      <c r="O520" s="54">
        <f>IFERROR(VLOOKUP($A:$A,CS!$A:$AK,23,FALSE),"")</f>
      </c>
      <c r="P520" s="54">
        <f>IFERROR(VLOOKUP($A:$A,CS!$A:$AK,24,FALSE),"")</f>
      </c>
      <c r="Q520" s="54">
        <f>IFERROR(VLOOKUP($A:$A,CS!$A:$AK,25,FALSE),"")</f>
      </c>
      <c r="R520" s="54">
        <f>IFERROR(VLOOKUP($A:$A,CS!$A:$AK,26,FALSE),"")</f>
      </c>
      <c r="S520" s="54">
        <f>IFERROR(VLOOKUP($A:$A,CS!$A:$AK,29,FALSE),"")</f>
      </c>
      <c r="T520" s="54">
        <f>IFERROR(VLOOKUP($A:$A,CS!$A:$AK,33,FALSE),"")</f>
      </c>
      <c r="U520" s="54">
        <f>IFERROR(VLOOKUP($A:$A,CS!$A:$AK,34,FALSE),"")</f>
      </c>
      <c r="V520" s="54">
        <f>IFERROR(VLOOKUP($A:$A,CS!$A:$AK,35,FALSE),"")</f>
      </c>
      <c r="W520" s="54">
        <f>IFERROR(VLOOKUP($A:$A,CS!$A:$AK,36,FALSE),"")</f>
      </c>
    </row>
    <row r="521" ht="16.5" customHeight="1" spans="1:23" x14ac:dyDescent="0.25">
      <c r="A521" s="68"/>
      <c r="B521" s="54">
        <f>IFERROR(VLOOKUP($A:$A,CS!$A:$AK,3,FALSE),"")</f>
      </c>
      <c r="C521" s="54">
        <f>IFERROR(VLOOKUP($A:$A,CS!$A:$AK,4,FALSE),"")</f>
      </c>
      <c r="D521" s="54">
        <f>IFERROR(VLOOKUP($A:$A,CS!$A:$AK,5,FALSE),"")</f>
      </c>
      <c r="E521" s="54">
        <f>IFERROR(VLOOKUP($A:$A,CS!$A:$AK,7,FALSE),"")</f>
      </c>
      <c r="F521" s="54">
        <f>IFERROR(VLOOKUP($A:$A,CS!$A:$AK,8,FALSE),"")</f>
      </c>
      <c r="G521" s="54">
        <f>IFERROR(VLOOKUP($A:$A,CS!$A:$AK,10,FALSE),"")</f>
      </c>
      <c r="H521" s="54">
        <f>IFERROR(VLOOKUP($A:$A,CS!$A:$AK,14,FALSE),"")</f>
      </c>
      <c r="I521" s="54">
        <f>IFERROR(VLOOKUP($A:$A,CS!$A:$AK,15,FALSE),"")</f>
      </c>
      <c r="J521" s="54">
        <f>IFERROR(VLOOKUP($A:$A,CS!$A:$AK,18,FALSE),"")</f>
      </c>
      <c r="K521" s="54">
        <f>IFERROR(VLOOKUP($A:$A,CS!$A:$AK,19,FALSE),"")</f>
      </c>
      <c r="L521" s="54">
        <f>IFERROR(VLOOKUP($A:$A,CS!$A:$AK,20,FALSE),"")</f>
      </c>
      <c r="M521" s="54">
        <f>IFERROR(VLOOKUP($A:$A,CS!$A:$AK,22,FALSE),"")</f>
      </c>
      <c r="N521" s="54">
        <f>IFERROR(VLOOKUP($A:$A,CS!$A:$AK,19,FALSE),"")</f>
      </c>
      <c r="O521" s="54">
        <f>IFERROR(VLOOKUP($A:$A,CS!$A:$AK,23,FALSE),"")</f>
      </c>
      <c r="P521" s="54">
        <f>IFERROR(VLOOKUP($A:$A,CS!$A:$AK,24,FALSE),"")</f>
      </c>
      <c r="Q521" s="54">
        <f>IFERROR(VLOOKUP($A:$A,CS!$A:$AK,25,FALSE),"")</f>
      </c>
      <c r="R521" s="54">
        <f>IFERROR(VLOOKUP($A:$A,CS!$A:$AK,26,FALSE),"")</f>
      </c>
      <c r="S521" s="54">
        <f>IFERROR(VLOOKUP($A:$A,CS!$A:$AK,29,FALSE),"")</f>
      </c>
      <c r="T521" s="54">
        <f>IFERROR(VLOOKUP($A:$A,CS!$A:$AK,33,FALSE),"")</f>
      </c>
      <c r="U521" s="54">
        <f>IFERROR(VLOOKUP($A:$A,CS!$A:$AK,34,FALSE),"")</f>
      </c>
      <c r="V521" s="54">
        <f>IFERROR(VLOOKUP($A:$A,CS!$A:$AK,35,FALSE),"")</f>
      </c>
      <c r="W521" s="54">
        <f>IFERROR(VLOOKUP($A:$A,CS!$A:$AK,36,FALSE),"")</f>
      </c>
    </row>
    <row r="522" ht="16.5" customHeight="1" spans="1:23" x14ac:dyDescent="0.25">
      <c r="A522" s="68"/>
      <c r="B522" s="54">
        <f>IFERROR(VLOOKUP($A:$A,CS!$A:$AK,3,FALSE),"")</f>
      </c>
      <c r="C522" s="54">
        <f>IFERROR(VLOOKUP($A:$A,CS!$A:$AK,4,FALSE),"")</f>
      </c>
      <c r="D522" s="54">
        <f>IFERROR(VLOOKUP($A:$A,CS!$A:$AK,5,FALSE),"")</f>
      </c>
      <c r="E522" s="54">
        <f>IFERROR(VLOOKUP($A:$A,CS!$A:$AK,7,FALSE),"")</f>
      </c>
      <c r="F522" s="54">
        <f>IFERROR(VLOOKUP($A:$A,CS!$A:$AK,8,FALSE),"")</f>
      </c>
      <c r="G522" s="54">
        <f>IFERROR(VLOOKUP($A:$A,CS!$A:$AK,10,FALSE),"")</f>
      </c>
      <c r="H522" s="54">
        <f>IFERROR(VLOOKUP($A:$A,CS!$A:$AK,14,FALSE),"")</f>
      </c>
      <c r="I522" s="54">
        <f>IFERROR(VLOOKUP($A:$A,CS!$A:$AK,15,FALSE),"")</f>
      </c>
      <c r="J522" s="54">
        <f>IFERROR(VLOOKUP($A:$A,CS!$A:$AK,18,FALSE),"")</f>
      </c>
      <c r="K522" s="54">
        <f>IFERROR(VLOOKUP($A:$A,CS!$A:$AK,19,FALSE),"")</f>
      </c>
      <c r="L522" s="54">
        <f>IFERROR(VLOOKUP($A:$A,CS!$A:$AK,20,FALSE),"")</f>
      </c>
      <c r="M522" s="54">
        <f>IFERROR(VLOOKUP($A:$A,CS!$A:$AK,22,FALSE),"")</f>
      </c>
      <c r="N522" s="54">
        <f>IFERROR(VLOOKUP($A:$A,CS!$A:$AK,19,FALSE),"")</f>
      </c>
      <c r="O522" s="54">
        <f>IFERROR(VLOOKUP($A:$A,CS!$A:$AK,23,FALSE),"")</f>
      </c>
      <c r="P522" s="54">
        <f>IFERROR(VLOOKUP($A:$A,CS!$A:$AK,24,FALSE),"")</f>
      </c>
      <c r="Q522" s="54">
        <f>IFERROR(VLOOKUP($A:$A,CS!$A:$AK,25,FALSE),"")</f>
      </c>
      <c r="R522" s="54">
        <f>IFERROR(VLOOKUP($A:$A,CS!$A:$AK,26,FALSE),"")</f>
      </c>
      <c r="S522" s="54">
        <f>IFERROR(VLOOKUP($A:$A,CS!$A:$AK,29,FALSE),"")</f>
      </c>
      <c r="T522" s="54">
        <f>IFERROR(VLOOKUP($A:$A,CS!$A:$AK,33,FALSE),"")</f>
      </c>
      <c r="U522" s="54">
        <f>IFERROR(VLOOKUP($A:$A,CS!$A:$AK,34,FALSE),"")</f>
      </c>
      <c r="V522" s="54">
        <f>IFERROR(VLOOKUP($A:$A,CS!$A:$AK,35,FALSE),"")</f>
      </c>
      <c r="W522" s="54">
        <f>IFERROR(VLOOKUP($A:$A,CS!$A:$AK,36,FALSE),"")</f>
      </c>
    </row>
    <row r="523" ht="16.5" customHeight="1" spans="1:23" x14ac:dyDescent="0.25">
      <c r="A523" s="68"/>
      <c r="B523" s="54">
        <f>IFERROR(VLOOKUP($A:$A,CS!$A:$AK,3,FALSE),"")</f>
      </c>
      <c r="C523" s="54">
        <f>IFERROR(VLOOKUP($A:$A,CS!$A:$AK,4,FALSE),"")</f>
      </c>
      <c r="D523" s="54">
        <f>IFERROR(VLOOKUP($A:$A,CS!$A:$AK,5,FALSE),"")</f>
      </c>
      <c r="E523" s="54">
        <f>IFERROR(VLOOKUP($A:$A,CS!$A:$AK,7,FALSE),"")</f>
      </c>
      <c r="F523" s="54">
        <f>IFERROR(VLOOKUP($A:$A,CS!$A:$AK,8,FALSE),"")</f>
      </c>
      <c r="G523" s="54">
        <f>IFERROR(VLOOKUP($A:$A,CS!$A:$AK,10,FALSE),"")</f>
      </c>
      <c r="H523" s="54">
        <f>IFERROR(VLOOKUP($A:$A,CS!$A:$AK,14,FALSE),"")</f>
      </c>
      <c r="I523" s="54">
        <f>IFERROR(VLOOKUP($A:$A,CS!$A:$AK,15,FALSE),"")</f>
      </c>
      <c r="J523" s="54">
        <f>IFERROR(VLOOKUP($A:$A,CS!$A:$AK,18,FALSE),"")</f>
      </c>
      <c r="K523" s="54">
        <f>IFERROR(VLOOKUP($A:$A,CS!$A:$AK,19,FALSE),"")</f>
      </c>
      <c r="L523" s="54">
        <f>IFERROR(VLOOKUP($A:$A,CS!$A:$AK,20,FALSE),"")</f>
      </c>
      <c r="M523" s="54">
        <f>IFERROR(VLOOKUP($A:$A,CS!$A:$AK,22,FALSE),"")</f>
      </c>
      <c r="N523" s="54">
        <f>IFERROR(VLOOKUP($A:$A,CS!$A:$AK,19,FALSE),"")</f>
      </c>
      <c r="O523" s="54">
        <f>IFERROR(VLOOKUP($A:$A,CS!$A:$AK,23,FALSE),"")</f>
      </c>
      <c r="P523" s="54">
        <f>IFERROR(VLOOKUP($A:$A,CS!$A:$AK,24,FALSE),"")</f>
      </c>
      <c r="Q523" s="54">
        <f>IFERROR(VLOOKUP($A:$A,CS!$A:$AK,25,FALSE),"")</f>
      </c>
      <c r="R523" s="54">
        <f>IFERROR(VLOOKUP($A:$A,CS!$A:$AK,26,FALSE),"")</f>
      </c>
      <c r="S523" s="54">
        <f>IFERROR(VLOOKUP($A:$A,CS!$A:$AK,29,FALSE),"")</f>
      </c>
      <c r="T523" s="54">
        <f>IFERROR(VLOOKUP($A:$A,CS!$A:$AK,33,FALSE),"")</f>
      </c>
      <c r="U523" s="54">
        <f>IFERROR(VLOOKUP($A:$A,CS!$A:$AK,34,FALSE),"")</f>
      </c>
      <c r="V523" s="54">
        <f>IFERROR(VLOOKUP($A:$A,CS!$A:$AK,35,FALSE),"")</f>
      </c>
      <c r="W523" s="54">
        <f>IFERROR(VLOOKUP($A:$A,CS!$A:$AK,36,FALSE),"")</f>
      </c>
    </row>
    <row r="524" ht="16.5" customHeight="1" spans="1:23" x14ac:dyDescent="0.25">
      <c r="A524" s="68"/>
      <c r="B524" s="54">
        <f>IFERROR(VLOOKUP($A:$A,CS!$A:$AK,3,FALSE),"")</f>
      </c>
      <c r="C524" s="54">
        <f>IFERROR(VLOOKUP($A:$A,CS!$A:$AK,4,FALSE),"")</f>
      </c>
      <c r="D524" s="54">
        <f>IFERROR(VLOOKUP($A:$A,CS!$A:$AK,5,FALSE),"")</f>
      </c>
      <c r="E524" s="54">
        <f>IFERROR(VLOOKUP($A:$A,CS!$A:$AK,7,FALSE),"")</f>
      </c>
      <c r="F524" s="54">
        <f>IFERROR(VLOOKUP($A:$A,CS!$A:$AK,8,FALSE),"")</f>
      </c>
      <c r="G524" s="54">
        <f>IFERROR(VLOOKUP($A:$A,CS!$A:$AK,10,FALSE),"")</f>
      </c>
      <c r="H524" s="54">
        <f>IFERROR(VLOOKUP($A:$A,CS!$A:$AK,14,FALSE),"")</f>
      </c>
      <c r="I524" s="54">
        <f>IFERROR(VLOOKUP($A:$A,CS!$A:$AK,15,FALSE),"")</f>
      </c>
      <c r="J524" s="54">
        <f>IFERROR(VLOOKUP($A:$A,CS!$A:$AK,18,FALSE),"")</f>
      </c>
      <c r="K524" s="54">
        <f>IFERROR(VLOOKUP($A:$A,CS!$A:$AK,19,FALSE),"")</f>
      </c>
      <c r="L524" s="54">
        <f>IFERROR(VLOOKUP($A:$A,CS!$A:$AK,20,FALSE),"")</f>
      </c>
      <c r="M524" s="54">
        <f>IFERROR(VLOOKUP($A:$A,CS!$A:$AK,22,FALSE),"")</f>
      </c>
      <c r="N524" s="54">
        <f>IFERROR(VLOOKUP($A:$A,CS!$A:$AK,19,FALSE),"")</f>
      </c>
      <c r="O524" s="54">
        <f>IFERROR(VLOOKUP($A:$A,CS!$A:$AK,23,FALSE),"")</f>
      </c>
      <c r="P524" s="54">
        <f>IFERROR(VLOOKUP($A:$A,CS!$A:$AK,24,FALSE),"")</f>
      </c>
      <c r="Q524" s="54">
        <f>IFERROR(VLOOKUP($A:$A,CS!$A:$AK,25,FALSE),"")</f>
      </c>
      <c r="R524" s="54">
        <f>IFERROR(VLOOKUP($A:$A,CS!$A:$AK,26,FALSE),"")</f>
      </c>
      <c r="S524" s="54">
        <f>IFERROR(VLOOKUP($A:$A,CS!$A:$AK,29,FALSE),"")</f>
      </c>
      <c r="T524" s="54">
        <f>IFERROR(VLOOKUP($A:$A,CS!$A:$AK,33,FALSE),"")</f>
      </c>
      <c r="U524" s="54">
        <f>IFERROR(VLOOKUP($A:$A,CS!$A:$AK,34,FALSE),"")</f>
      </c>
      <c r="V524" s="54">
        <f>IFERROR(VLOOKUP($A:$A,CS!$A:$AK,35,FALSE),"")</f>
      </c>
      <c r="W524" s="54">
        <f>IFERROR(VLOOKUP($A:$A,CS!$A:$AK,36,FALSE),"")</f>
      </c>
    </row>
    <row r="525" ht="16.5" customHeight="1" spans="1:23" x14ac:dyDescent="0.25">
      <c r="A525" s="68"/>
      <c r="B525" s="54">
        <f>IFERROR(VLOOKUP($A:$A,CS!$A:$AK,3,FALSE),"")</f>
      </c>
      <c r="C525" s="54">
        <f>IFERROR(VLOOKUP($A:$A,CS!$A:$AK,4,FALSE),"")</f>
      </c>
      <c r="D525" s="54">
        <f>IFERROR(VLOOKUP($A:$A,CS!$A:$AK,5,FALSE),"")</f>
      </c>
      <c r="E525" s="54">
        <f>IFERROR(VLOOKUP($A:$A,CS!$A:$AK,7,FALSE),"")</f>
      </c>
      <c r="F525" s="54">
        <f>IFERROR(VLOOKUP($A:$A,CS!$A:$AK,8,FALSE),"")</f>
      </c>
      <c r="G525" s="54">
        <f>IFERROR(VLOOKUP($A:$A,CS!$A:$AK,10,FALSE),"")</f>
      </c>
      <c r="H525" s="54">
        <f>IFERROR(VLOOKUP($A:$A,CS!$A:$AK,14,FALSE),"")</f>
      </c>
      <c r="I525" s="54">
        <f>IFERROR(VLOOKUP($A:$A,CS!$A:$AK,15,FALSE),"")</f>
      </c>
      <c r="J525" s="54">
        <f>IFERROR(VLOOKUP($A:$A,CS!$A:$AK,18,FALSE),"")</f>
      </c>
      <c r="K525" s="54">
        <f>IFERROR(VLOOKUP($A:$A,CS!$A:$AK,19,FALSE),"")</f>
      </c>
      <c r="L525" s="54">
        <f>IFERROR(VLOOKUP($A:$A,CS!$A:$AK,20,FALSE),"")</f>
      </c>
      <c r="M525" s="54">
        <f>IFERROR(VLOOKUP($A:$A,CS!$A:$AK,22,FALSE),"")</f>
      </c>
      <c r="N525" s="54">
        <f>IFERROR(VLOOKUP($A:$A,CS!$A:$AK,19,FALSE),"")</f>
      </c>
      <c r="O525" s="54">
        <f>IFERROR(VLOOKUP($A:$A,CS!$A:$AK,23,FALSE),"")</f>
      </c>
      <c r="P525" s="54">
        <f>IFERROR(VLOOKUP($A:$A,CS!$A:$AK,24,FALSE),"")</f>
      </c>
      <c r="Q525" s="54">
        <f>IFERROR(VLOOKUP($A:$A,CS!$A:$AK,25,FALSE),"")</f>
      </c>
      <c r="R525" s="54">
        <f>IFERROR(VLOOKUP($A:$A,CS!$A:$AK,26,FALSE),"")</f>
      </c>
      <c r="S525" s="54">
        <f>IFERROR(VLOOKUP($A:$A,CS!$A:$AK,29,FALSE),"")</f>
      </c>
      <c r="T525" s="54">
        <f>IFERROR(VLOOKUP($A:$A,CS!$A:$AK,33,FALSE),"")</f>
      </c>
      <c r="U525" s="54">
        <f>IFERROR(VLOOKUP($A:$A,CS!$A:$AK,34,FALSE),"")</f>
      </c>
      <c r="V525" s="54">
        <f>IFERROR(VLOOKUP($A:$A,CS!$A:$AK,35,FALSE),"")</f>
      </c>
      <c r="W525" s="54">
        <f>IFERROR(VLOOKUP($A:$A,CS!$A:$AK,36,FALSE),"")</f>
      </c>
    </row>
    <row r="526" ht="16.5" customHeight="1" spans="1:23" x14ac:dyDescent="0.25">
      <c r="A526" s="68"/>
      <c r="B526" s="54">
        <f>IFERROR(VLOOKUP($A:$A,CS!$A:$AK,3,FALSE),"")</f>
      </c>
      <c r="C526" s="54">
        <f>IFERROR(VLOOKUP($A:$A,CS!$A:$AK,4,FALSE),"")</f>
      </c>
      <c r="D526" s="54">
        <f>IFERROR(VLOOKUP($A:$A,CS!$A:$AK,5,FALSE),"")</f>
      </c>
      <c r="E526" s="54">
        <f>IFERROR(VLOOKUP($A:$A,CS!$A:$AK,7,FALSE),"")</f>
      </c>
      <c r="F526" s="54">
        <f>IFERROR(VLOOKUP($A:$A,CS!$A:$AK,8,FALSE),"")</f>
      </c>
      <c r="G526" s="54">
        <f>IFERROR(VLOOKUP($A:$A,CS!$A:$AK,10,FALSE),"")</f>
      </c>
      <c r="H526" s="54">
        <f>IFERROR(VLOOKUP($A:$A,CS!$A:$AK,14,FALSE),"")</f>
      </c>
      <c r="I526" s="54">
        <f>IFERROR(VLOOKUP($A:$A,CS!$A:$AK,15,FALSE),"")</f>
      </c>
      <c r="J526" s="54">
        <f>IFERROR(VLOOKUP($A:$A,CS!$A:$AK,18,FALSE),"")</f>
      </c>
      <c r="K526" s="54">
        <f>IFERROR(VLOOKUP($A:$A,CS!$A:$AK,19,FALSE),"")</f>
      </c>
      <c r="L526" s="54">
        <f>IFERROR(VLOOKUP($A:$A,CS!$A:$AK,20,FALSE),"")</f>
      </c>
      <c r="M526" s="54">
        <f>IFERROR(VLOOKUP($A:$A,CS!$A:$AK,22,FALSE),"")</f>
      </c>
      <c r="N526" s="54">
        <f>IFERROR(VLOOKUP($A:$A,CS!$A:$AK,19,FALSE),"")</f>
      </c>
      <c r="O526" s="54">
        <f>IFERROR(VLOOKUP($A:$A,CS!$A:$AK,23,FALSE),"")</f>
      </c>
      <c r="P526" s="54">
        <f>IFERROR(VLOOKUP($A:$A,CS!$A:$AK,24,FALSE),"")</f>
      </c>
      <c r="Q526" s="54">
        <f>IFERROR(VLOOKUP($A:$A,CS!$A:$AK,25,FALSE),"")</f>
      </c>
      <c r="R526" s="54">
        <f>IFERROR(VLOOKUP($A:$A,CS!$A:$AK,26,FALSE),"")</f>
      </c>
      <c r="S526" s="54">
        <f>IFERROR(VLOOKUP($A:$A,CS!$A:$AK,29,FALSE),"")</f>
      </c>
      <c r="T526" s="54">
        <f>IFERROR(VLOOKUP($A:$A,CS!$A:$AK,33,FALSE),"")</f>
      </c>
      <c r="U526" s="54">
        <f>IFERROR(VLOOKUP($A:$A,CS!$A:$AK,34,FALSE),"")</f>
      </c>
      <c r="V526" s="54">
        <f>IFERROR(VLOOKUP($A:$A,CS!$A:$AK,35,FALSE),"")</f>
      </c>
      <c r="W526" s="54">
        <f>IFERROR(VLOOKUP($A:$A,CS!$A:$AK,36,FALSE),"")</f>
      </c>
    </row>
    <row r="527" ht="16.5" customHeight="1" spans="1:23" x14ac:dyDescent="0.25">
      <c r="A527" s="68"/>
      <c r="B527" s="54">
        <f>IFERROR(VLOOKUP($A:$A,CS!$A:$AK,3,FALSE),"")</f>
      </c>
      <c r="C527" s="54">
        <f>IFERROR(VLOOKUP($A:$A,CS!$A:$AK,4,FALSE),"")</f>
      </c>
      <c r="D527" s="54">
        <f>IFERROR(VLOOKUP($A:$A,CS!$A:$AK,5,FALSE),"")</f>
      </c>
      <c r="E527" s="54">
        <f>IFERROR(VLOOKUP($A:$A,CS!$A:$AK,7,FALSE),"")</f>
      </c>
      <c r="F527" s="54">
        <f>IFERROR(VLOOKUP($A:$A,CS!$A:$AK,8,FALSE),"")</f>
      </c>
      <c r="G527" s="54">
        <f>IFERROR(VLOOKUP($A:$A,CS!$A:$AK,10,FALSE),"")</f>
      </c>
      <c r="H527" s="54">
        <f>IFERROR(VLOOKUP($A:$A,CS!$A:$AK,14,FALSE),"")</f>
      </c>
      <c r="I527" s="54">
        <f>IFERROR(VLOOKUP($A:$A,CS!$A:$AK,15,FALSE),"")</f>
      </c>
      <c r="J527" s="54">
        <f>IFERROR(VLOOKUP($A:$A,CS!$A:$AK,18,FALSE),"")</f>
      </c>
      <c r="K527" s="54">
        <f>IFERROR(VLOOKUP($A:$A,CS!$A:$AK,19,FALSE),"")</f>
      </c>
      <c r="L527" s="54">
        <f>IFERROR(VLOOKUP($A:$A,CS!$A:$AK,20,FALSE),"")</f>
      </c>
      <c r="M527" s="54">
        <f>IFERROR(VLOOKUP($A:$A,CS!$A:$AK,22,FALSE),"")</f>
      </c>
      <c r="N527" s="54">
        <f>IFERROR(VLOOKUP($A:$A,CS!$A:$AK,19,FALSE),"")</f>
      </c>
      <c r="O527" s="54">
        <f>IFERROR(VLOOKUP($A:$A,CS!$A:$AK,23,FALSE),"")</f>
      </c>
      <c r="P527" s="54">
        <f>IFERROR(VLOOKUP($A:$A,CS!$A:$AK,24,FALSE),"")</f>
      </c>
      <c r="Q527" s="54">
        <f>IFERROR(VLOOKUP($A:$A,CS!$A:$AK,25,FALSE),"")</f>
      </c>
      <c r="R527" s="54">
        <f>IFERROR(VLOOKUP($A:$A,CS!$A:$AK,26,FALSE),"")</f>
      </c>
      <c r="S527" s="54">
        <f>IFERROR(VLOOKUP($A:$A,CS!$A:$AK,29,FALSE),"")</f>
      </c>
      <c r="T527" s="54">
        <f>IFERROR(VLOOKUP($A:$A,CS!$A:$AK,33,FALSE),"")</f>
      </c>
      <c r="U527" s="54">
        <f>IFERROR(VLOOKUP($A:$A,CS!$A:$AK,34,FALSE),"")</f>
      </c>
      <c r="V527" s="54">
        <f>IFERROR(VLOOKUP($A:$A,CS!$A:$AK,35,FALSE),"")</f>
      </c>
      <c r="W527" s="54">
        <f>IFERROR(VLOOKUP($A:$A,CS!$A:$AK,36,FALSE),"")</f>
      </c>
    </row>
    <row r="528" ht="16.5" customHeight="1" spans="1:23" x14ac:dyDescent="0.25">
      <c r="A528" s="68"/>
      <c r="B528" s="54">
        <f>IFERROR(VLOOKUP($A:$A,CS!$A:$AK,3,FALSE),"")</f>
      </c>
      <c r="C528" s="54">
        <f>IFERROR(VLOOKUP($A:$A,CS!$A:$AK,4,FALSE),"")</f>
      </c>
      <c r="D528" s="54">
        <f>IFERROR(VLOOKUP($A:$A,CS!$A:$AK,5,FALSE),"")</f>
      </c>
      <c r="E528" s="54">
        <f>IFERROR(VLOOKUP($A:$A,CS!$A:$AK,7,FALSE),"")</f>
      </c>
      <c r="F528" s="54">
        <f>IFERROR(VLOOKUP($A:$A,CS!$A:$AK,8,FALSE),"")</f>
      </c>
      <c r="G528" s="54">
        <f>IFERROR(VLOOKUP($A:$A,CS!$A:$AK,10,FALSE),"")</f>
      </c>
      <c r="H528" s="54">
        <f>IFERROR(VLOOKUP($A:$A,CS!$A:$AK,14,FALSE),"")</f>
      </c>
      <c r="I528" s="54">
        <f>IFERROR(VLOOKUP($A:$A,CS!$A:$AK,15,FALSE),"")</f>
      </c>
      <c r="J528" s="54">
        <f>IFERROR(VLOOKUP($A:$A,CS!$A:$AK,18,FALSE),"")</f>
      </c>
      <c r="K528" s="54">
        <f>IFERROR(VLOOKUP($A:$A,CS!$A:$AK,19,FALSE),"")</f>
      </c>
      <c r="L528" s="54">
        <f>IFERROR(VLOOKUP($A:$A,CS!$A:$AK,20,FALSE),"")</f>
      </c>
      <c r="M528" s="54">
        <f>IFERROR(VLOOKUP($A:$A,CS!$A:$AK,22,FALSE),"")</f>
      </c>
      <c r="N528" s="54">
        <f>IFERROR(VLOOKUP($A:$A,CS!$A:$AK,19,FALSE),"")</f>
      </c>
      <c r="O528" s="54">
        <f>IFERROR(VLOOKUP($A:$A,CS!$A:$AK,23,FALSE),"")</f>
      </c>
      <c r="P528" s="54">
        <f>IFERROR(VLOOKUP($A:$A,CS!$A:$AK,24,FALSE),"")</f>
      </c>
      <c r="Q528" s="54">
        <f>IFERROR(VLOOKUP($A:$A,CS!$A:$AK,25,FALSE),"")</f>
      </c>
      <c r="R528" s="54">
        <f>IFERROR(VLOOKUP($A:$A,CS!$A:$AK,26,FALSE),"")</f>
      </c>
      <c r="S528" s="54">
        <f>IFERROR(VLOOKUP($A:$A,CS!$A:$AK,29,FALSE),"")</f>
      </c>
      <c r="T528" s="54">
        <f>IFERROR(VLOOKUP($A:$A,CS!$A:$AK,33,FALSE),"")</f>
      </c>
      <c r="U528" s="54">
        <f>IFERROR(VLOOKUP($A:$A,CS!$A:$AK,34,FALSE),"")</f>
      </c>
      <c r="V528" s="54">
        <f>IFERROR(VLOOKUP($A:$A,CS!$A:$AK,35,FALSE),"")</f>
      </c>
      <c r="W528" s="54">
        <f>IFERROR(VLOOKUP($A:$A,CS!$A:$AK,36,FALSE),"")</f>
      </c>
    </row>
    <row r="529" ht="16.5" customHeight="1" spans="1:23" x14ac:dyDescent="0.25">
      <c r="A529" s="68"/>
      <c r="B529" s="54">
        <f>IFERROR(VLOOKUP($A:$A,CS!$A:$AK,3,FALSE),"")</f>
      </c>
      <c r="C529" s="54">
        <f>IFERROR(VLOOKUP($A:$A,CS!$A:$AK,4,FALSE),"")</f>
      </c>
      <c r="D529" s="54">
        <f>IFERROR(VLOOKUP($A:$A,CS!$A:$AK,5,FALSE),"")</f>
      </c>
      <c r="E529" s="54">
        <f>IFERROR(VLOOKUP($A:$A,CS!$A:$AK,7,FALSE),"")</f>
      </c>
      <c r="F529" s="54">
        <f>IFERROR(VLOOKUP($A:$A,CS!$A:$AK,8,FALSE),"")</f>
      </c>
      <c r="G529" s="54">
        <f>IFERROR(VLOOKUP($A:$A,CS!$A:$AK,10,FALSE),"")</f>
      </c>
      <c r="H529" s="54">
        <f>IFERROR(VLOOKUP($A:$A,CS!$A:$AK,14,FALSE),"")</f>
      </c>
      <c r="I529" s="54">
        <f>IFERROR(VLOOKUP($A:$A,CS!$A:$AK,15,FALSE),"")</f>
      </c>
      <c r="J529" s="54">
        <f>IFERROR(VLOOKUP($A:$A,CS!$A:$AK,18,FALSE),"")</f>
      </c>
      <c r="K529" s="54">
        <f>IFERROR(VLOOKUP($A:$A,CS!$A:$AK,19,FALSE),"")</f>
      </c>
      <c r="L529" s="54">
        <f>IFERROR(VLOOKUP($A:$A,CS!$A:$AK,20,FALSE),"")</f>
      </c>
      <c r="M529" s="54">
        <f>IFERROR(VLOOKUP($A:$A,CS!$A:$AK,22,FALSE),"")</f>
      </c>
      <c r="N529" s="54">
        <f>IFERROR(VLOOKUP($A:$A,CS!$A:$AK,19,FALSE),"")</f>
      </c>
      <c r="O529" s="54">
        <f>IFERROR(VLOOKUP($A:$A,CS!$A:$AK,23,FALSE),"")</f>
      </c>
      <c r="P529" s="54">
        <f>IFERROR(VLOOKUP($A:$A,CS!$A:$AK,24,FALSE),"")</f>
      </c>
      <c r="Q529" s="54">
        <f>IFERROR(VLOOKUP($A:$A,CS!$A:$AK,25,FALSE),"")</f>
      </c>
      <c r="R529" s="54">
        <f>IFERROR(VLOOKUP($A:$A,CS!$A:$AK,26,FALSE),"")</f>
      </c>
      <c r="S529" s="54">
        <f>IFERROR(VLOOKUP($A:$A,CS!$A:$AK,29,FALSE),"")</f>
      </c>
      <c r="T529" s="54">
        <f>IFERROR(VLOOKUP($A:$A,CS!$A:$AK,33,FALSE),"")</f>
      </c>
      <c r="U529" s="54">
        <f>IFERROR(VLOOKUP($A:$A,CS!$A:$AK,34,FALSE),"")</f>
      </c>
      <c r="V529" s="54">
        <f>IFERROR(VLOOKUP($A:$A,CS!$A:$AK,35,FALSE),"")</f>
      </c>
      <c r="W529" s="54">
        <f>IFERROR(VLOOKUP($A:$A,CS!$A:$AK,36,FALSE),"")</f>
      </c>
    </row>
    <row r="530" ht="16.5" customHeight="1" spans="1:23" x14ac:dyDescent="0.25">
      <c r="A530" s="68"/>
      <c r="B530" s="54">
        <f>IFERROR(VLOOKUP($A:$A,CS!$A:$AK,3,FALSE),"")</f>
      </c>
      <c r="C530" s="54">
        <f>IFERROR(VLOOKUP($A:$A,CS!$A:$AK,4,FALSE),"")</f>
      </c>
      <c r="D530" s="54">
        <f>IFERROR(VLOOKUP($A:$A,CS!$A:$AK,5,FALSE),"")</f>
      </c>
      <c r="E530" s="54">
        <f>IFERROR(VLOOKUP($A:$A,CS!$A:$AK,7,FALSE),"")</f>
      </c>
      <c r="F530" s="54">
        <f>IFERROR(VLOOKUP($A:$A,CS!$A:$AK,8,FALSE),"")</f>
      </c>
      <c r="G530" s="54">
        <f>IFERROR(VLOOKUP($A:$A,CS!$A:$AK,10,FALSE),"")</f>
      </c>
      <c r="H530" s="54">
        <f>IFERROR(VLOOKUP($A:$A,CS!$A:$AK,14,FALSE),"")</f>
      </c>
      <c r="I530" s="54">
        <f>IFERROR(VLOOKUP($A:$A,CS!$A:$AK,15,FALSE),"")</f>
      </c>
      <c r="J530" s="54">
        <f>IFERROR(VLOOKUP($A:$A,CS!$A:$AK,18,FALSE),"")</f>
      </c>
      <c r="K530" s="54">
        <f>IFERROR(VLOOKUP($A:$A,CS!$A:$AK,19,FALSE),"")</f>
      </c>
      <c r="L530" s="54">
        <f>IFERROR(VLOOKUP($A:$A,CS!$A:$AK,20,FALSE),"")</f>
      </c>
      <c r="M530" s="54">
        <f>IFERROR(VLOOKUP($A:$A,CS!$A:$AK,22,FALSE),"")</f>
      </c>
      <c r="N530" s="54">
        <f>IFERROR(VLOOKUP($A:$A,CS!$A:$AK,19,FALSE),"")</f>
      </c>
      <c r="O530" s="54">
        <f>IFERROR(VLOOKUP($A:$A,CS!$A:$AK,23,FALSE),"")</f>
      </c>
      <c r="P530" s="54">
        <f>IFERROR(VLOOKUP($A:$A,CS!$A:$AK,24,FALSE),"")</f>
      </c>
      <c r="Q530" s="54">
        <f>IFERROR(VLOOKUP($A:$A,CS!$A:$AK,25,FALSE),"")</f>
      </c>
      <c r="R530" s="54">
        <f>IFERROR(VLOOKUP($A:$A,CS!$A:$AK,26,FALSE),"")</f>
      </c>
      <c r="S530" s="54">
        <f>IFERROR(VLOOKUP($A:$A,CS!$A:$AK,29,FALSE),"")</f>
      </c>
      <c r="T530" s="54">
        <f>IFERROR(VLOOKUP($A:$A,CS!$A:$AK,33,FALSE),"")</f>
      </c>
      <c r="U530" s="54">
        <f>IFERROR(VLOOKUP($A:$A,CS!$A:$AK,34,FALSE),"")</f>
      </c>
      <c r="V530" s="54">
        <f>IFERROR(VLOOKUP($A:$A,CS!$A:$AK,35,FALSE),"")</f>
      </c>
      <c r="W530" s="54">
        <f>IFERROR(VLOOKUP($A:$A,CS!$A:$AK,36,FALSE),"")</f>
      </c>
    </row>
    <row r="531" ht="16.5" customHeight="1" spans="1:23" x14ac:dyDescent="0.25">
      <c r="A531" s="68"/>
      <c r="B531" s="54">
        <f>IFERROR(VLOOKUP($A:$A,CS!$A:$AK,3,FALSE),"")</f>
      </c>
      <c r="C531" s="54">
        <f>IFERROR(VLOOKUP($A:$A,CS!$A:$AK,4,FALSE),"")</f>
      </c>
      <c r="D531" s="54">
        <f>IFERROR(VLOOKUP($A:$A,CS!$A:$AK,5,FALSE),"")</f>
      </c>
      <c r="E531" s="54">
        <f>IFERROR(VLOOKUP($A:$A,CS!$A:$AK,7,FALSE),"")</f>
      </c>
      <c r="F531" s="54">
        <f>IFERROR(VLOOKUP($A:$A,CS!$A:$AK,8,FALSE),"")</f>
      </c>
      <c r="G531" s="54">
        <f>IFERROR(VLOOKUP($A:$A,CS!$A:$AK,10,FALSE),"")</f>
      </c>
      <c r="H531" s="54">
        <f>IFERROR(VLOOKUP($A:$A,CS!$A:$AK,14,FALSE),"")</f>
      </c>
      <c r="I531" s="54">
        <f>IFERROR(VLOOKUP($A:$A,CS!$A:$AK,15,FALSE),"")</f>
      </c>
      <c r="J531" s="54">
        <f>IFERROR(VLOOKUP($A:$A,CS!$A:$AK,18,FALSE),"")</f>
      </c>
      <c r="K531" s="54">
        <f>IFERROR(VLOOKUP($A:$A,CS!$A:$AK,19,FALSE),"")</f>
      </c>
      <c r="L531" s="54">
        <f>IFERROR(VLOOKUP($A:$A,CS!$A:$AK,20,FALSE),"")</f>
      </c>
      <c r="M531" s="54">
        <f>IFERROR(VLOOKUP($A:$A,CS!$A:$AK,22,FALSE),"")</f>
      </c>
      <c r="N531" s="54">
        <f>IFERROR(VLOOKUP($A:$A,CS!$A:$AK,19,FALSE),"")</f>
      </c>
      <c r="O531" s="54">
        <f>IFERROR(VLOOKUP($A:$A,CS!$A:$AK,23,FALSE),"")</f>
      </c>
      <c r="P531" s="54">
        <f>IFERROR(VLOOKUP($A:$A,CS!$A:$AK,24,FALSE),"")</f>
      </c>
      <c r="Q531" s="54">
        <f>IFERROR(VLOOKUP($A:$A,CS!$A:$AK,25,FALSE),"")</f>
      </c>
      <c r="R531" s="54">
        <f>IFERROR(VLOOKUP($A:$A,CS!$A:$AK,26,FALSE),"")</f>
      </c>
      <c r="S531" s="54">
        <f>IFERROR(VLOOKUP($A:$A,CS!$A:$AK,29,FALSE),"")</f>
      </c>
      <c r="T531" s="54">
        <f>IFERROR(VLOOKUP($A:$A,CS!$A:$AK,33,FALSE),"")</f>
      </c>
      <c r="U531" s="54">
        <f>IFERROR(VLOOKUP($A:$A,CS!$A:$AK,34,FALSE),"")</f>
      </c>
      <c r="V531" s="54">
        <f>IFERROR(VLOOKUP($A:$A,CS!$A:$AK,35,FALSE),"")</f>
      </c>
      <c r="W531" s="54">
        <f>IFERROR(VLOOKUP($A:$A,CS!$A:$AK,36,FALSE),"")</f>
      </c>
    </row>
    <row r="532" ht="16.5" customHeight="1" spans="1:23" x14ac:dyDescent="0.25">
      <c r="A532" s="68"/>
      <c r="B532" s="54">
        <f>IFERROR(VLOOKUP($A:$A,CS!$A:$AK,3,FALSE),"")</f>
      </c>
      <c r="C532" s="54">
        <f>IFERROR(VLOOKUP($A:$A,CS!$A:$AK,4,FALSE),"")</f>
      </c>
      <c r="D532" s="54">
        <f>IFERROR(VLOOKUP($A:$A,CS!$A:$AK,5,FALSE),"")</f>
      </c>
      <c r="E532" s="54">
        <f>IFERROR(VLOOKUP($A:$A,CS!$A:$AK,7,FALSE),"")</f>
      </c>
      <c r="F532" s="54">
        <f>IFERROR(VLOOKUP($A:$A,CS!$A:$AK,8,FALSE),"")</f>
      </c>
      <c r="G532" s="54">
        <f>IFERROR(VLOOKUP($A:$A,CS!$A:$AK,10,FALSE),"")</f>
      </c>
      <c r="H532" s="54">
        <f>IFERROR(VLOOKUP($A:$A,CS!$A:$AK,14,FALSE),"")</f>
      </c>
      <c r="I532" s="54">
        <f>IFERROR(VLOOKUP($A:$A,CS!$A:$AK,15,FALSE),"")</f>
      </c>
      <c r="J532" s="54">
        <f>IFERROR(VLOOKUP($A:$A,CS!$A:$AK,18,FALSE),"")</f>
      </c>
      <c r="K532" s="54">
        <f>IFERROR(VLOOKUP($A:$A,CS!$A:$AK,19,FALSE),"")</f>
      </c>
      <c r="L532" s="54">
        <f>IFERROR(VLOOKUP($A:$A,CS!$A:$AK,20,FALSE),"")</f>
      </c>
      <c r="M532" s="54">
        <f>IFERROR(VLOOKUP($A:$A,CS!$A:$AK,22,FALSE),"")</f>
      </c>
      <c r="N532" s="54">
        <f>IFERROR(VLOOKUP($A:$A,CS!$A:$AK,19,FALSE),"")</f>
      </c>
      <c r="O532" s="54">
        <f>IFERROR(VLOOKUP($A:$A,CS!$A:$AK,23,FALSE),"")</f>
      </c>
      <c r="P532" s="54">
        <f>IFERROR(VLOOKUP($A:$A,CS!$A:$AK,24,FALSE),"")</f>
      </c>
      <c r="Q532" s="54">
        <f>IFERROR(VLOOKUP($A:$A,CS!$A:$AK,25,FALSE),"")</f>
      </c>
      <c r="R532" s="54">
        <f>IFERROR(VLOOKUP($A:$A,CS!$A:$AK,26,FALSE),"")</f>
      </c>
      <c r="S532" s="54">
        <f>IFERROR(VLOOKUP($A:$A,CS!$A:$AK,29,FALSE),"")</f>
      </c>
      <c r="T532" s="54">
        <f>IFERROR(VLOOKUP($A:$A,CS!$A:$AK,33,FALSE),"")</f>
      </c>
      <c r="U532" s="54">
        <f>IFERROR(VLOOKUP($A:$A,CS!$A:$AK,34,FALSE),"")</f>
      </c>
      <c r="V532" s="54">
        <f>IFERROR(VLOOKUP($A:$A,CS!$A:$AK,35,FALSE),"")</f>
      </c>
      <c r="W532" s="54">
        <f>IFERROR(VLOOKUP($A:$A,CS!$A:$AK,36,FALSE),"")</f>
      </c>
    </row>
    <row r="533" ht="16.5" customHeight="1" spans="1:23" x14ac:dyDescent="0.25">
      <c r="A533" s="68"/>
      <c r="B533" s="54">
        <f>IFERROR(VLOOKUP($A:$A,CS!$A:$AK,3,FALSE),"")</f>
      </c>
      <c r="C533" s="54">
        <f>IFERROR(VLOOKUP($A:$A,CS!$A:$AK,4,FALSE),"")</f>
      </c>
      <c r="D533" s="54">
        <f>IFERROR(VLOOKUP($A:$A,CS!$A:$AK,5,FALSE),"")</f>
      </c>
      <c r="E533" s="54">
        <f>IFERROR(VLOOKUP($A:$A,CS!$A:$AK,7,FALSE),"")</f>
      </c>
      <c r="F533" s="54">
        <f>IFERROR(VLOOKUP($A:$A,CS!$A:$AK,8,FALSE),"")</f>
      </c>
      <c r="G533" s="54">
        <f>IFERROR(VLOOKUP($A:$A,CS!$A:$AK,10,FALSE),"")</f>
      </c>
      <c r="H533" s="54">
        <f>IFERROR(VLOOKUP($A:$A,CS!$A:$AK,14,FALSE),"")</f>
      </c>
      <c r="I533" s="54">
        <f>IFERROR(VLOOKUP($A:$A,CS!$A:$AK,15,FALSE),"")</f>
      </c>
      <c r="J533" s="54">
        <f>IFERROR(VLOOKUP($A:$A,CS!$A:$AK,18,FALSE),"")</f>
      </c>
      <c r="K533" s="54">
        <f>IFERROR(VLOOKUP($A:$A,CS!$A:$AK,19,FALSE),"")</f>
      </c>
      <c r="L533" s="54">
        <f>IFERROR(VLOOKUP($A:$A,CS!$A:$AK,20,FALSE),"")</f>
      </c>
      <c r="M533" s="54">
        <f>IFERROR(VLOOKUP($A:$A,CS!$A:$AK,22,FALSE),"")</f>
      </c>
      <c r="N533" s="54">
        <f>IFERROR(VLOOKUP($A:$A,CS!$A:$AK,19,FALSE),"")</f>
      </c>
      <c r="O533" s="54">
        <f>IFERROR(VLOOKUP($A:$A,CS!$A:$AK,23,FALSE),"")</f>
      </c>
      <c r="P533" s="54">
        <f>IFERROR(VLOOKUP($A:$A,CS!$A:$AK,24,FALSE),"")</f>
      </c>
      <c r="Q533" s="54">
        <f>IFERROR(VLOOKUP($A:$A,CS!$A:$AK,25,FALSE),"")</f>
      </c>
      <c r="R533" s="54">
        <f>IFERROR(VLOOKUP($A:$A,CS!$A:$AK,26,FALSE),"")</f>
      </c>
      <c r="S533" s="54">
        <f>IFERROR(VLOOKUP($A:$A,CS!$A:$AK,29,FALSE),"")</f>
      </c>
      <c r="T533" s="54">
        <f>IFERROR(VLOOKUP($A:$A,CS!$A:$AK,33,FALSE),"")</f>
      </c>
      <c r="U533" s="54">
        <f>IFERROR(VLOOKUP($A:$A,CS!$A:$AK,34,FALSE),"")</f>
      </c>
      <c r="V533" s="54">
        <f>IFERROR(VLOOKUP($A:$A,CS!$A:$AK,35,FALSE),"")</f>
      </c>
      <c r="W533" s="54">
        <f>IFERROR(VLOOKUP($A:$A,CS!$A:$AK,36,FALSE),"")</f>
      </c>
    </row>
    <row r="534" ht="16.5" customHeight="1" spans="1:23" x14ac:dyDescent="0.25">
      <c r="A534" s="68"/>
      <c r="B534" s="54">
        <f>IFERROR(VLOOKUP($A:$A,CS!$A:$AK,3,FALSE),"")</f>
      </c>
      <c r="C534" s="54">
        <f>IFERROR(VLOOKUP($A:$A,CS!$A:$AK,4,FALSE),"")</f>
      </c>
      <c r="D534" s="54">
        <f>IFERROR(VLOOKUP($A:$A,CS!$A:$AK,5,FALSE),"")</f>
      </c>
      <c r="E534" s="54">
        <f>IFERROR(VLOOKUP($A:$A,CS!$A:$AK,7,FALSE),"")</f>
      </c>
      <c r="F534" s="54">
        <f>IFERROR(VLOOKUP($A:$A,CS!$A:$AK,8,FALSE),"")</f>
      </c>
      <c r="G534" s="54">
        <f>IFERROR(VLOOKUP($A:$A,CS!$A:$AK,10,FALSE),"")</f>
      </c>
      <c r="H534" s="54">
        <f>IFERROR(VLOOKUP($A:$A,CS!$A:$AK,14,FALSE),"")</f>
      </c>
      <c r="I534" s="54">
        <f>IFERROR(VLOOKUP($A:$A,CS!$A:$AK,15,FALSE),"")</f>
      </c>
      <c r="J534" s="54">
        <f>IFERROR(VLOOKUP($A:$A,CS!$A:$AK,18,FALSE),"")</f>
      </c>
      <c r="K534" s="54">
        <f>IFERROR(VLOOKUP($A:$A,CS!$A:$AK,19,FALSE),"")</f>
      </c>
      <c r="L534" s="54">
        <f>IFERROR(VLOOKUP($A:$A,CS!$A:$AK,20,FALSE),"")</f>
      </c>
      <c r="M534" s="54">
        <f>IFERROR(VLOOKUP($A:$A,CS!$A:$AK,22,FALSE),"")</f>
      </c>
      <c r="N534" s="54">
        <f>IFERROR(VLOOKUP($A:$A,CS!$A:$AK,19,FALSE),"")</f>
      </c>
      <c r="O534" s="54">
        <f>IFERROR(VLOOKUP($A:$A,CS!$A:$AK,23,FALSE),"")</f>
      </c>
      <c r="P534" s="54">
        <f>IFERROR(VLOOKUP($A:$A,CS!$A:$AK,24,FALSE),"")</f>
      </c>
      <c r="Q534" s="54">
        <f>IFERROR(VLOOKUP($A:$A,CS!$A:$AK,25,FALSE),"")</f>
      </c>
      <c r="R534" s="54">
        <f>IFERROR(VLOOKUP($A:$A,CS!$A:$AK,26,FALSE),"")</f>
      </c>
      <c r="S534" s="54">
        <f>IFERROR(VLOOKUP($A:$A,CS!$A:$AK,29,FALSE),"")</f>
      </c>
      <c r="T534" s="54">
        <f>IFERROR(VLOOKUP($A:$A,CS!$A:$AK,33,FALSE),"")</f>
      </c>
      <c r="U534" s="54">
        <f>IFERROR(VLOOKUP($A:$A,CS!$A:$AK,34,FALSE),"")</f>
      </c>
      <c r="V534" s="54">
        <f>IFERROR(VLOOKUP($A:$A,CS!$A:$AK,35,FALSE),"")</f>
      </c>
      <c r="W534" s="54">
        <f>IFERROR(VLOOKUP($A:$A,CS!$A:$AK,36,FALSE),"")</f>
      </c>
    </row>
    <row r="535" ht="16.5" customHeight="1" spans="1:23" x14ac:dyDescent="0.25">
      <c r="A535" s="68"/>
      <c r="B535" s="54">
        <f>IFERROR(VLOOKUP($A:$A,CS!$A:$AK,3,FALSE),"")</f>
      </c>
      <c r="C535" s="54">
        <f>IFERROR(VLOOKUP($A:$A,CS!$A:$AK,4,FALSE),"")</f>
      </c>
      <c r="D535" s="54">
        <f>IFERROR(VLOOKUP($A:$A,CS!$A:$AK,5,FALSE),"")</f>
      </c>
      <c r="E535" s="54">
        <f>IFERROR(VLOOKUP($A:$A,CS!$A:$AK,7,FALSE),"")</f>
      </c>
      <c r="F535" s="54">
        <f>IFERROR(VLOOKUP($A:$A,CS!$A:$AK,8,FALSE),"")</f>
      </c>
      <c r="G535" s="54">
        <f>IFERROR(VLOOKUP($A:$A,CS!$A:$AK,10,FALSE),"")</f>
      </c>
      <c r="H535" s="54">
        <f>IFERROR(VLOOKUP($A:$A,CS!$A:$AK,14,FALSE),"")</f>
      </c>
      <c r="I535" s="54">
        <f>IFERROR(VLOOKUP($A:$A,CS!$A:$AK,15,FALSE),"")</f>
      </c>
      <c r="J535" s="54">
        <f>IFERROR(VLOOKUP($A:$A,CS!$A:$AK,18,FALSE),"")</f>
      </c>
      <c r="K535" s="54">
        <f>IFERROR(VLOOKUP($A:$A,CS!$A:$AK,19,FALSE),"")</f>
      </c>
      <c r="L535" s="54">
        <f>IFERROR(VLOOKUP($A:$A,CS!$A:$AK,20,FALSE),"")</f>
      </c>
      <c r="M535" s="54">
        <f>IFERROR(VLOOKUP($A:$A,CS!$A:$AK,22,FALSE),"")</f>
      </c>
      <c r="N535" s="54">
        <f>IFERROR(VLOOKUP($A:$A,CS!$A:$AK,19,FALSE),"")</f>
      </c>
      <c r="O535" s="54">
        <f>IFERROR(VLOOKUP($A:$A,CS!$A:$AK,23,FALSE),"")</f>
      </c>
      <c r="P535" s="54">
        <f>IFERROR(VLOOKUP($A:$A,CS!$A:$AK,24,FALSE),"")</f>
      </c>
      <c r="Q535" s="54">
        <f>IFERROR(VLOOKUP($A:$A,CS!$A:$AK,25,FALSE),"")</f>
      </c>
      <c r="R535" s="54">
        <f>IFERROR(VLOOKUP($A:$A,CS!$A:$AK,26,FALSE),"")</f>
      </c>
      <c r="S535" s="54">
        <f>IFERROR(VLOOKUP($A:$A,CS!$A:$AK,29,FALSE),"")</f>
      </c>
      <c r="T535" s="54">
        <f>IFERROR(VLOOKUP($A:$A,CS!$A:$AK,33,FALSE),"")</f>
      </c>
      <c r="U535" s="54">
        <f>IFERROR(VLOOKUP($A:$A,CS!$A:$AK,34,FALSE),"")</f>
      </c>
      <c r="V535" s="54">
        <f>IFERROR(VLOOKUP($A:$A,CS!$A:$AK,35,FALSE),"")</f>
      </c>
      <c r="W535" s="54">
        <f>IFERROR(VLOOKUP($A:$A,CS!$A:$AK,36,FALSE),"")</f>
      </c>
    </row>
    <row r="536" ht="16.5" customHeight="1" spans="1:23" x14ac:dyDescent="0.25">
      <c r="A536" s="68"/>
      <c r="B536" s="54">
        <f>IFERROR(VLOOKUP($A:$A,CS!$A:$AK,3,FALSE),"")</f>
      </c>
      <c r="C536" s="54">
        <f>IFERROR(VLOOKUP($A:$A,CS!$A:$AK,4,FALSE),"")</f>
      </c>
      <c r="D536" s="54">
        <f>IFERROR(VLOOKUP($A:$A,CS!$A:$AK,5,FALSE),"")</f>
      </c>
      <c r="E536" s="54">
        <f>IFERROR(VLOOKUP($A:$A,CS!$A:$AK,7,FALSE),"")</f>
      </c>
      <c r="F536" s="54">
        <f>IFERROR(VLOOKUP($A:$A,CS!$A:$AK,8,FALSE),"")</f>
      </c>
      <c r="G536" s="54">
        <f>IFERROR(VLOOKUP($A:$A,CS!$A:$AK,10,FALSE),"")</f>
      </c>
      <c r="H536" s="54">
        <f>IFERROR(VLOOKUP($A:$A,CS!$A:$AK,14,FALSE),"")</f>
      </c>
      <c r="I536" s="54">
        <f>IFERROR(VLOOKUP($A:$A,CS!$A:$AK,15,FALSE),"")</f>
      </c>
      <c r="J536" s="54">
        <f>IFERROR(VLOOKUP($A:$A,CS!$A:$AK,18,FALSE),"")</f>
      </c>
      <c r="K536" s="54">
        <f>IFERROR(VLOOKUP($A:$A,CS!$A:$AK,19,FALSE),"")</f>
      </c>
      <c r="L536" s="54">
        <f>IFERROR(VLOOKUP($A:$A,CS!$A:$AK,20,FALSE),"")</f>
      </c>
      <c r="M536" s="54">
        <f>IFERROR(VLOOKUP($A:$A,CS!$A:$AK,22,FALSE),"")</f>
      </c>
      <c r="N536" s="54">
        <f>IFERROR(VLOOKUP($A:$A,CS!$A:$AK,19,FALSE),"")</f>
      </c>
      <c r="O536" s="54">
        <f>IFERROR(VLOOKUP($A:$A,CS!$A:$AK,23,FALSE),"")</f>
      </c>
      <c r="P536" s="54">
        <f>IFERROR(VLOOKUP($A:$A,CS!$A:$AK,24,FALSE),"")</f>
      </c>
      <c r="Q536" s="54">
        <f>IFERROR(VLOOKUP($A:$A,CS!$A:$AK,25,FALSE),"")</f>
      </c>
      <c r="R536" s="54">
        <f>IFERROR(VLOOKUP($A:$A,CS!$A:$AK,26,FALSE),"")</f>
      </c>
      <c r="S536" s="54">
        <f>IFERROR(VLOOKUP($A:$A,CS!$A:$AK,29,FALSE),"")</f>
      </c>
      <c r="T536" s="54">
        <f>IFERROR(VLOOKUP($A:$A,CS!$A:$AK,33,FALSE),"")</f>
      </c>
      <c r="U536" s="54">
        <f>IFERROR(VLOOKUP($A:$A,CS!$A:$AK,34,FALSE),"")</f>
      </c>
      <c r="V536" s="54">
        <f>IFERROR(VLOOKUP($A:$A,CS!$A:$AK,35,FALSE),"")</f>
      </c>
      <c r="W536" s="54">
        <f>IFERROR(VLOOKUP($A:$A,CS!$A:$AK,36,FALSE),"")</f>
      </c>
    </row>
    <row r="537" ht="16.5" customHeight="1" spans="1:23" x14ac:dyDescent="0.25">
      <c r="A537" s="68"/>
      <c r="B537" s="54">
        <f>IFERROR(VLOOKUP($A:$A,CS!$A:$AK,3,FALSE),"")</f>
      </c>
      <c r="C537" s="54">
        <f>IFERROR(VLOOKUP($A:$A,CS!$A:$AK,4,FALSE),"")</f>
      </c>
      <c r="D537" s="54">
        <f>IFERROR(VLOOKUP($A:$A,CS!$A:$AK,5,FALSE),"")</f>
      </c>
      <c r="E537" s="54">
        <f>IFERROR(VLOOKUP($A:$A,CS!$A:$AK,7,FALSE),"")</f>
      </c>
      <c r="F537" s="54">
        <f>IFERROR(VLOOKUP($A:$A,CS!$A:$AK,8,FALSE),"")</f>
      </c>
      <c r="G537" s="54">
        <f>IFERROR(VLOOKUP($A:$A,CS!$A:$AK,10,FALSE),"")</f>
      </c>
      <c r="H537" s="54">
        <f>IFERROR(VLOOKUP($A:$A,CS!$A:$AK,14,FALSE),"")</f>
      </c>
      <c r="I537" s="54">
        <f>IFERROR(VLOOKUP($A:$A,CS!$A:$AK,15,FALSE),"")</f>
      </c>
      <c r="J537" s="54">
        <f>IFERROR(VLOOKUP($A:$A,CS!$A:$AK,18,FALSE),"")</f>
      </c>
      <c r="K537" s="54">
        <f>IFERROR(VLOOKUP($A:$A,CS!$A:$AK,19,FALSE),"")</f>
      </c>
      <c r="L537" s="54">
        <f>IFERROR(VLOOKUP($A:$A,CS!$A:$AK,20,FALSE),"")</f>
      </c>
      <c r="M537" s="54">
        <f>IFERROR(VLOOKUP($A:$A,CS!$A:$AK,22,FALSE),"")</f>
      </c>
      <c r="N537" s="54">
        <f>IFERROR(VLOOKUP($A:$A,CS!$A:$AK,19,FALSE),"")</f>
      </c>
      <c r="O537" s="54">
        <f>IFERROR(VLOOKUP($A:$A,CS!$A:$AK,23,FALSE),"")</f>
      </c>
      <c r="P537" s="54">
        <f>IFERROR(VLOOKUP($A:$A,CS!$A:$AK,24,FALSE),"")</f>
      </c>
      <c r="Q537" s="54">
        <f>IFERROR(VLOOKUP($A:$A,CS!$A:$AK,25,FALSE),"")</f>
      </c>
      <c r="R537" s="54">
        <f>IFERROR(VLOOKUP($A:$A,CS!$A:$AK,26,FALSE),"")</f>
      </c>
      <c r="S537" s="54">
        <f>IFERROR(VLOOKUP($A:$A,CS!$A:$AK,29,FALSE),"")</f>
      </c>
      <c r="T537" s="54">
        <f>IFERROR(VLOOKUP($A:$A,CS!$A:$AK,33,FALSE),"")</f>
      </c>
      <c r="U537" s="54">
        <f>IFERROR(VLOOKUP($A:$A,CS!$A:$AK,34,FALSE),"")</f>
      </c>
      <c r="V537" s="54">
        <f>IFERROR(VLOOKUP($A:$A,CS!$A:$AK,35,FALSE),"")</f>
      </c>
      <c r="W537" s="54">
        <f>IFERROR(VLOOKUP($A:$A,CS!$A:$AK,36,FALSE),"")</f>
      </c>
    </row>
    <row r="538" ht="16.5" customHeight="1" spans="1:23" x14ac:dyDescent="0.25">
      <c r="A538" s="68"/>
      <c r="B538" s="54">
        <f>IFERROR(VLOOKUP($A:$A,CS!$A:$AK,3,FALSE),"")</f>
      </c>
      <c r="C538" s="54">
        <f>IFERROR(VLOOKUP($A:$A,CS!$A:$AK,4,FALSE),"")</f>
      </c>
      <c r="D538" s="54">
        <f>IFERROR(VLOOKUP($A:$A,CS!$A:$AK,5,FALSE),"")</f>
      </c>
      <c r="E538" s="54">
        <f>IFERROR(VLOOKUP($A:$A,CS!$A:$AK,7,FALSE),"")</f>
      </c>
      <c r="F538" s="54">
        <f>IFERROR(VLOOKUP($A:$A,CS!$A:$AK,8,FALSE),"")</f>
      </c>
      <c r="G538" s="54">
        <f>IFERROR(VLOOKUP($A:$A,CS!$A:$AK,10,FALSE),"")</f>
      </c>
      <c r="H538" s="54">
        <f>IFERROR(VLOOKUP($A:$A,CS!$A:$AK,14,FALSE),"")</f>
      </c>
      <c r="I538" s="54">
        <f>IFERROR(VLOOKUP($A:$A,CS!$A:$AK,15,FALSE),"")</f>
      </c>
      <c r="J538" s="54">
        <f>IFERROR(VLOOKUP($A:$A,CS!$A:$AK,18,FALSE),"")</f>
      </c>
      <c r="K538" s="54">
        <f>IFERROR(VLOOKUP($A:$A,CS!$A:$AK,19,FALSE),"")</f>
      </c>
      <c r="L538" s="54">
        <f>IFERROR(VLOOKUP($A:$A,CS!$A:$AK,20,FALSE),"")</f>
      </c>
      <c r="M538" s="54">
        <f>IFERROR(VLOOKUP($A:$A,CS!$A:$AK,22,FALSE),"")</f>
      </c>
      <c r="N538" s="54">
        <f>IFERROR(VLOOKUP($A:$A,CS!$A:$AK,19,FALSE),"")</f>
      </c>
      <c r="O538" s="54">
        <f>IFERROR(VLOOKUP($A:$A,CS!$A:$AK,23,FALSE),"")</f>
      </c>
      <c r="P538" s="54">
        <f>IFERROR(VLOOKUP($A:$A,CS!$A:$AK,24,FALSE),"")</f>
      </c>
      <c r="Q538" s="54">
        <f>IFERROR(VLOOKUP($A:$A,CS!$A:$AK,25,FALSE),"")</f>
      </c>
      <c r="R538" s="54">
        <f>IFERROR(VLOOKUP($A:$A,CS!$A:$AK,26,FALSE),"")</f>
      </c>
      <c r="S538" s="54">
        <f>IFERROR(VLOOKUP($A:$A,CS!$A:$AK,29,FALSE),"")</f>
      </c>
      <c r="T538" s="54">
        <f>IFERROR(VLOOKUP($A:$A,CS!$A:$AK,33,FALSE),"")</f>
      </c>
      <c r="U538" s="54">
        <f>IFERROR(VLOOKUP($A:$A,CS!$A:$AK,34,FALSE),"")</f>
      </c>
      <c r="V538" s="54">
        <f>IFERROR(VLOOKUP($A:$A,CS!$A:$AK,35,FALSE),"")</f>
      </c>
      <c r="W538" s="54">
        <f>IFERROR(VLOOKUP($A:$A,CS!$A:$AK,36,FALSE),"")</f>
      </c>
    </row>
    <row r="539" ht="16.5" customHeight="1" spans="1:23" x14ac:dyDescent="0.25">
      <c r="A539" s="68"/>
      <c r="B539" s="54">
        <f>IFERROR(VLOOKUP($A:$A,CS!$A:$AK,3,FALSE),"")</f>
      </c>
      <c r="C539" s="54">
        <f>IFERROR(VLOOKUP($A:$A,CS!$A:$AK,4,FALSE),"")</f>
      </c>
      <c r="D539" s="54">
        <f>IFERROR(VLOOKUP($A:$A,CS!$A:$AK,5,FALSE),"")</f>
      </c>
      <c r="E539" s="54">
        <f>IFERROR(VLOOKUP($A:$A,CS!$A:$AK,7,FALSE),"")</f>
      </c>
      <c r="F539" s="54">
        <f>IFERROR(VLOOKUP($A:$A,CS!$A:$AK,8,FALSE),"")</f>
      </c>
      <c r="G539" s="54">
        <f>IFERROR(VLOOKUP($A:$A,CS!$A:$AK,10,FALSE),"")</f>
      </c>
      <c r="H539" s="54">
        <f>IFERROR(VLOOKUP($A:$A,CS!$A:$AK,14,FALSE),"")</f>
      </c>
      <c r="I539" s="54">
        <f>IFERROR(VLOOKUP($A:$A,CS!$A:$AK,15,FALSE),"")</f>
      </c>
      <c r="J539" s="54">
        <f>IFERROR(VLOOKUP($A:$A,CS!$A:$AK,18,FALSE),"")</f>
      </c>
      <c r="K539" s="54">
        <f>IFERROR(VLOOKUP($A:$A,CS!$A:$AK,19,FALSE),"")</f>
      </c>
      <c r="L539" s="54">
        <f>IFERROR(VLOOKUP($A:$A,CS!$A:$AK,20,FALSE),"")</f>
      </c>
      <c r="M539" s="54">
        <f>IFERROR(VLOOKUP($A:$A,CS!$A:$AK,22,FALSE),"")</f>
      </c>
      <c r="N539" s="54">
        <f>IFERROR(VLOOKUP($A:$A,CS!$A:$AK,19,FALSE),"")</f>
      </c>
      <c r="O539" s="54">
        <f>IFERROR(VLOOKUP($A:$A,CS!$A:$AK,23,FALSE),"")</f>
      </c>
      <c r="P539" s="54">
        <f>IFERROR(VLOOKUP($A:$A,CS!$A:$AK,24,FALSE),"")</f>
      </c>
      <c r="Q539" s="54">
        <f>IFERROR(VLOOKUP($A:$A,CS!$A:$AK,25,FALSE),"")</f>
      </c>
      <c r="R539" s="54">
        <f>IFERROR(VLOOKUP($A:$A,CS!$A:$AK,26,FALSE),"")</f>
      </c>
      <c r="S539" s="54">
        <f>IFERROR(VLOOKUP($A:$A,CS!$A:$AK,29,FALSE),"")</f>
      </c>
      <c r="T539" s="54">
        <f>IFERROR(VLOOKUP($A:$A,CS!$A:$AK,33,FALSE),"")</f>
      </c>
      <c r="U539" s="54">
        <f>IFERROR(VLOOKUP($A:$A,CS!$A:$AK,34,FALSE),"")</f>
      </c>
      <c r="V539" s="54">
        <f>IFERROR(VLOOKUP($A:$A,CS!$A:$AK,35,FALSE),"")</f>
      </c>
      <c r="W539" s="54">
        <f>IFERROR(VLOOKUP($A:$A,CS!$A:$AK,36,FALSE),"")</f>
      </c>
    </row>
    <row r="540" ht="16.5" customHeight="1" spans="1:23" x14ac:dyDescent="0.25">
      <c r="A540" s="68"/>
      <c r="B540" s="54">
        <f>IFERROR(VLOOKUP($A:$A,CS!$A:$AK,3,FALSE),"")</f>
      </c>
      <c r="C540" s="54">
        <f>IFERROR(VLOOKUP($A:$A,CS!$A:$AK,4,FALSE),"")</f>
      </c>
      <c r="D540" s="54">
        <f>IFERROR(VLOOKUP($A:$A,CS!$A:$AK,5,FALSE),"")</f>
      </c>
      <c r="E540" s="54">
        <f>IFERROR(VLOOKUP($A:$A,CS!$A:$AK,7,FALSE),"")</f>
      </c>
      <c r="F540" s="54">
        <f>IFERROR(VLOOKUP($A:$A,CS!$A:$AK,8,FALSE),"")</f>
      </c>
      <c r="G540" s="54">
        <f>IFERROR(VLOOKUP($A:$A,CS!$A:$AK,10,FALSE),"")</f>
      </c>
      <c r="H540" s="54">
        <f>IFERROR(VLOOKUP($A:$A,CS!$A:$AK,14,FALSE),"")</f>
      </c>
      <c r="I540" s="54">
        <f>IFERROR(VLOOKUP($A:$A,CS!$A:$AK,15,FALSE),"")</f>
      </c>
      <c r="J540" s="54">
        <f>IFERROR(VLOOKUP($A:$A,CS!$A:$AK,18,FALSE),"")</f>
      </c>
      <c r="K540" s="54">
        <f>IFERROR(VLOOKUP($A:$A,CS!$A:$AK,19,FALSE),"")</f>
      </c>
      <c r="L540" s="54">
        <f>IFERROR(VLOOKUP($A:$A,CS!$A:$AK,20,FALSE),"")</f>
      </c>
      <c r="M540" s="54">
        <f>IFERROR(VLOOKUP($A:$A,CS!$A:$AK,22,FALSE),"")</f>
      </c>
      <c r="N540" s="54">
        <f>IFERROR(VLOOKUP($A:$A,CS!$A:$AK,19,FALSE),"")</f>
      </c>
      <c r="O540" s="54">
        <f>IFERROR(VLOOKUP($A:$A,CS!$A:$AK,23,FALSE),"")</f>
      </c>
      <c r="P540" s="54">
        <f>IFERROR(VLOOKUP($A:$A,CS!$A:$AK,24,FALSE),"")</f>
      </c>
      <c r="Q540" s="54">
        <f>IFERROR(VLOOKUP($A:$A,CS!$A:$AK,25,FALSE),"")</f>
      </c>
      <c r="R540" s="54">
        <f>IFERROR(VLOOKUP($A:$A,CS!$A:$AK,26,FALSE),"")</f>
      </c>
      <c r="S540" s="54">
        <f>IFERROR(VLOOKUP($A:$A,CS!$A:$AK,29,FALSE),"")</f>
      </c>
      <c r="T540" s="54">
        <f>IFERROR(VLOOKUP($A:$A,CS!$A:$AK,33,FALSE),"")</f>
      </c>
      <c r="U540" s="54">
        <f>IFERROR(VLOOKUP($A:$A,CS!$A:$AK,34,FALSE),"")</f>
      </c>
      <c r="V540" s="54">
        <f>IFERROR(VLOOKUP($A:$A,CS!$A:$AK,35,FALSE),"")</f>
      </c>
      <c r="W540" s="54">
        <f>IFERROR(VLOOKUP($A:$A,CS!$A:$AK,36,FALSE),"")</f>
      </c>
    </row>
    <row r="541" ht="16.5" customHeight="1" spans="1:23" x14ac:dyDescent="0.25">
      <c r="A541" s="68"/>
      <c r="B541" s="54">
        <f>IFERROR(VLOOKUP($A:$A,CS!$A:$AK,3,FALSE),"")</f>
      </c>
      <c r="C541" s="54">
        <f>IFERROR(VLOOKUP($A:$A,CS!$A:$AK,4,FALSE),"")</f>
      </c>
      <c r="D541" s="54">
        <f>IFERROR(VLOOKUP($A:$A,CS!$A:$AK,5,FALSE),"")</f>
      </c>
      <c r="E541" s="54">
        <f>IFERROR(VLOOKUP($A:$A,CS!$A:$AK,7,FALSE),"")</f>
      </c>
      <c r="F541" s="54">
        <f>IFERROR(VLOOKUP($A:$A,CS!$A:$AK,8,FALSE),"")</f>
      </c>
      <c r="G541" s="54">
        <f>IFERROR(VLOOKUP($A:$A,CS!$A:$AK,10,FALSE),"")</f>
      </c>
      <c r="H541" s="54">
        <f>IFERROR(VLOOKUP($A:$A,CS!$A:$AK,14,FALSE),"")</f>
      </c>
      <c r="I541" s="54">
        <f>IFERROR(VLOOKUP($A:$A,CS!$A:$AK,15,FALSE),"")</f>
      </c>
      <c r="J541" s="54">
        <f>IFERROR(VLOOKUP($A:$A,CS!$A:$AK,18,FALSE),"")</f>
      </c>
      <c r="K541" s="54">
        <f>IFERROR(VLOOKUP($A:$A,CS!$A:$AK,19,FALSE),"")</f>
      </c>
      <c r="L541" s="54">
        <f>IFERROR(VLOOKUP($A:$A,CS!$A:$AK,20,FALSE),"")</f>
      </c>
      <c r="M541" s="54">
        <f>IFERROR(VLOOKUP($A:$A,CS!$A:$AK,22,FALSE),"")</f>
      </c>
      <c r="N541" s="54">
        <f>IFERROR(VLOOKUP($A:$A,CS!$A:$AK,19,FALSE),"")</f>
      </c>
      <c r="O541" s="54">
        <f>IFERROR(VLOOKUP($A:$A,CS!$A:$AK,23,FALSE),"")</f>
      </c>
      <c r="P541" s="54">
        <f>IFERROR(VLOOKUP($A:$A,CS!$A:$AK,24,FALSE),"")</f>
      </c>
      <c r="Q541" s="54">
        <f>IFERROR(VLOOKUP($A:$A,CS!$A:$AK,25,FALSE),"")</f>
      </c>
      <c r="R541" s="54">
        <f>IFERROR(VLOOKUP($A:$A,CS!$A:$AK,26,FALSE),"")</f>
      </c>
      <c r="S541" s="54">
        <f>IFERROR(VLOOKUP($A:$A,CS!$A:$AK,29,FALSE),"")</f>
      </c>
      <c r="T541" s="54">
        <f>IFERROR(VLOOKUP($A:$A,CS!$A:$AK,33,FALSE),"")</f>
      </c>
      <c r="U541" s="54">
        <f>IFERROR(VLOOKUP($A:$A,CS!$A:$AK,34,FALSE),"")</f>
      </c>
      <c r="V541" s="54">
        <f>IFERROR(VLOOKUP($A:$A,CS!$A:$AK,35,FALSE),"")</f>
      </c>
      <c r="W541" s="54">
        <f>IFERROR(VLOOKUP($A:$A,CS!$A:$AK,36,FALSE),"")</f>
      </c>
    </row>
    <row r="542" ht="16.5" customHeight="1" spans="1:23" x14ac:dyDescent="0.25">
      <c r="A542" s="68"/>
      <c r="B542" s="54">
        <f>IFERROR(VLOOKUP($A:$A,CS!$A:$AK,3,FALSE),"")</f>
      </c>
      <c r="C542" s="54">
        <f>IFERROR(VLOOKUP($A:$A,CS!$A:$AK,4,FALSE),"")</f>
      </c>
      <c r="D542" s="54">
        <f>IFERROR(VLOOKUP($A:$A,CS!$A:$AK,5,FALSE),"")</f>
      </c>
      <c r="E542" s="54">
        <f>IFERROR(VLOOKUP($A:$A,CS!$A:$AK,7,FALSE),"")</f>
      </c>
      <c r="F542" s="54">
        <f>IFERROR(VLOOKUP($A:$A,CS!$A:$AK,8,FALSE),"")</f>
      </c>
      <c r="G542" s="54">
        <f>IFERROR(VLOOKUP($A:$A,CS!$A:$AK,10,FALSE),"")</f>
      </c>
      <c r="H542" s="54">
        <f>IFERROR(VLOOKUP($A:$A,CS!$A:$AK,14,FALSE),"")</f>
      </c>
      <c r="I542" s="54">
        <f>IFERROR(VLOOKUP($A:$A,CS!$A:$AK,15,FALSE),"")</f>
      </c>
      <c r="J542" s="54">
        <f>IFERROR(VLOOKUP($A:$A,CS!$A:$AK,18,FALSE),"")</f>
      </c>
      <c r="K542" s="54">
        <f>IFERROR(VLOOKUP($A:$A,CS!$A:$AK,19,FALSE),"")</f>
      </c>
      <c r="L542" s="54">
        <f>IFERROR(VLOOKUP($A:$A,CS!$A:$AK,20,FALSE),"")</f>
      </c>
      <c r="M542" s="54">
        <f>IFERROR(VLOOKUP($A:$A,CS!$A:$AK,22,FALSE),"")</f>
      </c>
      <c r="N542" s="54">
        <f>IFERROR(VLOOKUP($A:$A,CS!$A:$AK,19,FALSE),"")</f>
      </c>
      <c r="O542" s="54">
        <f>IFERROR(VLOOKUP($A:$A,CS!$A:$AK,23,FALSE),"")</f>
      </c>
      <c r="P542" s="54">
        <f>IFERROR(VLOOKUP($A:$A,CS!$A:$AK,24,FALSE),"")</f>
      </c>
      <c r="Q542" s="54">
        <f>IFERROR(VLOOKUP($A:$A,CS!$A:$AK,25,FALSE),"")</f>
      </c>
      <c r="R542" s="54">
        <f>IFERROR(VLOOKUP($A:$A,CS!$A:$AK,26,FALSE),"")</f>
      </c>
      <c r="S542" s="54">
        <f>IFERROR(VLOOKUP($A:$A,CS!$A:$AK,29,FALSE),"")</f>
      </c>
      <c r="T542" s="54">
        <f>IFERROR(VLOOKUP($A:$A,CS!$A:$AK,33,FALSE),"")</f>
      </c>
      <c r="U542" s="54">
        <f>IFERROR(VLOOKUP($A:$A,CS!$A:$AK,34,FALSE),"")</f>
      </c>
      <c r="V542" s="54">
        <f>IFERROR(VLOOKUP($A:$A,CS!$A:$AK,35,FALSE),"")</f>
      </c>
      <c r="W542" s="54">
        <f>IFERROR(VLOOKUP($A:$A,CS!$A:$AK,36,FALSE),"")</f>
      </c>
    </row>
    <row r="543" ht="16.5" customHeight="1" spans="1:23" x14ac:dyDescent="0.25">
      <c r="A543" s="68"/>
      <c r="B543" s="54">
        <f>IFERROR(VLOOKUP($A:$A,CS!$A:$AK,3,FALSE),"")</f>
      </c>
      <c r="C543" s="54">
        <f>IFERROR(VLOOKUP($A:$A,CS!$A:$AK,4,FALSE),"")</f>
      </c>
      <c r="D543" s="54">
        <f>IFERROR(VLOOKUP($A:$A,CS!$A:$AK,5,FALSE),"")</f>
      </c>
      <c r="E543" s="54">
        <f>IFERROR(VLOOKUP($A:$A,CS!$A:$AK,7,FALSE),"")</f>
      </c>
      <c r="F543" s="54">
        <f>IFERROR(VLOOKUP($A:$A,CS!$A:$AK,8,FALSE),"")</f>
      </c>
      <c r="G543" s="54">
        <f>IFERROR(VLOOKUP($A:$A,CS!$A:$AK,10,FALSE),"")</f>
      </c>
      <c r="H543" s="54">
        <f>IFERROR(VLOOKUP($A:$A,CS!$A:$AK,14,FALSE),"")</f>
      </c>
      <c r="I543" s="54">
        <f>IFERROR(VLOOKUP($A:$A,CS!$A:$AK,15,FALSE),"")</f>
      </c>
      <c r="J543" s="54">
        <f>IFERROR(VLOOKUP($A:$A,CS!$A:$AK,18,FALSE),"")</f>
      </c>
      <c r="K543" s="54">
        <f>IFERROR(VLOOKUP($A:$A,CS!$A:$AK,19,FALSE),"")</f>
      </c>
      <c r="L543" s="54">
        <f>IFERROR(VLOOKUP($A:$A,CS!$A:$AK,20,FALSE),"")</f>
      </c>
      <c r="M543" s="54">
        <f>IFERROR(VLOOKUP($A:$A,CS!$A:$AK,22,FALSE),"")</f>
      </c>
      <c r="N543" s="54">
        <f>IFERROR(VLOOKUP($A:$A,CS!$A:$AK,19,FALSE),"")</f>
      </c>
      <c r="O543" s="54">
        <f>IFERROR(VLOOKUP($A:$A,CS!$A:$AK,23,FALSE),"")</f>
      </c>
      <c r="P543" s="54">
        <f>IFERROR(VLOOKUP($A:$A,CS!$A:$AK,24,FALSE),"")</f>
      </c>
      <c r="Q543" s="54">
        <f>IFERROR(VLOOKUP($A:$A,CS!$A:$AK,25,FALSE),"")</f>
      </c>
      <c r="R543" s="54">
        <f>IFERROR(VLOOKUP($A:$A,CS!$A:$AK,26,FALSE),"")</f>
      </c>
      <c r="S543" s="54">
        <f>IFERROR(VLOOKUP($A:$A,CS!$A:$AK,29,FALSE),"")</f>
      </c>
      <c r="T543" s="54">
        <f>IFERROR(VLOOKUP($A:$A,CS!$A:$AK,33,FALSE),"")</f>
      </c>
      <c r="U543" s="54">
        <f>IFERROR(VLOOKUP($A:$A,CS!$A:$AK,34,FALSE),"")</f>
      </c>
      <c r="V543" s="54">
        <f>IFERROR(VLOOKUP($A:$A,CS!$A:$AK,35,FALSE),"")</f>
      </c>
      <c r="W543" s="54">
        <f>IFERROR(VLOOKUP($A:$A,CS!$A:$AK,36,FALSE),"")</f>
      </c>
    </row>
    <row r="544" ht="16.5" customHeight="1" spans="1:23" x14ac:dyDescent="0.25">
      <c r="A544" s="68"/>
      <c r="B544" s="54">
        <f>IFERROR(VLOOKUP($A:$A,CS!$A:$AK,3,FALSE),"")</f>
      </c>
      <c r="C544" s="54">
        <f>IFERROR(VLOOKUP($A:$A,CS!$A:$AK,4,FALSE),"")</f>
      </c>
      <c r="D544" s="54">
        <f>IFERROR(VLOOKUP($A:$A,CS!$A:$AK,5,FALSE),"")</f>
      </c>
      <c r="E544" s="54">
        <f>IFERROR(VLOOKUP($A:$A,CS!$A:$AK,7,FALSE),"")</f>
      </c>
      <c r="F544" s="54">
        <f>IFERROR(VLOOKUP($A:$A,CS!$A:$AK,8,FALSE),"")</f>
      </c>
      <c r="G544" s="54">
        <f>IFERROR(VLOOKUP($A:$A,CS!$A:$AK,10,FALSE),"")</f>
      </c>
      <c r="H544" s="54">
        <f>IFERROR(VLOOKUP($A:$A,CS!$A:$AK,14,FALSE),"")</f>
      </c>
      <c r="I544" s="54">
        <f>IFERROR(VLOOKUP($A:$A,CS!$A:$AK,15,FALSE),"")</f>
      </c>
      <c r="J544" s="54">
        <f>IFERROR(VLOOKUP($A:$A,CS!$A:$AK,18,FALSE),"")</f>
      </c>
      <c r="K544" s="54">
        <f>IFERROR(VLOOKUP($A:$A,CS!$A:$AK,19,FALSE),"")</f>
      </c>
      <c r="L544" s="54">
        <f>IFERROR(VLOOKUP($A:$A,CS!$A:$AK,20,FALSE),"")</f>
      </c>
      <c r="M544" s="54">
        <f>IFERROR(VLOOKUP($A:$A,CS!$A:$AK,22,FALSE),"")</f>
      </c>
      <c r="N544" s="54">
        <f>IFERROR(VLOOKUP($A:$A,CS!$A:$AK,19,FALSE),"")</f>
      </c>
      <c r="O544" s="54">
        <f>IFERROR(VLOOKUP($A:$A,CS!$A:$AK,23,FALSE),"")</f>
      </c>
      <c r="P544" s="54">
        <f>IFERROR(VLOOKUP($A:$A,CS!$A:$AK,24,FALSE),"")</f>
      </c>
      <c r="Q544" s="54">
        <f>IFERROR(VLOOKUP($A:$A,CS!$A:$AK,25,FALSE),"")</f>
      </c>
      <c r="R544" s="54">
        <f>IFERROR(VLOOKUP($A:$A,CS!$A:$AK,26,FALSE),"")</f>
      </c>
      <c r="S544" s="54">
        <f>IFERROR(VLOOKUP($A:$A,CS!$A:$AK,29,FALSE),"")</f>
      </c>
      <c r="T544" s="54">
        <f>IFERROR(VLOOKUP($A:$A,CS!$A:$AK,33,FALSE),"")</f>
      </c>
      <c r="U544" s="54">
        <f>IFERROR(VLOOKUP($A:$A,CS!$A:$AK,34,FALSE),"")</f>
      </c>
      <c r="V544" s="54">
        <f>IFERROR(VLOOKUP($A:$A,CS!$A:$AK,35,FALSE),"")</f>
      </c>
      <c r="W544" s="54">
        <f>IFERROR(VLOOKUP($A:$A,CS!$A:$AK,36,FALSE),"")</f>
      </c>
    </row>
    <row r="545" ht="16.5" customHeight="1" spans="1:23" x14ac:dyDescent="0.25">
      <c r="A545" s="68"/>
      <c r="B545" s="54">
        <f>IFERROR(VLOOKUP($A:$A,CS!$A:$AK,3,FALSE),"")</f>
      </c>
      <c r="C545" s="54">
        <f>IFERROR(VLOOKUP($A:$A,CS!$A:$AK,4,FALSE),"")</f>
      </c>
      <c r="D545" s="54">
        <f>IFERROR(VLOOKUP($A:$A,CS!$A:$AK,5,FALSE),"")</f>
      </c>
      <c r="E545" s="54">
        <f>IFERROR(VLOOKUP($A:$A,CS!$A:$AK,7,FALSE),"")</f>
      </c>
      <c r="F545" s="54">
        <f>IFERROR(VLOOKUP($A:$A,CS!$A:$AK,8,FALSE),"")</f>
      </c>
      <c r="G545" s="54">
        <f>IFERROR(VLOOKUP($A:$A,CS!$A:$AK,10,FALSE),"")</f>
      </c>
      <c r="H545" s="54">
        <f>IFERROR(VLOOKUP($A:$A,CS!$A:$AK,14,FALSE),"")</f>
      </c>
      <c r="I545" s="54">
        <f>IFERROR(VLOOKUP($A:$A,CS!$A:$AK,15,FALSE),"")</f>
      </c>
      <c r="J545" s="54">
        <f>IFERROR(VLOOKUP($A:$A,CS!$A:$AK,18,FALSE),"")</f>
      </c>
      <c r="K545" s="54">
        <f>IFERROR(VLOOKUP($A:$A,CS!$A:$AK,19,FALSE),"")</f>
      </c>
      <c r="L545" s="54">
        <f>IFERROR(VLOOKUP($A:$A,CS!$A:$AK,20,FALSE),"")</f>
      </c>
      <c r="M545" s="54">
        <f>IFERROR(VLOOKUP($A:$A,CS!$A:$AK,22,FALSE),"")</f>
      </c>
      <c r="N545" s="54">
        <f>IFERROR(VLOOKUP($A:$A,CS!$A:$AK,19,FALSE),"")</f>
      </c>
      <c r="O545" s="54">
        <f>IFERROR(VLOOKUP($A:$A,CS!$A:$AK,23,FALSE),"")</f>
      </c>
      <c r="P545" s="54">
        <f>IFERROR(VLOOKUP($A:$A,CS!$A:$AK,24,FALSE),"")</f>
      </c>
      <c r="Q545" s="54">
        <f>IFERROR(VLOOKUP($A:$A,CS!$A:$AK,25,FALSE),"")</f>
      </c>
      <c r="R545" s="54">
        <f>IFERROR(VLOOKUP($A:$A,CS!$A:$AK,26,FALSE),"")</f>
      </c>
      <c r="S545" s="54">
        <f>IFERROR(VLOOKUP($A:$A,CS!$A:$AK,29,FALSE),"")</f>
      </c>
      <c r="T545" s="54">
        <f>IFERROR(VLOOKUP($A:$A,CS!$A:$AK,33,FALSE),"")</f>
      </c>
      <c r="U545" s="54">
        <f>IFERROR(VLOOKUP($A:$A,CS!$A:$AK,34,FALSE),"")</f>
      </c>
      <c r="V545" s="54">
        <f>IFERROR(VLOOKUP($A:$A,CS!$A:$AK,35,FALSE),"")</f>
      </c>
      <c r="W545" s="54">
        <f>IFERROR(VLOOKUP($A:$A,CS!$A:$AK,36,FALSE),"")</f>
      </c>
    </row>
    <row r="546" ht="16.5" customHeight="1" spans="1:23" x14ac:dyDescent="0.25">
      <c r="A546" s="68"/>
      <c r="B546" s="54">
        <f>IFERROR(VLOOKUP($A:$A,CS!$A:$AK,3,FALSE),"")</f>
      </c>
      <c r="C546" s="54">
        <f>IFERROR(VLOOKUP($A:$A,CS!$A:$AK,4,FALSE),"")</f>
      </c>
      <c r="D546" s="54">
        <f>IFERROR(VLOOKUP($A:$A,CS!$A:$AK,5,FALSE),"")</f>
      </c>
      <c r="E546" s="54">
        <f>IFERROR(VLOOKUP($A:$A,CS!$A:$AK,7,FALSE),"")</f>
      </c>
      <c r="F546" s="54">
        <f>IFERROR(VLOOKUP($A:$A,CS!$A:$AK,8,FALSE),"")</f>
      </c>
      <c r="G546" s="54">
        <f>IFERROR(VLOOKUP($A:$A,CS!$A:$AK,10,FALSE),"")</f>
      </c>
      <c r="H546" s="54">
        <f>IFERROR(VLOOKUP($A:$A,CS!$A:$AK,14,FALSE),"")</f>
      </c>
      <c r="I546" s="54">
        <f>IFERROR(VLOOKUP($A:$A,CS!$A:$AK,15,FALSE),"")</f>
      </c>
      <c r="J546" s="54">
        <f>IFERROR(VLOOKUP($A:$A,CS!$A:$AK,18,FALSE),"")</f>
      </c>
      <c r="K546" s="54">
        <f>IFERROR(VLOOKUP($A:$A,CS!$A:$AK,19,FALSE),"")</f>
      </c>
      <c r="L546" s="54">
        <f>IFERROR(VLOOKUP($A:$A,CS!$A:$AK,20,FALSE),"")</f>
      </c>
      <c r="M546" s="54">
        <f>IFERROR(VLOOKUP($A:$A,CS!$A:$AK,22,FALSE),"")</f>
      </c>
      <c r="N546" s="54">
        <f>IFERROR(VLOOKUP($A:$A,CS!$A:$AK,19,FALSE),"")</f>
      </c>
      <c r="O546" s="54">
        <f>IFERROR(VLOOKUP($A:$A,CS!$A:$AK,23,FALSE),"")</f>
      </c>
      <c r="P546" s="54">
        <f>IFERROR(VLOOKUP($A:$A,CS!$A:$AK,24,FALSE),"")</f>
      </c>
      <c r="Q546" s="54">
        <f>IFERROR(VLOOKUP($A:$A,CS!$A:$AK,25,FALSE),"")</f>
      </c>
      <c r="R546" s="54">
        <f>IFERROR(VLOOKUP($A:$A,CS!$A:$AK,26,FALSE),"")</f>
      </c>
      <c r="S546" s="54">
        <f>IFERROR(VLOOKUP($A:$A,CS!$A:$AK,29,FALSE),"")</f>
      </c>
      <c r="T546" s="54">
        <f>IFERROR(VLOOKUP($A:$A,CS!$A:$AK,33,FALSE),"")</f>
      </c>
      <c r="U546" s="54">
        <f>IFERROR(VLOOKUP($A:$A,CS!$A:$AK,34,FALSE),"")</f>
      </c>
      <c r="V546" s="54">
        <f>IFERROR(VLOOKUP($A:$A,CS!$A:$AK,35,FALSE),"")</f>
      </c>
      <c r="W546" s="54">
        <f>IFERROR(VLOOKUP($A:$A,CS!$A:$AK,36,FALSE),"")</f>
      </c>
    </row>
    <row r="547" ht="16.5" customHeight="1" spans="1:23" x14ac:dyDescent="0.25">
      <c r="A547" s="68"/>
      <c r="B547" s="54">
        <f>IFERROR(VLOOKUP($A:$A,CS!$A:$AK,3,FALSE),"")</f>
      </c>
      <c r="C547" s="54">
        <f>IFERROR(VLOOKUP($A:$A,CS!$A:$AK,4,FALSE),"")</f>
      </c>
      <c r="D547" s="54">
        <f>IFERROR(VLOOKUP($A:$A,CS!$A:$AK,5,FALSE),"")</f>
      </c>
      <c r="E547" s="54">
        <f>IFERROR(VLOOKUP($A:$A,CS!$A:$AK,7,FALSE),"")</f>
      </c>
      <c r="F547" s="54">
        <f>IFERROR(VLOOKUP($A:$A,CS!$A:$AK,8,FALSE),"")</f>
      </c>
      <c r="G547" s="54">
        <f>IFERROR(VLOOKUP($A:$A,CS!$A:$AK,10,FALSE),"")</f>
      </c>
      <c r="H547" s="54">
        <f>IFERROR(VLOOKUP($A:$A,CS!$A:$AK,14,FALSE),"")</f>
      </c>
      <c r="I547" s="54">
        <f>IFERROR(VLOOKUP($A:$A,CS!$A:$AK,15,FALSE),"")</f>
      </c>
      <c r="J547" s="54">
        <f>IFERROR(VLOOKUP($A:$A,CS!$A:$AK,18,FALSE),"")</f>
      </c>
      <c r="K547" s="54">
        <f>IFERROR(VLOOKUP($A:$A,CS!$A:$AK,19,FALSE),"")</f>
      </c>
      <c r="L547" s="54">
        <f>IFERROR(VLOOKUP($A:$A,CS!$A:$AK,20,FALSE),"")</f>
      </c>
      <c r="M547" s="54">
        <f>IFERROR(VLOOKUP($A:$A,CS!$A:$AK,22,FALSE),"")</f>
      </c>
      <c r="N547" s="54">
        <f>IFERROR(VLOOKUP($A:$A,CS!$A:$AK,19,FALSE),"")</f>
      </c>
      <c r="O547" s="54">
        <f>IFERROR(VLOOKUP($A:$A,CS!$A:$AK,23,FALSE),"")</f>
      </c>
      <c r="P547" s="54">
        <f>IFERROR(VLOOKUP($A:$A,CS!$A:$AK,24,FALSE),"")</f>
      </c>
      <c r="Q547" s="54">
        <f>IFERROR(VLOOKUP($A:$A,CS!$A:$AK,25,FALSE),"")</f>
      </c>
      <c r="R547" s="54">
        <f>IFERROR(VLOOKUP($A:$A,CS!$A:$AK,26,FALSE),"")</f>
      </c>
      <c r="S547" s="54">
        <f>IFERROR(VLOOKUP($A:$A,CS!$A:$AK,29,FALSE),"")</f>
      </c>
      <c r="T547" s="54">
        <f>IFERROR(VLOOKUP($A:$A,CS!$A:$AK,33,FALSE),"")</f>
      </c>
      <c r="U547" s="54">
        <f>IFERROR(VLOOKUP($A:$A,CS!$A:$AK,34,FALSE),"")</f>
      </c>
      <c r="V547" s="54">
        <f>IFERROR(VLOOKUP($A:$A,CS!$A:$AK,35,FALSE),"")</f>
      </c>
      <c r="W547" s="54">
        <f>IFERROR(VLOOKUP($A:$A,CS!$A:$AK,36,FALSE),"")</f>
      </c>
    </row>
    <row r="548" ht="16.5" customHeight="1" spans="1:23" x14ac:dyDescent="0.25">
      <c r="A548" s="68"/>
      <c r="B548" s="54">
        <f>IFERROR(VLOOKUP($A:$A,CS!$A:$AK,3,FALSE),"")</f>
      </c>
      <c r="C548" s="54">
        <f>IFERROR(VLOOKUP($A:$A,CS!$A:$AK,4,FALSE),"")</f>
      </c>
      <c r="D548" s="54">
        <f>IFERROR(VLOOKUP($A:$A,CS!$A:$AK,5,FALSE),"")</f>
      </c>
      <c r="E548" s="54">
        <f>IFERROR(VLOOKUP($A:$A,CS!$A:$AK,7,FALSE),"")</f>
      </c>
      <c r="F548" s="54">
        <f>IFERROR(VLOOKUP($A:$A,CS!$A:$AK,8,FALSE),"")</f>
      </c>
      <c r="G548" s="54">
        <f>IFERROR(VLOOKUP($A:$A,CS!$A:$AK,10,FALSE),"")</f>
      </c>
      <c r="H548" s="54">
        <f>IFERROR(VLOOKUP($A:$A,CS!$A:$AK,14,FALSE),"")</f>
      </c>
      <c r="I548" s="54">
        <f>IFERROR(VLOOKUP($A:$A,CS!$A:$AK,15,FALSE),"")</f>
      </c>
      <c r="J548" s="54">
        <f>IFERROR(VLOOKUP($A:$A,CS!$A:$AK,18,FALSE),"")</f>
      </c>
      <c r="K548" s="54">
        <f>IFERROR(VLOOKUP($A:$A,CS!$A:$AK,19,FALSE),"")</f>
      </c>
      <c r="L548" s="54">
        <f>IFERROR(VLOOKUP($A:$A,CS!$A:$AK,20,FALSE),"")</f>
      </c>
      <c r="M548" s="54">
        <f>IFERROR(VLOOKUP($A:$A,CS!$A:$AK,22,FALSE),"")</f>
      </c>
      <c r="N548" s="54">
        <f>IFERROR(VLOOKUP($A:$A,CS!$A:$AK,19,FALSE),"")</f>
      </c>
      <c r="O548" s="54">
        <f>IFERROR(VLOOKUP($A:$A,CS!$A:$AK,23,FALSE),"")</f>
      </c>
      <c r="P548" s="54">
        <f>IFERROR(VLOOKUP($A:$A,CS!$A:$AK,24,FALSE),"")</f>
      </c>
      <c r="Q548" s="54">
        <f>IFERROR(VLOOKUP($A:$A,CS!$A:$AK,25,FALSE),"")</f>
      </c>
      <c r="R548" s="54">
        <f>IFERROR(VLOOKUP($A:$A,CS!$A:$AK,26,FALSE),"")</f>
      </c>
      <c r="S548" s="54">
        <f>IFERROR(VLOOKUP($A:$A,CS!$A:$AK,29,FALSE),"")</f>
      </c>
      <c r="T548" s="54">
        <f>IFERROR(VLOOKUP($A:$A,CS!$A:$AK,33,FALSE),"")</f>
      </c>
      <c r="U548" s="54">
        <f>IFERROR(VLOOKUP($A:$A,CS!$A:$AK,34,FALSE),"")</f>
      </c>
      <c r="V548" s="54">
        <f>IFERROR(VLOOKUP($A:$A,CS!$A:$AK,35,FALSE),"")</f>
      </c>
      <c r="W548" s="54">
        <f>IFERROR(VLOOKUP($A:$A,CS!$A:$AK,36,FALSE),"")</f>
      </c>
    </row>
    <row r="549" ht="16.5" customHeight="1" spans="1:23" x14ac:dyDescent="0.25">
      <c r="A549" s="68"/>
      <c r="B549" s="54">
        <f>IFERROR(VLOOKUP($A:$A,CS!$A:$AK,3,FALSE),"")</f>
      </c>
      <c r="C549" s="54">
        <f>IFERROR(VLOOKUP($A:$A,CS!$A:$AK,4,FALSE),"")</f>
      </c>
      <c r="D549" s="54">
        <f>IFERROR(VLOOKUP($A:$A,CS!$A:$AK,5,FALSE),"")</f>
      </c>
      <c r="E549" s="54">
        <f>IFERROR(VLOOKUP($A:$A,CS!$A:$AK,7,FALSE),"")</f>
      </c>
      <c r="F549" s="54">
        <f>IFERROR(VLOOKUP($A:$A,CS!$A:$AK,8,FALSE),"")</f>
      </c>
      <c r="G549" s="54">
        <f>IFERROR(VLOOKUP($A:$A,CS!$A:$AK,10,FALSE),"")</f>
      </c>
      <c r="H549" s="54">
        <f>IFERROR(VLOOKUP($A:$A,CS!$A:$AK,14,FALSE),"")</f>
      </c>
      <c r="I549" s="54">
        <f>IFERROR(VLOOKUP($A:$A,CS!$A:$AK,15,FALSE),"")</f>
      </c>
      <c r="J549" s="54">
        <f>IFERROR(VLOOKUP($A:$A,CS!$A:$AK,18,FALSE),"")</f>
      </c>
      <c r="K549" s="54">
        <f>IFERROR(VLOOKUP($A:$A,CS!$A:$AK,19,FALSE),"")</f>
      </c>
      <c r="L549" s="54">
        <f>IFERROR(VLOOKUP($A:$A,CS!$A:$AK,20,FALSE),"")</f>
      </c>
      <c r="M549" s="54">
        <f>IFERROR(VLOOKUP($A:$A,CS!$A:$AK,22,FALSE),"")</f>
      </c>
      <c r="N549" s="54">
        <f>IFERROR(VLOOKUP($A:$A,CS!$A:$AK,19,FALSE),"")</f>
      </c>
      <c r="O549" s="54">
        <f>IFERROR(VLOOKUP($A:$A,CS!$A:$AK,23,FALSE),"")</f>
      </c>
      <c r="P549" s="54">
        <f>IFERROR(VLOOKUP($A:$A,CS!$A:$AK,24,FALSE),"")</f>
      </c>
      <c r="Q549" s="54">
        <f>IFERROR(VLOOKUP($A:$A,CS!$A:$AK,25,FALSE),"")</f>
      </c>
      <c r="R549" s="54">
        <f>IFERROR(VLOOKUP($A:$A,CS!$A:$AK,26,FALSE),"")</f>
      </c>
      <c r="S549" s="54">
        <f>IFERROR(VLOOKUP($A:$A,CS!$A:$AK,29,FALSE),"")</f>
      </c>
      <c r="T549" s="54">
        <f>IFERROR(VLOOKUP($A:$A,CS!$A:$AK,33,FALSE),"")</f>
      </c>
      <c r="U549" s="54">
        <f>IFERROR(VLOOKUP($A:$A,CS!$A:$AK,34,FALSE),"")</f>
      </c>
      <c r="V549" s="54">
        <f>IFERROR(VLOOKUP($A:$A,CS!$A:$AK,35,FALSE),"")</f>
      </c>
      <c r="W549" s="54">
        <f>IFERROR(VLOOKUP($A:$A,CS!$A:$AK,36,FALSE),"")</f>
      </c>
    </row>
    <row r="550" ht="16.5" customHeight="1" spans="1:23" x14ac:dyDescent="0.25">
      <c r="A550" s="68"/>
      <c r="B550" s="54">
        <f>IFERROR(VLOOKUP($A:$A,CS!$A:$AK,3,FALSE),"")</f>
      </c>
      <c r="C550" s="54">
        <f>IFERROR(VLOOKUP($A:$A,CS!$A:$AK,4,FALSE),"")</f>
      </c>
      <c r="D550" s="54">
        <f>IFERROR(VLOOKUP($A:$A,CS!$A:$AK,5,FALSE),"")</f>
      </c>
      <c r="E550" s="54">
        <f>IFERROR(VLOOKUP($A:$A,CS!$A:$AK,7,FALSE),"")</f>
      </c>
      <c r="F550" s="54">
        <f>IFERROR(VLOOKUP($A:$A,CS!$A:$AK,8,FALSE),"")</f>
      </c>
      <c r="G550" s="54">
        <f>IFERROR(VLOOKUP($A:$A,CS!$A:$AK,10,FALSE),"")</f>
      </c>
      <c r="H550" s="54">
        <f>IFERROR(VLOOKUP($A:$A,CS!$A:$AK,14,FALSE),"")</f>
      </c>
      <c r="I550" s="54">
        <f>IFERROR(VLOOKUP($A:$A,CS!$A:$AK,15,FALSE),"")</f>
      </c>
      <c r="J550" s="54">
        <f>IFERROR(VLOOKUP($A:$A,CS!$A:$AK,18,FALSE),"")</f>
      </c>
      <c r="K550" s="54">
        <f>IFERROR(VLOOKUP($A:$A,CS!$A:$AK,19,FALSE),"")</f>
      </c>
      <c r="L550" s="54">
        <f>IFERROR(VLOOKUP($A:$A,CS!$A:$AK,20,FALSE),"")</f>
      </c>
      <c r="M550" s="54">
        <f>IFERROR(VLOOKUP($A:$A,CS!$A:$AK,22,FALSE),"")</f>
      </c>
      <c r="N550" s="54">
        <f>IFERROR(VLOOKUP($A:$A,CS!$A:$AK,19,FALSE),"")</f>
      </c>
      <c r="O550" s="54">
        <f>IFERROR(VLOOKUP($A:$A,CS!$A:$AK,23,FALSE),"")</f>
      </c>
      <c r="P550" s="54">
        <f>IFERROR(VLOOKUP($A:$A,CS!$A:$AK,24,FALSE),"")</f>
      </c>
      <c r="Q550" s="54">
        <f>IFERROR(VLOOKUP($A:$A,CS!$A:$AK,25,FALSE),"")</f>
      </c>
      <c r="R550" s="54">
        <f>IFERROR(VLOOKUP($A:$A,CS!$A:$AK,26,FALSE),"")</f>
      </c>
      <c r="S550" s="54">
        <f>IFERROR(VLOOKUP($A:$A,CS!$A:$AK,29,FALSE),"")</f>
      </c>
      <c r="T550" s="54">
        <f>IFERROR(VLOOKUP($A:$A,CS!$A:$AK,33,FALSE),"")</f>
      </c>
      <c r="U550" s="54">
        <f>IFERROR(VLOOKUP($A:$A,CS!$A:$AK,34,FALSE),"")</f>
      </c>
      <c r="V550" s="54">
        <f>IFERROR(VLOOKUP($A:$A,CS!$A:$AK,35,FALSE),"")</f>
      </c>
      <c r="W550" s="54">
        <f>IFERROR(VLOOKUP($A:$A,CS!$A:$AK,36,FALSE),"")</f>
      </c>
    </row>
    <row r="551" ht="16.5" customHeight="1" spans="1:23" x14ac:dyDescent="0.25">
      <c r="A551" s="68"/>
      <c r="B551" s="54">
        <f>IFERROR(VLOOKUP($A:$A,CS!$A:$AK,3,FALSE),"")</f>
      </c>
      <c r="C551" s="54">
        <f>IFERROR(VLOOKUP($A:$A,CS!$A:$AK,4,FALSE),"")</f>
      </c>
      <c r="D551" s="54">
        <f>IFERROR(VLOOKUP($A:$A,CS!$A:$AK,5,FALSE),"")</f>
      </c>
      <c r="E551" s="54">
        <f>IFERROR(VLOOKUP($A:$A,CS!$A:$AK,7,FALSE),"")</f>
      </c>
      <c r="F551" s="54">
        <f>IFERROR(VLOOKUP($A:$A,CS!$A:$AK,8,FALSE),"")</f>
      </c>
      <c r="G551" s="54">
        <f>IFERROR(VLOOKUP($A:$A,CS!$A:$AK,10,FALSE),"")</f>
      </c>
      <c r="H551" s="54">
        <f>IFERROR(VLOOKUP($A:$A,CS!$A:$AK,14,FALSE),"")</f>
      </c>
      <c r="I551" s="54">
        <f>IFERROR(VLOOKUP($A:$A,CS!$A:$AK,15,FALSE),"")</f>
      </c>
      <c r="J551" s="54">
        <f>IFERROR(VLOOKUP($A:$A,CS!$A:$AK,18,FALSE),"")</f>
      </c>
      <c r="K551" s="54">
        <f>IFERROR(VLOOKUP($A:$A,CS!$A:$AK,19,FALSE),"")</f>
      </c>
      <c r="L551" s="54">
        <f>IFERROR(VLOOKUP($A:$A,CS!$A:$AK,20,FALSE),"")</f>
      </c>
      <c r="M551" s="54">
        <f>IFERROR(VLOOKUP($A:$A,CS!$A:$AK,22,FALSE),"")</f>
      </c>
      <c r="N551" s="54">
        <f>IFERROR(VLOOKUP($A:$A,CS!$A:$AK,19,FALSE),"")</f>
      </c>
      <c r="O551" s="54">
        <f>IFERROR(VLOOKUP($A:$A,CS!$A:$AK,23,FALSE),"")</f>
      </c>
      <c r="P551" s="54">
        <f>IFERROR(VLOOKUP($A:$A,CS!$A:$AK,24,FALSE),"")</f>
      </c>
      <c r="Q551" s="54">
        <f>IFERROR(VLOOKUP($A:$A,CS!$A:$AK,25,FALSE),"")</f>
      </c>
      <c r="R551" s="54">
        <f>IFERROR(VLOOKUP($A:$A,CS!$A:$AK,26,FALSE),"")</f>
      </c>
      <c r="S551" s="54">
        <f>IFERROR(VLOOKUP($A:$A,CS!$A:$AK,29,FALSE),"")</f>
      </c>
      <c r="T551" s="54">
        <f>IFERROR(VLOOKUP($A:$A,CS!$A:$AK,33,FALSE),"")</f>
      </c>
      <c r="U551" s="54">
        <f>IFERROR(VLOOKUP($A:$A,CS!$A:$AK,34,FALSE),"")</f>
      </c>
      <c r="V551" s="54">
        <f>IFERROR(VLOOKUP($A:$A,CS!$A:$AK,35,FALSE),"")</f>
      </c>
      <c r="W551" s="54">
        <f>IFERROR(VLOOKUP($A:$A,CS!$A:$AK,36,FALSE),"")</f>
      </c>
    </row>
    <row r="552" ht="16.5" customHeight="1" spans="1:23" x14ac:dyDescent="0.25">
      <c r="A552" s="68"/>
      <c r="B552" s="54">
        <f>IFERROR(VLOOKUP($A:$A,CS!$A:$AK,3,FALSE),"")</f>
      </c>
      <c r="C552" s="54">
        <f>IFERROR(VLOOKUP($A:$A,CS!$A:$AK,4,FALSE),"")</f>
      </c>
      <c r="D552" s="54">
        <f>IFERROR(VLOOKUP($A:$A,CS!$A:$AK,5,FALSE),"")</f>
      </c>
      <c r="E552" s="54">
        <f>IFERROR(VLOOKUP($A:$A,CS!$A:$AK,7,FALSE),"")</f>
      </c>
      <c r="F552" s="54">
        <f>IFERROR(VLOOKUP($A:$A,CS!$A:$AK,8,FALSE),"")</f>
      </c>
      <c r="G552" s="54">
        <f>IFERROR(VLOOKUP($A:$A,CS!$A:$AK,10,FALSE),"")</f>
      </c>
      <c r="H552" s="54">
        <f>IFERROR(VLOOKUP($A:$A,CS!$A:$AK,14,FALSE),"")</f>
      </c>
      <c r="I552" s="54">
        <f>IFERROR(VLOOKUP($A:$A,CS!$A:$AK,15,FALSE),"")</f>
      </c>
      <c r="J552" s="54">
        <f>IFERROR(VLOOKUP($A:$A,CS!$A:$AK,18,FALSE),"")</f>
      </c>
      <c r="K552" s="54">
        <f>IFERROR(VLOOKUP($A:$A,CS!$A:$AK,19,FALSE),"")</f>
      </c>
      <c r="L552" s="54">
        <f>IFERROR(VLOOKUP($A:$A,CS!$A:$AK,20,FALSE),"")</f>
      </c>
      <c r="M552" s="54">
        <f>IFERROR(VLOOKUP($A:$A,CS!$A:$AK,22,FALSE),"")</f>
      </c>
      <c r="N552" s="54">
        <f>IFERROR(VLOOKUP($A:$A,CS!$A:$AK,19,FALSE),"")</f>
      </c>
      <c r="O552" s="54">
        <f>IFERROR(VLOOKUP($A:$A,CS!$A:$AK,23,FALSE),"")</f>
      </c>
      <c r="P552" s="54">
        <f>IFERROR(VLOOKUP($A:$A,CS!$A:$AK,24,FALSE),"")</f>
      </c>
      <c r="Q552" s="54">
        <f>IFERROR(VLOOKUP($A:$A,CS!$A:$AK,25,FALSE),"")</f>
      </c>
      <c r="R552" s="54">
        <f>IFERROR(VLOOKUP($A:$A,CS!$A:$AK,26,FALSE),"")</f>
      </c>
      <c r="S552" s="54">
        <f>IFERROR(VLOOKUP($A:$A,CS!$A:$AK,29,FALSE),"")</f>
      </c>
      <c r="T552" s="54">
        <f>IFERROR(VLOOKUP($A:$A,CS!$A:$AK,33,FALSE),"")</f>
      </c>
      <c r="U552" s="54">
        <f>IFERROR(VLOOKUP($A:$A,CS!$A:$AK,34,FALSE),"")</f>
      </c>
      <c r="V552" s="54">
        <f>IFERROR(VLOOKUP($A:$A,CS!$A:$AK,35,FALSE),"")</f>
      </c>
      <c r="W552" s="54">
        <f>IFERROR(VLOOKUP($A:$A,CS!$A:$AK,36,FALSE),"")</f>
      </c>
    </row>
    <row r="553" ht="16.5" customHeight="1" spans="1:23" x14ac:dyDescent="0.25">
      <c r="A553" s="68"/>
      <c r="B553" s="54">
        <f>IFERROR(VLOOKUP($A:$A,CS!$A:$AK,3,FALSE),"")</f>
      </c>
      <c r="C553" s="54">
        <f>IFERROR(VLOOKUP($A:$A,CS!$A:$AK,4,FALSE),"")</f>
      </c>
      <c r="D553" s="54">
        <f>IFERROR(VLOOKUP($A:$A,CS!$A:$AK,5,FALSE),"")</f>
      </c>
      <c r="E553" s="54">
        <f>IFERROR(VLOOKUP($A:$A,CS!$A:$AK,7,FALSE),"")</f>
      </c>
      <c r="F553" s="54">
        <f>IFERROR(VLOOKUP($A:$A,CS!$A:$AK,8,FALSE),"")</f>
      </c>
      <c r="G553" s="54">
        <f>IFERROR(VLOOKUP($A:$A,CS!$A:$AK,10,FALSE),"")</f>
      </c>
      <c r="H553" s="54">
        <f>IFERROR(VLOOKUP($A:$A,CS!$A:$AK,14,FALSE),"")</f>
      </c>
      <c r="I553" s="54">
        <f>IFERROR(VLOOKUP($A:$A,CS!$A:$AK,15,FALSE),"")</f>
      </c>
      <c r="J553" s="54">
        <f>IFERROR(VLOOKUP($A:$A,CS!$A:$AK,18,FALSE),"")</f>
      </c>
      <c r="K553" s="54">
        <f>IFERROR(VLOOKUP($A:$A,CS!$A:$AK,19,FALSE),"")</f>
      </c>
      <c r="L553" s="54">
        <f>IFERROR(VLOOKUP($A:$A,CS!$A:$AK,20,FALSE),"")</f>
      </c>
      <c r="M553" s="54">
        <f>IFERROR(VLOOKUP($A:$A,CS!$A:$AK,22,FALSE),"")</f>
      </c>
      <c r="N553" s="54">
        <f>IFERROR(VLOOKUP($A:$A,CS!$A:$AK,19,FALSE),"")</f>
      </c>
      <c r="O553" s="54">
        <f>IFERROR(VLOOKUP($A:$A,CS!$A:$AK,23,FALSE),"")</f>
      </c>
      <c r="P553" s="54">
        <f>IFERROR(VLOOKUP($A:$A,CS!$A:$AK,24,FALSE),"")</f>
      </c>
      <c r="Q553" s="54">
        <f>IFERROR(VLOOKUP($A:$A,CS!$A:$AK,25,FALSE),"")</f>
      </c>
      <c r="R553" s="54">
        <f>IFERROR(VLOOKUP($A:$A,CS!$A:$AK,26,FALSE),"")</f>
      </c>
      <c r="S553" s="54">
        <f>IFERROR(VLOOKUP($A:$A,CS!$A:$AK,29,FALSE),"")</f>
      </c>
      <c r="T553" s="54">
        <f>IFERROR(VLOOKUP($A:$A,CS!$A:$AK,33,FALSE),"")</f>
      </c>
      <c r="U553" s="54">
        <f>IFERROR(VLOOKUP($A:$A,CS!$A:$AK,34,FALSE),"")</f>
      </c>
      <c r="V553" s="54">
        <f>IFERROR(VLOOKUP($A:$A,CS!$A:$AK,35,FALSE),"")</f>
      </c>
      <c r="W553" s="54">
        <f>IFERROR(VLOOKUP($A:$A,CS!$A:$AK,36,FALSE),"")</f>
      </c>
    </row>
    <row r="554" ht="16.5" customHeight="1" spans="1:23" x14ac:dyDescent="0.25">
      <c r="A554" s="68"/>
      <c r="B554" s="54">
        <f>IFERROR(VLOOKUP($A:$A,CS!$A:$AK,3,FALSE),"")</f>
      </c>
      <c r="C554" s="54">
        <f>IFERROR(VLOOKUP($A:$A,CS!$A:$AK,4,FALSE),"")</f>
      </c>
      <c r="D554" s="54">
        <f>IFERROR(VLOOKUP($A:$A,CS!$A:$AK,5,FALSE),"")</f>
      </c>
      <c r="E554" s="54">
        <f>IFERROR(VLOOKUP($A:$A,CS!$A:$AK,7,FALSE),"")</f>
      </c>
      <c r="F554" s="54">
        <f>IFERROR(VLOOKUP($A:$A,CS!$A:$AK,8,FALSE),"")</f>
      </c>
      <c r="G554" s="54">
        <f>IFERROR(VLOOKUP($A:$A,CS!$A:$AK,10,FALSE),"")</f>
      </c>
      <c r="H554" s="54">
        <f>IFERROR(VLOOKUP($A:$A,CS!$A:$AK,14,FALSE),"")</f>
      </c>
      <c r="I554" s="54">
        <f>IFERROR(VLOOKUP($A:$A,CS!$A:$AK,15,FALSE),"")</f>
      </c>
      <c r="J554" s="54">
        <f>IFERROR(VLOOKUP($A:$A,CS!$A:$AK,18,FALSE),"")</f>
      </c>
      <c r="K554" s="54">
        <f>IFERROR(VLOOKUP($A:$A,CS!$A:$AK,19,FALSE),"")</f>
      </c>
      <c r="L554" s="54">
        <f>IFERROR(VLOOKUP($A:$A,CS!$A:$AK,20,FALSE),"")</f>
      </c>
      <c r="M554" s="54">
        <f>IFERROR(VLOOKUP($A:$A,CS!$A:$AK,22,FALSE),"")</f>
      </c>
      <c r="N554" s="54">
        <f>IFERROR(VLOOKUP($A:$A,CS!$A:$AK,19,FALSE),"")</f>
      </c>
      <c r="O554" s="54">
        <f>IFERROR(VLOOKUP($A:$A,CS!$A:$AK,23,FALSE),"")</f>
      </c>
      <c r="P554" s="54">
        <f>IFERROR(VLOOKUP($A:$A,CS!$A:$AK,24,FALSE),"")</f>
      </c>
      <c r="Q554" s="54">
        <f>IFERROR(VLOOKUP($A:$A,CS!$A:$AK,25,FALSE),"")</f>
      </c>
      <c r="R554" s="54">
        <f>IFERROR(VLOOKUP($A:$A,CS!$A:$AK,26,FALSE),"")</f>
      </c>
      <c r="S554" s="54">
        <f>IFERROR(VLOOKUP($A:$A,CS!$A:$AK,29,FALSE),"")</f>
      </c>
      <c r="T554" s="54">
        <f>IFERROR(VLOOKUP($A:$A,CS!$A:$AK,33,FALSE),"")</f>
      </c>
      <c r="U554" s="54">
        <f>IFERROR(VLOOKUP($A:$A,CS!$A:$AK,34,FALSE),"")</f>
      </c>
      <c r="V554" s="54">
        <f>IFERROR(VLOOKUP($A:$A,CS!$A:$AK,35,FALSE),"")</f>
      </c>
      <c r="W554" s="54">
        <f>IFERROR(VLOOKUP($A:$A,CS!$A:$AK,36,FALSE),"")</f>
      </c>
    </row>
    <row r="555" ht="16.5" customHeight="1" spans="1:23" x14ac:dyDescent="0.25">
      <c r="A555" s="68"/>
      <c r="B555" s="54">
        <f>IFERROR(VLOOKUP($A:$A,CS!$A:$AK,3,FALSE),"")</f>
      </c>
      <c r="C555" s="54">
        <f>IFERROR(VLOOKUP($A:$A,CS!$A:$AK,4,FALSE),"")</f>
      </c>
      <c r="D555" s="54">
        <f>IFERROR(VLOOKUP($A:$A,CS!$A:$AK,5,FALSE),"")</f>
      </c>
      <c r="E555" s="54">
        <f>IFERROR(VLOOKUP($A:$A,CS!$A:$AK,7,FALSE),"")</f>
      </c>
      <c r="F555" s="54">
        <f>IFERROR(VLOOKUP($A:$A,CS!$A:$AK,8,FALSE),"")</f>
      </c>
      <c r="G555" s="54">
        <f>IFERROR(VLOOKUP($A:$A,CS!$A:$AK,10,FALSE),"")</f>
      </c>
      <c r="H555" s="54">
        <f>IFERROR(VLOOKUP($A:$A,CS!$A:$AK,14,FALSE),"")</f>
      </c>
      <c r="I555" s="54">
        <f>IFERROR(VLOOKUP($A:$A,CS!$A:$AK,15,FALSE),"")</f>
      </c>
      <c r="J555" s="54">
        <f>IFERROR(VLOOKUP($A:$A,CS!$A:$AK,18,FALSE),"")</f>
      </c>
      <c r="K555" s="54">
        <f>IFERROR(VLOOKUP($A:$A,CS!$A:$AK,19,FALSE),"")</f>
      </c>
      <c r="L555" s="54">
        <f>IFERROR(VLOOKUP($A:$A,CS!$A:$AK,20,FALSE),"")</f>
      </c>
      <c r="M555" s="54">
        <f>IFERROR(VLOOKUP($A:$A,CS!$A:$AK,22,FALSE),"")</f>
      </c>
      <c r="N555" s="54">
        <f>IFERROR(VLOOKUP($A:$A,CS!$A:$AK,19,FALSE),"")</f>
      </c>
      <c r="O555" s="54">
        <f>IFERROR(VLOOKUP($A:$A,CS!$A:$AK,23,FALSE),"")</f>
      </c>
      <c r="P555" s="54">
        <f>IFERROR(VLOOKUP($A:$A,CS!$A:$AK,24,FALSE),"")</f>
      </c>
      <c r="Q555" s="54">
        <f>IFERROR(VLOOKUP($A:$A,CS!$A:$AK,25,FALSE),"")</f>
      </c>
      <c r="R555" s="54">
        <f>IFERROR(VLOOKUP($A:$A,CS!$A:$AK,26,FALSE),"")</f>
      </c>
      <c r="S555" s="54">
        <f>IFERROR(VLOOKUP($A:$A,CS!$A:$AK,29,FALSE),"")</f>
      </c>
      <c r="T555" s="54">
        <f>IFERROR(VLOOKUP($A:$A,CS!$A:$AK,33,FALSE),"")</f>
      </c>
      <c r="U555" s="54">
        <f>IFERROR(VLOOKUP($A:$A,CS!$A:$AK,34,FALSE),"")</f>
      </c>
      <c r="V555" s="54">
        <f>IFERROR(VLOOKUP($A:$A,CS!$A:$AK,35,FALSE),"")</f>
      </c>
      <c r="W555" s="54">
        <f>IFERROR(VLOOKUP($A:$A,CS!$A:$AK,36,FALSE),"")</f>
      </c>
    </row>
    <row r="556" ht="16.5" customHeight="1" spans="1:23" x14ac:dyDescent="0.25">
      <c r="A556" s="68"/>
      <c r="B556" s="54">
        <f>IFERROR(VLOOKUP($A:$A,CS!$A:$AK,3,FALSE),"")</f>
      </c>
      <c r="C556" s="54">
        <f>IFERROR(VLOOKUP($A:$A,CS!$A:$AK,4,FALSE),"")</f>
      </c>
      <c r="D556" s="54">
        <f>IFERROR(VLOOKUP($A:$A,CS!$A:$AK,5,FALSE),"")</f>
      </c>
      <c r="E556" s="54">
        <f>IFERROR(VLOOKUP($A:$A,CS!$A:$AK,7,FALSE),"")</f>
      </c>
      <c r="F556" s="54">
        <f>IFERROR(VLOOKUP($A:$A,CS!$A:$AK,8,FALSE),"")</f>
      </c>
      <c r="G556" s="54">
        <f>IFERROR(VLOOKUP($A:$A,CS!$A:$AK,10,FALSE),"")</f>
      </c>
      <c r="H556" s="54">
        <f>IFERROR(VLOOKUP($A:$A,CS!$A:$AK,14,FALSE),"")</f>
      </c>
      <c r="I556" s="54">
        <f>IFERROR(VLOOKUP($A:$A,CS!$A:$AK,15,FALSE),"")</f>
      </c>
      <c r="J556" s="54">
        <f>IFERROR(VLOOKUP($A:$A,CS!$A:$AK,18,FALSE),"")</f>
      </c>
      <c r="K556" s="54">
        <f>IFERROR(VLOOKUP($A:$A,CS!$A:$AK,19,FALSE),"")</f>
      </c>
      <c r="L556" s="54">
        <f>IFERROR(VLOOKUP($A:$A,CS!$A:$AK,20,FALSE),"")</f>
      </c>
      <c r="M556" s="54">
        <f>IFERROR(VLOOKUP($A:$A,CS!$A:$AK,22,FALSE),"")</f>
      </c>
      <c r="N556" s="54">
        <f>IFERROR(VLOOKUP($A:$A,CS!$A:$AK,19,FALSE),"")</f>
      </c>
      <c r="O556" s="54">
        <f>IFERROR(VLOOKUP($A:$A,CS!$A:$AK,23,FALSE),"")</f>
      </c>
      <c r="P556" s="54">
        <f>IFERROR(VLOOKUP($A:$A,CS!$A:$AK,24,FALSE),"")</f>
      </c>
      <c r="Q556" s="54">
        <f>IFERROR(VLOOKUP($A:$A,CS!$A:$AK,25,FALSE),"")</f>
      </c>
      <c r="R556" s="54">
        <f>IFERROR(VLOOKUP($A:$A,CS!$A:$AK,26,FALSE),"")</f>
      </c>
      <c r="S556" s="54">
        <f>IFERROR(VLOOKUP($A:$A,CS!$A:$AK,29,FALSE),"")</f>
      </c>
      <c r="T556" s="54">
        <f>IFERROR(VLOOKUP($A:$A,CS!$A:$AK,33,FALSE),"")</f>
      </c>
      <c r="U556" s="54">
        <f>IFERROR(VLOOKUP($A:$A,CS!$A:$AK,34,FALSE),"")</f>
      </c>
      <c r="V556" s="54">
        <f>IFERROR(VLOOKUP($A:$A,CS!$A:$AK,35,FALSE),"")</f>
      </c>
      <c r="W556" s="54">
        <f>IFERROR(VLOOKUP($A:$A,CS!$A:$AK,36,FALSE),"")</f>
      </c>
    </row>
    <row r="557" ht="16.5" customHeight="1" spans="1:23" x14ac:dyDescent="0.25">
      <c r="A557" s="68"/>
      <c r="B557" s="54">
        <f>IFERROR(VLOOKUP($A:$A,CS!$A:$AK,3,FALSE),"")</f>
      </c>
      <c r="C557" s="54">
        <f>IFERROR(VLOOKUP($A:$A,CS!$A:$AK,4,FALSE),"")</f>
      </c>
      <c r="D557" s="54">
        <f>IFERROR(VLOOKUP($A:$A,CS!$A:$AK,5,FALSE),"")</f>
      </c>
      <c r="E557" s="54">
        <f>IFERROR(VLOOKUP($A:$A,CS!$A:$AK,7,FALSE),"")</f>
      </c>
      <c r="F557" s="54">
        <f>IFERROR(VLOOKUP($A:$A,CS!$A:$AK,8,FALSE),"")</f>
      </c>
      <c r="G557" s="54">
        <f>IFERROR(VLOOKUP($A:$A,CS!$A:$AK,10,FALSE),"")</f>
      </c>
      <c r="H557" s="54">
        <f>IFERROR(VLOOKUP($A:$A,CS!$A:$AK,14,FALSE),"")</f>
      </c>
      <c r="I557" s="54">
        <f>IFERROR(VLOOKUP($A:$A,CS!$A:$AK,15,FALSE),"")</f>
      </c>
      <c r="J557" s="54">
        <f>IFERROR(VLOOKUP($A:$A,CS!$A:$AK,18,FALSE),"")</f>
      </c>
      <c r="K557" s="54">
        <f>IFERROR(VLOOKUP($A:$A,CS!$A:$AK,19,FALSE),"")</f>
      </c>
      <c r="L557" s="54">
        <f>IFERROR(VLOOKUP($A:$A,CS!$A:$AK,20,FALSE),"")</f>
      </c>
      <c r="M557" s="54">
        <f>IFERROR(VLOOKUP($A:$A,CS!$A:$AK,22,FALSE),"")</f>
      </c>
      <c r="N557" s="54">
        <f>IFERROR(VLOOKUP($A:$A,CS!$A:$AK,19,FALSE),"")</f>
      </c>
      <c r="O557" s="54">
        <f>IFERROR(VLOOKUP($A:$A,CS!$A:$AK,23,FALSE),"")</f>
      </c>
      <c r="P557" s="54">
        <f>IFERROR(VLOOKUP($A:$A,CS!$A:$AK,24,FALSE),"")</f>
      </c>
      <c r="Q557" s="54">
        <f>IFERROR(VLOOKUP($A:$A,CS!$A:$AK,25,FALSE),"")</f>
      </c>
      <c r="R557" s="54">
        <f>IFERROR(VLOOKUP($A:$A,CS!$A:$AK,26,FALSE),"")</f>
      </c>
      <c r="S557" s="54">
        <f>IFERROR(VLOOKUP($A:$A,CS!$A:$AK,29,FALSE),"")</f>
      </c>
      <c r="T557" s="54">
        <f>IFERROR(VLOOKUP($A:$A,CS!$A:$AK,33,FALSE),"")</f>
      </c>
      <c r="U557" s="54">
        <f>IFERROR(VLOOKUP($A:$A,CS!$A:$AK,34,FALSE),"")</f>
      </c>
      <c r="V557" s="54">
        <f>IFERROR(VLOOKUP($A:$A,CS!$A:$AK,35,FALSE),"")</f>
      </c>
      <c r="W557" s="54">
        <f>IFERROR(VLOOKUP($A:$A,CS!$A:$AK,36,FALSE),"")</f>
      </c>
    </row>
    <row r="558" ht="16.5" customHeight="1" spans="1:23" x14ac:dyDescent="0.25">
      <c r="A558" s="68"/>
      <c r="B558" s="54">
        <f>IFERROR(VLOOKUP($A:$A,CS!$A:$AK,3,FALSE),"")</f>
      </c>
      <c r="C558" s="54">
        <f>IFERROR(VLOOKUP($A:$A,CS!$A:$AK,4,FALSE),"")</f>
      </c>
      <c r="D558" s="54">
        <f>IFERROR(VLOOKUP($A:$A,CS!$A:$AK,5,FALSE),"")</f>
      </c>
      <c r="E558" s="54">
        <f>IFERROR(VLOOKUP($A:$A,CS!$A:$AK,7,FALSE),"")</f>
      </c>
      <c r="F558" s="54">
        <f>IFERROR(VLOOKUP($A:$A,CS!$A:$AK,8,FALSE),"")</f>
      </c>
      <c r="G558" s="54">
        <f>IFERROR(VLOOKUP($A:$A,CS!$A:$AK,10,FALSE),"")</f>
      </c>
      <c r="H558" s="54">
        <f>IFERROR(VLOOKUP($A:$A,CS!$A:$AK,14,FALSE),"")</f>
      </c>
      <c r="I558" s="54">
        <f>IFERROR(VLOOKUP($A:$A,CS!$A:$AK,15,FALSE),"")</f>
      </c>
      <c r="J558" s="54">
        <f>IFERROR(VLOOKUP($A:$A,CS!$A:$AK,18,FALSE),"")</f>
      </c>
      <c r="K558" s="54">
        <f>IFERROR(VLOOKUP($A:$A,CS!$A:$AK,19,FALSE),"")</f>
      </c>
      <c r="L558" s="54">
        <f>IFERROR(VLOOKUP($A:$A,CS!$A:$AK,20,FALSE),"")</f>
      </c>
      <c r="M558" s="54">
        <f>IFERROR(VLOOKUP($A:$A,CS!$A:$AK,22,FALSE),"")</f>
      </c>
      <c r="N558" s="54">
        <f>IFERROR(VLOOKUP($A:$A,CS!$A:$AK,19,FALSE),"")</f>
      </c>
      <c r="O558" s="54">
        <f>IFERROR(VLOOKUP($A:$A,CS!$A:$AK,23,FALSE),"")</f>
      </c>
      <c r="P558" s="54">
        <f>IFERROR(VLOOKUP($A:$A,CS!$A:$AK,24,FALSE),"")</f>
      </c>
      <c r="Q558" s="54">
        <f>IFERROR(VLOOKUP($A:$A,CS!$A:$AK,25,FALSE),"")</f>
      </c>
      <c r="R558" s="54">
        <f>IFERROR(VLOOKUP($A:$A,CS!$A:$AK,26,FALSE),"")</f>
      </c>
      <c r="S558" s="54">
        <f>IFERROR(VLOOKUP($A:$A,CS!$A:$AK,29,FALSE),"")</f>
      </c>
      <c r="T558" s="54">
        <f>IFERROR(VLOOKUP($A:$A,CS!$A:$AK,33,FALSE),"")</f>
      </c>
      <c r="U558" s="54">
        <f>IFERROR(VLOOKUP($A:$A,CS!$A:$AK,34,FALSE),"")</f>
      </c>
      <c r="V558" s="54">
        <f>IFERROR(VLOOKUP($A:$A,CS!$A:$AK,35,FALSE),"")</f>
      </c>
      <c r="W558" s="54">
        <f>IFERROR(VLOOKUP($A:$A,CS!$A:$AK,36,FALSE),"")</f>
      </c>
    </row>
    <row r="559" ht="16.5" customHeight="1" spans="1:23" x14ac:dyDescent="0.25">
      <c r="A559" s="68"/>
      <c r="B559" s="54">
        <f>IFERROR(VLOOKUP($A:$A,CS!$A:$AK,3,FALSE),"")</f>
      </c>
      <c r="C559" s="54">
        <f>IFERROR(VLOOKUP($A:$A,CS!$A:$AK,4,FALSE),"")</f>
      </c>
      <c r="D559" s="54">
        <f>IFERROR(VLOOKUP($A:$A,CS!$A:$AK,5,FALSE),"")</f>
      </c>
      <c r="E559" s="54">
        <f>IFERROR(VLOOKUP($A:$A,CS!$A:$AK,7,FALSE),"")</f>
      </c>
      <c r="F559" s="54">
        <f>IFERROR(VLOOKUP($A:$A,CS!$A:$AK,8,FALSE),"")</f>
      </c>
      <c r="G559" s="54">
        <f>IFERROR(VLOOKUP($A:$A,CS!$A:$AK,10,FALSE),"")</f>
      </c>
      <c r="H559" s="54">
        <f>IFERROR(VLOOKUP($A:$A,CS!$A:$AK,14,FALSE),"")</f>
      </c>
      <c r="I559" s="54">
        <f>IFERROR(VLOOKUP($A:$A,CS!$A:$AK,15,FALSE),"")</f>
      </c>
      <c r="J559" s="54">
        <f>IFERROR(VLOOKUP($A:$A,CS!$A:$AK,18,FALSE),"")</f>
      </c>
      <c r="K559" s="54">
        <f>IFERROR(VLOOKUP($A:$A,CS!$A:$AK,19,FALSE),"")</f>
      </c>
      <c r="L559" s="54">
        <f>IFERROR(VLOOKUP($A:$A,CS!$A:$AK,20,FALSE),"")</f>
      </c>
      <c r="M559" s="54">
        <f>IFERROR(VLOOKUP($A:$A,CS!$A:$AK,22,FALSE),"")</f>
      </c>
      <c r="N559" s="54">
        <f>IFERROR(VLOOKUP($A:$A,CS!$A:$AK,19,FALSE),"")</f>
      </c>
      <c r="O559" s="54">
        <f>IFERROR(VLOOKUP($A:$A,CS!$A:$AK,23,FALSE),"")</f>
      </c>
      <c r="P559" s="54">
        <f>IFERROR(VLOOKUP($A:$A,CS!$A:$AK,24,FALSE),"")</f>
      </c>
      <c r="Q559" s="54">
        <f>IFERROR(VLOOKUP($A:$A,CS!$A:$AK,25,FALSE),"")</f>
      </c>
      <c r="R559" s="54">
        <f>IFERROR(VLOOKUP($A:$A,CS!$A:$AK,26,FALSE),"")</f>
      </c>
      <c r="S559" s="54">
        <f>IFERROR(VLOOKUP($A:$A,CS!$A:$AK,29,FALSE),"")</f>
      </c>
      <c r="T559" s="54">
        <f>IFERROR(VLOOKUP($A:$A,CS!$A:$AK,33,FALSE),"")</f>
      </c>
      <c r="U559" s="54">
        <f>IFERROR(VLOOKUP($A:$A,CS!$A:$AK,34,FALSE),"")</f>
      </c>
      <c r="V559" s="54">
        <f>IFERROR(VLOOKUP($A:$A,CS!$A:$AK,35,FALSE),"")</f>
      </c>
      <c r="W559" s="54">
        <f>IFERROR(VLOOKUP($A:$A,CS!$A:$AK,36,FALSE),"")</f>
      </c>
    </row>
    <row r="560" ht="16.5" customHeight="1" spans="1:23" x14ac:dyDescent="0.25">
      <c r="A560" s="68"/>
      <c r="B560" s="54">
        <f>IFERROR(VLOOKUP($A:$A,CS!$A:$AK,3,FALSE),"")</f>
      </c>
      <c r="C560" s="54">
        <f>IFERROR(VLOOKUP($A:$A,CS!$A:$AK,4,FALSE),"")</f>
      </c>
      <c r="D560" s="54">
        <f>IFERROR(VLOOKUP($A:$A,CS!$A:$AK,5,FALSE),"")</f>
      </c>
      <c r="E560" s="54">
        <f>IFERROR(VLOOKUP($A:$A,CS!$A:$AK,7,FALSE),"")</f>
      </c>
      <c r="F560" s="54">
        <f>IFERROR(VLOOKUP($A:$A,CS!$A:$AK,8,FALSE),"")</f>
      </c>
      <c r="G560" s="54">
        <f>IFERROR(VLOOKUP($A:$A,CS!$A:$AK,10,FALSE),"")</f>
      </c>
      <c r="H560" s="54">
        <f>IFERROR(VLOOKUP($A:$A,CS!$A:$AK,14,FALSE),"")</f>
      </c>
      <c r="I560" s="54">
        <f>IFERROR(VLOOKUP($A:$A,CS!$A:$AK,15,FALSE),"")</f>
      </c>
      <c r="J560" s="54">
        <f>IFERROR(VLOOKUP($A:$A,CS!$A:$AK,18,FALSE),"")</f>
      </c>
      <c r="K560" s="54">
        <f>IFERROR(VLOOKUP($A:$A,CS!$A:$AK,19,FALSE),"")</f>
      </c>
      <c r="L560" s="54">
        <f>IFERROR(VLOOKUP($A:$A,CS!$A:$AK,20,FALSE),"")</f>
      </c>
      <c r="M560" s="54">
        <f>IFERROR(VLOOKUP($A:$A,CS!$A:$AK,22,FALSE),"")</f>
      </c>
      <c r="N560" s="54">
        <f>IFERROR(VLOOKUP($A:$A,CS!$A:$AK,19,FALSE),"")</f>
      </c>
      <c r="O560" s="54">
        <f>IFERROR(VLOOKUP($A:$A,CS!$A:$AK,23,FALSE),"")</f>
      </c>
      <c r="P560" s="54">
        <f>IFERROR(VLOOKUP($A:$A,CS!$A:$AK,24,FALSE),"")</f>
      </c>
      <c r="Q560" s="54">
        <f>IFERROR(VLOOKUP($A:$A,CS!$A:$AK,25,FALSE),"")</f>
      </c>
      <c r="R560" s="54">
        <f>IFERROR(VLOOKUP($A:$A,CS!$A:$AK,26,FALSE),"")</f>
      </c>
      <c r="S560" s="54">
        <f>IFERROR(VLOOKUP($A:$A,CS!$A:$AK,29,FALSE),"")</f>
      </c>
      <c r="T560" s="54">
        <f>IFERROR(VLOOKUP($A:$A,CS!$A:$AK,33,FALSE),"")</f>
      </c>
      <c r="U560" s="54">
        <f>IFERROR(VLOOKUP($A:$A,CS!$A:$AK,34,FALSE),"")</f>
      </c>
      <c r="V560" s="54">
        <f>IFERROR(VLOOKUP($A:$A,CS!$A:$AK,35,FALSE),"")</f>
      </c>
      <c r="W560" s="54">
        <f>IFERROR(VLOOKUP($A:$A,CS!$A:$AK,36,FALSE),"")</f>
      </c>
    </row>
    <row r="561" ht="16.5" customHeight="1" spans="1:23" x14ac:dyDescent="0.25">
      <c r="A561" s="68"/>
      <c r="B561" s="54">
        <f>IFERROR(VLOOKUP($A:$A,CS!$A:$AK,3,FALSE),"")</f>
      </c>
      <c r="C561" s="54">
        <f>IFERROR(VLOOKUP($A:$A,CS!$A:$AK,4,FALSE),"")</f>
      </c>
      <c r="D561" s="54">
        <f>IFERROR(VLOOKUP($A:$A,CS!$A:$AK,5,FALSE),"")</f>
      </c>
      <c r="E561" s="54">
        <f>IFERROR(VLOOKUP($A:$A,CS!$A:$AK,7,FALSE),"")</f>
      </c>
      <c r="F561" s="54">
        <f>IFERROR(VLOOKUP($A:$A,CS!$A:$AK,8,FALSE),"")</f>
      </c>
      <c r="G561" s="54">
        <f>IFERROR(VLOOKUP($A:$A,CS!$A:$AK,10,FALSE),"")</f>
      </c>
      <c r="H561" s="54">
        <f>IFERROR(VLOOKUP($A:$A,CS!$A:$AK,14,FALSE),"")</f>
      </c>
      <c r="I561" s="54">
        <f>IFERROR(VLOOKUP($A:$A,CS!$A:$AK,15,FALSE),"")</f>
      </c>
      <c r="J561" s="54">
        <f>IFERROR(VLOOKUP($A:$A,CS!$A:$AK,18,FALSE),"")</f>
      </c>
      <c r="K561" s="54">
        <f>IFERROR(VLOOKUP($A:$A,CS!$A:$AK,19,FALSE),"")</f>
      </c>
      <c r="L561" s="54">
        <f>IFERROR(VLOOKUP($A:$A,CS!$A:$AK,20,FALSE),"")</f>
      </c>
      <c r="M561" s="54">
        <f>IFERROR(VLOOKUP($A:$A,CS!$A:$AK,22,FALSE),"")</f>
      </c>
      <c r="N561" s="54">
        <f>IFERROR(VLOOKUP($A:$A,CS!$A:$AK,19,FALSE),"")</f>
      </c>
      <c r="O561" s="54">
        <f>IFERROR(VLOOKUP($A:$A,CS!$A:$AK,23,FALSE),"")</f>
      </c>
      <c r="P561" s="54">
        <f>IFERROR(VLOOKUP($A:$A,CS!$A:$AK,24,FALSE),"")</f>
      </c>
      <c r="Q561" s="54">
        <f>IFERROR(VLOOKUP($A:$A,CS!$A:$AK,25,FALSE),"")</f>
      </c>
      <c r="R561" s="54">
        <f>IFERROR(VLOOKUP($A:$A,CS!$A:$AK,26,FALSE),"")</f>
      </c>
      <c r="S561" s="54">
        <f>IFERROR(VLOOKUP($A:$A,CS!$A:$AK,29,FALSE),"")</f>
      </c>
      <c r="T561" s="54">
        <f>IFERROR(VLOOKUP($A:$A,CS!$A:$AK,33,FALSE),"")</f>
      </c>
      <c r="U561" s="54">
        <f>IFERROR(VLOOKUP($A:$A,CS!$A:$AK,34,FALSE),"")</f>
      </c>
      <c r="V561" s="54">
        <f>IFERROR(VLOOKUP($A:$A,CS!$A:$AK,35,FALSE),"")</f>
      </c>
      <c r="W561" s="54">
        <f>IFERROR(VLOOKUP($A:$A,CS!$A:$AK,36,FALSE),"")</f>
      </c>
    </row>
    <row r="562" ht="16.5" customHeight="1" spans="1:23" x14ac:dyDescent="0.25">
      <c r="A562" s="68"/>
      <c r="B562" s="54">
        <f>IFERROR(VLOOKUP($A:$A,CS!$A:$AK,3,FALSE),"")</f>
      </c>
      <c r="C562" s="54">
        <f>IFERROR(VLOOKUP($A:$A,CS!$A:$AK,4,FALSE),"")</f>
      </c>
      <c r="D562" s="54">
        <f>IFERROR(VLOOKUP($A:$A,CS!$A:$AK,5,FALSE),"")</f>
      </c>
      <c r="E562" s="54">
        <f>IFERROR(VLOOKUP($A:$A,CS!$A:$AK,7,FALSE),"")</f>
      </c>
      <c r="F562" s="54">
        <f>IFERROR(VLOOKUP($A:$A,CS!$A:$AK,8,FALSE),"")</f>
      </c>
      <c r="G562" s="54">
        <f>IFERROR(VLOOKUP($A:$A,CS!$A:$AK,10,FALSE),"")</f>
      </c>
      <c r="H562" s="54">
        <f>IFERROR(VLOOKUP($A:$A,CS!$A:$AK,14,FALSE),"")</f>
      </c>
      <c r="I562" s="54">
        <f>IFERROR(VLOOKUP($A:$A,CS!$A:$AK,15,FALSE),"")</f>
      </c>
      <c r="J562" s="54">
        <f>IFERROR(VLOOKUP($A:$A,CS!$A:$AK,18,FALSE),"")</f>
      </c>
      <c r="K562" s="54">
        <f>IFERROR(VLOOKUP($A:$A,CS!$A:$AK,19,FALSE),"")</f>
      </c>
      <c r="L562" s="54">
        <f>IFERROR(VLOOKUP($A:$A,CS!$A:$AK,20,FALSE),"")</f>
      </c>
      <c r="M562" s="54">
        <f>IFERROR(VLOOKUP($A:$A,CS!$A:$AK,22,FALSE),"")</f>
      </c>
      <c r="N562" s="54">
        <f>IFERROR(VLOOKUP($A:$A,CS!$A:$AK,19,FALSE),"")</f>
      </c>
      <c r="O562" s="54">
        <f>IFERROR(VLOOKUP($A:$A,CS!$A:$AK,23,FALSE),"")</f>
      </c>
      <c r="P562" s="54">
        <f>IFERROR(VLOOKUP($A:$A,CS!$A:$AK,24,FALSE),"")</f>
      </c>
      <c r="Q562" s="54">
        <f>IFERROR(VLOOKUP($A:$A,CS!$A:$AK,25,FALSE),"")</f>
      </c>
      <c r="R562" s="54">
        <f>IFERROR(VLOOKUP($A:$A,CS!$A:$AK,26,FALSE),"")</f>
      </c>
      <c r="S562" s="54">
        <f>IFERROR(VLOOKUP($A:$A,CS!$A:$AK,29,FALSE),"")</f>
      </c>
      <c r="T562" s="54">
        <f>IFERROR(VLOOKUP($A:$A,CS!$A:$AK,33,FALSE),"")</f>
      </c>
      <c r="U562" s="54">
        <f>IFERROR(VLOOKUP($A:$A,CS!$A:$AK,34,FALSE),"")</f>
      </c>
      <c r="V562" s="54">
        <f>IFERROR(VLOOKUP($A:$A,CS!$A:$AK,35,FALSE),"")</f>
      </c>
      <c r="W562" s="54">
        <f>IFERROR(VLOOKUP($A:$A,CS!$A:$AK,36,FALSE),"")</f>
      </c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0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71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71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71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71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71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71"/>
      <c r="W574" s="56"/>
    </row>
    <row r="575" ht="16.5" customHeight="1" spans="1:23" x14ac:dyDescent="0.25">
      <c r="A575" s="69"/>
      <c r="B575" s="54"/>
      <c r="C575" s="54"/>
      <c r="D575" s="55"/>
      <c r="E575" s="54"/>
      <c r="F575" s="54"/>
      <c r="G575" s="54"/>
      <c r="H575" s="54"/>
      <c r="I575" s="54"/>
      <c r="J575" s="65"/>
      <c r="K575" s="54"/>
      <c r="L575" s="57"/>
      <c r="M575" s="54"/>
      <c r="N575" s="54"/>
      <c r="O575" s="57"/>
      <c r="P575" s="56"/>
      <c r="Q575" s="57"/>
      <c r="R575" s="57"/>
      <c r="S575" s="56"/>
      <c r="T575" s="60"/>
      <c r="U575" s="57"/>
      <c r="V575" s="71"/>
      <c r="W575" s="56"/>
    </row>
    <row r="576" ht="16.5" customHeight="1" spans="1:23" x14ac:dyDescent="0.25">
      <c r="A576" s="69"/>
      <c r="B576" s="54"/>
      <c r="C576" s="54"/>
      <c r="D576" s="55"/>
      <c r="E576" s="54"/>
      <c r="F576" s="54"/>
      <c r="G576" s="54"/>
      <c r="H576" s="54"/>
      <c r="I576" s="54"/>
      <c r="J576" s="65"/>
      <c r="K576" s="54"/>
      <c r="L576" s="57"/>
      <c r="M576" s="54"/>
      <c r="N576" s="54"/>
      <c r="O576" s="57"/>
      <c r="P576" s="56"/>
      <c r="Q576" s="57"/>
      <c r="R576" s="57"/>
      <c r="S576" s="56"/>
      <c r="T576" s="60"/>
      <c r="U576" s="57"/>
      <c r="V576" s="71"/>
      <c r="W576" s="56"/>
    </row>
    <row r="577" ht="16.5" customHeight="1" spans="1:23" x14ac:dyDescent="0.25">
      <c r="A577" s="69"/>
      <c r="B577" s="54"/>
      <c r="C577" s="54"/>
      <c r="D577" s="55"/>
      <c r="E577" s="54"/>
      <c r="F577" s="54"/>
      <c r="G577" s="54"/>
      <c r="H577" s="54"/>
      <c r="I577" s="54"/>
      <c r="J577" s="65"/>
      <c r="K577" s="54"/>
      <c r="L577" s="57"/>
      <c r="M577" s="54"/>
      <c r="N577" s="54"/>
      <c r="O577" s="57"/>
      <c r="P577" s="56"/>
      <c r="Q577" s="57"/>
      <c r="R577" s="57"/>
      <c r="S577" s="56"/>
      <c r="T577" s="60"/>
      <c r="U577" s="57"/>
      <c r="V577" s="71"/>
      <c r="W577" s="56"/>
    </row>
    <row r="578" ht="16.5" customHeight="1" spans="1:23" x14ac:dyDescent="0.25">
      <c r="A578" s="69"/>
      <c r="B578" s="54"/>
      <c r="C578" s="54"/>
      <c r="D578" s="55"/>
      <c r="E578" s="54"/>
      <c r="F578" s="54"/>
      <c r="G578" s="54"/>
      <c r="H578" s="54"/>
      <c r="I578" s="54"/>
      <c r="J578" s="65"/>
      <c r="K578" s="54"/>
      <c r="L578" s="57"/>
      <c r="M578" s="54"/>
      <c r="N578" s="54"/>
      <c r="O578" s="57"/>
      <c r="P578" s="56"/>
      <c r="Q578" s="57"/>
      <c r="R578" s="57"/>
      <c r="S578" s="56"/>
      <c r="T578" s="60"/>
      <c r="U578" s="57"/>
      <c r="V578" s="71"/>
      <c r="W578" s="56"/>
    </row>
    <row r="579" ht="16.5" customHeight="1" spans="1:23" x14ac:dyDescent="0.25">
      <c r="A579" s="69"/>
      <c r="B579" s="54"/>
      <c r="C579" s="54"/>
      <c r="D579" s="55"/>
      <c r="E579" s="54"/>
      <c r="F579" s="54"/>
      <c r="G579" s="54"/>
      <c r="H579" s="54"/>
      <c r="I579" s="54"/>
      <c r="J579" s="65"/>
      <c r="K579" s="54"/>
      <c r="L579" s="57"/>
      <c r="M579" s="54"/>
      <c r="N579" s="54"/>
      <c r="O579" s="57"/>
      <c r="P579" s="56"/>
      <c r="Q579" s="57"/>
      <c r="R579" s="57"/>
      <c r="S579" s="56"/>
      <c r="T579" s="60"/>
      <c r="U579" s="57"/>
      <c r="V579" s="71"/>
      <c r="W579" s="56"/>
    </row>
    <row r="580" ht="16.5" customHeight="1" spans="1:23" x14ac:dyDescent="0.25">
      <c r="A580" s="69"/>
      <c r="B580" s="54"/>
      <c r="C580" s="54"/>
      <c r="D580" s="55"/>
      <c r="E580" s="54"/>
      <c r="F580" s="54"/>
      <c r="G580" s="54"/>
      <c r="H580" s="54"/>
      <c r="I580" s="54"/>
      <c r="J580" s="65"/>
      <c r="K580" s="54"/>
      <c r="L580" s="57"/>
      <c r="M580" s="54"/>
      <c r="N580" s="54"/>
      <c r="O580" s="57"/>
      <c r="P580" s="56"/>
      <c r="Q580" s="57"/>
      <c r="R580" s="57"/>
      <c r="S580" s="56"/>
      <c r="T580" s="60"/>
      <c r="U580" s="57"/>
      <c r="V580" s="71"/>
      <c r="W580" s="56"/>
    </row>
    <row r="581" ht="16.5" customHeight="1" spans="1:23" x14ac:dyDescent="0.25">
      <c r="A581" s="69"/>
      <c r="B581" s="54"/>
      <c r="C581" s="54"/>
      <c r="D581" s="55"/>
      <c r="E581" s="54"/>
      <c r="F581" s="54"/>
      <c r="G581" s="54"/>
      <c r="H581" s="54"/>
      <c r="I581" s="54"/>
      <c r="J581" s="65"/>
      <c r="K581" s="54"/>
      <c r="L581" s="57"/>
      <c r="M581" s="54"/>
      <c r="N581" s="54"/>
      <c r="O581" s="57"/>
      <c r="P581" s="56"/>
      <c r="Q581" s="57"/>
      <c r="R581" s="57"/>
      <c r="S581" s="56"/>
      <c r="T581" s="60"/>
      <c r="U581" s="57"/>
      <c r="V581" s="71"/>
      <c r="W581" s="56"/>
    </row>
    <row r="582" ht="16.5" customHeight="1" spans="1:23" x14ac:dyDescent="0.25">
      <c r="A582" s="69"/>
      <c r="B582" s="54"/>
      <c r="C582" s="54"/>
      <c r="D582" s="55"/>
      <c r="E582" s="54"/>
      <c r="F582" s="54"/>
      <c r="G582" s="54"/>
      <c r="H582" s="54"/>
      <c r="I582" s="54"/>
      <c r="J582" s="65"/>
      <c r="K582" s="54"/>
      <c r="L582" s="57"/>
      <c r="M582" s="54"/>
      <c r="N582" s="54"/>
      <c r="O582" s="57"/>
      <c r="P582" s="56"/>
      <c r="Q582" s="57"/>
      <c r="R582" s="57"/>
      <c r="S582" s="56"/>
      <c r="T582" s="60"/>
      <c r="U582" s="57"/>
      <c r="V582" s="71"/>
      <c r="W582" s="56"/>
    </row>
    <row r="583" ht="16.5" customHeight="1" spans="1:23" x14ac:dyDescent="0.25">
      <c r="A583" s="69"/>
      <c r="B583" s="54"/>
      <c r="C583" s="54"/>
      <c r="D583" s="55"/>
      <c r="E583" s="54"/>
      <c r="F583" s="54"/>
      <c r="G583" s="54"/>
      <c r="H583" s="54"/>
      <c r="I583" s="54"/>
      <c r="J583" s="65"/>
      <c r="K583" s="54"/>
      <c r="L583" s="57"/>
      <c r="M583" s="54"/>
      <c r="N583" s="54"/>
      <c r="O583" s="57"/>
      <c r="P583" s="56"/>
      <c r="Q583" s="57"/>
      <c r="R583" s="57"/>
      <c r="S583" s="56"/>
      <c r="T583" s="60"/>
      <c r="U583" s="57"/>
      <c r="V583" s="71"/>
      <c r="W583" s="56"/>
    </row>
    <row r="584" ht="16.5" customHeight="1" spans="1:23" x14ac:dyDescent="0.25">
      <c r="A584" s="69"/>
      <c r="B584" s="54"/>
      <c r="C584" s="54"/>
      <c r="D584" s="55"/>
      <c r="E584" s="54"/>
      <c r="F584" s="54"/>
      <c r="G584" s="54"/>
      <c r="H584" s="54"/>
      <c r="I584" s="54"/>
      <c r="J584" s="65"/>
      <c r="K584" s="54"/>
      <c r="L584" s="57"/>
      <c r="M584" s="54"/>
      <c r="N584" s="54"/>
      <c r="O584" s="57"/>
      <c r="P584" s="56"/>
      <c r="Q584" s="57"/>
      <c r="R584" s="57"/>
      <c r="S584" s="56"/>
      <c r="T584" s="60"/>
      <c r="U584" s="57"/>
      <c r="V584" s="71"/>
      <c r="W584" s="56"/>
    </row>
    <row r="585" ht="16.5" customHeight="1" spans="1:23" x14ac:dyDescent="0.25">
      <c r="A585" s="69"/>
      <c r="B585" s="54"/>
      <c r="C585" s="54"/>
      <c r="D585" s="55"/>
      <c r="E585" s="54"/>
      <c r="F585" s="54"/>
      <c r="G585" s="54"/>
      <c r="H585" s="54"/>
      <c r="I585" s="54"/>
      <c r="J585" s="65"/>
      <c r="K585" s="54"/>
      <c r="L585" s="57"/>
      <c r="M585" s="54"/>
      <c r="N585" s="54"/>
      <c r="O585" s="57"/>
      <c r="P585" s="56"/>
      <c r="Q585" s="57"/>
      <c r="R585" s="57"/>
      <c r="S585" s="56"/>
      <c r="T585" s="60"/>
      <c r="U585" s="57"/>
      <c r="V585" s="71"/>
      <c r="W585" s="56"/>
    </row>
    <row r="586" ht="16.5" customHeight="1" spans="1:23" x14ac:dyDescent="0.25">
      <c r="A586" s="69"/>
      <c r="B586" s="54"/>
      <c r="C586" s="54"/>
      <c r="D586" s="55"/>
      <c r="E586" s="54"/>
      <c r="F586" s="54"/>
      <c r="G586" s="54"/>
      <c r="H586" s="54"/>
      <c r="I586" s="54"/>
      <c r="J586" s="65"/>
      <c r="K586" s="54"/>
      <c r="L586" s="57"/>
      <c r="M586" s="54"/>
      <c r="N586" s="54"/>
      <c r="O586" s="57"/>
      <c r="P586" s="56"/>
      <c r="Q586" s="57"/>
      <c r="R586" s="57"/>
      <c r="S586" s="56"/>
      <c r="T586" s="60"/>
      <c r="U586" s="57"/>
      <c r="V586" s="71"/>
      <c r="W586" s="56"/>
    </row>
    <row r="587" ht="16.5" customHeight="1" spans="1:23" x14ac:dyDescent="0.25">
      <c r="A587" s="69"/>
      <c r="B587" s="54"/>
      <c r="C587" s="54"/>
      <c r="D587" s="55"/>
      <c r="E587" s="54"/>
      <c r="F587" s="54"/>
      <c r="G587" s="54"/>
      <c r="H587" s="54"/>
      <c r="I587" s="54"/>
      <c r="J587" s="65"/>
      <c r="K587" s="54"/>
      <c r="L587" s="57"/>
      <c r="M587" s="54"/>
      <c r="N587" s="54"/>
      <c r="O587" s="57"/>
      <c r="P587" s="56"/>
      <c r="Q587" s="57"/>
      <c r="R587" s="57"/>
      <c r="S587" s="56"/>
      <c r="T587" s="60"/>
      <c r="U587" s="57"/>
      <c r="V587" s="71"/>
      <c r="W587" s="56"/>
    </row>
    <row r="588" ht="16.5" customHeight="1" spans="1:23" x14ac:dyDescent="0.25">
      <c r="A588" s="69"/>
      <c r="B588" s="54"/>
      <c r="C588" s="54"/>
      <c r="D588" s="55"/>
      <c r="E588" s="54"/>
      <c r="F588" s="54"/>
      <c r="G588" s="54"/>
      <c r="H588" s="54"/>
      <c r="I588" s="54"/>
      <c r="J588" s="65"/>
      <c r="K588" s="54"/>
      <c r="L588" s="57"/>
      <c r="M588" s="54"/>
      <c r="N588" s="54"/>
      <c r="O588" s="57"/>
      <c r="P588" s="56"/>
      <c r="Q588" s="57"/>
      <c r="R588" s="57"/>
      <c r="S588" s="56"/>
      <c r="T588" s="60"/>
      <c r="U588" s="57"/>
      <c r="V588" s="71"/>
      <c r="W588" s="56"/>
    </row>
    <row r="589" ht="16.5" customHeight="1" spans="1:23" x14ac:dyDescent="0.25">
      <c r="A589" s="69"/>
      <c r="B589" s="54"/>
      <c r="C589" s="54"/>
      <c r="D589" s="55"/>
      <c r="E589" s="54"/>
      <c r="F589" s="54"/>
      <c r="G589" s="54"/>
      <c r="H589" s="54"/>
      <c r="I589" s="54"/>
      <c r="J589" s="65"/>
      <c r="K589" s="54"/>
      <c r="L589" s="57"/>
      <c r="M589" s="54"/>
      <c r="N589" s="54"/>
      <c r="O589" s="57"/>
      <c r="P589" s="56"/>
      <c r="Q589" s="57"/>
      <c r="R589" s="57"/>
      <c r="S589" s="56"/>
      <c r="T589" s="60"/>
      <c r="U589" s="57"/>
      <c r="V589" s="71"/>
      <c r="W589" s="56"/>
    </row>
    <row r="590" ht="16.5" customHeight="1" spans="1:23" x14ac:dyDescent="0.25">
      <c r="A590" s="69"/>
      <c r="B590" s="54"/>
      <c r="C590" s="54"/>
      <c r="D590" s="55"/>
      <c r="E590" s="54"/>
      <c r="F590" s="54"/>
      <c r="G590" s="54"/>
      <c r="H590" s="54"/>
      <c r="I590" s="54"/>
      <c r="J590" s="65"/>
      <c r="K590" s="54"/>
      <c r="L590" s="57"/>
      <c r="M590" s="54"/>
      <c r="N590" s="54"/>
      <c r="O590" s="57"/>
      <c r="P590" s="56"/>
      <c r="Q590" s="57"/>
      <c r="R590" s="57"/>
      <c r="S590" s="56"/>
      <c r="T590" s="60"/>
      <c r="U590" s="57"/>
      <c r="V590" s="71"/>
      <c r="W590" s="56"/>
    </row>
    <row r="591" ht="16.5" customHeight="1" spans="1:23" x14ac:dyDescent="0.25">
      <c r="A591" s="69"/>
      <c r="B591" s="54"/>
      <c r="C591" s="54"/>
      <c r="D591" s="55"/>
      <c r="E591" s="54"/>
      <c r="F591" s="54"/>
      <c r="G591" s="54"/>
      <c r="H591" s="54"/>
      <c r="I591" s="54"/>
      <c r="J591" s="65"/>
      <c r="K591" s="54"/>
      <c r="L591" s="57"/>
      <c r="M591" s="54"/>
      <c r="N591" s="54"/>
      <c r="O591" s="57"/>
      <c r="P591" s="56"/>
      <c r="Q591" s="57"/>
      <c r="R591" s="57"/>
      <c r="S591" s="56"/>
      <c r="T591" s="60"/>
      <c r="U591" s="57"/>
      <c r="V591" s="71"/>
      <c r="W591" s="56"/>
    </row>
    <row r="592" ht="16.5" customHeight="1" spans="1:23" x14ac:dyDescent="0.25">
      <c r="A592" s="69"/>
      <c r="B592" s="54"/>
      <c r="C592" s="54"/>
      <c r="D592" s="55"/>
      <c r="E592" s="54"/>
      <c r="F592" s="54"/>
      <c r="G592" s="54"/>
      <c r="H592" s="54"/>
      <c r="I592" s="54"/>
      <c r="J592" s="65"/>
      <c r="K592" s="54"/>
      <c r="L592" s="57"/>
      <c r="M592" s="54"/>
      <c r="N592" s="54"/>
      <c r="O592" s="57"/>
      <c r="P592" s="56"/>
      <c r="Q592" s="57"/>
      <c r="R592" s="57"/>
      <c r="S592" s="56"/>
      <c r="T592" s="60"/>
      <c r="U592" s="57"/>
      <c r="V592" s="71"/>
      <c r="W592" s="56"/>
    </row>
    <row r="593" ht="16.5" customHeight="1" spans="1:23" x14ac:dyDescent="0.25">
      <c r="A593" s="69"/>
      <c r="B593" s="54"/>
      <c r="C593" s="54"/>
      <c r="D593" s="55"/>
      <c r="E593" s="54"/>
      <c r="F593" s="54"/>
      <c r="G593" s="54"/>
      <c r="H593" s="54"/>
      <c r="I593" s="54"/>
      <c r="J593" s="65"/>
      <c r="K593" s="54"/>
      <c r="L593" s="57"/>
      <c r="M593" s="54"/>
      <c r="N593" s="54"/>
      <c r="O593" s="57"/>
      <c r="P593" s="56"/>
      <c r="Q593" s="57"/>
      <c r="R593" s="57"/>
      <c r="S593" s="56"/>
      <c r="T593" s="60"/>
      <c r="U593" s="57"/>
      <c r="V593" s="71"/>
      <c r="W593" s="56"/>
    </row>
    <row r="594" ht="16.5" customHeight="1" spans="1:23" x14ac:dyDescent="0.25">
      <c r="A594" s="69"/>
      <c r="B594" s="54"/>
      <c r="C594" s="54"/>
      <c r="D594" s="55"/>
      <c r="E594" s="54"/>
      <c r="F594" s="54"/>
      <c r="G594" s="54"/>
      <c r="H594" s="54"/>
      <c r="I594" s="54"/>
      <c r="J594" s="65"/>
      <c r="K594" s="54"/>
      <c r="L594" s="57"/>
      <c r="M594" s="54"/>
      <c r="N594" s="54"/>
      <c r="O594" s="57"/>
      <c r="P594" s="56"/>
      <c r="Q594" s="57"/>
      <c r="R594" s="57"/>
      <c r="S594" s="56"/>
      <c r="T594" s="60"/>
      <c r="U594" s="57"/>
      <c r="V594" s="71"/>
      <c r="W594" s="56"/>
    </row>
    <row r="595" ht="16.5" customHeight="1" spans="1:23" x14ac:dyDescent="0.25">
      <c r="A595" s="69"/>
      <c r="B595" s="54"/>
      <c r="C595" s="54"/>
      <c r="D595" s="55"/>
      <c r="E595" s="54"/>
      <c r="F595" s="54"/>
      <c r="G595" s="54"/>
      <c r="H595" s="54"/>
      <c r="I595" s="54"/>
      <c r="J595" s="65"/>
      <c r="K595" s="54"/>
      <c r="L595" s="57"/>
      <c r="M595" s="54"/>
      <c r="N595" s="54"/>
      <c r="O595" s="57"/>
      <c r="P595" s="56"/>
      <c r="Q595" s="57"/>
      <c r="R595" s="57"/>
      <c r="S595" s="56"/>
      <c r="T595" s="60"/>
      <c r="U595" s="57"/>
      <c r="V595" s="71"/>
      <c r="W595" s="56"/>
    </row>
    <row r="596" ht="16.5" customHeight="1" spans="1:23" x14ac:dyDescent="0.25">
      <c r="A596" s="69"/>
      <c r="B596" s="54"/>
      <c r="C596" s="54"/>
      <c r="D596" s="55"/>
      <c r="E596" s="54"/>
      <c r="F596" s="54"/>
      <c r="G596" s="54"/>
      <c r="H596" s="54"/>
      <c r="I596" s="54"/>
      <c r="J596" s="65"/>
      <c r="K596" s="54"/>
      <c r="L596" s="57"/>
      <c r="M596" s="54"/>
      <c r="N596" s="54"/>
      <c r="O596" s="57"/>
      <c r="P596" s="56"/>
      <c r="Q596" s="57"/>
      <c r="R596" s="57"/>
      <c r="S596" s="56"/>
      <c r="T596" s="60"/>
      <c r="U596" s="57"/>
      <c r="V596" s="71"/>
      <c r="W596" s="56"/>
    </row>
    <row r="597" ht="16.5" customHeight="1" spans="1:23" x14ac:dyDescent="0.25">
      <c r="A597" s="69"/>
      <c r="B597" s="54"/>
      <c r="C597" s="54"/>
      <c r="D597" s="55"/>
      <c r="E597" s="54"/>
      <c r="F597" s="54"/>
      <c r="G597" s="54"/>
      <c r="H597" s="54"/>
      <c r="I597" s="54"/>
      <c r="J597" s="65"/>
      <c r="K597" s="54"/>
      <c r="L597" s="57"/>
      <c r="M597" s="54"/>
      <c r="N597" s="54"/>
      <c r="O597" s="57"/>
      <c r="P597" s="56"/>
      <c r="Q597" s="57"/>
      <c r="R597" s="57"/>
      <c r="S597" s="56"/>
      <c r="T597" s="60"/>
      <c r="U597" s="57"/>
      <c r="V597" s="71"/>
      <c r="W597" s="56"/>
    </row>
    <row r="598" ht="16.5" customHeight="1" spans="1:23" x14ac:dyDescent="0.25">
      <c r="A598" s="69"/>
      <c r="B598" s="54"/>
      <c r="C598" s="54"/>
      <c r="D598" s="55"/>
      <c r="E598" s="54"/>
      <c r="F598" s="54"/>
      <c r="G598" s="54"/>
      <c r="H598" s="54"/>
      <c r="I598" s="54"/>
      <c r="J598" s="65"/>
      <c r="K598" s="54"/>
      <c r="L598" s="57"/>
      <c r="M598" s="54"/>
      <c r="N598" s="54"/>
      <c r="O598" s="57"/>
      <c r="P598" s="56"/>
      <c r="Q598" s="57"/>
      <c r="R598" s="57"/>
      <c r="S598" s="56"/>
      <c r="T598" s="60"/>
      <c r="U598" s="57"/>
      <c r="V598" s="71"/>
      <c r="W598" s="56"/>
    </row>
    <row r="599" ht="16.5" customHeight="1" spans="1:23" x14ac:dyDescent="0.25">
      <c r="A599" s="69"/>
      <c r="B599" s="54"/>
      <c r="C599" s="54"/>
      <c r="D599" s="55"/>
      <c r="E599" s="54"/>
      <c r="F599" s="54"/>
      <c r="G599" s="54"/>
      <c r="H599" s="54"/>
      <c r="I599" s="54"/>
      <c r="J599" s="65"/>
      <c r="K599" s="54"/>
      <c r="L599" s="57"/>
      <c r="M599" s="54"/>
      <c r="N599" s="54"/>
      <c r="O599" s="57"/>
      <c r="P599" s="56"/>
      <c r="Q599" s="57"/>
      <c r="R599" s="57"/>
      <c r="S599" s="56"/>
      <c r="T599" s="60"/>
      <c r="U599" s="57"/>
      <c r="V599" s="71"/>
      <c r="W599" s="56"/>
    </row>
    <row r="600" ht="16.5" customHeight="1" spans="1:23" x14ac:dyDescent="0.25">
      <c r="A600" s="69"/>
      <c r="B600" s="54"/>
      <c r="C600" s="54"/>
      <c r="D600" s="55"/>
      <c r="E600" s="54"/>
      <c r="F600" s="54"/>
      <c r="G600" s="54"/>
      <c r="H600" s="54"/>
      <c r="I600" s="54"/>
      <c r="J600" s="65"/>
      <c r="K600" s="54"/>
      <c r="L600" s="57"/>
      <c r="M600" s="54"/>
      <c r="N600" s="54"/>
      <c r="O600" s="57"/>
      <c r="P600" s="56"/>
      <c r="Q600" s="57"/>
      <c r="R600" s="57"/>
      <c r="S600" s="56"/>
      <c r="T600" s="60"/>
      <c r="U600" s="57"/>
      <c r="V600" s="71"/>
      <c r="W600" s="56"/>
    </row>
    <row r="601" ht="16.5" customHeight="1" spans="1:23" x14ac:dyDescent="0.25">
      <c r="A601" s="69"/>
      <c r="B601" s="54"/>
      <c r="C601" s="54"/>
      <c r="D601" s="55"/>
      <c r="E601" s="54"/>
      <c r="F601" s="54"/>
      <c r="G601" s="54"/>
      <c r="H601" s="54"/>
      <c r="I601" s="54"/>
      <c r="J601" s="65"/>
      <c r="K601" s="54"/>
      <c r="L601" s="57"/>
      <c r="M601" s="54"/>
      <c r="N601" s="54"/>
      <c r="O601" s="57"/>
      <c r="P601" s="56"/>
      <c r="Q601" s="57"/>
      <c r="R601" s="57"/>
      <c r="S601" s="56"/>
      <c r="T601" s="60"/>
      <c r="U601" s="57"/>
      <c r="V601" s="71"/>
      <c r="W601" s="56"/>
    </row>
    <row r="602" ht="16.5" customHeight="1" spans="1:23" x14ac:dyDescent="0.25">
      <c r="A602" s="69"/>
      <c r="B602" s="54"/>
      <c r="C602" s="54"/>
      <c r="D602" s="55"/>
      <c r="E602" s="54"/>
      <c r="F602" s="54"/>
      <c r="G602" s="54"/>
      <c r="H602" s="54"/>
      <c r="I602" s="54"/>
      <c r="J602" s="65"/>
      <c r="K602" s="54"/>
      <c r="L602" s="57"/>
      <c r="M602" s="54"/>
      <c r="N602" s="54"/>
      <c r="O602" s="57"/>
      <c r="P602" s="56"/>
      <c r="Q602" s="57"/>
      <c r="R602" s="57"/>
      <c r="S602" s="56"/>
      <c r="T602" s="60"/>
      <c r="U602" s="57"/>
      <c r="V602" s="71"/>
      <c r="W602" s="56"/>
    </row>
    <row r="603" ht="16.5" customHeight="1" spans="1:23" x14ac:dyDescent="0.25">
      <c r="A603" s="69"/>
      <c r="B603" s="54"/>
      <c r="C603" s="54"/>
      <c r="D603" s="55"/>
      <c r="E603" s="54"/>
      <c r="F603" s="54"/>
      <c r="G603" s="54"/>
      <c r="H603" s="54"/>
      <c r="I603" s="54"/>
      <c r="J603" s="65"/>
      <c r="K603" s="54"/>
      <c r="L603" s="57"/>
      <c r="M603" s="54"/>
      <c r="N603" s="54"/>
      <c r="O603" s="57"/>
      <c r="P603" s="56"/>
      <c r="Q603" s="57"/>
      <c r="R603" s="57"/>
      <c r="S603" s="56"/>
      <c r="T603" s="60"/>
      <c r="U603" s="57"/>
      <c r="V603" s="71"/>
      <c r="W603" s="56"/>
    </row>
    <row r="604" ht="16.5" customHeight="1" spans="1:23" x14ac:dyDescent="0.25">
      <c r="A604" s="69"/>
      <c r="B604" s="54"/>
      <c r="C604" s="54"/>
      <c r="D604" s="55"/>
      <c r="E604" s="54"/>
      <c r="F604" s="54"/>
      <c r="G604" s="54"/>
      <c r="H604" s="54"/>
      <c r="I604" s="54"/>
      <c r="J604" s="65"/>
      <c r="K604" s="54"/>
      <c r="L604" s="57"/>
      <c r="M604" s="54"/>
      <c r="N604" s="54"/>
      <c r="O604" s="57"/>
      <c r="P604" s="56"/>
      <c r="Q604" s="57"/>
      <c r="R604" s="57"/>
      <c r="S604" s="56"/>
      <c r="T604" s="60"/>
      <c r="U604" s="57"/>
      <c r="V604" s="71"/>
      <c r="W604" s="56"/>
    </row>
    <row r="605" ht="16.5" customHeight="1" spans="1:23" x14ac:dyDescent="0.25">
      <c r="A605" s="69"/>
      <c r="B605" s="54"/>
      <c r="C605" s="54"/>
      <c r="D605" s="55"/>
      <c r="E605" s="54"/>
      <c r="F605" s="54"/>
      <c r="G605" s="54"/>
      <c r="H605" s="54"/>
      <c r="I605" s="54"/>
      <c r="J605" s="65"/>
      <c r="K605" s="54"/>
      <c r="L605" s="57"/>
      <c r="M605" s="54"/>
      <c r="N605" s="54"/>
      <c r="O605" s="57"/>
      <c r="P605" s="56"/>
      <c r="Q605" s="57"/>
      <c r="R605" s="57"/>
      <c r="S605" s="56"/>
      <c r="T605" s="60"/>
      <c r="U605" s="57"/>
      <c r="V605" s="71"/>
      <c r="W605" s="56"/>
    </row>
    <row r="606" ht="16.5" customHeight="1" spans="1:23" x14ac:dyDescent="0.25">
      <c r="A606" s="69"/>
      <c r="B606" s="54"/>
      <c r="C606" s="54"/>
      <c r="D606" s="55"/>
      <c r="E606" s="54"/>
      <c r="F606" s="54"/>
      <c r="G606" s="54"/>
      <c r="H606" s="54"/>
      <c r="I606" s="54"/>
      <c r="J606" s="65"/>
      <c r="K606" s="54"/>
      <c r="L606" s="57"/>
      <c r="M606" s="54"/>
      <c r="N606" s="54"/>
      <c r="O606" s="57"/>
      <c r="P606" s="56"/>
      <c r="Q606" s="57"/>
      <c r="R606" s="57"/>
      <c r="S606" s="56"/>
      <c r="T606" s="60"/>
      <c r="U606" s="57"/>
      <c r="V606" s="71"/>
      <c r="W606" s="56"/>
    </row>
    <row r="607" ht="16.5" customHeight="1" spans="1:23" x14ac:dyDescent="0.25">
      <c r="A607" s="69"/>
      <c r="B607" s="54"/>
      <c r="C607" s="54"/>
      <c r="D607" s="55"/>
      <c r="E607" s="54"/>
      <c r="F607" s="54"/>
      <c r="G607" s="54"/>
      <c r="H607" s="54"/>
      <c r="I607" s="54"/>
      <c r="J607" s="65"/>
      <c r="K607" s="54"/>
      <c r="L607" s="57"/>
      <c r="M607" s="54"/>
      <c r="N607" s="54"/>
      <c r="O607" s="57"/>
      <c r="P607" s="56"/>
      <c r="Q607" s="57"/>
      <c r="R607" s="57"/>
      <c r="S607" s="56"/>
      <c r="T607" s="60"/>
      <c r="U607" s="57"/>
      <c r="V607" s="71"/>
      <c r="W607" s="56"/>
    </row>
    <row r="608" ht="16.5" customHeight="1" spans="1:23" x14ac:dyDescent="0.25">
      <c r="A608" s="69"/>
      <c r="B608" s="54"/>
      <c r="C608" s="54"/>
      <c r="D608" s="55"/>
      <c r="E608" s="54"/>
      <c r="F608" s="54"/>
      <c r="G608" s="54"/>
      <c r="H608" s="54"/>
      <c r="I608" s="54"/>
      <c r="J608" s="65"/>
      <c r="K608" s="54"/>
      <c r="L608" s="57"/>
      <c r="M608" s="54"/>
      <c r="N608" s="54"/>
      <c r="O608" s="57"/>
      <c r="P608" s="56"/>
      <c r="Q608" s="57"/>
      <c r="R608" s="57"/>
      <c r="S608" s="56"/>
      <c r="T608" s="60"/>
      <c r="U608" s="57"/>
      <c r="V608" s="71"/>
      <c r="W608" s="56"/>
    </row>
    <row r="609" ht="16.5" customHeight="1" spans="1:23" x14ac:dyDescent="0.25">
      <c r="A609" s="69"/>
      <c r="B609" s="54"/>
      <c r="C609" s="54"/>
      <c r="D609" s="55"/>
      <c r="E609" s="54"/>
      <c r="F609" s="54"/>
      <c r="G609" s="54"/>
      <c r="H609" s="54"/>
      <c r="I609" s="54"/>
      <c r="J609" s="65"/>
      <c r="K609" s="54"/>
      <c r="L609" s="57"/>
      <c r="M609" s="54"/>
      <c r="N609" s="54"/>
      <c r="O609" s="57"/>
      <c r="P609" s="56"/>
      <c r="Q609" s="57"/>
      <c r="R609" s="57"/>
      <c r="S609" s="56"/>
      <c r="T609" s="60"/>
      <c r="U609" s="57"/>
      <c r="V609" s="71"/>
      <c r="W609" s="56"/>
    </row>
    <row r="610" ht="16.5" customHeight="1" spans="1:23" x14ac:dyDescent="0.25">
      <c r="A610" s="69"/>
      <c r="B610" s="54"/>
      <c r="C610" s="54"/>
      <c r="D610" s="55"/>
      <c r="E610" s="54"/>
      <c r="F610" s="54"/>
      <c r="G610" s="54"/>
      <c r="H610" s="54"/>
      <c r="I610" s="54"/>
      <c r="J610" s="65"/>
      <c r="K610" s="54"/>
      <c r="L610" s="57"/>
      <c r="M610" s="54"/>
      <c r="N610" s="54"/>
      <c r="O610" s="57"/>
      <c r="P610" s="56"/>
      <c r="Q610" s="57"/>
      <c r="R610" s="57"/>
      <c r="S610" s="56"/>
      <c r="T610" s="60"/>
      <c r="U610" s="57"/>
      <c r="V610" s="71"/>
      <c r="W610" s="56"/>
    </row>
    <row r="611" ht="16.5" customHeight="1" spans="1:23" x14ac:dyDescent="0.25">
      <c r="A611" s="69"/>
      <c r="B611" s="54"/>
      <c r="C611" s="54"/>
      <c r="D611" s="55"/>
      <c r="E611" s="54"/>
      <c r="F611" s="54"/>
      <c r="G611" s="54"/>
      <c r="H611" s="54"/>
      <c r="I611" s="54"/>
      <c r="J611" s="65"/>
      <c r="K611" s="54"/>
      <c r="L611" s="57"/>
      <c r="M611" s="54"/>
      <c r="N611" s="54"/>
      <c r="O611" s="57"/>
      <c r="P611" s="56"/>
      <c r="Q611" s="57"/>
      <c r="R611" s="57"/>
      <c r="S611" s="56"/>
      <c r="T611" s="60"/>
      <c r="U611" s="57"/>
      <c r="V611" s="71"/>
      <c r="W611" s="56"/>
    </row>
    <row r="612" ht="16.5" customHeight="1" spans="1:23" x14ac:dyDescent="0.25">
      <c r="A612" s="69"/>
      <c r="B612" s="54"/>
      <c r="C612" s="54"/>
      <c r="D612" s="55"/>
      <c r="E612" s="54"/>
      <c r="F612" s="54"/>
      <c r="G612" s="54"/>
      <c r="H612" s="54"/>
      <c r="I612" s="54"/>
      <c r="J612" s="65"/>
      <c r="K612" s="54"/>
      <c r="L612" s="57"/>
      <c r="M612" s="54"/>
      <c r="N612" s="54"/>
      <c r="O612" s="57"/>
      <c r="P612" s="56"/>
      <c r="Q612" s="57"/>
      <c r="R612" s="57"/>
      <c r="S612" s="56"/>
      <c r="T612" s="60"/>
      <c r="U612" s="57"/>
      <c r="V612" s="71"/>
      <c r="W612" s="56"/>
    </row>
    <row r="613" ht="16.5" customHeight="1" spans="1:23" x14ac:dyDescent="0.25">
      <c r="A613" s="69"/>
      <c r="B613" s="54"/>
      <c r="C613" s="54"/>
      <c r="D613" s="55"/>
      <c r="E613" s="54"/>
      <c r="F613" s="54"/>
      <c r="G613" s="54"/>
      <c r="H613" s="54"/>
      <c r="I613" s="54"/>
      <c r="J613" s="65"/>
      <c r="K613" s="54"/>
      <c r="L613" s="57"/>
      <c r="M613" s="54"/>
      <c r="N613" s="54"/>
      <c r="O613" s="57"/>
      <c r="P613" s="56"/>
      <c r="Q613" s="57"/>
      <c r="R613" s="57"/>
      <c r="S613" s="56"/>
      <c r="T613" s="60"/>
      <c r="U613" s="57"/>
      <c r="V613" s="71"/>
      <c r="W613" s="56"/>
    </row>
    <row r="614" ht="16.5" customHeight="1" spans="1:23" x14ac:dyDescent="0.25">
      <c r="A614" s="69"/>
      <c r="B614" s="54"/>
      <c r="C614" s="54"/>
      <c r="D614" s="55"/>
      <c r="E614" s="54"/>
      <c r="F614" s="54"/>
      <c r="G614" s="54"/>
      <c r="H614" s="54"/>
      <c r="I614" s="54"/>
      <c r="J614" s="65"/>
      <c r="K614" s="54"/>
      <c r="L614" s="57"/>
      <c r="M614" s="54"/>
      <c r="N614" s="54"/>
      <c r="O614" s="57"/>
      <c r="P614" s="56"/>
      <c r="Q614" s="57"/>
      <c r="R614" s="57"/>
      <c r="S614" s="56"/>
      <c r="T614" s="60"/>
      <c r="U614" s="57"/>
      <c r="V614" s="71"/>
      <c r="W614" s="56"/>
    </row>
    <row r="615" ht="16.5" customHeight="1" spans="1:23" x14ac:dyDescent="0.25">
      <c r="A615" s="69"/>
      <c r="B615" s="54"/>
      <c r="C615" s="54"/>
      <c r="D615" s="55"/>
      <c r="E615" s="54"/>
      <c r="F615" s="54"/>
      <c r="G615" s="54"/>
      <c r="H615" s="54"/>
      <c r="I615" s="54"/>
      <c r="J615" s="65"/>
      <c r="K615" s="54"/>
      <c r="L615" s="57"/>
      <c r="M615" s="54"/>
      <c r="N615" s="54"/>
      <c r="O615" s="57"/>
      <c r="P615" s="56"/>
      <c r="Q615" s="57"/>
      <c r="R615" s="57"/>
      <c r="S615" s="56"/>
      <c r="T615" s="60"/>
      <c r="U615" s="57"/>
      <c r="V615" s="71"/>
      <c r="W615" s="56"/>
    </row>
    <row r="616" ht="16.5" customHeight="1" spans="1:23" x14ac:dyDescent="0.25">
      <c r="A616" s="69"/>
      <c r="B616" s="54"/>
      <c r="C616" s="54"/>
      <c r="D616" s="55"/>
      <c r="E616" s="54"/>
      <c r="F616" s="54"/>
      <c r="G616" s="54"/>
      <c r="H616" s="54"/>
      <c r="I616" s="54"/>
      <c r="J616" s="65"/>
      <c r="K616" s="54"/>
      <c r="L616" s="57"/>
      <c r="M616" s="54"/>
      <c r="N616" s="54"/>
      <c r="O616" s="57"/>
      <c r="P616" s="56"/>
      <c r="Q616" s="57"/>
      <c r="R616" s="57"/>
      <c r="S616" s="56"/>
      <c r="T616" s="60"/>
      <c r="U616" s="57"/>
      <c r="V616" s="71"/>
      <c r="W616" s="56"/>
    </row>
    <row r="617" ht="16.5" customHeight="1" spans="1:23" x14ac:dyDescent="0.25">
      <c r="A617" s="69"/>
      <c r="B617" s="54"/>
      <c r="C617" s="54"/>
      <c r="D617" s="55"/>
      <c r="E617" s="54"/>
      <c r="F617" s="54"/>
      <c r="G617" s="54"/>
      <c r="H617" s="54"/>
      <c r="I617" s="54"/>
      <c r="J617" s="65"/>
      <c r="K617" s="54"/>
      <c r="L617" s="57"/>
      <c r="M617" s="54"/>
      <c r="N617" s="54"/>
      <c r="O617" s="57"/>
      <c r="P617" s="56"/>
      <c r="Q617" s="57"/>
      <c r="R617" s="57"/>
      <c r="S617" s="56"/>
      <c r="T617" s="60"/>
      <c r="U617" s="57"/>
      <c r="V617" s="71"/>
      <c r="W617" s="56"/>
    </row>
    <row r="618" ht="16.5" customHeight="1" spans="1:23" x14ac:dyDescent="0.25">
      <c r="A618" s="69"/>
      <c r="B618" s="54"/>
      <c r="C618" s="54"/>
      <c r="D618" s="55"/>
      <c r="E618" s="54"/>
      <c r="F618" s="54"/>
      <c r="G618" s="54"/>
      <c r="H618" s="54"/>
      <c r="I618" s="54"/>
      <c r="J618" s="65"/>
      <c r="K618" s="54"/>
      <c r="L618" s="57"/>
      <c r="M618" s="54"/>
      <c r="N618" s="54"/>
      <c r="O618" s="57"/>
      <c r="P618" s="56"/>
      <c r="Q618" s="57"/>
      <c r="R618" s="57"/>
      <c r="S618" s="56"/>
      <c r="T618" s="60"/>
      <c r="U618" s="57"/>
      <c r="V618" s="71"/>
      <c r="W618" s="56"/>
    </row>
    <row r="619" ht="16.5" customHeight="1" spans="1:23" x14ac:dyDescent="0.25">
      <c r="A619" s="69"/>
      <c r="B619" s="54"/>
      <c r="C619" s="54"/>
      <c r="D619" s="55"/>
      <c r="E619" s="54"/>
      <c r="F619" s="54"/>
      <c r="G619" s="54"/>
      <c r="H619" s="54"/>
      <c r="I619" s="54"/>
      <c r="J619" s="65"/>
      <c r="K619" s="54"/>
      <c r="L619" s="57"/>
      <c r="M619" s="54"/>
      <c r="N619" s="54"/>
      <c r="O619" s="57"/>
      <c r="P619" s="56"/>
      <c r="Q619" s="57"/>
      <c r="R619" s="57"/>
      <c r="S619" s="56"/>
      <c r="T619" s="60"/>
      <c r="U619" s="57"/>
      <c r="V619" s="71"/>
      <c r="W619" s="56"/>
    </row>
    <row r="620" ht="16.5" customHeight="1" spans="1:23" x14ac:dyDescent="0.25">
      <c r="A620" s="69"/>
      <c r="B620" s="54"/>
      <c r="C620" s="54"/>
      <c r="D620" s="55"/>
      <c r="E620" s="54"/>
      <c r="F620" s="54"/>
      <c r="G620" s="54"/>
      <c r="H620" s="54"/>
      <c r="I620" s="54"/>
      <c r="J620" s="65"/>
      <c r="K620" s="54"/>
      <c r="L620" s="57"/>
      <c r="M620" s="54"/>
      <c r="N620" s="54"/>
      <c r="O620" s="57"/>
      <c r="P620" s="56"/>
      <c r="Q620" s="57"/>
      <c r="R620" s="57"/>
      <c r="S620" s="56"/>
      <c r="T620" s="60"/>
      <c r="U620" s="57"/>
      <c r="V620" s="71"/>
      <c r="W620" s="56"/>
    </row>
    <row r="621" ht="16.5" customHeight="1" spans="1:23" x14ac:dyDescent="0.25">
      <c r="A621" s="69"/>
      <c r="B621" s="54"/>
      <c r="C621" s="54"/>
      <c r="D621" s="55"/>
      <c r="E621" s="54"/>
      <c r="F621" s="54"/>
      <c r="G621" s="54"/>
      <c r="H621" s="54"/>
      <c r="I621" s="54"/>
      <c r="J621" s="65"/>
      <c r="K621" s="54"/>
      <c r="L621" s="57"/>
      <c r="M621" s="54"/>
      <c r="N621" s="54"/>
      <c r="O621" s="57"/>
      <c r="P621" s="56"/>
      <c r="Q621" s="57"/>
      <c r="R621" s="57"/>
      <c r="S621" s="56"/>
      <c r="T621" s="60"/>
      <c r="U621" s="57"/>
      <c r="V621" s="71"/>
      <c r="W621" s="56"/>
    </row>
    <row r="622" ht="16.5" customHeight="1" spans="1:23" x14ac:dyDescent="0.25">
      <c r="A622" s="69"/>
      <c r="B622" s="54"/>
      <c r="C622" s="54"/>
      <c r="D622" s="55"/>
      <c r="E622" s="54"/>
      <c r="F622" s="54"/>
      <c r="G622" s="54"/>
      <c r="H622" s="54"/>
      <c r="I622" s="54"/>
      <c r="J622" s="65"/>
      <c r="K622" s="54"/>
      <c r="L622" s="57"/>
      <c r="M622" s="54"/>
      <c r="N622" s="54"/>
      <c r="O622" s="57"/>
      <c r="P622" s="56"/>
      <c r="Q622" s="57"/>
      <c r="R622" s="57"/>
      <c r="S622" s="56"/>
      <c r="T622" s="60"/>
      <c r="U622" s="57"/>
      <c r="V622" s="71"/>
      <c r="W622" s="56"/>
    </row>
    <row r="623" ht="16.5" customHeight="1" spans="1:23" x14ac:dyDescent="0.25">
      <c r="A623" s="69"/>
      <c r="B623" s="54"/>
      <c r="C623" s="54"/>
      <c r="D623" s="55"/>
      <c r="E623" s="54"/>
      <c r="F623" s="54"/>
      <c r="G623" s="54"/>
      <c r="H623" s="54"/>
      <c r="I623" s="54"/>
      <c r="J623" s="65"/>
      <c r="K623" s="54"/>
      <c r="L623" s="57"/>
      <c r="M623" s="54"/>
      <c r="N623" s="54"/>
      <c r="O623" s="57"/>
      <c r="P623" s="56"/>
      <c r="Q623" s="57"/>
      <c r="R623" s="57"/>
      <c r="S623" s="56"/>
      <c r="T623" s="60"/>
      <c r="U623" s="57"/>
      <c r="V623" s="71"/>
      <c r="W623" s="56"/>
    </row>
    <row r="624" ht="16.5" customHeight="1" spans="1:23" x14ac:dyDescent="0.25">
      <c r="A624" s="69"/>
      <c r="B624" s="54"/>
      <c r="C624" s="54"/>
      <c r="D624" s="55"/>
      <c r="E624" s="54"/>
      <c r="F624" s="54"/>
      <c r="G624" s="54"/>
      <c r="H624" s="54"/>
      <c r="I624" s="54"/>
      <c r="J624" s="65"/>
      <c r="K624" s="54"/>
      <c r="L624" s="57"/>
      <c r="M624" s="54"/>
      <c r="N624" s="54"/>
      <c r="O624" s="57"/>
      <c r="P624" s="56"/>
      <c r="Q624" s="57"/>
      <c r="R624" s="57"/>
      <c r="S624" s="56"/>
      <c r="T624" s="60"/>
      <c r="U624" s="57"/>
      <c r="V624" s="71"/>
      <c r="W624" s="56"/>
    </row>
    <row r="625" ht="16.5" customHeight="1" spans="1:23" x14ac:dyDescent="0.25">
      <c r="A625" s="69"/>
      <c r="B625" s="54"/>
      <c r="C625" s="54"/>
      <c r="D625" s="55"/>
      <c r="E625" s="54"/>
      <c r="F625" s="54"/>
      <c r="G625" s="54"/>
      <c r="H625" s="54"/>
      <c r="I625" s="54"/>
      <c r="J625" s="65"/>
      <c r="K625" s="54"/>
      <c r="L625" s="57"/>
      <c r="M625" s="54"/>
      <c r="N625" s="54"/>
      <c r="O625" s="57"/>
      <c r="P625" s="56"/>
      <c r="Q625" s="57"/>
      <c r="R625" s="57"/>
      <c r="S625" s="56"/>
      <c r="T625" s="60"/>
      <c r="U625" s="57"/>
      <c r="V625" s="71"/>
      <c r="W625" s="56"/>
    </row>
    <row r="626" ht="16.5" customHeight="1" spans="1:23" x14ac:dyDescent="0.25">
      <c r="A626" s="69"/>
      <c r="B626" s="54"/>
      <c r="C626" s="54"/>
      <c r="D626" s="55"/>
      <c r="E626" s="54"/>
      <c r="F626" s="54"/>
      <c r="G626" s="54"/>
      <c r="H626" s="54"/>
      <c r="I626" s="54"/>
      <c r="J626" s="65"/>
      <c r="K626" s="54"/>
      <c r="L626" s="57"/>
      <c r="M626" s="54"/>
      <c r="N626" s="54"/>
      <c r="O626" s="57"/>
      <c r="P626" s="56"/>
      <c r="Q626" s="57"/>
      <c r="R626" s="57"/>
      <c r="S626" s="56"/>
      <c r="T626" s="60"/>
      <c r="U626" s="57"/>
      <c r="V626" s="71"/>
      <c r="W626" s="56"/>
    </row>
    <row r="627" ht="16.5" customHeight="1" spans="1:23" x14ac:dyDescent="0.25">
      <c r="A627" s="69"/>
      <c r="B627" s="54"/>
      <c r="C627" s="54"/>
      <c r="D627" s="55"/>
      <c r="E627" s="54"/>
      <c r="F627" s="54"/>
      <c r="G627" s="54"/>
      <c r="H627" s="54"/>
      <c r="I627" s="54"/>
      <c r="J627" s="65"/>
      <c r="K627" s="54"/>
      <c r="L627" s="57"/>
      <c r="M627" s="54"/>
      <c r="N627" s="54"/>
      <c r="O627" s="57"/>
      <c r="P627" s="56"/>
      <c r="Q627" s="57"/>
      <c r="R627" s="57"/>
      <c r="S627" s="56"/>
      <c r="T627" s="60"/>
      <c r="U627" s="57"/>
      <c r="V627" s="71"/>
      <c r="W627" s="56"/>
    </row>
    <row r="628" ht="16.5" customHeight="1" spans="1:23" x14ac:dyDescent="0.25">
      <c r="A628" s="69"/>
      <c r="B628" s="54"/>
      <c r="C628" s="54"/>
      <c r="D628" s="55"/>
      <c r="E628" s="54"/>
      <c r="F628" s="54"/>
      <c r="G628" s="54"/>
      <c r="H628" s="54"/>
      <c r="I628" s="54"/>
      <c r="J628" s="65"/>
      <c r="K628" s="54"/>
      <c r="L628" s="57"/>
      <c r="M628" s="54"/>
      <c r="N628" s="54"/>
      <c r="O628" s="57"/>
      <c r="P628" s="56"/>
      <c r="Q628" s="57"/>
      <c r="R628" s="57"/>
      <c r="S628" s="56"/>
      <c r="T628" s="60"/>
      <c r="U628" s="57"/>
      <c r="V628" s="71"/>
      <c r="W628" s="56"/>
    </row>
    <row r="629" ht="16.5" customHeight="1" spans="1:23" x14ac:dyDescent="0.25">
      <c r="A629" s="69"/>
      <c r="B629" s="54"/>
      <c r="C629" s="54"/>
      <c r="D629" s="55"/>
      <c r="E629" s="54"/>
      <c r="F629" s="54"/>
      <c r="G629" s="54"/>
      <c r="H629" s="54"/>
      <c r="I629" s="54"/>
      <c r="J629" s="65"/>
      <c r="K629" s="54"/>
      <c r="L629" s="57"/>
      <c r="M629" s="54"/>
      <c r="N629" s="54"/>
      <c r="O629" s="57"/>
      <c r="P629" s="56"/>
      <c r="Q629" s="57"/>
      <c r="R629" s="57"/>
      <c r="S629" s="56"/>
      <c r="T629" s="60"/>
      <c r="U629" s="57"/>
      <c r="V629" s="71"/>
      <c r="W629" s="56"/>
    </row>
    <row r="630" ht="16.5" customHeight="1" spans="1:23" x14ac:dyDescent="0.25">
      <c r="A630" s="69"/>
      <c r="B630" s="54"/>
      <c r="C630" s="54"/>
      <c r="D630" s="55"/>
      <c r="E630" s="54"/>
      <c r="F630" s="54"/>
      <c r="G630" s="54"/>
      <c r="H630" s="54"/>
      <c r="I630" s="54"/>
      <c r="J630" s="65"/>
      <c r="K630" s="54"/>
      <c r="L630" s="57"/>
      <c r="M630" s="54"/>
      <c r="N630" s="54"/>
      <c r="O630" s="57"/>
      <c r="P630" s="56"/>
      <c r="Q630" s="57"/>
      <c r="R630" s="57"/>
      <c r="S630" s="56"/>
      <c r="T630" s="60"/>
      <c r="U630" s="57"/>
      <c r="V630" s="71"/>
      <c r="W630" s="56"/>
    </row>
    <row r="631" ht="16.5" customHeight="1" spans="1:23" x14ac:dyDescent="0.25">
      <c r="A631" s="69"/>
      <c r="B631" s="54"/>
      <c r="C631" s="54"/>
      <c r="D631" s="55"/>
      <c r="E631" s="54"/>
      <c r="F631" s="54"/>
      <c r="G631" s="54"/>
      <c r="H631" s="54"/>
      <c r="I631" s="54"/>
      <c r="J631" s="65"/>
      <c r="K631" s="54"/>
      <c r="L631" s="57"/>
      <c r="M631" s="54"/>
      <c r="N631" s="54"/>
      <c r="O631" s="57"/>
      <c r="P631" s="56"/>
      <c r="Q631" s="57"/>
      <c r="R631" s="57"/>
      <c r="S631" s="56"/>
      <c r="T631" s="60"/>
      <c r="U631" s="57"/>
      <c r="V631" s="71"/>
      <c r="W631" s="56"/>
    </row>
    <row r="632" ht="16.5" customHeight="1" spans="1:23" x14ac:dyDescent="0.25">
      <c r="A632" s="69"/>
      <c r="B632" s="54"/>
      <c r="C632" s="54"/>
      <c r="D632" s="55"/>
      <c r="E632" s="54"/>
      <c r="F632" s="54"/>
      <c r="G632" s="54"/>
      <c r="H632" s="54"/>
      <c r="I632" s="54"/>
      <c r="J632" s="65"/>
      <c r="K632" s="54"/>
      <c r="L632" s="57"/>
      <c r="M632" s="54"/>
      <c r="N632" s="54"/>
      <c r="O632" s="57"/>
      <c r="P632" s="56"/>
      <c r="Q632" s="57"/>
      <c r="R632" s="57"/>
      <c r="S632" s="56"/>
      <c r="T632" s="60"/>
      <c r="U632" s="57"/>
      <c r="V632" s="71"/>
      <c r="W632" s="56"/>
    </row>
    <row r="633" ht="16.5" customHeight="1" spans="1:23" x14ac:dyDescent="0.25">
      <c r="A633" s="69"/>
      <c r="B633" s="54"/>
      <c r="C633" s="54"/>
      <c r="D633" s="55"/>
      <c r="E633" s="54"/>
      <c r="F633" s="54"/>
      <c r="G633" s="54"/>
      <c r="H633" s="54"/>
      <c r="I633" s="54"/>
      <c r="J633" s="65"/>
      <c r="K633" s="54"/>
      <c r="L633" s="57"/>
      <c r="M633" s="54"/>
      <c r="N633" s="54"/>
      <c r="O633" s="57"/>
      <c r="P633" s="56"/>
      <c r="Q633" s="57"/>
      <c r="R633" s="57"/>
      <c r="S633" s="56"/>
      <c r="T633" s="60"/>
      <c r="U633" s="57"/>
      <c r="V633" s="71"/>
      <c r="W633" s="56"/>
    </row>
    <row r="634" ht="16.5" customHeight="1" spans="1:23" x14ac:dyDescent="0.25">
      <c r="A634" s="69"/>
      <c r="B634" s="54"/>
      <c r="C634" s="54"/>
      <c r="D634" s="55"/>
      <c r="E634" s="54"/>
      <c r="F634" s="54"/>
      <c r="G634" s="54"/>
      <c r="H634" s="54"/>
      <c r="I634" s="54"/>
      <c r="J634" s="65"/>
      <c r="K634" s="54"/>
      <c r="L634" s="57"/>
      <c r="M634" s="54"/>
      <c r="N634" s="54"/>
      <c r="O634" s="57"/>
      <c r="P634" s="56"/>
      <c r="Q634" s="57"/>
      <c r="R634" s="57"/>
      <c r="S634" s="56"/>
      <c r="T634" s="60"/>
      <c r="U634" s="57"/>
      <c r="V634" s="71"/>
      <c r="W634" s="56"/>
    </row>
    <row r="635" ht="16.5" customHeight="1" spans="1:23" x14ac:dyDescent="0.25">
      <c r="A635" s="69"/>
      <c r="B635" s="54"/>
      <c r="C635" s="54"/>
      <c r="D635" s="55"/>
      <c r="E635" s="54"/>
      <c r="F635" s="54"/>
      <c r="G635" s="54"/>
      <c r="H635" s="54"/>
      <c r="I635" s="54"/>
      <c r="J635" s="65"/>
      <c r="K635" s="54"/>
      <c r="L635" s="57"/>
      <c r="M635" s="54"/>
      <c r="N635" s="54"/>
      <c r="O635" s="57"/>
      <c r="P635" s="56"/>
      <c r="Q635" s="57"/>
      <c r="R635" s="57"/>
      <c r="S635" s="56"/>
      <c r="T635" s="60"/>
      <c r="U635" s="57"/>
      <c r="V635" s="71"/>
      <c r="W635" s="56"/>
    </row>
    <row r="636" ht="16.5" customHeight="1" spans="1:23" x14ac:dyDescent="0.25">
      <c r="A636" s="69"/>
      <c r="B636" s="54"/>
      <c r="C636" s="54"/>
      <c r="D636" s="55"/>
      <c r="E636" s="54"/>
      <c r="F636" s="54"/>
      <c r="G636" s="54"/>
      <c r="H636" s="54"/>
      <c r="I636" s="54"/>
      <c r="J636" s="65"/>
      <c r="K636" s="54"/>
      <c r="L636" s="57"/>
      <c r="M636" s="54"/>
      <c r="N636" s="54"/>
      <c r="O636" s="57"/>
      <c r="P636" s="56"/>
      <c r="Q636" s="57"/>
      <c r="R636" s="57"/>
      <c r="S636" s="56"/>
      <c r="T636" s="60"/>
      <c r="U636" s="57"/>
      <c r="V636" s="71"/>
      <c r="W636" s="56"/>
    </row>
    <row r="637" ht="16.5" customHeight="1" spans="1:23" x14ac:dyDescent="0.25">
      <c r="A637" s="69"/>
      <c r="B637" s="54"/>
      <c r="C637" s="54"/>
      <c r="D637" s="55"/>
      <c r="E637" s="54"/>
      <c r="F637" s="54"/>
      <c r="G637" s="54"/>
      <c r="H637" s="54"/>
      <c r="I637" s="54"/>
      <c r="J637" s="65"/>
      <c r="K637" s="54"/>
      <c r="L637" s="57"/>
      <c r="M637" s="54"/>
      <c r="N637" s="54"/>
      <c r="O637" s="57"/>
      <c r="P637" s="56"/>
      <c r="Q637" s="57"/>
      <c r="R637" s="57"/>
      <c r="S637" s="56"/>
      <c r="T637" s="60"/>
      <c r="U637" s="57"/>
      <c r="V637" s="71"/>
      <c r="W637" s="56"/>
    </row>
    <row r="638" ht="16.5" customHeight="1" spans="1:23" x14ac:dyDescent="0.25">
      <c r="A638" s="69"/>
      <c r="B638" s="54"/>
      <c r="C638" s="54"/>
      <c r="D638" s="55"/>
      <c r="E638" s="54"/>
      <c r="F638" s="54"/>
      <c r="G638" s="54"/>
      <c r="H638" s="54"/>
      <c r="I638" s="54"/>
      <c r="J638" s="65"/>
      <c r="K638" s="54"/>
      <c r="L638" s="57"/>
      <c r="M638" s="54"/>
      <c r="N638" s="54"/>
      <c r="O638" s="57"/>
      <c r="P638" s="56"/>
      <c r="Q638" s="57"/>
      <c r="R638" s="57"/>
      <c r="S638" s="56"/>
      <c r="T638" s="60"/>
      <c r="U638" s="57"/>
      <c r="V638" s="71"/>
      <c r="W638" s="56"/>
    </row>
    <row r="639" ht="16.5" customHeight="1" spans="1:23" x14ac:dyDescent="0.25">
      <c r="A639" s="69"/>
      <c r="B639" s="54"/>
      <c r="C639" s="54"/>
      <c r="D639" s="55"/>
      <c r="E639" s="54"/>
      <c r="F639" s="54"/>
      <c r="G639" s="54"/>
      <c r="H639" s="54"/>
      <c r="I639" s="54"/>
      <c r="J639" s="65"/>
      <c r="K639" s="54"/>
      <c r="L639" s="57"/>
      <c r="M639" s="54"/>
      <c r="N639" s="54"/>
      <c r="O639" s="57"/>
      <c r="P639" s="56"/>
      <c r="Q639" s="57"/>
      <c r="R639" s="57"/>
      <c r="S639" s="56"/>
      <c r="T639" s="60"/>
      <c r="U639" s="57"/>
      <c r="V639" s="71"/>
      <c r="W639" s="56"/>
    </row>
    <row r="640" ht="16.5" customHeight="1" spans="1:23" x14ac:dyDescent="0.25">
      <c r="A640" s="69"/>
      <c r="B640" s="54"/>
      <c r="C640" s="54"/>
      <c r="D640" s="55"/>
      <c r="E640" s="54"/>
      <c r="F640" s="54"/>
      <c r="G640" s="54"/>
      <c r="H640" s="54"/>
      <c r="I640" s="54"/>
      <c r="J640" s="65"/>
      <c r="K640" s="54"/>
      <c r="L640" s="57"/>
      <c r="M640" s="54"/>
      <c r="N640" s="54"/>
      <c r="O640" s="57"/>
      <c r="P640" s="56"/>
      <c r="Q640" s="57"/>
      <c r="R640" s="57"/>
      <c r="S640" s="56"/>
      <c r="T640" s="60"/>
      <c r="U640" s="57"/>
      <c r="V640" s="71"/>
      <c r="W640" s="56"/>
    </row>
    <row r="641" ht="16.5" customHeight="1" spans="1:23" x14ac:dyDescent="0.25">
      <c r="A641" s="69"/>
      <c r="B641" s="54"/>
      <c r="C641" s="54"/>
      <c r="D641" s="55"/>
      <c r="E641" s="54"/>
      <c r="F641" s="54"/>
      <c r="G641" s="54"/>
      <c r="H641" s="54"/>
      <c r="I641" s="54"/>
      <c r="J641" s="65"/>
      <c r="K641" s="54"/>
      <c r="L641" s="57"/>
      <c r="M641" s="54"/>
      <c r="N641" s="54"/>
      <c r="O641" s="57"/>
      <c r="P641" s="56"/>
      <c r="Q641" s="57"/>
      <c r="R641" s="57"/>
      <c r="S641" s="56"/>
      <c r="T641" s="60"/>
      <c r="U641" s="57"/>
      <c r="V641" s="71"/>
      <c r="W641" s="56"/>
    </row>
    <row r="642" ht="16.5" customHeight="1" spans="1:23" x14ac:dyDescent="0.25">
      <c r="A642" s="69"/>
      <c r="B642" s="54"/>
      <c r="C642" s="54"/>
      <c r="D642" s="55"/>
      <c r="E642" s="54"/>
      <c r="F642" s="54"/>
      <c r="G642" s="54"/>
      <c r="H642" s="54"/>
      <c r="I642" s="54"/>
      <c r="J642" s="65"/>
      <c r="K642" s="54"/>
      <c r="L642" s="57"/>
      <c r="M642" s="54"/>
      <c r="N642" s="54"/>
      <c r="O642" s="57"/>
      <c r="P642" s="56"/>
      <c r="Q642" s="57"/>
      <c r="R642" s="57"/>
      <c r="S642" s="56"/>
      <c r="T642" s="60"/>
      <c r="U642" s="57"/>
      <c r="V642" s="71"/>
      <c r="W642" s="56"/>
    </row>
    <row r="643" ht="16.5" customHeight="1" spans="1:23" x14ac:dyDescent="0.25">
      <c r="A643" s="69"/>
      <c r="B643" s="54"/>
      <c r="C643" s="54"/>
      <c r="D643" s="55"/>
      <c r="E643" s="54"/>
      <c r="F643" s="54"/>
      <c r="G643" s="54"/>
      <c r="H643" s="54"/>
      <c r="I643" s="54"/>
      <c r="J643" s="65"/>
      <c r="K643" s="54"/>
      <c r="L643" s="57"/>
      <c r="M643" s="54"/>
      <c r="N643" s="54"/>
      <c r="O643" s="57"/>
      <c r="P643" s="56"/>
      <c r="Q643" s="57"/>
      <c r="R643" s="57"/>
      <c r="S643" s="56"/>
      <c r="T643" s="60"/>
      <c r="U643" s="57"/>
      <c r="V643" s="71"/>
      <c r="W643" s="56"/>
    </row>
    <row r="644" ht="16.5" customHeight="1" spans="1:23" x14ac:dyDescent="0.25">
      <c r="A644" s="69"/>
      <c r="B644" s="54"/>
      <c r="C644" s="54"/>
      <c r="D644" s="55"/>
      <c r="E644" s="54"/>
      <c r="F644" s="54"/>
      <c r="G644" s="54"/>
      <c r="H644" s="54"/>
      <c r="I644" s="54"/>
      <c r="J644" s="65"/>
      <c r="K644" s="54"/>
      <c r="L644" s="57"/>
      <c r="M644" s="54"/>
      <c r="N644" s="54"/>
      <c r="O644" s="57"/>
      <c r="P644" s="56"/>
      <c r="Q644" s="57"/>
      <c r="R644" s="57"/>
      <c r="S644" s="56"/>
      <c r="T644" s="60"/>
      <c r="U644" s="57"/>
      <c r="V644" s="71"/>
      <c r="W644" s="56"/>
    </row>
    <row r="645" ht="16.5" customHeight="1" spans="1:23" x14ac:dyDescent="0.25">
      <c r="A645" s="69"/>
      <c r="B645" s="54"/>
      <c r="C645" s="54"/>
      <c r="D645" s="55"/>
      <c r="E645" s="54"/>
      <c r="F645" s="54"/>
      <c r="G645" s="54"/>
      <c r="H645" s="54"/>
      <c r="I645" s="54"/>
      <c r="J645" s="65"/>
      <c r="K645" s="54"/>
      <c r="L645" s="57"/>
      <c r="M645" s="54"/>
      <c r="N645" s="54"/>
      <c r="O645" s="57"/>
      <c r="P645" s="56"/>
      <c r="Q645" s="57"/>
      <c r="R645" s="57"/>
      <c r="S645" s="56"/>
      <c r="T645" s="60"/>
      <c r="U645" s="57"/>
      <c r="V645" s="71"/>
      <c r="W645" s="56"/>
    </row>
    <row r="646" ht="16.5" customHeight="1" spans="1:23" x14ac:dyDescent="0.25">
      <c r="A646" s="69"/>
      <c r="B646" s="54"/>
      <c r="C646" s="54"/>
      <c r="D646" s="55"/>
      <c r="E646" s="54"/>
      <c r="F646" s="54"/>
      <c r="G646" s="54"/>
      <c r="H646" s="54"/>
      <c r="I646" s="54"/>
      <c r="J646" s="65"/>
      <c r="K646" s="54"/>
      <c r="L646" s="57"/>
      <c r="M646" s="54"/>
      <c r="N646" s="54"/>
      <c r="O646" s="57"/>
      <c r="P646" s="56"/>
      <c r="Q646" s="57"/>
      <c r="R646" s="57"/>
      <c r="S646" s="56"/>
      <c r="T646" s="60"/>
      <c r="U646" s="57"/>
      <c r="V646" s="71"/>
      <c r="W646" s="56"/>
    </row>
    <row r="647" ht="16.5" customHeight="1" spans="1:23" x14ac:dyDescent="0.25">
      <c r="A647" s="69"/>
      <c r="B647" s="54"/>
      <c r="C647" s="54"/>
      <c r="D647" s="55"/>
      <c r="E647" s="54"/>
      <c r="F647" s="54"/>
      <c r="G647" s="54"/>
      <c r="H647" s="54"/>
      <c r="I647" s="54"/>
      <c r="J647" s="65"/>
      <c r="K647" s="54"/>
      <c r="L647" s="57"/>
      <c r="M647" s="54"/>
      <c r="N647" s="54"/>
      <c r="O647" s="57"/>
      <c r="P647" s="56"/>
      <c r="Q647" s="57"/>
      <c r="R647" s="57"/>
      <c r="S647" s="56"/>
      <c r="T647" s="60"/>
      <c r="U647" s="57"/>
      <c r="V647" s="71"/>
      <c r="W647" s="56"/>
    </row>
    <row r="648" ht="16.5" customHeight="1" spans="1:23" x14ac:dyDescent="0.25">
      <c r="A648" s="69"/>
      <c r="B648" s="54"/>
      <c r="C648" s="54"/>
      <c r="D648" s="55"/>
      <c r="E648" s="54"/>
      <c r="F648" s="54"/>
      <c r="G648" s="54"/>
      <c r="H648" s="54"/>
      <c r="I648" s="54"/>
      <c r="J648" s="65"/>
      <c r="K648" s="54"/>
      <c r="L648" s="57"/>
      <c r="M648" s="54"/>
      <c r="N648" s="54"/>
      <c r="O648" s="57"/>
      <c r="P648" s="56"/>
      <c r="Q648" s="57"/>
      <c r="R648" s="57"/>
      <c r="S648" s="56"/>
      <c r="T648" s="60"/>
      <c r="U648" s="57"/>
      <c r="V648" s="71"/>
      <c r="W648" s="56"/>
    </row>
    <row r="649" ht="16.5" customHeight="1" spans="1:23" x14ac:dyDescent="0.25">
      <c r="A649" s="69"/>
      <c r="B649" s="54"/>
      <c r="C649" s="54"/>
      <c r="D649" s="55"/>
      <c r="E649" s="54"/>
      <c r="F649" s="54"/>
      <c r="G649" s="54"/>
      <c r="H649" s="54"/>
      <c r="I649" s="54"/>
      <c r="J649" s="65"/>
      <c r="K649" s="54"/>
      <c r="L649" s="57"/>
      <c r="M649" s="54"/>
      <c r="N649" s="54"/>
      <c r="O649" s="57"/>
      <c r="P649" s="56"/>
      <c r="Q649" s="57"/>
      <c r="R649" s="57"/>
      <c r="S649" s="56"/>
      <c r="T649" s="60"/>
      <c r="U649" s="57"/>
      <c r="V649" s="71"/>
      <c r="W649" s="56"/>
    </row>
    <row r="650" ht="16.5" customHeight="1" spans="1:23" x14ac:dyDescent="0.25">
      <c r="A650" s="69"/>
      <c r="B650" s="54"/>
      <c r="C650" s="54"/>
      <c r="D650" s="55"/>
      <c r="E650" s="54"/>
      <c r="F650" s="54"/>
      <c r="G650" s="54"/>
      <c r="H650" s="54"/>
      <c r="I650" s="54"/>
      <c r="J650" s="65"/>
      <c r="K650" s="54"/>
      <c r="L650" s="57"/>
      <c r="M650" s="54"/>
      <c r="N650" s="54"/>
      <c r="O650" s="57"/>
      <c r="P650" s="56"/>
      <c r="Q650" s="57"/>
      <c r="R650" s="57"/>
      <c r="S650" s="56"/>
      <c r="T650" s="60"/>
      <c r="U650" s="57"/>
      <c r="V650" s="71"/>
      <c r="W650" s="56"/>
    </row>
    <row r="651" ht="16.5" customHeight="1" spans="1:23" x14ac:dyDescent="0.25">
      <c r="A651" s="69"/>
      <c r="B651" s="54"/>
      <c r="C651" s="54"/>
      <c r="D651" s="55"/>
      <c r="E651" s="54"/>
      <c r="F651" s="54"/>
      <c r="G651" s="54"/>
      <c r="H651" s="54"/>
      <c r="I651" s="54"/>
      <c r="J651" s="65"/>
      <c r="K651" s="54"/>
      <c r="L651" s="57"/>
      <c r="M651" s="54"/>
      <c r="N651" s="54"/>
      <c r="O651" s="57"/>
      <c r="P651" s="56"/>
      <c r="Q651" s="57"/>
      <c r="R651" s="57"/>
      <c r="S651" s="56"/>
      <c r="T651" s="60"/>
      <c r="U651" s="57"/>
      <c r="V651" s="71"/>
      <c r="W651" s="56"/>
    </row>
    <row r="652" ht="16.5" customHeight="1" spans="1:23" x14ac:dyDescent="0.25">
      <c r="A652" s="69"/>
      <c r="B652" s="54"/>
      <c r="C652" s="54"/>
      <c r="D652" s="55"/>
      <c r="E652" s="54"/>
      <c r="F652" s="54"/>
      <c r="G652" s="54"/>
      <c r="H652" s="54"/>
      <c r="I652" s="54"/>
      <c r="J652" s="65"/>
      <c r="K652" s="54"/>
      <c r="L652" s="57"/>
      <c r="M652" s="54"/>
      <c r="N652" s="54"/>
      <c r="O652" s="57"/>
      <c r="P652" s="56"/>
      <c r="Q652" s="57"/>
      <c r="R652" s="57"/>
      <c r="S652" s="56"/>
      <c r="T652" s="60"/>
      <c r="U652" s="57"/>
      <c r="V652" s="71"/>
      <c r="W652" s="56"/>
    </row>
    <row r="653" ht="16.5" customHeight="1" spans="1:23" x14ac:dyDescent="0.25">
      <c r="A653" s="69"/>
      <c r="B653" s="54"/>
      <c r="C653" s="54"/>
      <c r="D653" s="55"/>
      <c r="E653" s="54"/>
      <c r="F653" s="54"/>
      <c r="G653" s="54"/>
      <c r="H653" s="54"/>
      <c r="I653" s="54"/>
      <c r="J653" s="65"/>
      <c r="K653" s="54"/>
      <c r="L653" s="57"/>
      <c r="M653" s="54"/>
      <c r="N653" s="54"/>
      <c r="O653" s="57"/>
      <c r="P653" s="56"/>
      <c r="Q653" s="57"/>
      <c r="R653" s="57"/>
      <c r="S653" s="56"/>
      <c r="T653" s="60"/>
      <c r="U653" s="57"/>
      <c r="V653" s="71"/>
      <c r="W653" s="56"/>
    </row>
    <row r="654" ht="16.5" customHeight="1" spans="1:23" x14ac:dyDescent="0.25">
      <c r="A654" s="69"/>
      <c r="B654" s="54"/>
      <c r="C654" s="54"/>
      <c r="D654" s="55"/>
      <c r="E654" s="54"/>
      <c r="F654" s="54"/>
      <c r="G654" s="54"/>
      <c r="H654" s="54"/>
      <c r="I654" s="54"/>
      <c r="J654" s="65"/>
      <c r="K654" s="54"/>
      <c r="L654" s="57"/>
      <c r="M654" s="54"/>
      <c r="N654" s="54"/>
      <c r="O654" s="57"/>
      <c r="P654" s="56"/>
      <c r="Q654" s="57"/>
      <c r="R654" s="57"/>
      <c r="S654" s="56"/>
      <c r="T654" s="60"/>
      <c r="U654" s="57"/>
      <c r="V654" s="71"/>
      <c r="W654" s="56"/>
    </row>
    <row r="655" ht="16.5" customHeight="1" spans="1:23" x14ac:dyDescent="0.25">
      <c r="A655" s="69"/>
      <c r="B655" s="54"/>
      <c r="C655" s="54"/>
      <c r="D655" s="55"/>
      <c r="E655" s="54"/>
      <c r="F655" s="54"/>
      <c r="G655" s="54"/>
      <c r="H655" s="54"/>
      <c r="I655" s="54"/>
      <c r="J655" s="65"/>
      <c r="K655" s="54"/>
      <c r="L655" s="57"/>
      <c r="M655" s="54"/>
      <c r="N655" s="54"/>
      <c r="O655" s="57"/>
      <c r="P655" s="56"/>
      <c r="Q655" s="57"/>
      <c r="R655" s="57"/>
      <c r="S655" s="56"/>
      <c r="T655" s="60"/>
      <c r="U655" s="57"/>
      <c r="V655" s="71"/>
      <c r="W655" s="56"/>
    </row>
    <row r="656" ht="16.5" customHeight="1" spans="1:23" x14ac:dyDescent="0.25">
      <c r="A656" s="69"/>
      <c r="B656" s="54"/>
      <c r="C656" s="54"/>
      <c r="D656" s="55"/>
      <c r="E656" s="54"/>
      <c r="F656" s="54"/>
      <c r="G656" s="54"/>
      <c r="H656" s="54"/>
      <c r="I656" s="54"/>
      <c r="J656" s="65"/>
      <c r="K656" s="54"/>
      <c r="L656" s="57"/>
      <c r="M656" s="54"/>
      <c r="N656" s="54"/>
      <c r="O656" s="57"/>
      <c r="P656" s="56"/>
      <c r="Q656" s="57"/>
      <c r="R656" s="57"/>
      <c r="S656" s="56"/>
      <c r="T656" s="60"/>
      <c r="U656" s="57"/>
      <c r="V656" s="56"/>
      <c r="W656" s="56"/>
    </row>
    <row r="657" ht="16.5" customHeight="1" spans="1:23" x14ac:dyDescent="0.25">
      <c r="A657" s="69"/>
      <c r="B657" s="54"/>
      <c r="C657" s="54"/>
      <c r="D657" s="55"/>
      <c r="E657" s="54"/>
      <c r="F657" s="54"/>
      <c r="G657" s="54"/>
      <c r="H657" s="54"/>
      <c r="I657" s="54"/>
      <c r="J657" s="65"/>
      <c r="K657" s="54"/>
      <c r="L657" s="57"/>
      <c r="M657" s="54"/>
      <c r="N657" s="54"/>
      <c r="O657" s="57"/>
      <c r="P657" s="56"/>
      <c r="Q657" s="57"/>
      <c r="R657" s="57"/>
      <c r="S657" s="56"/>
      <c r="T657" s="60"/>
      <c r="U657" s="57"/>
      <c r="V657" s="56"/>
      <c r="W657" s="56"/>
    </row>
    <row r="658" ht="16.5" customHeight="1" spans="1:23" x14ac:dyDescent="0.25">
      <c r="A658" s="69"/>
      <c r="B658" s="54"/>
      <c r="C658" s="54"/>
      <c r="D658" s="55"/>
      <c r="E658" s="54"/>
      <c r="F658" s="54"/>
      <c r="G658" s="54"/>
      <c r="H658" s="54"/>
      <c r="I658" s="54"/>
      <c r="J658" s="65"/>
      <c r="K658" s="54"/>
      <c r="L658" s="57"/>
      <c r="M658" s="54"/>
      <c r="N658" s="54"/>
      <c r="O658" s="57"/>
      <c r="P658" s="56"/>
      <c r="Q658" s="57"/>
      <c r="R658" s="57"/>
      <c r="S658" s="56"/>
      <c r="T658" s="60"/>
      <c r="U658" s="57"/>
      <c r="V658" s="56"/>
      <c r="W658" s="56"/>
    </row>
    <row r="659" ht="16.5" customHeight="1" spans="1:23" x14ac:dyDescent="0.25">
      <c r="A659" s="69"/>
      <c r="B659" s="54"/>
      <c r="C659" s="54"/>
      <c r="D659" s="55"/>
      <c r="E659" s="54"/>
      <c r="F659" s="54"/>
      <c r="G659" s="54"/>
      <c r="H659" s="54"/>
      <c r="I659" s="54"/>
      <c r="J659" s="65"/>
      <c r="K659" s="54"/>
      <c r="L659" s="57"/>
      <c r="M659" s="54"/>
      <c r="N659" s="54"/>
      <c r="O659" s="57"/>
      <c r="P659" s="56"/>
      <c r="Q659" s="57"/>
      <c r="R659" s="57"/>
      <c r="S659" s="56"/>
      <c r="T659" s="60"/>
      <c r="U659" s="57"/>
      <c r="V659" s="56"/>
      <c r="W659" s="56"/>
    </row>
    <row r="660" ht="16.5" customHeight="1" spans="1:23" x14ac:dyDescent="0.25">
      <c r="A660" s="69"/>
      <c r="B660" s="54"/>
      <c r="C660" s="54"/>
      <c r="D660" s="55"/>
      <c r="E660" s="54"/>
      <c r="F660" s="54"/>
      <c r="G660" s="54"/>
      <c r="H660" s="54"/>
      <c r="I660" s="54"/>
      <c r="J660" s="65"/>
      <c r="K660" s="54"/>
      <c r="L660" s="57"/>
      <c r="M660" s="54"/>
      <c r="N660" s="54"/>
      <c r="O660" s="57"/>
      <c r="P660" s="56"/>
      <c r="Q660" s="57"/>
      <c r="R660" s="57"/>
      <c r="S660" s="56"/>
      <c r="T660" s="60"/>
      <c r="U660" s="57"/>
      <c r="V660" s="56"/>
      <c r="W660" s="56"/>
    </row>
    <row r="661" ht="16.5" customHeight="1" spans="1:23" x14ac:dyDescent="0.25">
      <c r="A661" s="69"/>
      <c r="B661" s="54"/>
      <c r="C661" s="54"/>
      <c r="D661" s="55"/>
      <c r="E661" s="54"/>
      <c r="F661" s="54"/>
      <c r="G661" s="54"/>
      <c r="H661" s="54"/>
      <c r="I661" s="54"/>
      <c r="J661" s="65"/>
      <c r="K661" s="54"/>
      <c r="L661" s="57"/>
      <c r="M661" s="54"/>
      <c r="N661" s="54"/>
      <c r="O661" s="57"/>
      <c r="P661" s="56"/>
      <c r="Q661" s="57"/>
      <c r="R661" s="57"/>
      <c r="S661" s="56"/>
      <c r="T661" s="60"/>
      <c r="U661" s="57"/>
      <c r="V661" s="56"/>
      <c r="W661" s="56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SUM(R4:R574)</f>
      </c>
      <c r="S2" s="21" t="s">
        <v>1874</v>
      </c>
      <c r="T2" s="32">
        <f>SUM(T4:T574)</f>
      </c>
      <c r="U2" s="32">
        <f>SUM(U4:U574)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647</v>
      </c>
      <c r="F3" s="40" t="s">
        <v>651</v>
      </c>
      <c r="G3" s="43" t="s">
        <v>4</v>
      </c>
      <c r="H3" s="40" t="s">
        <v>2</v>
      </c>
      <c r="I3" s="40" t="s">
        <v>3</v>
      </c>
      <c r="J3" s="44" t="s">
        <v>1855</v>
      </c>
      <c r="K3" s="62" t="s">
        <v>1875</v>
      </c>
      <c r="L3" s="44" t="s">
        <v>1856</v>
      </c>
      <c r="M3" s="63" t="s">
        <v>1858</v>
      </c>
      <c r="N3" s="63" t="s">
        <v>1876</v>
      </c>
      <c r="O3" s="46" t="s">
        <v>1859</v>
      </c>
      <c r="P3" s="46" t="s">
        <v>1877</v>
      </c>
      <c r="Q3" s="46" t="s">
        <v>1878</v>
      </c>
      <c r="R3" s="64" t="s">
        <v>1879</v>
      </c>
      <c r="S3" s="46" t="s">
        <v>1865</v>
      </c>
      <c r="T3" s="49" t="s">
        <v>1880</v>
      </c>
      <c r="U3" s="64" t="s">
        <v>1881</v>
      </c>
      <c r="V3" s="54" t="s">
        <v>20</v>
      </c>
      <c r="W3" s="65" t="s">
        <v>671</v>
      </c>
      <c r="X3" s="66"/>
    </row>
    <row r="4" ht="16.5" customHeight="1" spans="1:23" x14ac:dyDescent="0.25">
      <c r="A4" s="67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3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3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3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3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3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3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3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3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3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3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3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3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9"/>
      <c r="B476" s="54"/>
      <c r="C476" s="54"/>
      <c r="D476" s="55"/>
      <c r="E476" s="54"/>
      <c r="F476" s="54"/>
      <c r="G476" s="54"/>
      <c r="H476" s="54"/>
      <c r="I476" s="54"/>
      <c r="J476" s="65"/>
      <c r="K476" s="54"/>
      <c r="L476" s="57"/>
      <c r="M476" s="54"/>
      <c r="N476" s="54"/>
      <c r="O476" s="57"/>
      <c r="P476" s="56"/>
      <c r="Q476" s="57"/>
      <c r="R476" s="57"/>
      <c r="S476" s="56"/>
      <c r="T476" s="60"/>
      <c r="U476" s="57"/>
      <c r="V476" s="70"/>
      <c r="W476" s="56"/>
    </row>
    <row r="477" ht="16.5" customHeight="1" spans="1:23" x14ac:dyDescent="0.25">
      <c r="A477" s="69"/>
      <c r="B477" s="54"/>
      <c r="C477" s="54"/>
      <c r="D477" s="55"/>
      <c r="E477" s="54"/>
      <c r="F477" s="54"/>
      <c r="G477" s="54"/>
      <c r="H477" s="54"/>
      <c r="I477" s="54"/>
      <c r="J477" s="65"/>
      <c r="K477" s="54"/>
      <c r="L477" s="57"/>
      <c r="M477" s="54"/>
      <c r="N477" s="54"/>
      <c r="O477" s="57"/>
      <c r="P477" s="56"/>
      <c r="Q477" s="57"/>
      <c r="R477" s="57"/>
      <c r="S477" s="56"/>
      <c r="T477" s="60"/>
      <c r="U477" s="57"/>
      <c r="V477" s="71"/>
      <c r="W477" s="56"/>
    </row>
    <row r="478" ht="16.5" customHeight="1" spans="1:23" x14ac:dyDescent="0.25">
      <c r="A478" s="69"/>
      <c r="B478" s="54"/>
      <c r="C478" s="54"/>
      <c r="D478" s="55"/>
      <c r="E478" s="54"/>
      <c r="F478" s="54"/>
      <c r="G478" s="54"/>
      <c r="H478" s="54"/>
      <c r="I478" s="54"/>
      <c r="J478" s="65"/>
      <c r="K478" s="54"/>
      <c r="L478" s="57"/>
      <c r="M478" s="54"/>
      <c r="N478" s="54"/>
      <c r="O478" s="57"/>
      <c r="P478" s="56"/>
      <c r="Q478" s="57"/>
      <c r="R478" s="57"/>
      <c r="S478" s="56"/>
      <c r="T478" s="60"/>
      <c r="U478" s="57"/>
      <c r="V478" s="71"/>
      <c r="W478" s="56"/>
    </row>
    <row r="479" ht="16.5" customHeight="1" spans="1:23" x14ac:dyDescent="0.25">
      <c r="A479" s="69"/>
      <c r="B479" s="54"/>
      <c r="C479" s="54"/>
      <c r="D479" s="55"/>
      <c r="E479" s="54"/>
      <c r="F479" s="54"/>
      <c r="G479" s="54"/>
      <c r="H479" s="54"/>
      <c r="I479" s="54"/>
      <c r="J479" s="65"/>
      <c r="K479" s="54"/>
      <c r="L479" s="57"/>
      <c r="M479" s="54"/>
      <c r="N479" s="54"/>
      <c r="O479" s="57"/>
      <c r="P479" s="56"/>
      <c r="Q479" s="57"/>
      <c r="R479" s="57"/>
      <c r="S479" s="56"/>
      <c r="T479" s="60"/>
      <c r="U479" s="57"/>
      <c r="V479" s="71"/>
      <c r="W479" s="56"/>
    </row>
    <row r="480" ht="16.5" customHeight="1" spans="1:23" x14ac:dyDescent="0.25">
      <c r="A480" s="69"/>
      <c r="B480" s="54"/>
      <c r="C480" s="54"/>
      <c r="D480" s="55"/>
      <c r="E480" s="54"/>
      <c r="F480" s="54"/>
      <c r="G480" s="54"/>
      <c r="H480" s="54"/>
      <c r="I480" s="54"/>
      <c r="J480" s="65"/>
      <c r="K480" s="54"/>
      <c r="L480" s="57"/>
      <c r="M480" s="54"/>
      <c r="N480" s="54"/>
      <c r="O480" s="57"/>
      <c r="P480" s="56"/>
      <c r="Q480" s="57"/>
      <c r="R480" s="57"/>
      <c r="S480" s="56"/>
      <c r="T480" s="60"/>
      <c r="U480" s="57"/>
      <c r="V480" s="71"/>
      <c r="W480" s="56"/>
    </row>
    <row r="481" ht="16.5" customHeight="1" spans="1:23" x14ac:dyDescent="0.25">
      <c r="A481" s="69"/>
      <c r="B481" s="54"/>
      <c r="C481" s="54"/>
      <c r="D481" s="55"/>
      <c r="E481" s="54"/>
      <c r="F481" s="54"/>
      <c r="G481" s="54"/>
      <c r="H481" s="54"/>
      <c r="I481" s="54"/>
      <c r="J481" s="65"/>
      <c r="K481" s="54"/>
      <c r="L481" s="57"/>
      <c r="M481" s="54"/>
      <c r="N481" s="54"/>
      <c r="O481" s="57"/>
      <c r="P481" s="56"/>
      <c r="Q481" s="57"/>
      <c r="R481" s="57"/>
      <c r="S481" s="56"/>
      <c r="T481" s="60"/>
      <c r="U481" s="57"/>
      <c r="V481" s="71"/>
      <c r="W481" s="56"/>
    </row>
    <row r="482" ht="16.5" customHeight="1" spans="1:23" x14ac:dyDescent="0.25">
      <c r="A482" s="69"/>
      <c r="B482" s="54"/>
      <c r="C482" s="54"/>
      <c r="D482" s="55"/>
      <c r="E482" s="54"/>
      <c r="F482" s="54"/>
      <c r="G482" s="54"/>
      <c r="H482" s="54"/>
      <c r="I482" s="54"/>
      <c r="J482" s="65"/>
      <c r="K482" s="54"/>
      <c r="L482" s="57"/>
      <c r="M482" s="54"/>
      <c r="N482" s="54"/>
      <c r="O482" s="57"/>
      <c r="P482" s="56"/>
      <c r="Q482" s="57"/>
      <c r="R482" s="57"/>
      <c r="S482" s="56"/>
      <c r="T482" s="60"/>
      <c r="U482" s="57"/>
      <c r="V482" s="71"/>
      <c r="W482" s="56"/>
    </row>
    <row r="483" ht="16.5" customHeight="1" spans="1:23" x14ac:dyDescent="0.25">
      <c r="A483" s="69"/>
      <c r="B483" s="54"/>
      <c r="C483" s="54"/>
      <c r="D483" s="55"/>
      <c r="E483" s="54"/>
      <c r="F483" s="54"/>
      <c r="G483" s="54"/>
      <c r="H483" s="54"/>
      <c r="I483" s="54"/>
      <c r="J483" s="65"/>
      <c r="K483" s="54"/>
      <c r="L483" s="57"/>
      <c r="M483" s="54"/>
      <c r="N483" s="54"/>
      <c r="O483" s="57"/>
      <c r="P483" s="56"/>
      <c r="Q483" s="57"/>
      <c r="R483" s="57"/>
      <c r="S483" s="56"/>
      <c r="T483" s="60"/>
      <c r="U483" s="57"/>
      <c r="V483" s="71"/>
      <c r="W483" s="56"/>
    </row>
    <row r="484" ht="16.5" customHeight="1" spans="1:23" x14ac:dyDescent="0.25">
      <c r="A484" s="69"/>
      <c r="B484" s="54"/>
      <c r="C484" s="54"/>
      <c r="D484" s="55"/>
      <c r="E484" s="54"/>
      <c r="F484" s="54"/>
      <c r="G484" s="54"/>
      <c r="H484" s="54"/>
      <c r="I484" s="54"/>
      <c r="J484" s="65"/>
      <c r="K484" s="54"/>
      <c r="L484" s="57"/>
      <c r="M484" s="54"/>
      <c r="N484" s="54"/>
      <c r="O484" s="57"/>
      <c r="P484" s="56"/>
      <c r="Q484" s="57"/>
      <c r="R484" s="57"/>
      <c r="S484" s="56"/>
      <c r="T484" s="60"/>
      <c r="U484" s="57"/>
      <c r="V484" s="71"/>
      <c r="W484" s="56"/>
    </row>
    <row r="485" ht="16.5" customHeight="1" spans="1:23" x14ac:dyDescent="0.25">
      <c r="A485" s="69"/>
      <c r="B485" s="54"/>
      <c r="C485" s="54"/>
      <c r="D485" s="55"/>
      <c r="E485" s="54"/>
      <c r="F485" s="54"/>
      <c r="G485" s="54"/>
      <c r="H485" s="54"/>
      <c r="I485" s="54"/>
      <c r="J485" s="65"/>
      <c r="K485" s="54"/>
      <c r="L485" s="57"/>
      <c r="M485" s="54"/>
      <c r="N485" s="54"/>
      <c r="O485" s="57"/>
      <c r="P485" s="56"/>
      <c r="Q485" s="57"/>
      <c r="R485" s="57"/>
      <c r="S485" s="56"/>
      <c r="T485" s="60"/>
      <c r="U485" s="57"/>
      <c r="V485" s="71"/>
      <c r="W485" s="56"/>
    </row>
    <row r="486" ht="16.5" customHeight="1" spans="1:23" x14ac:dyDescent="0.25">
      <c r="A486" s="69"/>
      <c r="B486" s="54"/>
      <c r="C486" s="54"/>
      <c r="D486" s="55"/>
      <c r="E486" s="54"/>
      <c r="F486" s="54"/>
      <c r="G486" s="54"/>
      <c r="H486" s="54"/>
      <c r="I486" s="54"/>
      <c r="J486" s="65"/>
      <c r="K486" s="54"/>
      <c r="L486" s="57"/>
      <c r="M486" s="54"/>
      <c r="N486" s="54"/>
      <c r="O486" s="57"/>
      <c r="P486" s="56"/>
      <c r="Q486" s="57"/>
      <c r="R486" s="57"/>
      <c r="S486" s="56"/>
      <c r="T486" s="60"/>
      <c r="U486" s="57"/>
      <c r="V486" s="71"/>
      <c r="W486" s="56"/>
    </row>
    <row r="487" ht="16.5" customHeight="1" spans="1:23" x14ac:dyDescent="0.25">
      <c r="A487" s="69"/>
      <c r="B487" s="54"/>
      <c r="C487" s="54"/>
      <c r="D487" s="55"/>
      <c r="E487" s="54"/>
      <c r="F487" s="54"/>
      <c r="G487" s="54"/>
      <c r="H487" s="54"/>
      <c r="I487" s="54"/>
      <c r="J487" s="65"/>
      <c r="K487" s="54"/>
      <c r="L487" s="57"/>
      <c r="M487" s="54"/>
      <c r="N487" s="54"/>
      <c r="O487" s="57"/>
      <c r="P487" s="56"/>
      <c r="Q487" s="57"/>
      <c r="R487" s="57"/>
      <c r="S487" s="56"/>
      <c r="T487" s="60"/>
      <c r="U487" s="57"/>
      <c r="V487" s="71"/>
      <c r="W487" s="56"/>
    </row>
    <row r="488" ht="16.5" customHeight="1" spans="1:23" x14ac:dyDescent="0.25">
      <c r="A488" s="69"/>
      <c r="B488" s="54"/>
      <c r="C488" s="54"/>
      <c r="D488" s="55"/>
      <c r="E488" s="54"/>
      <c r="F488" s="54"/>
      <c r="G488" s="54"/>
      <c r="H488" s="54"/>
      <c r="I488" s="54"/>
      <c r="J488" s="65"/>
      <c r="K488" s="54"/>
      <c r="L488" s="57"/>
      <c r="M488" s="54"/>
      <c r="N488" s="54"/>
      <c r="O488" s="57"/>
      <c r="P488" s="56"/>
      <c r="Q488" s="57"/>
      <c r="R488" s="57"/>
      <c r="S488" s="56"/>
      <c r="T488" s="60"/>
      <c r="U488" s="57"/>
      <c r="V488" s="71"/>
      <c r="W488" s="56"/>
    </row>
    <row r="489" ht="16.5" customHeight="1" spans="1:23" x14ac:dyDescent="0.25">
      <c r="A489" s="69"/>
      <c r="B489" s="54"/>
      <c r="C489" s="54"/>
      <c r="D489" s="55"/>
      <c r="E489" s="54"/>
      <c r="F489" s="54"/>
      <c r="G489" s="54"/>
      <c r="H489" s="54"/>
      <c r="I489" s="54"/>
      <c r="J489" s="65"/>
      <c r="K489" s="54"/>
      <c r="L489" s="57"/>
      <c r="M489" s="54"/>
      <c r="N489" s="54"/>
      <c r="O489" s="57"/>
      <c r="P489" s="56"/>
      <c r="Q489" s="57"/>
      <c r="R489" s="57"/>
      <c r="S489" s="56"/>
      <c r="T489" s="60"/>
      <c r="U489" s="57"/>
      <c r="V489" s="71"/>
      <c r="W489" s="56"/>
    </row>
    <row r="490" ht="16.5" customHeight="1" spans="1:23" x14ac:dyDescent="0.25">
      <c r="A490" s="69"/>
      <c r="B490" s="54"/>
      <c r="C490" s="54"/>
      <c r="D490" s="55"/>
      <c r="E490" s="54"/>
      <c r="F490" s="54"/>
      <c r="G490" s="54"/>
      <c r="H490" s="54"/>
      <c r="I490" s="54"/>
      <c r="J490" s="65"/>
      <c r="K490" s="54"/>
      <c r="L490" s="57"/>
      <c r="M490" s="54"/>
      <c r="N490" s="54"/>
      <c r="O490" s="57"/>
      <c r="P490" s="56"/>
      <c r="Q490" s="57"/>
      <c r="R490" s="57"/>
      <c r="S490" s="56"/>
      <c r="T490" s="60"/>
      <c r="U490" s="57"/>
      <c r="V490" s="71"/>
      <c r="W490" s="56"/>
    </row>
    <row r="491" ht="16.5" customHeight="1" spans="1:23" x14ac:dyDescent="0.25">
      <c r="A491" s="69"/>
      <c r="B491" s="54"/>
      <c r="C491" s="54"/>
      <c r="D491" s="55"/>
      <c r="E491" s="54"/>
      <c r="F491" s="54"/>
      <c r="G491" s="54"/>
      <c r="H491" s="54"/>
      <c r="I491" s="54"/>
      <c r="J491" s="65"/>
      <c r="K491" s="54"/>
      <c r="L491" s="57"/>
      <c r="M491" s="54"/>
      <c r="N491" s="54"/>
      <c r="O491" s="57"/>
      <c r="P491" s="56"/>
      <c r="Q491" s="57"/>
      <c r="R491" s="57"/>
      <c r="S491" s="56"/>
      <c r="T491" s="60"/>
      <c r="U491" s="57"/>
      <c r="V491" s="71"/>
      <c r="W491" s="56"/>
    </row>
    <row r="492" ht="16.5" customHeight="1" spans="1:23" x14ac:dyDescent="0.25">
      <c r="A492" s="69"/>
      <c r="B492" s="54"/>
      <c r="C492" s="54"/>
      <c r="D492" s="55"/>
      <c r="E492" s="54"/>
      <c r="F492" s="54"/>
      <c r="G492" s="54"/>
      <c r="H492" s="54"/>
      <c r="I492" s="54"/>
      <c r="J492" s="65"/>
      <c r="K492" s="54"/>
      <c r="L492" s="57"/>
      <c r="M492" s="54"/>
      <c r="N492" s="54"/>
      <c r="O492" s="57"/>
      <c r="P492" s="56"/>
      <c r="Q492" s="57"/>
      <c r="R492" s="57"/>
      <c r="S492" s="56"/>
      <c r="T492" s="60"/>
      <c r="U492" s="57"/>
      <c r="V492" s="71"/>
      <c r="W492" s="56"/>
    </row>
    <row r="493" ht="16.5" customHeight="1" spans="1:23" x14ac:dyDescent="0.25">
      <c r="A493" s="69"/>
      <c r="B493" s="54"/>
      <c r="C493" s="54"/>
      <c r="D493" s="55"/>
      <c r="E493" s="54"/>
      <c r="F493" s="54"/>
      <c r="G493" s="54"/>
      <c r="H493" s="54"/>
      <c r="I493" s="54"/>
      <c r="J493" s="65"/>
      <c r="K493" s="54"/>
      <c r="L493" s="57"/>
      <c r="M493" s="54"/>
      <c r="N493" s="54"/>
      <c r="O493" s="57"/>
      <c r="P493" s="56"/>
      <c r="Q493" s="57"/>
      <c r="R493" s="57"/>
      <c r="S493" s="56"/>
      <c r="T493" s="60"/>
      <c r="U493" s="57"/>
      <c r="V493" s="71"/>
      <c r="W493" s="56"/>
    </row>
    <row r="494" ht="16.5" customHeight="1" spans="1:23" x14ac:dyDescent="0.25">
      <c r="A494" s="69"/>
      <c r="B494" s="54"/>
      <c r="C494" s="54"/>
      <c r="D494" s="55"/>
      <c r="E494" s="54"/>
      <c r="F494" s="54"/>
      <c r="G494" s="54"/>
      <c r="H494" s="54"/>
      <c r="I494" s="54"/>
      <c r="J494" s="65"/>
      <c r="K494" s="54"/>
      <c r="L494" s="57"/>
      <c r="M494" s="54"/>
      <c r="N494" s="54"/>
      <c r="O494" s="57"/>
      <c r="P494" s="56"/>
      <c r="Q494" s="57"/>
      <c r="R494" s="57"/>
      <c r="S494" s="56"/>
      <c r="T494" s="60"/>
      <c r="U494" s="57"/>
      <c r="V494" s="71"/>
      <c r="W494" s="56"/>
    </row>
    <row r="495" ht="16.5" customHeight="1" spans="1:23" x14ac:dyDescent="0.25">
      <c r="A495" s="69"/>
      <c r="B495" s="54"/>
      <c r="C495" s="54"/>
      <c r="D495" s="55"/>
      <c r="E495" s="54"/>
      <c r="F495" s="54"/>
      <c r="G495" s="54"/>
      <c r="H495" s="54"/>
      <c r="I495" s="54"/>
      <c r="J495" s="65"/>
      <c r="K495" s="54"/>
      <c r="L495" s="57"/>
      <c r="M495" s="54"/>
      <c r="N495" s="54"/>
      <c r="O495" s="57"/>
      <c r="P495" s="56"/>
      <c r="Q495" s="57"/>
      <c r="R495" s="57"/>
      <c r="S495" s="56"/>
      <c r="T495" s="60"/>
      <c r="U495" s="57"/>
      <c r="V495" s="71"/>
      <c r="W495" s="56"/>
    </row>
    <row r="496" ht="16.5" customHeight="1" spans="1:23" x14ac:dyDescent="0.25">
      <c r="A496" s="69"/>
      <c r="B496" s="54"/>
      <c r="C496" s="54"/>
      <c r="D496" s="55"/>
      <c r="E496" s="54"/>
      <c r="F496" s="54"/>
      <c r="G496" s="54"/>
      <c r="H496" s="54"/>
      <c r="I496" s="54"/>
      <c r="J496" s="65"/>
      <c r="K496" s="54"/>
      <c r="L496" s="57"/>
      <c r="M496" s="54"/>
      <c r="N496" s="54"/>
      <c r="O496" s="57"/>
      <c r="P496" s="56"/>
      <c r="Q496" s="57"/>
      <c r="R496" s="57"/>
      <c r="S496" s="56"/>
      <c r="T496" s="60"/>
      <c r="U496" s="57"/>
      <c r="V496" s="71"/>
      <c r="W496" s="56"/>
    </row>
    <row r="497" ht="16.5" customHeight="1" spans="1:23" x14ac:dyDescent="0.25">
      <c r="A497" s="69"/>
      <c r="B497" s="54"/>
      <c r="C497" s="54"/>
      <c r="D497" s="55"/>
      <c r="E497" s="54"/>
      <c r="F497" s="54"/>
      <c r="G497" s="54"/>
      <c r="H497" s="54"/>
      <c r="I497" s="54"/>
      <c r="J497" s="65"/>
      <c r="K497" s="54"/>
      <c r="L497" s="57"/>
      <c r="M497" s="54"/>
      <c r="N497" s="54"/>
      <c r="O497" s="57"/>
      <c r="P497" s="56"/>
      <c r="Q497" s="57"/>
      <c r="R497" s="57"/>
      <c r="S497" s="56"/>
      <c r="T497" s="60"/>
      <c r="U497" s="57"/>
      <c r="V497" s="71"/>
      <c r="W497" s="56"/>
    </row>
    <row r="498" ht="16.5" customHeight="1" spans="1:23" x14ac:dyDescent="0.25">
      <c r="A498" s="69"/>
      <c r="B498" s="54"/>
      <c r="C498" s="54"/>
      <c r="D498" s="55"/>
      <c r="E498" s="54"/>
      <c r="F498" s="54"/>
      <c r="G498" s="54"/>
      <c r="H498" s="54"/>
      <c r="I498" s="54"/>
      <c r="J498" s="65"/>
      <c r="K498" s="54"/>
      <c r="L498" s="57"/>
      <c r="M498" s="54"/>
      <c r="N498" s="54"/>
      <c r="O498" s="57"/>
      <c r="P498" s="56"/>
      <c r="Q498" s="57"/>
      <c r="R498" s="57"/>
      <c r="S498" s="56"/>
      <c r="T498" s="60"/>
      <c r="U498" s="57"/>
      <c r="V498" s="71"/>
      <c r="W498" s="56"/>
    </row>
    <row r="499" ht="16.5" customHeight="1" spans="1:23" x14ac:dyDescent="0.25">
      <c r="A499" s="69"/>
      <c r="B499" s="54"/>
      <c r="C499" s="54"/>
      <c r="D499" s="55"/>
      <c r="E499" s="54"/>
      <c r="F499" s="54"/>
      <c r="G499" s="54"/>
      <c r="H499" s="54"/>
      <c r="I499" s="54"/>
      <c r="J499" s="65"/>
      <c r="K499" s="54"/>
      <c r="L499" s="57"/>
      <c r="M499" s="54"/>
      <c r="N499" s="54"/>
      <c r="O499" s="57"/>
      <c r="P499" s="56"/>
      <c r="Q499" s="57"/>
      <c r="R499" s="57"/>
      <c r="S499" s="56"/>
      <c r="T499" s="60"/>
      <c r="U499" s="57"/>
      <c r="V499" s="71"/>
      <c r="W499" s="56"/>
    </row>
    <row r="500" ht="16.5" customHeight="1" spans="1:23" x14ac:dyDescent="0.25">
      <c r="A500" s="69"/>
      <c r="B500" s="54"/>
      <c r="C500" s="54"/>
      <c r="D500" s="55"/>
      <c r="E500" s="54"/>
      <c r="F500" s="54"/>
      <c r="G500" s="54"/>
      <c r="H500" s="54"/>
      <c r="I500" s="54"/>
      <c r="J500" s="65"/>
      <c r="K500" s="54"/>
      <c r="L500" s="57"/>
      <c r="M500" s="54"/>
      <c r="N500" s="54"/>
      <c r="O500" s="57"/>
      <c r="P500" s="56"/>
      <c r="Q500" s="57"/>
      <c r="R500" s="57"/>
      <c r="S500" s="56"/>
      <c r="T500" s="60"/>
      <c r="U500" s="57"/>
      <c r="V500" s="71"/>
      <c r="W500" s="56"/>
    </row>
    <row r="501" ht="16.5" customHeight="1" spans="1:23" x14ac:dyDescent="0.25">
      <c r="A501" s="69"/>
      <c r="B501" s="54"/>
      <c r="C501" s="54"/>
      <c r="D501" s="55"/>
      <c r="E501" s="54"/>
      <c r="F501" s="54"/>
      <c r="G501" s="54"/>
      <c r="H501" s="54"/>
      <c r="I501" s="54"/>
      <c r="J501" s="65"/>
      <c r="K501" s="54"/>
      <c r="L501" s="57"/>
      <c r="M501" s="54"/>
      <c r="N501" s="54"/>
      <c r="O501" s="57"/>
      <c r="P501" s="56"/>
      <c r="Q501" s="57"/>
      <c r="R501" s="57"/>
      <c r="S501" s="56"/>
      <c r="T501" s="60"/>
      <c r="U501" s="57"/>
      <c r="V501" s="71"/>
      <c r="W501" s="56"/>
    </row>
    <row r="502" ht="16.5" customHeight="1" spans="1:23" x14ac:dyDescent="0.25">
      <c r="A502" s="69"/>
      <c r="B502" s="54"/>
      <c r="C502" s="54"/>
      <c r="D502" s="55"/>
      <c r="E502" s="54"/>
      <c r="F502" s="54"/>
      <c r="G502" s="54"/>
      <c r="H502" s="54"/>
      <c r="I502" s="54"/>
      <c r="J502" s="65"/>
      <c r="K502" s="54"/>
      <c r="L502" s="57"/>
      <c r="M502" s="54"/>
      <c r="N502" s="54"/>
      <c r="O502" s="57"/>
      <c r="P502" s="56"/>
      <c r="Q502" s="57"/>
      <c r="R502" s="57"/>
      <c r="S502" s="56"/>
      <c r="T502" s="60"/>
      <c r="U502" s="57"/>
      <c r="V502" s="71"/>
      <c r="W502" s="56"/>
    </row>
    <row r="503" ht="16.5" customHeight="1" spans="1:23" x14ac:dyDescent="0.25">
      <c r="A503" s="69"/>
      <c r="B503" s="54"/>
      <c r="C503" s="54"/>
      <c r="D503" s="55"/>
      <c r="E503" s="54"/>
      <c r="F503" s="54"/>
      <c r="G503" s="54"/>
      <c r="H503" s="54"/>
      <c r="I503" s="54"/>
      <c r="J503" s="65"/>
      <c r="K503" s="54"/>
      <c r="L503" s="57"/>
      <c r="M503" s="54"/>
      <c r="N503" s="54"/>
      <c r="O503" s="57"/>
      <c r="P503" s="56"/>
      <c r="Q503" s="57"/>
      <c r="R503" s="57"/>
      <c r="S503" s="56"/>
      <c r="T503" s="60"/>
      <c r="U503" s="57"/>
      <c r="V503" s="71"/>
      <c r="W503" s="56"/>
    </row>
    <row r="504" ht="16.5" customHeight="1" spans="1:23" x14ac:dyDescent="0.25">
      <c r="A504" s="69"/>
      <c r="B504" s="54"/>
      <c r="C504" s="54"/>
      <c r="D504" s="55"/>
      <c r="E504" s="54"/>
      <c r="F504" s="54"/>
      <c r="G504" s="54"/>
      <c r="H504" s="54"/>
      <c r="I504" s="54"/>
      <c r="J504" s="65"/>
      <c r="K504" s="54"/>
      <c r="L504" s="57"/>
      <c r="M504" s="54"/>
      <c r="N504" s="54"/>
      <c r="O504" s="57"/>
      <c r="P504" s="56"/>
      <c r="Q504" s="57"/>
      <c r="R504" s="57"/>
      <c r="S504" s="56"/>
      <c r="T504" s="60"/>
      <c r="U504" s="57"/>
      <c r="V504" s="71"/>
      <c r="W504" s="56"/>
    </row>
    <row r="505" ht="16.5" customHeight="1" spans="1:23" x14ac:dyDescent="0.25">
      <c r="A505" s="69"/>
      <c r="B505" s="54"/>
      <c r="C505" s="54"/>
      <c r="D505" s="55"/>
      <c r="E505" s="54"/>
      <c r="F505" s="54"/>
      <c r="G505" s="54"/>
      <c r="H505" s="54"/>
      <c r="I505" s="54"/>
      <c r="J505" s="65"/>
      <c r="K505" s="54"/>
      <c r="L505" s="57"/>
      <c r="M505" s="54"/>
      <c r="N505" s="54"/>
      <c r="O505" s="57"/>
      <c r="P505" s="56"/>
      <c r="Q505" s="57"/>
      <c r="R505" s="57"/>
      <c r="S505" s="56"/>
      <c r="T505" s="60"/>
      <c r="U505" s="57"/>
      <c r="V505" s="71"/>
      <c r="W505" s="56"/>
    </row>
    <row r="506" ht="16.5" customHeight="1" spans="1:23" x14ac:dyDescent="0.25">
      <c r="A506" s="69"/>
      <c r="B506" s="54"/>
      <c r="C506" s="54"/>
      <c r="D506" s="55"/>
      <c r="E506" s="54"/>
      <c r="F506" s="54"/>
      <c r="G506" s="54"/>
      <c r="H506" s="54"/>
      <c r="I506" s="54"/>
      <c r="J506" s="65"/>
      <c r="K506" s="54"/>
      <c r="L506" s="57"/>
      <c r="M506" s="54"/>
      <c r="N506" s="54"/>
      <c r="O506" s="57"/>
      <c r="P506" s="56"/>
      <c r="Q506" s="57"/>
      <c r="R506" s="57"/>
      <c r="S506" s="56"/>
      <c r="T506" s="60"/>
      <c r="U506" s="57"/>
      <c r="V506" s="71"/>
      <c r="W506" s="56"/>
    </row>
    <row r="507" ht="16.5" customHeight="1" spans="1:23" x14ac:dyDescent="0.25">
      <c r="A507" s="69"/>
      <c r="B507" s="54"/>
      <c r="C507" s="54"/>
      <c r="D507" s="55"/>
      <c r="E507" s="54"/>
      <c r="F507" s="54"/>
      <c r="G507" s="54"/>
      <c r="H507" s="54"/>
      <c r="I507" s="54"/>
      <c r="J507" s="65"/>
      <c r="K507" s="54"/>
      <c r="L507" s="57"/>
      <c r="M507" s="54"/>
      <c r="N507" s="54"/>
      <c r="O507" s="57"/>
      <c r="P507" s="56"/>
      <c r="Q507" s="57"/>
      <c r="R507" s="57"/>
      <c r="S507" s="56"/>
      <c r="T507" s="60"/>
      <c r="U507" s="57"/>
      <c r="V507" s="71"/>
      <c r="W507" s="56"/>
    </row>
    <row r="508" ht="16.5" customHeight="1" spans="1:23" x14ac:dyDescent="0.25">
      <c r="A508" s="69"/>
      <c r="B508" s="54"/>
      <c r="C508" s="54"/>
      <c r="D508" s="55"/>
      <c r="E508" s="54"/>
      <c r="F508" s="54"/>
      <c r="G508" s="54"/>
      <c r="H508" s="54"/>
      <c r="I508" s="54"/>
      <c r="J508" s="65"/>
      <c r="K508" s="54"/>
      <c r="L508" s="57"/>
      <c r="M508" s="54"/>
      <c r="N508" s="54"/>
      <c r="O508" s="57"/>
      <c r="P508" s="56"/>
      <c r="Q508" s="57"/>
      <c r="R508" s="57"/>
      <c r="S508" s="56"/>
      <c r="T508" s="60"/>
      <c r="U508" s="57"/>
      <c r="V508" s="71"/>
      <c r="W508" s="56"/>
    </row>
    <row r="509" ht="16.5" customHeight="1" spans="1:23" x14ac:dyDescent="0.25">
      <c r="A509" s="69"/>
      <c r="B509" s="54"/>
      <c r="C509" s="54"/>
      <c r="D509" s="55"/>
      <c r="E509" s="54"/>
      <c r="F509" s="54"/>
      <c r="G509" s="54"/>
      <c r="H509" s="54"/>
      <c r="I509" s="54"/>
      <c r="J509" s="65"/>
      <c r="K509" s="54"/>
      <c r="L509" s="57"/>
      <c r="M509" s="54"/>
      <c r="N509" s="54"/>
      <c r="O509" s="57"/>
      <c r="P509" s="56"/>
      <c r="Q509" s="57"/>
      <c r="R509" s="57"/>
      <c r="S509" s="56"/>
      <c r="T509" s="60"/>
      <c r="U509" s="57"/>
      <c r="V509" s="71"/>
      <c r="W509" s="56"/>
    </row>
    <row r="510" ht="16.5" customHeight="1" spans="1:23" x14ac:dyDescent="0.25">
      <c r="A510" s="69"/>
      <c r="B510" s="54"/>
      <c r="C510" s="54"/>
      <c r="D510" s="55"/>
      <c r="E510" s="54"/>
      <c r="F510" s="54"/>
      <c r="G510" s="54"/>
      <c r="H510" s="54"/>
      <c r="I510" s="54"/>
      <c r="J510" s="65"/>
      <c r="K510" s="54"/>
      <c r="L510" s="57"/>
      <c r="M510" s="54"/>
      <c r="N510" s="54"/>
      <c r="O510" s="57"/>
      <c r="P510" s="56"/>
      <c r="Q510" s="57"/>
      <c r="R510" s="57"/>
      <c r="S510" s="56"/>
      <c r="T510" s="60"/>
      <c r="U510" s="57"/>
      <c r="V510" s="71"/>
      <c r="W510" s="56"/>
    </row>
    <row r="511" ht="16.5" customHeight="1" spans="1:23" x14ac:dyDescent="0.25">
      <c r="A511" s="69"/>
      <c r="B511" s="54"/>
      <c r="C511" s="54"/>
      <c r="D511" s="55"/>
      <c r="E511" s="54"/>
      <c r="F511" s="54"/>
      <c r="G511" s="54"/>
      <c r="H511" s="54"/>
      <c r="I511" s="54"/>
      <c r="J511" s="65"/>
      <c r="K511" s="54"/>
      <c r="L511" s="57"/>
      <c r="M511" s="54"/>
      <c r="N511" s="54"/>
      <c r="O511" s="57"/>
      <c r="P511" s="56"/>
      <c r="Q511" s="57"/>
      <c r="R511" s="57"/>
      <c r="S511" s="56"/>
      <c r="T511" s="60"/>
      <c r="U511" s="57"/>
      <c r="V511" s="71"/>
      <c r="W511" s="56"/>
    </row>
    <row r="512" ht="16.5" customHeight="1" spans="1:23" x14ac:dyDescent="0.25">
      <c r="A512" s="69"/>
      <c r="B512" s="54"/>
      <c r="C512" s="54"/>
      <c r="D512" s="55"/>
      <c r="E512" s="54"/>
      <c r="F512" s="54"/>
      <c r="G512" s="54"/>
      <c r="H512" s="54"/>
      <c r="I512" s="54"/>
      <c r="J512" s="65"/>
      <c r="K512" s="54"/>
      <c r="L512" s="57"/>
      <c r="M512" s="54"/>
      <c r="N512" s="54"/>
      <c r="O512" s="57"/>
      <c r="P512" s="56"/>
      <c r="Q512" s="57"/>
      <c r="R512" s="57"/>
      <c r="S512" s="56"/>
      <c r="T512" s="60"/>
      <c r="U512" s="57"/>
      <c r="V512" s="71"/>
      <c r="W512" s="56"/>
    </row>
    <row r="513" ht="16.5" customHeight="1" spans="1:23" x14ac:dyDescent="0.25">
      <c r="A513" s="69"/>
      <c r="B513" s="54"/>
      <c r="C513" s="54"/>
      <c r="D513" s="55"/>
      <c r="E513" s="54"/>
      <c r="F513" s="54"/>
      <c r="G513" s="54"/>
      <c r="H513" s="54"/>
      <c r="I513" s="54"/>
      <c r="J513" s="65"/>
      <c r="K513" s="54"/>
      <c r="L513" s="57"/>
      <c r="M513" s="54"/>
      <c r="N513" s="54"/>
      <c r="O513" s="57"/>
      <c r="P513" s="56"/>
      <c r="Q513" s="57"/>
      <c r="R513" s="57"/>
      <c r="S513" s="56"/>
      <c r="T513" s="60"/>
      <c r="U513" s="57"/>
      <c r="V513" s="71"/>
      <c r="W513" s="56"/>
    </row>
    <row r="514" ht="16.5" customHeight="1" spans="1:23" x14ac:dyDescent="0.25">
      <c r="A514" s="69"/>
      <c r="B514" s="54"/>
      <c r="C514" s="54"/>
      <c r="D514" s="55"/>
      <c r="E514" s="54"/>
      <c r="F514" s="54"/>
      <c r="G514" s="54"/>
      <c r="H514" s="54"/>
      <c r="I514" s="54"/>
      <c r="J514" s="65"/>
      <c r="K514" s="54"/>
      <c r="L514" s="57"/>
      <c r="M514" s="54"/>
      <c r="N514" s="54"/>
      <c r="O514" s="57"/>
      <c r="P514" s="56"/>
      <c r="Q514" s="57"/>
      <c r="R514" s="57"/>
      <c r="S514" s="56"/>
      <c r="T514" s="60"/>
      <c r="U514" s="57"/>
      <c r="V514" s="71"/>
      <c r="W514" s="56"/>
    </row>
    <row r="515" ht="16.5" customHeight="1" spans="1:23" x14ac:dyDescent="0.25">
      <c r="A515" s="69"/>
      <c r="B515" s="54"/>
      <c r="C515" s="54"/>
      <c r="D515" s="55"/>
      <c r="E515" s="54"/>
      <c r="F515" s="54"/>
      <c r="G515" s="54"/>
      <c r="H515" s="54"/>
      <c r="I515" s="54"/>
      <c r="J515" s="65"/>
      <c r="K515" s="54"/>
      <c r="L515" s="57"/>
      <c r="M515" s="54"/>
      <c r="N515" s="54"/>
      <c r="O515" s="57"/>
      <c r="P515" s="56"/>
      <c r="Q515" s="57"/>
      <c r="R515" s="57"/>
      <c r="S515" s="56"/>
      <c r="T515" s="60"/>
      <c r="U515" s="57"/>
      <c r="V515" s="71"/>
      <c r="W515" s="56"/>
    </row>
    <row r="516" ht="16.5" customHeight="1" spans="1:23" x14ac:dyDescent="0.25">
      <c r="A516" s="69"/>
      <c r="B516" s="54"/>
      <c r="C516" s="54"/>
      <c r="D516" s="55"/>
      <c r="E516" s="54"/>
      <c r="F516" s="54"/>
      <c r="G516" s="54"/>
      <c r="H516" s="54"/>
      <c r="I516" s="54"/>
      <c r="J516" s="65"/>
      <c r="K516" s="54"/>
      <c r="L516" s="57"/>
      <c r="M516" s="54"/>
      <c r="N516" s="54"/>
      <c r="O516" s="57"/>
      <c r="P516" s="56"/>
      <c r="Q516" s="57"/>
      <c r="R516" s="57"/>
      <c r="S516" s="56"/>
      <c r="T516" s="60"/>
      <c r="U516" s="57"/>
      <c r="V516" s="71"/>
      <c r="W516" s="56"/>
    </row>
    <row r="517" ht="16.5" customHeight="1" spans="1:23" x14ac:dyDescent="0.25">
      <c r="A517" s="69"/>
      <c r="B517" s="54"/>
      <c r="C517" s="54"/>
      <c r="D517" s="55"/>
      <c r="E517" s="54"/>
      <c r="F517" s="54"/>
      <c r="G517" s="54"/>
      <c r="H517" s="54"/>
      <c r="I517" s="54"/>
      <c r="J517" s="65"/>
      <c r="K517" s="54"/>
      <c r="L517" s="57"/>
      <c r="M517" s="54"/>
      <c r="N517" s="54"/>
      <c r="O517" s="57"/>
      <c r="P517" s="56"/>
      <c r="Q517" s="57"/>
      <c r="R517" s="57"/>
      <c r="S517" s="56"/>
      <c r="T517" s="60"/>
      <c r="U517" s="57"/>
      <c r="V517" s="71"/>
      <c r="W517" s="56"/>
    </row>
    <row r="518" ht="16.5" customHeight="1" spans="1:23" x14ac:dyDescent="0.25">
      <c r="A518" s="69"/>
      <c r="B518" s="54"/>
      <c r="C518" s="54"/>
      <c r="D518" s="55"/>
      <c r="E518" s="54"/>
      <c r="F518" s="54"/>
      <c r="G518" s="54"/>
      <c r="H518" s="54"/>
      <c r="I518" s="54"/>
      <c r="J518" s="65"/>
      <c r="K518" s="54"/>
      <c r="L518" s="57"/>
      <c r="M518" s="54"/>
      <c r="N518" s="54"/>
      <c r="O518" s="57"/>
      <c r="P518" s="56"/>
      <c r="Q518" s="57"/>
      <c r="R518" s="57"/>
      <c r="S518" s="56"/>
      <c r="T518" s="60"/>
      <c r="U518" s="57"/>
      <c r="V518" s="71"/>
      <c r="W518" s="56"/>
    </row>
    <row r="519" ht="16.5" customHeight="1" spans="1:23" x14ac:dyDescent="0.25">
      <c r="A519" s="69"/>
      <c r="B519" s="54"/>
      <c r="C519" s="54"/>
      <c r="D519" s="55"/>
      <c r="E519" s="54"/>
      <c r="F519" s="54"/>
      <c r="G519" s="54"/>
      <c r="H519" s="54"/>
      <c r="I519" s="54"/>
      <c r="J519" s="65"/>
      <c r="K519" s="54"/>
      <c r="L519" s="57"/>
      <c r="M519" s="54"/>
      <c r="N519" s="54"/>
      <c r="O519" s="57"/>
      <c r="P519" s="56"/>
      <c r="Q519" s="57"/>
      <c r="R519" s="57"/>
      <c r="S519" s="56"/>
      <c r="T519" s="60"/>
      <c r="U519" s="57"/>
      <c r="V519" s="71"/>
      <c r="W519" s="56"/>
    </row>
    <row r="520" ht="16.5" customHeight="1" spans="1:23" x14ac:dyDescent="0.25">
      <c r="A520" s="69"/>
      <c r="B520" s="54"/>
      <c r="C520" s="54"/>
      <c r="D520" s="55"/>
      <c r="E520" s="54"/>
      <c r="F520" s="54"/>
      <c r="G520" s="54"/>
      <c r="H520" s="54"/>
      <c r="I520" s="54"/>
      <c r="J520" s="65"/>
      <c r="K520" s="54"/>
      <c r="L520" s="57"/>
      <c r="M520" s="54"/>
      <c r="N520" s="54"/>
      <c r="O520" s="57"/>
      <c r="P520" s="56"/>
      <c r="Q520" s="57"/>
      <c r="R520" s="57"/>
      <c r="S520" s="56"/>
      <c r="T520" s="60"/>
      <c r="U520" s="57"/>
      <c r="V520" s="71"/>
      <c r="W520" s="56"/>
    </row>
    <row r="521" ht="16.5" customHeight="1" spans="1:23" x14ac:dyDescent="0.25">
      <c r="A521" s="69"/>
      <c r="B521" s="54"/>
      <c r="C521" s="54"/>
      <c r="D521" s="55"/>
      <c r="E521" s="54"/>
      <c r="F521" s="54"/>
      <c r="G521" s="54"/>
      <c r="H521" s="54"/>
      <c r="I521" s="54"/>
      <c r="J521" s="65"/>
      <c r="K521" s="54"/>
      <c r="L521" s="57"/>
      <c r="M521" s="54"/>
      <c r="N521" s="54"/>
      <c r="O521" s="57"/>
      <c r="P521" s="56"/>
      <c r="Q521" s="57"/>
      <c r="R521" s="57"/>
      <c r="S521" s="56"/>
      <c r="T521" s="60"/>
      <c r="U521" s="57"/>
      <c r="V521" s="71"/>
      <c r="W521" s="56"/>
    </row>
    <row r="522" ht="16.5" customHeight="1" spans="1:23" x14ac:dyDescent="0.25">
      <c r="A522" s="69"/>
      <c r="B522" s="54"/>
      <c r="C522" s="54"/>
      <c r="D522" s="55"/>
      <c r="E522" s="54"/>
      <c r="F522" s="54"/>
      <c r="G522" s="54"/>
      <c r="H522" s="54"/>
      <c r="I522" s="54"/>
      <c r="J522" s="65"/>
      <c r="K522" s="54"/>
      <c r="L522" s="57"/>
      <c r="M522" s="54"/>
      <c r="N522" s="54"/>
      <c r="O522" s="57"/>
      <c r="P522" s="56"/>
      <c r="Q522" s="57"/>
      <c r="R522" s="57"/>
      <c r="S522" s="56"/>
      <c r="T522" s="60"/>
      <c r="U522" s="57"/>
      <c r="V522" s="71"/>
      <c r="W522" s="56"/>
    </row>
    <row r="523" ht="16.5" customHeight="1" spans="1:23" x14ac:dyDescent="0.25">
      <c r="A523" s="69"/>
      <c r="B523" s="54"/>
      <c r="C523" s="54"/>
      <c r="D523" s="55"/>
      <c r="E523" s="54"/>
      <c r="F523" s="54"/>
      <c r="G523" s="54"/>
      <c r="H523" s="54"/>
      <c r="I523" s="54"/>
      <c r="J523" s="65"/>
      <c r="K523" s="54"/>
      <c r="L523" s="57"/>
      <c r="M523" s="54"/>
      <c r="N523" s="54"/>
      <c r="O523" s="57"/>
      <c r="P523" s="56"/>
      <c r="Q523" s="57"/>
      <c r="R523" s="57"/>
      <c r="S523" s="56"/>
      <c r="T523" s="60"/>
      <c r="U523" s="57"/>
      <c r="V523" s="71"/>
      <c r="W523" s="56"/>
    </row>
    <row r="524" ht="16.5" customHeight="1" spans="1:23" x14ac:dyDescent="0.25">
      <c r="A524" s="69"/>
      <c r="B524" s="54"/>
      <c r="C524" s="54"/>
      <c r="D524" s="55"/>
      <c r="E524" s="54"/>
      <c r="F524" s="54"/>
      <c r="G524" s="54"/>
      <c r="H524" s="54"/>
      <c r="I524" s="54"/>
      <c r="J524" s="65"/>
      <c r="K524" s="54"/>
      <c r="L524" s="57"/>
      <c r="M524" s="54"/>
      <c r="N524" s="54"/>
      <c r="O524" s="57"/>
      <c r="P524" s="56"/>
      <c r="Q524" s="57"/>
      <c r="R524" s="57"/>
      <c r="S524" s="56"/>
      <c r="T524" s="60"/>
      <c r="U524" s="57"/>
      <c r="V524" s="71"/>
      <c r="W524" s="56"/>
    </row>
    <row r="525" ht="16.5" customHeight="1" spans="1:23" x14ac:dyDescent="0.25">
      <c r="A525" s="69"/>
      <c r="B525" s="54"/>
      <c r="C525" s="54"/>
      <c r="D525" s="55"/>
      <c r="E525" s="54"/>
      <c r="F525" s="54"/>
      <c r="G525" s="54"/>
      <c r="H525" s="54"/>
      <c r="I525" s="54"/>
      <c r="J525" s="65"/>
      <c r="K525" s="54"/>
      <c r="L525" s="57"/>
      <c r="M525" s="54"/>
      <c r="N525" s="54"/>
      <c r="O525" s="57"/>
      <c r="P525" s="56"/>
      <c r="Q525" s="57"/>
      <c r="R525" s="57"/>
      <c r="S525" s="56"/>
      <c r="T525" s="60"/>
      <c r="U525" s="57"/>
      <c r="V525" s="71"/>
      <c r="W525" s="56"/>
    </row>
    <row r="526" ht="16.5" customHeight="1" spans="1:23" x14ac:dyDescent="0.25">
      <c r="A526" s="69"/>
      <c r="B526" s="54"/>
      <c r="C526" s="54"/>
      <c r="D526" s="55"/>
      <c r="E526" s="54"/>
      <c r="F526" s="54"/>
      <c r="G526" s="54"/>
      <c r="H526" s="54"/>
      <c r="I526" s="54"/>
      <c r="J526" s="65"/>
      <c r="K526" s="54"/>
      <c r="L526" s="57"/>
      <c r="M526" s="54"/>
      <c r="N526" s="54"/>
      <c r="O526" s="57"/>
      <c r="P526" s="56"/>
      <c r="Q526" s="57"/>
      <c r="R526" s="57"/>
      <c r="S526" s="56"/>
      <c r="T526" s="60"/>
      <c r="U526" s="57"/>
      <c r="V526" s="71"/>
      <c r="W526" s="56"/>
    </row>
    <row r="527" ht="16.5" customHeight="1" spans="1:23" x14ac:dyDescent="0.25">
      <c r="A527" s="69"/>
      <c r="B527" s="54"/>
      <c r="C527" s="54"/>
      <c r="D527" s="55"/>
      <c r="E527" s="54"/>
      <c r="F527" s="54"/>
      <c r="G527" s="54"/>
      <c r="H527" s="54"/>
      <c r="I527" s="54"/>
      <c r="J527" s="65"/>
      <c r="K527" s="54"/>
      <c r="L527" s="57"/>
      <c r="M527" s="54"/>
      <c r="N527" s="54"/>
      <c r="O527" s="57"/>
      <c r="P527" s="56"/>
      <c r="Q527" s="57"/>
      <c r="R527" s="57"/>
      <c r="S527" s="56"/>
      <c r="T527" s="60"/>
      <c r="U527" s="57"/>
      <c r="V527" s="71"/>
      <c r="W527" s="56"/>
    </row>
    <row r="528" ht="16.5" customHeight="1" spans="1:23" x14ac:dyDescent="0.25">
      <c r="A528" s="69"/>
      <c r="B528" s="54"/>
      <c r="C528" s="54"/>
      <c r="D528" s="55"/>
      <c r="E528" s="54"/>
      <c r="F528" s="54"/>
      <c r="G528" s="54"/>
      <c r="H528" s="54"/>
      <c r="I528" s="54"/>
      <c r="J528" s="65"/>
      <c r="K528" s="54"/>
      <c r="L528" s="57"/>
      <c r="M528" s="54"/>
      <c r="N528" s="54"/>
      <c r="O528" s="57"/>
      <c r="P528" s="56"/>
      <c r="Q528" s="57"/>
      <c r="R528" s="57"/>
      <c r="S528" s="56"/>
      <c r="T528" s="60"/>
      <c r="U528" s="57"/>
      <c r="V528" s="71"/>
      <c r="W528" s="56"/>
    </row>
    <row r="529" ht="16.5" customHeight="1" spans="1:23" x14ac:dyDescent="0.25">
      <c r="A529" s="69"/>
      <c r="B529" s="54"/>
      <c r="C529" s="54"/>
      <c r="D529" s="55"/>
      <c r="E529" s="54"/>
      <c r="F529" s="54"/>
      <c r="G529" s="54"/>
      <c r="H529" s="54"/>
      <c r="I529" s="54"/>
      <c r="J529" s="65"/>
      <c r="K529" s="54"/>
      <c r="L529" s="57"/>
      <c r="M529" s="54"/>
      <c r="N529" s="54"/>
      <c r="O529" s="57"/>
      <c r="P529" s="56"/>
      <c r="Q529" s="57"/>
      <c r="R529" s="57"/>
      <c r="S529" s="56"/>
      <c r="T529" s="60"/>
      <c r="U529" s="57"/>
      <c r="V529" s="71"/>
      <c r="W529" s="56"/>
    </row>
    <row r="530" ht="16.5" customHeight="1" spans="1:23" x14ac:dyDescent="0.25">
      <c r="A530" s="69"/>
      <c r="B530" s="54"/>
      <c r="C530" s="54"/>
      <c r="D530" s="55"/>
      <c r="E530" s="54"/>
      <c r="F530" s="54"/>
      <c r="G530" s="54"/>
      <c r="H530" s="54"/>
      <c r="I530" s="54"/>
      <c r="J530" s="65"/>
      <c r="K530" s="54"/>
      <c r="L530" s="57"/>
      <c r="M530" s="54"/>
      <c r="N530" s="54"/>
      <c r="O530" s="57"/>
      <c r="P530" s="56"/>
      <c r="Q530" s="57"/>
      <c r="R530" s="57"/>
      <c r="S530" s="56"/>
      <c r="T530" s="60"/>
      <c r="U530" s="57"/>
      <c r="V530" s="71"/>
      <c r="W530" s="56"/>
    </row>
    <row r="531" ht="16.5" customHeight="1" spans="1:23" x14ac:dyDescent="0.25">
      <c r="A531" s="69"/>
      <c r="B531" s="54"/>
      <c r="C531" s="54"/>
      <c r="D531" s="55"/>
      <c r="E531" s="54"/>
      <c r="F531" s="54"/>
      <c r="G531" s="54"/>
      <c r="H531" s="54"/>
      <c r="I531" s="54"/>
      <c r="J531" s="65"/>
      <c r="K531" s="54"/>
      <c r="L531" s="57"/>
      <c r="M531" s="54"/>
      <c r="N531" s="54"/>
      <c r="O531" s="57"/>
      <c r="P531" s="56"/>
      <c r="Q531" s="57"/>
      <c r="R531" s="57"/>
      <c r="S531" s="56"/>
      <c r="T531" s="60"/>
      <c r="U531" s="57"/>
      <c r="V531" s="71"/>
      <c r="W531" s="56"/>
    </row>
    <row r="532" ht="16.5" customHeight="1" spans="1:23" x14ac:dyDescent="0.25">
      <c r="A532" s="69"/>
      <c r="B532" s="54"/>
      <c r="C532" s="54"/>
      <c r="D532" s="55"/>
      <c r="E532" s="54"/>
      <c r="F532" s="54"/>
      <c r="G532" s="54"/>
      <c r="H532" s="54"/>
      <c r="I532" s="54"/>
      <c r="J532" s="65"/>
      <c r="K532" s="54"/>
      <c r="L532" s="57"/>
      <c r="M532" s="54"/>
      <c r="N532" s="54"/>
      <c r="O532" s="57"/>
      <c r="P532" s="56"/>
      <c r="Q532" s="57"/>
      <c r="R532" s="57"/>
      <c r="S532" s="56"/>
      <c r="T532" s="60"/>
      <c r="U532" s="57"/>
      <c r="V532" s="71"/>
      <c r="W532" s="56"/>
    </row>
    <row r="533" ht="16.5" customHeight="1" spans="1:23" x14ac:dyDescent="0.25">
      <c r="A533" s="69"/>
      <c r="B533" s="54"/>
      <c r="C533" s="54"/>
      <c r="D533" s="55"/>
      <c r="E533" s="54"/>
      <c r="F533" s="54"/>
      <c r="G533" s="54"/>
      <c r="H533" s="54"/>
      <c r="I533" s="54"/>
      <c r="J533" s="65"/>
      <c r="K533" s="54"/>
      <c r="L533" s="57"/>
      <c r="M533" s="54"/>
      <c r="N533" s="54"/>
      <c r="O533" s="57"/>
      <c r="P533" s="56"/>
      <c r="Q533" s="57"/>
      <c r="R533" s="57"/>
      <c r="S533" s="56"/>
      <c r="T533" s="60"/>
      <c r="U533" s="57"/>
      <c r="V533" s="71"/>
      <c r="W533" s="56"/>
    </row>
    <row r="534" ht="16.5" customHeight="1" spans="1:23" x14ac:dyDescent="0.25">
      <c r="A534" s="69"/>
      <c r="B534" s="54"/>
      <c r="C534" s="54"/>
      <c r="D534" s="55"/>
      <c r="E534" s="54"/>
      <c r="F534" s="54"/>
      <c r="G534" s="54"/>
      <c r="H534" s="54"/>
      <c r="I534" s="54"/>
      <c r="J534" s="65"/>
      <c r="K534" s="54"/>
      <c r="L534" s="57"/>
      <c r="M534" s="54"/>
      <c r="N534" s="54"/>
      <c r="O534" s="57"/>
      <c r="P534" s="56"/>
      <c r="Q534" s="57"/>
      <c r="R534" s="57"/>
      <c r="S534" s="56"/>
      <c r="T534" s="60"/>
      <c r="U534" s="57"/>
      <c r="V534" s="71"/>
      <c r="W534" s="56"/>
    </row>
    <row r="535" ht="16.5" customHeight="1" spans="1:23" x14ac:dyDescent="0.25">
      <c r="A535" s="69"/>
      <c r="B535" s="54"/>
      <c r="C535" s="54"/>
      <c r="D535" s="55"/>
      <c r="E535" s="54"/>
      <c r="F535" s="54"/>
      <c r="G535" s="54"/>
      <c r="H535" s="54"/>
      <c r="I535" s="54"/>
      <c r="J535" s="65"/>
      <c r="K535" s="54"/>
      <c r="L535" s="57"/>
      <c r="M535" s="54"/>
      <c r="N535" s="54"/>
      <c r="O535" s="57"/>
      <c r="P535" s="56"/>
      <c r="Q535" s="57"/>
      <c r="R535" s="57"/>
      <c r="S535" s="56"/>
      <c r="T535" s="60"/>
      <c r="U535" s="57"/>
      <c r="V535" s="71"/>
      <c r="W535" s="56"/>
    </row>
    <row r="536" ht="16.5" customHeight="1" spans="1:23" x14ac:dyDescent="0.25">
      <c r="A536" s="69"/>
      <c r="B536" s="54"/>
      <c r="C536" s="54"/>
      <c r="D536" s="55"/>
      <c r="E536" s="54"/>
      <c r="F536" s="54"/>
      <c r="G536" s="54"/>
      <c r="H536" s="54"/>
      <c r="I536" s="54"/>
      <c r="J536" s="65"/>
      <c r="K536" s="54"/>
      <c r="L536" s="57"/>
      <c r="M536" s="54"/>
      <c r="N536" s="54"/>
      <c r="O536" s="57"/>
      <c r="P536" s="56"/>
      <c r="Q536" s="57"/>
      <c r="R536" s="57"/>
      <c r="S536" s="56"/>
      <c r="T536" s="60"/>
      <c r="U536" s="57"/>
      <c r="V536" s="71"/>
      <c r="W536" s="56"/>
    </row>
    <row r="537" ht="16.5" customHeight="1" spans="1:23" x14ac:dyDescent="0.25">
      <c r="A537" s="69"/>
      <c r="B537" s="54"/>
      <c r="C537" s="54"/>
      <c r="D537" s="55"/>
      <c r="E537" s="54"/>
      <c r="F537" s="54"/>
      <c r="G537" s="54"/>
      <c r="H537" s="54"/>
      <c r="I537" s="54"/>
      <c r="J537" s="65"/>
      <c r="K537" s="54"/>
      <c r="L537" s="57"/>
      <c r="M537" s="54"/>
      <c r="N537" s="54"/>
      <c r="O537" s="57"/>
      <c r="P537" s="56"/>
      <c r="Q537" s="57"/>
      <c r="R537" s="57"/>
      <c r="S537" s="56"/>
      <c r="T537" s="60"/>
      <c r="U537" s="57"/>
      <c r="V537" s="71"/>
      <c r="W537" s="56"/>
    </row>
    <row r="538" ht="16.5" customHeight="1" spans="1:23" x14ac:dyDescent="0.25">
      <c r="A538" s="69"/>
      <c r="B538" s="54"/>
      <c r="C538" s="54"/>
      <c r="D538" s="55"/>
      <c r="E538" s="54"/>
      <c r="F538" s="54"/>
      <c r="G538" s="54"/>
      <c r="H538" s="54"/>
      <c r="I538" s="54"/>
      <c r="J538" s="65"/>
      <c r="K538" s="54"/>
      <c r="L538" s="57"/>
      <c r="M538" s="54"/>
      <c r="N538" s="54"/>
      <c r="O538" s="57"/>
      <c r="P538" s="56"/>
      <c r="Q538" s="57"/>
      <c r="R538" s="57"/>
      <c r="S538" s="56"/>
      <c r="T538" s="60"/>
      <c r="U538" s="57"/>
      <c r="V538" s="71"/>
      <c r="W538" s="56"/>
    </row>
    <row r="539" ht="16.5" customHeight="1" spans="1:23" x14ac:dyDescent="0.25">
      <c r="A539" s="69"/>
      <c r="B539" s="54"/>
      <c r="C539" s="54"/>
      <c r="D539" s="55"/>
      <c r="E539" s="54"/>
      <c r="F539" s="54"/>
      <c r="G539" s="54"/>
      <c r="H539" s="54"/>
      <c r="I539" s="54"/>
      <c r="J539" s="65"/>
      <c r="K539" s="54"/>
      <c r="L539" s="57"/>
      <c r="M539" s="54"/>
      <c r="N539" s="54"/>
      <c r="O539" s="57"/>
      <c r="P539" s="56"/>
      <c r="Q539" s="57"/>
      <c r="R539" s="57"/>
      <c r="S539" s="56"/>
      <c r="T539" s="60"/>
      <c r="U539" s="57"/>
      <c r="V539" s="71"/>
      <c r="W539" s="56"/>
    </row>
    <row r="540" ht="16.5" customHeight="1" spans="1:23" x14ac:dyDescent="0.25">
      <c r="A540" s="69"/>
      <c r="B540" s="54"/>
      <c r="C540" s="54"/>
      <c r="D540" s="55"/>
      <c r="E540" s="54"/>
      <c r="F540" s="54"/>
      <c r="G540" s="54"/>
      <c r="H540" s="54"/>
      <c r="I540" s="54"/>
      <c r="J540" s="65"/>
      <c r="K540" s="54"/>
      <c r="L540" s="57"/>
      <c r="M540" s="54"/>
      <c r="N540" s="54"/>
      <c r="O540" s="57"/>
      <c r="P540" s="56"/>
      <c r="Q540" s="57"/>
      <c r="R540" s="57"/>
      <c r="S540" s="56"/>
      <c r="T540" s="60"/>
      <c r="U540" s="57"/>
      <c r="V540" s="71"/>
      <c r="W540" s="56"/>
    </row>
    <row r="541" ht="16.5" customHeight="1" spans="1:23" x14ac:dyDescent="0.25">
      <c r="A541" s="69"/>
      <c r="B541" s="54"/>
      <c r="C541" s="54"/>
      <c r="D541" s="55"/>
      <c r="E541" s="54"/>
      <c r="F541" s="54"/>
      <c r="G541" s="54"/>
      <c r="H541" s="54"/>
      <c r="I541" s="54"/>
      <c r="J541" s="65"/>
      <c r="K541" s="54"/>
      <c r="L541" s="57"/>
      <c r="M541" s="54"/>
      <c r="N541" s="54"/>
      <c r="O541" s="57"/>
      <c r="P541" s="56"/>
      <c r="Q541" s="57"/>
      <c r="R541" s="57"/>
      <c r="S541" s="56"/>
      <c r="T541" s="60"/>
      <c r="U541" s="57"/>
      <c r="V541" s="71"/>
      <c r="W541" s="56"/>
    </row>
    <row r="542" ht="16.5" customHeight="1" spans="1:23" x14ac:dyDescent="0.25">
      <c r="A542" s="69"/>
      <c r="B542" s="54"/>
      <c r="C542" s="54"/>
      <c r="D542" s="55"/>
      <c r="E542" s="54"/>
      <c r="F542" s="54"/>
      <c r="G542" s="54"/>
      <c r="H542" s="54"/>
      <c r="I542" s="54"/>
      <c r="J542" s="65"/>
      <c r="K542" s="54"/>
      <c r="L542" s="57"/>
      <c r="M542" s="54"/>
      <c r="N542" s="54"/>
      <c r="O542" s="57"/>
      <c r="P542" s="56"/>
      <c r="Q542" s="57"/>
      <c r="R542" s="57"/>
      <c r="S542" s="56"/>
      <c r="T542" s="60"/>
      <c r="U542" s="57"/>
      <c r="V542" s="71"/>
      <c r="W542" s="56"/>
    </row>
    <row r="543" ht="16.5" customHeight="1" spans="1:23" x14ac:dyDescent="0.25">
      <c r="A543" s="69"/>
      <c r="B543" s="54"/>
      <c r="C543" s="54"/>
      <c r="D543" s="55"/>
      <c r="E543" s="54"/>
      <c r="F543" s="54"/>
      <c r="G543" s="54"/>
      <c r="H543" s="54"/>
      <c r="I543" s="54"/>
      <c r="J543" s="65"/>
      <c r="K543" s="54"/>
      <c r="L543" s="57"/>
      <c r="M543" s="54"/>
      <c r="N543" s="54"/>
      <c r="O543" s="57"/>
      <c r="P543" s="56"/>
      <c r="Q543" s="57"/>
      <c r="R543" s="57"/>
      <c r="S543" s="56"/>
      <c r="T543" s="60"/>
      <c r="U543" s="57"/>
      <c r="V543" s="71"/>
      <c r="W543" s="56"/>
    </row>
    <row r="544" ht="16.5" customHeight="1" spans="1:23" x14ac:dyDescent="0.25">
      <c r="A544" s="69"/>
      <c r="B544" s="54"/>
      <c r="C544" s="54"/>
      <c r="D544" s="55"/>
      <c r="E544" s="54"/>
      <c r="F544" s="54"/>
      <c r="G544" s="54"/>
      <c r="H544" s="54"/>
      <c r="I544" s="54"/>
      <c r="J544" s="65"/>
      <c r="K544" s="54"/>
      <c r="L544" s="57"/>
      <c r="M544" s="54"/>
      <c r="N544" s="54"/>
      <c r="O544" s="57"/>
      <c r="P544" s="56"/>
      <c r="Q544" s="57"/>
      <c r="R544" s="57"/>
      <c r="S544" s="56"/>
      <c r="T544" s="60"/>
      <c r="U544" s="57"/>
      <c r="V544" s="71"/>
      <c r="W544" s="56"/>
    </row>
    <row r="545" ht="16.5" customHeight="1" spans="1:23" x14ac:dyDescent="0.25">
      <c r="A545" s="69"/>
      <c r="B545" s="54"/>
      <c r="C545" s="54"/>
      <c r="D545" s="55"/>
      <c r="E545" s="54"/>
      <c r="F545" s="54"/>
      <c r="G545" s="54"/>
      <c r="H545" s="54"/>
      <c r="I545" s="54"/>
      <c r="J545" s="65"/>
      <c r="K545" s="54"/>
      <c r="L545" s="57"/>
      <c r="M545" s="54"/>
      <c r="N545" s="54"/>
      <c r="O545" s="57"/>
      <c r="P545" s="56"/>
      <c r="Q545" s="57"/>
      <c r="R545" s="57"/>
      <c r="S545" s="56"/>
      <c r="T545" s="60"/>
      <c r="U545" s="57"/>
      <c r="V545" s="71"/>
      <c r="W545" s="56"/>
    </row>
    <row r="546" ht="16.5" customHeight="1" spans="1:23" x14ac:dyDescent="0.25">
      <c r="A546" s="69"/>
      <c r="B546" s="54"/>
      <c r="C546" s="54"/>
      <c r="D546" s="55"/>
      <c r="E546" s="54"/>
      <c r="F546" s="54"/>
      <c r="G546" s="54"/>
      <c r="H546" s="54"/>
      <c r="I546" s="54"/>
      <c r="J546" s="65"/>
      <c r="K546" s="54"/>
      <c r="L546" s="57"/>
      <c r="M546" s="54"/>
      <c r="N546" s="54"/>
      <c r="O546" s="57"/>
      <c r="P546" s="56"/>
      <c r="Q546" s="57"/>
      <c r="R546" s="57"/>
      <c r="S546" s="56"/>
      <c r="T546" s="60"/>
      <c r="U546" s="57"/>
      <c r="V546" s="71"/>
      <c r="W546" s="56"/>
    </row>
    <row r="547" ht="16.5" customHeight="1" spans="1:23" x14ac:dyDescent="0.25">
      <c r="A547" s="69"/>
      <c r="B547" s="54"/>
      <c r="C547" s="54"/>
      <c r="D547" s="55"/>
      <c r="E547" s="54"/>
      <c r="F547" s="54"/>
      <c r="G547" s="54"/>
      <c r="H547" s="54"/>
      <c r="I547" s="54"/>
      <c r="J547" s="65"/>
      <c r="K547" s="54"/>
      <c r="L547" s="57"/>
      <c r="M547" s="54"/>
      <c r="N547" s="54"/>
      <c r="O547" s="57"/>
      <c r="P547" s="56"/>
      <c r="Q547" s="57"/>
      <c r="R547" s="57"/>
      <c r="S547" s="56"/>
      <c r="T547" s="60"/>
      <c r="U547" s="57"/>
      <c r="V547" s="71"/>
      <c r="W547" s="56"/>
    </row>
    <row r="548" ht="16.5" customHeight="1" spans="1:23" x14ac:dyDescent="0.25">
      <c r="A548" s="69"/>
      <c r="B548" s="54"/>
      <c r="C548" s="54"/>
      <c r="D548" s="55"/>
      <c r="E548" s="54"/>
      <c r="F548" s="54"/>
      <c r="G548" s="54"/>
      <c r="H548" s="54"/>
      <c r="I548" s="54"/>
      <c r="J548" s="65"/>
      <c r="K548" s="54"/>
      <c r="L548" s="57"/>
      <c r="M548" s="54"/>
      <c r="N548" s="54"/>
      <c r="O548" s="57"/>
      <c r="P548" s="56"/>
      <c r="Q548" s="57"/>
      <c r="R548" s="57"/>
      <c r="S548" s="56"/>
      <c r="T548" s="60"/>
      <c r="U548" s="57"/>
      <c r="V548" s="71"/>
      <c r="W548" s="56"/>
    </row>
    <row r="549" ht="16.5" customHeight="1" spans="1:23" x14ac:dyDescent="0.25">
      <c r="A549" s="69"/>
      <c r="B549" s="54"/>
      <c r="C549" s="54"/>
      <c r="D549" s="55"/>
      <c r="E549" s="54"/>
      <c r="F549" s="54"/>
      <c r="G549" s="54"/>
      <c r="H549" s="54"/>
      <c r="I549" s="54"/>
      <c r="J549" s="65"/>
      <c r="K549" s="54"/>
      <c r="L549" s="57"/>
      <c r="M549" s="54"/>
      <c r="N549" s="54"/>
      <c r="O549" s="57"/>
      <c r="P549" s="56"/>
      <c r="Q549" s="57"/>
      <c r="R549" s="57"/>
      <c r="S549" s="56"/>
      <c r="T549" s="60"/>
      <c r="U549" s="57"/>
      <c r="V549" s="71"/>
      <c r="W549" s="56"/>
    </row>
    <row r="550" ht="16.5" customHeight="1" spans="1:23" x14ac:dyDescent="0.25">
      <c r="A550" s="69"/>
      <c r="B550" s="54"/>
      <c r="C550" s="54"/>
      <c r="D550" s="55"/>
      <c r="E550" s="54"/>
      <c r="F550" s="54"/>
      <c r="G550" s="54"/>
      <c r="H550" s="54"/>
      <c r="I550" s="54"/>
      <c r="J550" s="65"/>
      <c r="K550" s="54"/>
      <c r="L550" s="57"/>
      <c r="M550" s="54"/>
      <c r="N550" s="54"/>
      <c r="O550" s="57"/>
      <c r="P550" s="56"/>
      <c r="Q550" s="57"/>
      <c r="R550" s="57"/>
      <c r="S550" s="56"/>
      <c r="T550" s="60"/>
      <c r="U550" s="57"/>
      <c r="V550" s="71"/>
      <c r="W550" s="56"/>
    </row>
    <row r="551" ht="16.5" customHeight="1" spans="1:23" x14ac:dyDescent="0.25">
      <c r="A551" s="69"/>
      <c r="B551" s="54"/>
      <c r="C551" s="54"/>
      <c r="D551" s="55"/>
      <c r="E551" s="54"/>
      <c r="F551" s="54"/>
      <c r="G551" s="54"/>
      <c r="H551" s="54"/>
      <c r="I551" s="54"/>
      <c r="J551" s="65"/>
      <c r="K551" s="54"/>
      <c r="L551" s="57"/>
      <c r="M551" s="54"/>
      <c r="N551" s="54"/>
      <c r="O551" s="57"/>
      <c r="P551" s="56"/>
      <c r="Q551" s="57"/>
      <c r="R551" s="57"/>
      <c r="S551" s="56"/>
      <c r="T551" s="60"/>
      <c r="U551" s="57"/>
      <c r="V551" s="71"/>
      <c r="W551" s="56"/>
    </row>
    <row r="552" ht="16.5" customHeight="1" spans="1:23" x14ac:dyDescent="0.25">
      <c r="A552" s="69"/>
      <c r="B552" s="54"/>
      <c r="C552" s="54"/>
      <c r="D552" s="55"/>
      <c r="E552" s="54"/>
      <c r="F552" s="54"/>
      <c r="G552" s="54"/>
      <c r="H552" s="54"/>
      <c r="I552" s="54"/>
      <c r="J552" s="65"/>
      <c r="K552" s="54"/>
      <c r="L552" s="57"/>
      <c r="M552" s="54"/>
      <c r="N552" s="54"/>
      <c r="O552" s="57"/>
      <c r="P552" s="56"/>
      <c r="Q552" s="57"/>
      <c r="R552" s="57"/>
      <c r="S552" s="56"/>
      <c r="T552" s="60"/>
      <c r="U552" s="57"/>
      <c r="V552" s="71"/>
      <c r="W552" s="56"/>
    </row>
    <row r="553" ht="16.5" customHeight="1" spans="1:23" x14ac:dyDescent="0.25">
      <c r="A553" s="69"/>
      <c r="B553" s="54"/>
      <c r="C553" s="54"/>
      <c r="D553" s="55"/>
      <c r="E553" s="54"/>
      <c r="F553" s="54"/>
      <c r="G553" s="54"/>
      <c r="H553" s="54"/>
      <c r="I553" s="54"/>
      <c r="J553" s="65"/>
      <c r="K553" s="54"/>
      <c r="L553" s="57"/>
      <c r="M553" s="54"/>
      <c r="N553" s="54"/>
      <c r="O553" s="57"/>
      <c r="P553" s="56"/>
      <c r="Q553" s="57"/>
      <c r="R553" s="57"/>
      <c r="S553" s="56"/>
      <c r="T553" s="60"/>
      <c r="U553" s="57"/>
      <c r="V553" s="71"/>
      <c r="W553" s="56"/>
    </row>
    <row r="554" ht="16.5" customHeight="1" spans="1:23" x14ac:dyDescent="0.25">
      <c r="A554" s="69"/>
      <c r="B554" s="54"/>
      <c r="C554" s="54"/>
      <c r="D554" s="55"/>
      <c r="E554" s="54"/>
      <c r="F554" s="54"/>
      <c r="G554" s="54"/>
      <c r="H554" s="54"/>
      <c r="I554" s="54"/>
      <c r="J554" s="65"/>
      <c r="K554" s="54"/>
      <c r="L554" s="57"/>
      <c r="M554" s="54"/>
      <c r="N554" s="54"/>
      <c r="O554" s="57"/>
      <c r="P554" s="56"/>
      <c r="Q554" s="57"/>
      <c r="R554" s="57"/>
      <c r="S554" s="56"/>
      <c r="T554" s="60"/>
      <c r="U554" s="57"/>
      <c r="V554" s="71"/>
      <c r="W554" s="56"/>
    </row>
    <row r="555" ht="16.5" customHeight="1" spans="1:23" x14ac:dyDescent="0.25">
      <c r="A555" s="69"/>
      <c r="B555" s="54"/>
      <c r="C555" s="54"/>
      <c r="D555" s="55"/>
      <c r="E555" s="54"/>
      <c r="F555" s="54"/>
      <c r="G555" s="54"/>
      <c r="H555" s="54"/>
      <c r="I555" s="54"/>
      <c r="J555" s="65"/>
      <c r="K555" s="54"/>
      <c r="L555" s="57"/>
      <c r="M555" s="54"/>
      <c r="N555" s="54"/>
      <c r="O555" s="57"/>
      <c r="P555" s="56"/>
      <c r="Q555" s="57"/>
      <c r="R555" s="57"/>
      <c r="S555" s="56"/>
      <c r="T555" s="60"/>
      <c r="U555" s="57"/>
      <c r="V555" s="71"/>
      <c r="W555" s="56"/>
    </row>
    <row r="556" ht="16.5" customHeight="1" spans="1:23" x14ac:dyDescent="0.25">
      <c r="A556" s="69"/>
      <c r="B556" s="54"/>
      <c r="C556" s="54"/>
      <c r="D556" s="55"/>
      <c r="E556" s="54"/>
      <c r="F556" s="54"/>
      <c r="G556" s="54"/>
      <c r="H556" s="54"/>
      <c r="I556" s="54"/>
      <c r="J556" s="65"/>
      <c r="K556" s="54"/>
      <c r="L556" s="57"/>
      <c r="M556" s="54"/>
      <c r="N556" s="54"/>
      <c r="O556" s="57"/>
      <c r="P556" s="56"/>
      <c r="Q556" s="57"/>
      <c r="R556" s="57"/>
      <c r="S556" s="56"/>
      <c r="T556" s="60"/>
      <c r="U556" s="57"/>
      <c r="V556" s="71"/>
      <c r="W556" s="56"/>
    </row>
    <row r="557" ht="16.5" customHeight="1" spans="1:23" x14ac:dyDescent="0.25">
      <c r="A557" s="69"/>
      <c r="B557" s="54"/>
      <c r="C557" s="54"/>
      <c r="D557" s="55"/>
      <c r="E557" s="54"/>
      <c r="F557" s="54"/>
      <c r="G557" s="54"/>
      <c r="H557" s="54"/>
      <c r="I557" s="54"/>
      <c r="J557" s="65"/>
      <c r="K557" s="54"/>
      <c r="L557" s="57"/>
      <c r="M557" s="54"/>
      <c r="N557" s="54"/>
      <c r="O557" s="57"/>
      <c r="P557" s="56"/>
      <c r="Q557" s="57"/>
      <c r="R557" s="57"/>
      <c r="S557" s="56"/>
      <c r="T557" s="60"/>
      <c r="U557" s="57"/>
      <c r="V557" s="71"/>
      <c r="W557" s="56"/>
    </row>
    <row r="558" ht="16.5" customHeight="1" spans="1:23" x14ac:dyDescent="0.25">
      <c r="A558" s="69"/>
      <c r="B558" s="54"/>
      <c r="C558" s="54"/>
      <c r="D558" s="55"/>
      <c r="E558" s="54"/>
      <c r="F558" s="54"/>
      <c r="G558" s="54"/>
      <c r="H558" s="54"/>
      <c r="I558" s="54"/>
      <c r="J558" s="65"/>
      <c r="K558" s="54"/>
      <c r="L558" s="57"/>
      <c r="M558" s="54"/>
      <c r="N558" s="54"/>
      <c r="O558" s="57"/>
      <c r="P558" s="56"/>
      <c r="Q558" s="57"/>
      <c r="R558" s="57"/>
      <c r="S558" s="56"/>
      <c r="T558" s="60"/>
      <c r="U558" s="57"/>
      <c r="V558" s="71"/>
      <c r="W558" s="56"/>
    </row>
    <row r="559" ht="16.5" customHeight="1" spans="1:23" x14ac:dyDescent="0.25">
      <c r="A559" s="69"/>
      <c r="B559" s="54"/>
      <c r="C559" s="54"/>
      <c r="D559" s="55"/>
      <c r="E559" s="54"/>
      <c r="F559" s="54"/>
      <c r="G559" s="54"/>
      <c r="H559" s="54"/>
      <c r="I559" s="54"/>
      <c r="J559" s="65"/>
      <c r="K559" s="54"/>
      <c r="L559" s="57"/>
      <c r="M559" s="54"/>
      <c r="N559" s="54"/>
      <c r="O559" s="57"/>
      <c r="P559" s="56"/>
      <c r="Q559" s="57"/>
      <c r="R559" s="57"/>
      <c r="S559" s="56"/>
      <c r="T559" s="60"/>
      <c r="U559" s="57"/>
      <c r="V559" s="71"/>
      <c r="W559" s="56"/>
    </row>
    <row r="560" ht="16.5" customHeight="1" spans="1:23" x14ac:dyDescent="0.25">
      <c r="A560" s="69"/>
      <c r="B560" s="54"/>
      <c r="C560" s="54"/>
      <c r="D560" s="55"/>
      <c r="E560" s="54"/>
      <c r="F560" s="54"/>
      <c r="G560" s="54"/>
      <c r="H560" s="54"/>
      <c r="I560" s="54"/>
      <c r="J560" s="65"/>
      <c r="K560" s="54"/>
      <c r="L560" s="57"/>
      <c r="M560" s="54"/>
      <c r="N560" s="54"/>
      <c r="O560" s="57"/>
      <c r="P560" s="56"/>
      <c r="Q560" s="57"/>
      <c r="R560" s="57"/>
      <c r="S560" s="56"/>
      <c r="T560" s="60"/>
      <c r="U560" s="57"/>
      <c r="V560" s="71"/>
      <c r="W560" s="56"/>
    </row>
    <row r="561" ht="16.5" customHeight="1" spans="1:23" x14ac:dyDescent="0.25">
      <c r="A561" s="69"/>
      <c r="B561" s="54"/>
      <c r="C561" s="54"/>
      <c r="D561" s="55"/>
      <c r="E561" s="54"/>
      <c r="F561" s="54"/>
      <c r="G561" s="54"/>
      <c r="H561" s="54"/>
      <c r="I561" s="54"/>
      <c r="J561" s="65"/>
      <c r="K561" s="54"/>
      <c r="L561" s="57"/>
      <c r="M561" s="54"/>
      <c r="N561" s="54"/>
      <c r="O561" s="57"/>
      <c r="P561" s="56"/>
      <c r="Q561" s="57"/>
      <c r="R561" s="57"/>
      <c r="S561" s="56"/>
      <c r="T561" s="60"/>
      <c r="U561" s="57"/>
      <c r="V561" s="71"/>
      <c r="W561" s="56"/>
    </row>
    <row r="562" ht="16.5" customHeight="1" spans="1:23" x14ac:dyDescent="0.25">
      <c r="A562" s="69"/>
      <c r="B562" s="54"/>
      <c r="C562" s="54"/>
      <c r="D562" s="55"/>
      <c r="E562" s="54"/>
      <c r="F562" s="54"/>
      <c r="G562" s="54"/>
      <c r="H562" s="54"/>
      <c r="I562" s="54"/>
      <c r="J562" s="65"/>
      <c r="K562" s="54"/>
      <c r="L562" s="57"/>
      <c r="M562" s="54"/>
      <c r="N562" s="54"/>
      <c r="O562" s="57"/>
      <c r="P562" s="56"/>
      <c r="Q562" s="57"/>
      <c r="R562" s="57"/>
      <c r="S562" s="56"/>
      <c r="T562" s="60"/>
      <c r="U562" s="57"/>
      <c r="V562" s="71"/>
      <c r="W562" s="56"/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1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56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56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56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56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56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56"/>
      <c r="W574" s="56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2" customWidth="1"/>
    <col min="2" max="2" width="10.875" style="73" customWidth="1"/>
    <col min="3" max="3" width="10.875" style="72" customWidth="1"/>
    <col min="4" max="4" width="9.125" style="72" customWidth="1"/>
    <col min="5" max="5" width="8.875" style="72" customWidth="1"/>
    <col min="6" max="9" width="5.75" style="72" customWidth="1"/>
    <col min="10" max="10" width="8.375" style="72" customWidth="1"/>
    <col min="11" max="11" width="6.625" style="73" customWidth="1"/>
    <col min="12" max="12" width="7.125" style="73" customWidth="1"/>
    <col min="13" max="16" width="6.625" style="73" customWidth="1"/>
    <col min="17" max="17" width="3.125" style="73" customWidth="1"/>
    <col min="18" max="18" width="6.625" style="73" customWidth="1"/>
    <col min="19" max="19" width="7.375" style="73" customWidth="1"/>
    <col min="20" max="23" width="6.625" style="73" customWidth="1"/>
    <col min="24" max="24" width="9" style="72" customWidth="1"/>
    <col min="25" max="25" width="5.875" style="72" hidden="1" customWidth="1"/>
    <col min="26" max="29" width="4.75" style="72" hidden="1" customWidth="1"/>
    <col min="30" max="31" width="5.25" style="72" hidden="1" customWidth="1"/>
    <col min="32" max="35" width="4.75" style="73" hidden="1" customWidth="1"/>
    <col min="36" max="36" width="5.25" style="73" hidden="1" customWidth="1"/>
    <col min="37" max="37" width="2.875" style="72" hidden="1" customWidth="1"/>
    <col min="38" max="41" width="4.75" style="73" hidden="1" customWidth="1"/>
    <col min="42" max="42" width="5.25" style="73" hidden="1" customWidth="1"/>
    <col min="43" max="43" width="6.125" style="72" hidden="1" customWidth="1"/>
    <col min="44" max="47" width="4.75" style="73" hidden="1" customWidth="1"/>
    <col min="48" max="48" width="5.25" style="73" hidden="1" customWidth="1"/>
    <col min="49" max="49" width="7.125" style="73" hidden="1" customWidth="1"/>
    <col min="50" max="16384" width="11.75" style="73" customWidth="1"/>
  </cols>
  <sheetData>
    <row r="1" ht="17.1" customHeight="1" spans="1:49" x14ac:dyDescent="0.25">
      <c r="A1" s="74" t="s">
        <v>1882</v>
      </c>
      <c r="B1" s="75"/>
      <c r="C1" s="75"/>
      <c r="D1" s="75"/>
      <c r="E1" s="75"/>
      <c r="F1" s="74" t="s">
        <v>1883</v>
      </c>
      <c r="G1" s="75"/>
      <c r="H1" s="74" t="s">
        <v>674</v>
      </c>
      <c r="I1" s="75"/>
      <c r="J1" s="76" t="s">
        <v>1884</v>
      </c>
      <c r="K1" s="77" t="s">
        <v>1883</v>
      </c>
      <c r="L1" s="78" t="s">
        <v>1885</v>
      </c>
      <c r="M1" s="79" t="s">
        <v>1886</v>
      </c>
      <c r="N1" s="80"/>
      <c r="O1" s="80"/>
      <c r="P1" s="81"/>
      <c r="R1" s="77" t="s">
        <v>674</v>
      </c>
      <c r="S1" s="78" t="s">
        <v>1885</v>
      </c>
      <c r="T1" s="79" t="s">
        <v>1886</v>
      </c>
      <c r="U1" s="80"/>
      <c r="V1" s="80"/>
      <c r="W1" s="81"/>
      <c r="X1" s="82"/>
      <c r="Y1" s="82" t="s">
        <v>1883</v>
      </c>
      <c r="Z1" s="82" t="s">
        <v>1887</v>
      </c>
      <c r="AA1" s="82"/>
      <c r="AB1" s="82"/>
      <c r="AC1" s="82"/>
      <c r="AD1" s="82"/>
      <c r="AE1" s="82" t="s">
        <v>1883</v>
      </c>
      <c r="AF1" s="82" t="s">
        <v>1888</v>
      </c>
      <c r="AG1" s="82"/>
      <c r="AH1" s="82"/>
      <c r="AI1" s="82"/>
      <c r="AJ1" s="82"/>
      <c r="AL1" s="83" t="s">
        <v>674</v>
      </c>
      <c r="AM1" s="83" t="s">
        <v>1887</v>
      </c>
      <c r="AN1" s="84"/>
      <c r="AO1" s="84"/>
      <c r="AP1" s="84"/>
      <c r="AQ1" s="84"/>
      <c r="AR1" s="83" t="s">
        <v>674</v>
      </c>
      <c r="AS1" s="83" t="s">
        <v>1888</v>
      </c>
      <c r="AT1" s="85"/>
      <c r="AU1" s="86"/>
      <c r="AV1" s="85"/>
      <c r="AW1" s="85"/>
    </row>
    <row r="2" ht="17.1" customHeight="1" spans="1:49" x14ac:dyDescent="0.25">
      <c r="A2" s="72" t="s">
        <v>1889</v>
      </c>
      <c r="B2" s="72" t="s">
        <v>1890</v>
      </c>
      <c r="C2" s="72" t="s">
        <v>1891</v>
      </c>
      <c r="D2" s="72" t="s">
        <v>1892</v>
      </c>
      <c r="E2" s="72" t="s">
        <v>1893</v>
      </c>
      <c r="F2" s="72" t="s">
        <v>1887</v>
      </c>
      <c r="G2" s="72" t="s">
        <v>1888</v>
      </c>
      <c r="H2" s="72" t="s">
        <v>1887</v>
      </c>
      <c r="I2" s="72" t="s">
        <v>1888</v>
      </c>
      <c r="K2" s="72" t="s">
        <v>1894</v>
      </c>
      <c r="L2" s="72" t="s">
        <v>1895</v>
      </c>
      <c r="M2" s="72" t="s">
        <v>1887</v>
      </c>
      <c r="N2" s="72" t="s">
        <v>1894</v>
      </c>
      <c r="O2" s="72" t="s">
        <v>1896</v>
      </c>
      <c r="P2" s="72" t="s">
        <v>1888</v>
      </c>
      <c r="Q2" s="72"/>
      <c r="R2" s="72" t="s">
        <v>1894</v>
      </c>
      <c r="S2" s="72" t="s">
        <v>1895</v>
      </c>
      <c r="T2" s="72" t="s">
        <v>1887</v>
      </c>
      <c r="U2" s="72" t="s">
        <v>1894</v>
      </c>
      <c r="V2" s="72" t="s">
        <v>1896</v>
      </c>
      <c r="W2" s="72" t="s">
        <v>1888</v>
      </c>
      <c r="X2" s="82"/>
      <c r="Y2" s="87">
        <v>0</v>
      </c>
      <c r="Z2" s="86">
        <v>0</v>
      </c>
      <c r="AA2" s="86">
        <f>Z2</f>
      </c>
      <c r="AB2" s="86">
        <v>4</v>
      </c>
      <c r="AC2" s="85">
        <v>250</v>
      </c>
      <c r="AD2" s="85">
        <f>AA5+AC2</f>
      </c>
      <c r="AE2" s="87">
        <v>0</v>
      </c>
      <c r="AF2" s="86">
        <v>0</v>
      </c>
      <c r="AG2" s="86">
        <f>AF2</f>
      </c>
      <c r="AH2" s="86">
        <v>4</v>
      </c>
      <c r="AI2" s="85">
        <v>500</v>
      </c>
      <c r="AJ2" s="85">
        <f>AG5+AI2</f>
      </c>
      <c r="AL2" s="87">
        <v>0</v>
      </c>
      <c r="AM2" s="86">
        <v>0</v>
      </c>
      <c r="AN2" s="86">
        <f>AM2</f>
      </c>
      <c r="AO2" s="86">
        <v>4</v>
      </c>
      <c r="AP2" s="85">
        <v>750</v>
      </c>
      <c r="AQ2" s="85">
        <f>AN5+AP2</f>
      </c>
      <c r="AR2" s="87">
        <v>0</v>
      </c>
      <c r="AS2" s="86">
        <v>0</v>
      </c>
      <c r="AT2" s="86">
        <f>AS2</f>
      </c>
      <c r="AU2" s="86">
        <v>4</v>
      </c>
      <c r="AV2" s="85">
        <v>1500</v>
      </c>
      <c r="AW2" s="85">
        <f>AT5+AV2</f>
      </c>
    </row>
    <row r="3" ht="17.1" customHeight="1" spans="1:49" x14ac:dyDescent="0.25">
      <c r="A3" s="72" t="s">
        <v>1897</v>
      </c>
      <c r="B3" s="73" t="s">
        <v>1898</v>
      </c>
      <c r="C3" s="72" t="s">
        <v>1886</v>
      </c>
      <c r="D3" s="72">
        <v>7</v>
      </c>
      <c r="E3" s="88" t="s">
        <v>1899</v>
      </c>
      <c r="F3" s="82">
        <v>125</v>
      </c>
      <c r="G3" s="82">
        <v>250</v>
      </c>
      <c r="H3" s="89">
        <v>375</v>
      </c>
      <c r="I3" s="89">
        <v>750</v>
      </c>
      <c r="J3" s="89"/>
      <c r="K3" s="72">
        <v>0</v>
      </c>
      <c r="L3" s="72">
        <v>0</v>
      </c>
      <c r="M3" s="90">
        <v>125</v>
      </c>
      <c r="N3" s="72">
        <v>0</v>
      </c>
      <c r="O3" s="72">
        <v>0</v>
      </c>
      <c r="P3" s="91">
        <v>250</v>
      </c>
      <c r="Q3" s="72"/>
      <c r="R3" s="72">
        <v>0</v>
      </c>
      <c r="S3" s="72">
        <v>0</v>
      </c>
      <c r="T3" s="89">
        <v>375</v>
      </c>
      <c r="U3" s="72">
        <v>0</v>
      </c>
      <c r="V3" s="72">
        <v>0</v>
      </c>
      <c r="W3" s="89">
        <v>750</v>
      </c>
      <c r="Y3" s="87">
        <v>1</v>
      </c>
      <c r="Z3" s="85">
        <v>125</v>
      </c>
      <c r="AA3" s="85">
        <f>Z2+Z3</f>
      </c>
      <c r="AB3" s="86">
        <v>5</v>
      </c>
      <c r="AC3" s="85">
        <v>250</v>
      </c>
      <c r="AD3" s="85">
        <f>AD2+AC3</f>
      </c>
      <c r="AE3" s="87">
        <v>1</v>
      </c>
      <c r="AF3" s="85">
        <v>250</v>
      </c>
      <c r="AG3" s="85">
        <f>AF2+AF3</f>
      </c>
      <c r="AH3" s="86">
        <v>5</v>
      </c>
      <c r="AI3" s="85">
        <v>500</v>
      </c>
      <c r="AJ3" s="85">
        <f>AJ2+AI3</f>
      </c>
      <c r="AL3" s="87">
        <v>1</v>
      </c>
      <c r="AM3" s="85">
        <v>375</v>
      </c>
      <c r="AN3" s="85">
        <f>AM2+AM3</f>
      </c>
      <c r="AO3" s="86">
        <v>5</v>
      </c>
      <c r="AP3" s="85">
        <v>750</v>
      </c>
      <c r="AQ3" s="85">
        <f>AQ2+AP3</f>
      </c>
      <c r="AR3" s="87">
        <v>1</v>
      </c>
      <c r="AS3" s="85">
        <v>750</v>
      </c>
      <c r="AT3" s="85">
        <f>AS2+AS3</f>
      </c>
      <c r="AU3" s="86">
        <v>5</v>
      </c>
      <c r="AV3" s="85">
        <v>1500</v>
      </c>
      <c r="AW3" s="85">
        <f>AW2+AV3</f>
      </c>
    </row>
    <row r="4" ht="17.1" customHeight="1" spans="5:49" x14ac:dyDescent="0.25">
      <c r="E4" s="88" t="s">
        <v>1900</v>
      </c>
      <c r="F4" s="82">
        <v>250</v>
      </c>
      <c r="G4" s="82">
        <v>500</v>
      </c>
      <c r="H4" s="89">
        <v>750</v>
      </c>
      <c r="I4" s="89">
        <v>1500</v>
      </c>
      <c r="J4" s="89"/>
      <c r="K4" s="72">
        <v>3</v>
      </c>
      <c r="L4" s="92">
        <v>375</v>
      </c>
      <c r="M4" s="90">
        <v>250</v>
      </c>
      <c r="N4" s="72">
        <v>3</v>
      </c>
      <c r="O4" s="92">
        <v>750</v>
      </c>
      <c r="P4" s="91">
        <v>500</v>
      </c>
      <c r="Q4" s="72"/>
      <c r="R4" s="72">
        <v>3</v>
      </c>
      <c r="S4" s="93">
        <v>1125</v>
      </c>
      <c r="T4" s="89">
        <v>750</v>
      </c>
      <c r="U4" s="72">
        <v>3</v>
      </c>
      <c r="V4" s="93">
        <v>2250</v>
      </c>
      <c r="W4" s="89">
        <v>1500</v>
      </c>
      <c r="Y4" s="87">
        <v>2</v>
      </c>
      <c r="Z4" s="85">
        <v>125</v>
      </c>
      <c r="AA4" s="85">
        <f>AA3+Z4</f>
      </c>
      <c r="AB4" s="86">
        <v>6</v>
      </c>
      <c r="AC4" s="85">
        <v>250</v>
      </c>
      <c r="AD4" s="85">
        <f>AD3+AC4</f>
      </c>
      <c r="AE4" s="87">
        <v>2</v>
      </c>
      <c r="AF4" s="85">
        <v>250</v>
      </c>
      <c r="AG4" s="85">
        <f>AG3+AF4</f>
      </c>
      <c r="AH4" s="86">
        <v>6</v>
      </c>
      <c r="AI4" s="85">
        <v>500</v>
      </c>
      <c r="AJ4" s="85">
        <f>AJ3+AI4</f>
      </c>
      <c r="AL4" s="87">
        <v>2</v>
      </c>
      <c r="AM4" s="85">
        <v>375</v>
      </c>
      <c r="AN4" s="85">
        <f>AN3+AM4</f>
      </c>
      <c r="AO4" s="86">
        <v>6</v>
      </c>
      <c r="AP4" s="85">
        <v>750</v>
      </c>
      <c r="AQ4" s="85">
        <f>AQ3+AP4</f>
      </c>
      <c r="AR4" s="87">
        <v>2</v>
      </c>
      <c r="AS4" s="85">
        <v>750</v>
      </c>
      <c r="AT4" s="85">
        <f>AT3+AS4</f>
      </c>
      <c r="AU4" s="86">
        <v>6</v>
      </c>
      <c r="AV4" s="85">
        <v>1500</v>
      </c>
      <c r="AW4" s="85">
        <f>AW3+AV4</f>
      </c>
    </row>
    <row r="5" ht="17.1" customHeight="1" spans="1:49" x14ac:dyDescent="0.25">
      <c r="A5" s="94"/>
      <c r="B5" s="95"/>
      <c r="C5" s="94"/>
      <c r="D5" s="94"/>
      <c r="E5" s="96" t="s">
        <v>1901</v>
      </c>
      <c r="F5" s="97">
        <v>400</v>
      </c>
      <c r="G5" s="97">
        <v>800</v>
      </c>
      <c r="H5" s="98">
        <v>1200</v>
      </c>
      <c r="I5" s="98">
        <v>2400</v>
      </c>
      <c r="J5" s="89"/>
      <c r="K5" s="94">
        <v>10</v>
      </c>
      <c r="L5" s="99">
        <v>2275</v>
      </c>
      <c r="M5" s="100">
        <v>400</v>
      </c>
      <c r="N5" s="94">
        <v>10</v>
      </c>
      <c r="O5" s="99">
        <v>4550</v>
      </c>
      <c r="P5" s="101">
        <v>800</v>
      </c>
      <c r="Q5" s="72"/>
      <c r="R5" s="94">
        <v>10</v>
      </c>
      <c r="S5" s="102">
        <v>6825</v>
      </c>
      <c r="T5" s="98">
        <v>1200</v>
      </c>
      <c r="U5" s="94">
        <v>10</v>
      </c>
      <c r="V5" s="102">
        <v>13650</v>
      </c>
      <c r="W5" s="98">
        <v>2400</v>
      </c>
      <c r="Y5" s="87">
        <v>3</v>
      </c>
      <c r="Z5" s="85">
        <v>125</v>
      </c>
      <c r="AA5" s="103">
        <f>AA4+Z5</f>
      </c>
      <c r="AB5" s="86">
        <v>7</v>
      </c>
      <c r="AC5" s="85">
        <v>250</v>
      </c>
      <c r="AD5" s="85">
        <f>AD4+AC5</f>
      </c>
      <c r="AE5" s="87">
        <v>3</v>
      </c>
      <c r="AF5" s="85">
        <v>250</v>
      </c>
      <c r="AG5" s="103">
        <f>AG4+AF5</f>
      </c>
      <c r="AH5" s="86">
        <v>7</v>
      </c>
      <c r="AI5" s="85">
        <v>500</v>
      </c>
      <c r="AJ5" s="85">
        <f>AJ4+AI5</f>
      </c>
      <c r="AL5" s="87">
        <v>3</v>
      </c>
      <c r="AM5" s="85">
        <v>375</v>
      </c>
      <c r="AN5" s="104">
        <f>AN4+AM5</f>
      </c>
      <c r="AO5" s="86">
        <v>7</v>
      </c>
      <c r="AP5" s="85">
        <v>750</v>
      </c>
      <c r="AQ5" s="85">
        <f>AQ4+AP5</f>
      </c>
      <c r="AR5" s="87">
        <v>3</v>
      </c>
      <c r="AS5" s="85">
        <v>750</v>
      </c>
      <c r="AT5" s="104">
        <f>AT4+AS5</f>
      </c>
      <c r="AU5" s="86">
        <v>7</v>
      </c>
      <c r="AV5" s="85">
        <v>1500</v>
      </c>
      <c r="AW5" s="85">
        <f>AW4+AV5</f>
      </c>
    </row>
    <row r="6" ht="17.1" customHeight="1" spans="5:49" x14ac:dyDescent="0.25">
      <c r="E6" s="88"/>
      <c r="K6" s="72"/>
      <c r="L6" s="72"/>
      <c r="M6" s="105"/>
      <c r="N6" s="72"/>
      <c r="O6" s="72"/>
      <c r="P6" s="72"/>
      <c r="Q6" s="72"/>
      <c r="R6" s="72"/>
      <c r="S6" s="72"/>
      <c r="T6" s="105"/>
      <c r="U6" s="72"/>
      <c r="V6" s="72"/>
      <c r="W6" s="72"/>
      <c r="Y6" s="87"/>
      <c r="Z6" s="86"/>
      <c r="AA6" s="86"/>
      <c r="AB6" s="86">
        <v>8</v>
      </c>
      <c r="AC6" s="85">
        <v>250</v>
      </c>
      <c r="AD6" s="85">
        <f>AD5+AC6</f>
      </c>
      <c r="AE6" s="87"/>
      <c r="AF6" s="86"/>
      <c r="AG6" s="86"/>
      <c r="AH6" s="86">
        <v>8</v>
      </c>
      <c r="AI6" s="85">
        <v>500</v>
      </c>
      <c r="AJ6" s="85">
        <f>AJ5+AI6</f>
      </c>
      <c r="AL6" s="87"/>
      <c r="AM6" s="86"/>
      <c r="AN6" s="86"/>
      <c r="AO6" s="86">
        <v>8</v>
      </c>
      <c r="AP6" s="85">
        <v>750</v>
      </c>
      <c r="AQ6" s="85">
        <f>AQ5+AP6</f>
      </c>
      <c r="AR6" s="87"/>
      <c r="AS6" s="86"/>
      <c r="AT6" s="86"/>
      <c r="AU6" s="86">
        <v>8</v>
      </c>
      <c r="AV6" s="85">
        <v>1500</v>
      </c>
      <c r="AW6" s="85">
        <f>AW5+AV6</f>
      </c>
    </row>
    <row r="7" ht="17.1" customHeight="1" spans="1:49" x14ac:dyDescent="0.25">
      <c r="A7" s="74" t="s">
        <v>1882</v>
      </c>
      <c r="B7" s="75"/>
      <c r="C7" s="75"/>
      <c r="D7" s="75"/>
      <c r="E7" s="75"/>
      <c r="F7" s="74" t="s">
        <v>1883</v>
      </c>
      <c r="G7" s="75"/>
      <c r="H7" s="74" t="s">
        <v>674</v>
      </c>
      <c r="I7" s="75"/>
      <c r="J7" s="76" t="s">
        <v>1902</v>
      </c>
      <c r="K7" s="77" t="s">
        <v>1883</v>
      </c>
      <c r="L7" s="78" t="s">
        <v>1885</v>
      </c>
      <c r="M7" s="79" t="s">
        <v>1903</v>
      </c>
      <c r="N7" s="78" t="s">
        <v>1904</v>
      </c>
      <c r="O7" s="79" t="s">
        <v>1905</v>
      </c>
      <c r="P7" s="78" t="s">
        <v>1906</v>
      </c>
      <c r="Q7" s="106"/>
      <c r="R7" s="77" t="s">
        <v>674</v>
      </c>
      <c r="S7" s="78" t="s">
        <v>1885</v>
      </c>
      <c r="T7" s="79" t="s">
        <v>1903</v>
      </c>
      <c r="U7" s="78" t="s">
        <v>1904</v>
      </c>
      <c r="V7" s="79" t="s">
        <v>1905</v>
      </c>
      <c r="W7" s="78" t="s">
        <v>1906</v>
      </c>
      <c r="Y7" s="87"/>
      <c r="Z7" s="86"/>
      <c r="AA7" s="86"/>
      <c r="AB7" s="86">
        <v>9</v>
      </c>
      <c r="AC7" s="85">
        <v>250</v>
      </c>
      <c r="AD7" s="85">
        <f>AD6+AC7</f>
      </c>
      <c r="AE7" s="87"/>
      <c r="AF7" s="86"/>
      <c r="AG7" s="86"/>
      <c r="AH7" s="86">
        <v>9</v>
      </c>
      <c r="AI7" s="85">
        <v>500</v>
      </c>
      <c r="AJ7" s="85">
        <f>AJ6+AI7</f>
      </c>
      <c r="AL7" s="87"/>
      <c r="AM7" s="86"/>
      <c r="AN7" s="86"/>
      <c r="AO7" s="86">
        <v>9</v>
      </c>
      <c r="AP7" s="85">
        <v>750</v>
      </c>
      <c r="AQ7" s="85">
        <f>AQ6+AP7</f>
      </c>
      <c r="AR7" s="87"/>
      <c r="AS7" s="86"/>
      <c r="AT7" s="86"/>
      <c r="AU7" s="86">
        <v>9</v>
      </c>
      <c r="AV7" s="85">
        <v>1500</v>
      </c>
      <c r="AW7" s="85">
        <f>AW6+AV7</f>
      </c>
    </row>
    <row r="8" ht="17.1" customHeight="1" spans="1:49" x14ac:dyDescent="0.25">
      <c r="A8" s="72" t="s">
        <v>1889</v>
      </c>
      <c r="B8" s="72" t="s">
        <v>1890</v>
      </c>
      <c r="C8" s="72" t="s">
        <v>1891</v>
      </c>
      <c r="D8" s="72" t="s">
        <v>1892</v>
      </c>
      <c r="E8" s="72" t="s">
        <v>1893</v>
      </c>
      <c r="F8" s="72" t="s">
        <v>1887</v>
      </c>
      <c r="G8" s="72" t="s">
        <v>1888</v>
      </c>
      <c r="H8" s="72" t="s">
        <v>1887</v>
      </c>
      <c r="I8" s="72" t="s">
        <v>1888</v>
      </c>
      <c r="M8" s="107" t="s">
        <v>1907</v>
      </c>
      <c r="N8" s="107" t="s">
        <v>1908</v>
      </c>
      <c r="T8" s="107" t="s">
        <v>1907</v>
      </c>
      <c r="U8" s="107" t="s">
        <v>1908</v>
      </c>
      <c r="Y8" s="87"/>
      <c r="Z8" s="86"/>
      <c r="AA8" s="86"/>
      <c r="AB8" s="86">
        <v>10</v>
      </c>
      <c r="AC8" s="85">
        <v>400</v>
      </c>
      <c r="AD8" s="103">
        <f>AD7+AC8</f>
      </c>
      <c r="AE8" s="87"/>
      <c r="AF8" s="86"/>
      <c r="AG8" s="86"/>
      <c r="AH8" s="86">
        <v>10</v>
      </c>
      <c r="AI8" s="85">
        <v>800</v>
      </c>
      <c r="AJ8" s="103">
        <f>AJ7+AI8</f>
      </c>
      <c r="AL8" s="87"/>
      <c r="AM8" s="86"/>
      <c r="AN8" s="86"/>
      <c r="AO8" s="86">
        <v>10</v>
      </c>
      <c r="AP8" s="85">
        <v>1200</v>
      </c>
      <c r="AQ8" s="104">
        <f>AQ7+AP8</f>
      </c>
      <c r="AR8" s="87"/>
      <c r="AS8" s="86"/>
      <c r="AT8" s="86"/>
      <c r="AU8" s="86">
        <v>10</v>
      </c>
      <c r="AV8" s="85">
        <v>2400</v>
      </c>
      <c r="AW8" s="104">
        <f>AW7+AV8</f>
      </c>
    </row>
    <row r="9" ht="17.1" customHeight="1" spans="1:44" x14ac:dyDescent="0.25">
      <c r="A9" s="72" t="s">
        <v>1909</v>
      </c>
      <c r="B9" s="73" t="s">
        <v>1910</v>
      </c>
      <c r="C9" s="72" t="s">
        <v>1903</v>
      </c>
      <c r="D9" s="72">
        <v>7</v>
      </c>
      <c r="E9" s="88" t="s">
        <v>1911</v>
      </c>
      <c r="F9" s="91">
        <v>125</v>
      </c>
      <c r="G9" s="91">
        <v>250</v>
      </c>
      <c r="H9" s="89">
        <v>375</v>
      </c>
      <c r="I9" s="89">
        <v>750</v>
      </c>
      <c r="J9" s="89"/>
      <c r="K9" s="72" t="s">
        <v>1894</v>
      </c>
      <c r="L9" s="72" t="s">
        <v>1895</v>
      </c>
      <c r="M9" s="72" t="s">
        <v>1887</v>
      </c>
      <c r="N9" s="72" t="s">
        <v>1894</v>
      </c>
      <c r="O9" s="72" t="s">
        <v>1896</v>
      </c>
      <c r="P9" s="72" t="s">
        <v>1888</v>
      </c>
      <c r="Q9" s="72"/>
      <c r="R9" s="72" t="s">
        <v>1894</v>
      </c>
      <c r="S9" s="72" t="s">
        <v>1895</v>
      </c>
      <c r="T9" s="72" t="s">
        <v>1887</v>
      </c>
      <c r="U9" s="72" t="s">
        <v>1894</v>
      </c>
      <c r="V9" s="72" t="s">
        <v>1896</v>
      </c>
      <c r="W9" s="72" t="s">
        <v>1888</v>
      </c>
      <c r="Y9" s="108"/>
      <c r="Z9" s="109"/>
      <c r="AA9" s="109"/>
      <c r="AB9" s="109"/>
      <c r="AC9" s="110"/>
      <c r="AD9" s="110"/>
      <c r="AE9" s="108"/>
      <c r="AF9" s="109"/>
      <c r="AG9" s="109"/>
      <c r="AH9" s="109"/>
      <c r="AI9" s="110"/>
      <c r="AJ9" s="110"/>
      <c r="AL9" s="72"/>
      <c r="AQ9" s="73"/>
      <c r="AR9" s="72"/>
    </row>
    <row r="10" ht="17.1" customHeight="1" spans="1:49" x14ac:dyDescent="0.25">
      <c r="A10" s="72" t="s">
        <v>1912</v>
      </c>
      <c r="B10" s="73" t="s">
        <v>1913</v>
      </c>
      <c r="C10" s="72" t="s">
        <v>1904</v>
      </c>
      <c r="D10" s="72">
        <v>7</v>
      </c>
      <c r="E10" s="88" t="s">
        <v>1914</v>
      </c>
      <c r="F10" s="91">
        <v>250</v>
      </c>
      <c r="G10" s="91">
        <v>500</v>
      </c>
      <c r="H10" s="89">
        <v>750</v>
      </c>
      <c r="I10" s="89">
        <v>1500</v>
      </c>
      <c r="J10" s="89"/>
      <c r="K10" s="72">
        <v>0</v>
      </c>
      <c r="L10" s="72">
        <v>0</v>
      </c>
      <c r="M10" s="90">
        <v>125</v>
      </c>
      <c r="N10" s="72">
        <v>0</v>
      </c>
      <c r="O10" s="72">
        <v>0</v>
      </c>
      <c r="P10" s="91">
        <v>250</v>
      </c>
      <c r="Q10" s="72"/>
      <c r="R10" s="72">
        <v>0</v>
      </c>
      <c r="S10" s="72">
        <v>0</v>
      </c>
      <c r="T10" s="89">
        <v>375</v>
      </c>
      <c r="U10" s="72">
        <v>0</v>
      </c>
      <c r="V10" s="72">
        <v>0</v>
      </c>
      <c r="W10" s="89">
        <v>750</v>
      </c>
      <c r="Y10" s="82" t="s">
        <v>1883</v>
      </c>
      <c r="Z10" s="82" t="s">
        <v>1887</v>
      </c>
      <c r="AA10" s="82"/>
      <c r="AB10" s="82"/>
      <c r="AC10" s="82"/>
      <c r="AD10" s="82"/>
      <c r="AE10" s="82" t="s">
        <v>1883</v>
      </c>
      <c r="AF10" s="82" t="s">
        <v>1888</v>
      </c>
      <c r="AG10" s="82"/>
      <c r="AH10" s="82"/>
      <c r="AI10" s="82"/>
      <c r="AJ10" s="82"/>
      <c r="AL10" s="83" t="s">
        <v>674</v>
      </c>
      <c r="AM10" s="83" t="s">
        <v>1887</v>
      </c>
      <c r="AN10" s="84"/>
      <c r="AO10" s="84"/>
      <c r="AP10" s="84"/>
      <c r="AQ10" s="84"/>
      <c r="AR10" s="83" t="s">
        <v>674</v>
      </c>
      <c r="AS10" s="83" t="s">
        <v>1888</v>
      </c>
      <c r="AT10" s="85"/>
      <c r="AU10" s="86"/>
      <c r="AV10" s="85"/>
      <c r="AW10" s="85"/>
    </row>
    <row r="11" ht="17.1" customHeight="1" spans="5:49" x14ac:dyDescent="0.25">
      <c r="E11" s="88" t="s">
        <v>1915</v>
      </c>
      <c r="F11" s="91">
        <v>400</v>
      </c>
      <c r="G11" s="91">
        <v>800</v>
      </c>
      <c r="H11" s="89">
        <v>1200</v>
      </c>
      <c r="I11" s="89">
        <v>2400</v>
      </c>
      <c r="J11" s="89"/>
      <c r="K11" s="72">
        <v>7</v>
      </c>
      <c r="L11" s="92">
        <v>875</v>
      </c>
      <c r="M11" s="90">
        <v>250</v>
      </c>
      <c r="N11" s="72">
        <v>7</v>
      </c>
      <c r="O11" s="92">
        <v>1750</v>
      </c>
      <c r="P11" s="91">
        <v>500</v>
      </c>
      <c r="Q11" s="72"/>
      <c r="R11" s="72">
        <v>7</v>
      </c>
      <c r="S11" s="93">
        <v>2625</v>
      </c>
      <c r="T11" s="89">
        <v>750</v>
      </c>
      <c r="U11" s="72">
        <v>7</v>
      </c>
      <c r="V11" s="93">
        <v>5250</v>
      </c>
      <c r="W11" s="89">
        <v>1500</v>
      </c>
      <c r="Y11" s="108">
        <v>0</v>
      </c>
      <c r="Z11" s="109">
        <v>0</v>
      </c>
      <c r="AA11" s="109">
        <f>Z11</f>
      </c>
      <c r="AB11" s="109"/>
      <c r="AC11" s="109"/>
      <c r="AD11" s="109"/>
      <c r="AE11" s="108">
        <v>0</v>
      </c>
      <c r="AF11" s="109">
        <v>0</v>
      </c>
      <c r="AG11" s="109">
        <f>AF11</f>
      </c>
      <c r="AH11" s="109"/>
      <c r="AI11" s="109"/>
      <c r="AJ11" s="109"/>
      <c r="AL11" s="109">
        <v>0</v>
      </c>
      <c r="AM11" s="109">
        <v>0</v>
      </c>
      <c r="AN11" s="109">
        <f>AM11</f>
      </c>
      <c r="AO11" s="109"/>
      <c r="AP11" s="109"/>
      <c r="AQ11" s="109"/>
      <c r="AR11" s="109">
        <v>0</v>
      </c>
      <c r="AS11" s="109">
        <v>0</v>
      </c>
      <c r="AT11" s="109">
        <f>AS11</f>
      </c>
      <c r="AU11" s="109"/>
      <c r="AV11" s="109"/>
      <c r="AW11" s="109"/>
    </row>
    <row r="12" ht="17.1" customHeight="1" spans="1:49" x14ac:dyDescent="0.25">
      <c r="A12" s="72" t="s">
        <v>1916</v>
      </c>
      <c r="B12" s="73" t="s">
        <v>1917</v>
      </c>
      <c r="C12" s="72" t="s">
        <v>1905</v>
      </c>
      <c r="D12" s="72">
        <v>7</v>
      </c>
      <c r="E12" s="88"/>
      <c r="K12" s="72">
        <v>14</v>
      </c>
      <c r="L12" s="92">
        <v>2625</v>
      </c>
      <c r="M12" s="90">
        <v>400</v>
      </c>
      <c r="N12" s="72">
        <v>14</v>
      </c>
      <c r="O12" s="92">
        <v>5250</v>
      </c>
      <c r="P12" s="91">
        <v>800</v>
      </c>
      <c r="Q12" s="72"/>
      <c r="R12" s="72">
        <v>14</v>
      </c>
      <c r="S12" s="93">
        <v>7875</v>
      </c>
      <c r="T12" s="89">
        <v>1200</v>
      </c>
      <c r="U12" s="72">
        <v>14</v>
      </c>
      <c r="V12" s="93">
        <v>15750</v>
      </c>
      <c r="W12" s="89">
        <v>2400</v>
      </c>
      <c r="Y12" s="108">
        <v>1</v>
      </c>
      <c r="Z12" s="110">
        <v>125</v>
      </c>
      <c r="AA12" s="110">
        <f>Z11+Z12</f>
      </c>
      <c r="AB12" s="109">
        <v>8</v>
      </c>
      <c r="AC12" s="109">
        <v>250</v>
      </c>
      <c r="AD12" s="110">
        <f>AA18+AC12</f>
      </c>
      <c r="AE12" s="108">
        <v>1</v>
      </c>
      <c r="AF12" s="110">
        <v>250</v>
      </c>
      <c r="AG12" s="110">
        <f>AF11+AF12</f>
      </c>
      <c r="AH12" s="109">
        <v>8</v>
      </c>
      <c r="AI12" s="109">
        <v>500</v>
      </c>
      <c r="AJ12" s="110">
        <f>AG18+AI12</f>
      </c>
      <c r="AL12" s="109">
        <v>1</v>
      </c>
      <c r="AM12" s="110">
        <v>375</v>
      </c>
      <c r="AN12" s="110">
        <f>AM11+AM12</f>
      </c>
      <c r="AO12" s="109">
        <v>8</v>
      </c>
      <c r="AP12" s="109">
        <v>750</v>
      </c>
      <c r="AQ12" s="110">
        <f>AN18+AP12</f>
      </c>
      <c r="AR12" s="109">
        <v>1</v>
      </c>
      <c r="AS12" s="110">
        <v>750</v>
      </c>
      <c r="AT12" s="110">
        <f>AS11+AS12</f>
      </c>
      <c r="AU12" s="109">
        <v>8</v>
      </c>
      <c r="AV12" s="109">
        <v>1500</v>
      </c>
      <c r="AW12" s="110">
        <f>AT18+AV12</f>
      </c>
    </row>
    <row r="13" ht="17.1" customHeight="1" spans="3:49" x14ac:dyDescent="0.25">
      <c r="C13" s="72" t="s">
        <v>1906</v>
      </c>
      <c r="D13" s="72">
        <v>7</v>
      </c>
      <c r="E13" s="88"/>
      <c r="Y13" s="108">
        <v>2</v>
      </c>
      <c r="Z13" s="110">
        <v>125</v>
      </c>
      <c r="AA13" s="110">
        <f>AA12+Z13</f>
      </c>
      <c r="AB13" s="109">
        <v>9</v>
      </c>
      <c r="AC13" s="109">
        <v>250</v>
      </c>
      <c r="AD13" s="110">
        <f>AD12+AC13</f>
      </c>
      <c r="AE13" s="108">
        <v>2</v>
      </c>
      <c r="AF13" s="110">
        <v>250</v>
      </c>
      <c r="AG13" s="110">
        <f>AG12+AF13</f>
      </c>
      <c r="AH13" s="109">
        <v>9</v>
      </c>
      <c r="AI13" s="109">
        <v>500</v>
      </c>
      <c r="AJ13" s="110">
        <f>AJ12+AI13</f>
      </c>
      <c r="AL13" s="109">
        <v>2</v>
      </c>
      <c r="AM13" s="110">
        <v>375</v>
      </c>
      <c r="AN13" s="110">
        <f>AN12+AM13</f>
      </c>
      <c r="AO13" s="109">
        <v>9</v>
      </c>
      <c r="AP13" s="109">
        <v>750</v>
      </c>
      <c r="AQ13" s="110">
        <f>AQ12+AP13</f>
      </c>
      <c r="AR13" s="109">
        <v>2</v>
      </c>
      <c r="AS13" s="110">
        <v>750</v>
      </c>
      <c r="AT13" s="110">
        <f>AT12+AS13</f>
      </c>
      <c r="AU13" s="109">
        <v>9</v>
      </c>
      <c r="AV13" s="109">
        <v>1500</v>
      </c>
      <c r="AW13" s="110">
        <f>AW12+AV13</f>
      </c>
    </row>
    <row r="14" ht="17.1" customHeight="1" spans="1:49" x14ac:dyDescent="0.25">
      <c r="A14" s="72" t="s">
        <v>1918</v>
      </c>
      <c r="B14" s="73" t="s">
        <v>1919</v>
      </c>
      <c r="C14" s="76" t="s">
        <v>1904</v>
      </c>
      <c r="D14" s="72">
        <v>7</v>
      </c>
      <c r="E14" s="88"/>
      <c r="X14" s="73"/>
      <c r="Y14" s="108">
        <v>3</v>
      </c>
      <c r="Z14" s="110">
        <v>125</v>
      </c>
      <c r="AA14" s="110">
        <f>AA13+Z14</f>
      </c>
      <c r="AB14" s="109">
        <v>10</v>
      </c>
      <c r="AC14" s="109">
        <v>250</v>
      </c>
      <c r="AD14" s="110">
        <f>AD13+AC14</f>
      </c>
      <c r="AE14" s="108">
        <v>3</v>
      </c>
      <c r="AF14" s="110">
        <v>250</v>
      </c>
      <c r="AG14" s="110">
        <f>AG13+AF14</f>
      </c>
      <c r="AH14" s="109">
        <v>10</v>
      </c>
      <c r="AI14" s="109">
        <v>500</v>
      </c>
      <c r="AJ14" s="110">
        <f>AJ13+AI14</f>
      </c>
      <c r="AL14" s="109">
        <v>3</v>
      </c>
      <c r="AM14" s="110">
        <v>375</v>
      </c>
      <c r="AN14" s="110">
        <f>AN13+AM14</f>
      </c>
      <c r="AO14" s="109">
        <v>10</v>
      </c>
      <c r="AP14" s="109">
        <v>750</v>
      </c>
      <c r="AQ14" s="110">
        <f>AQ13+AP14</f>
      </c>
      <c r="AR14" s="109">
        <v>3</v>
      </c>
      <c r="AS14" s="110">
        <v>750</v>
      </c>
      <c r="AT14" s="110">
        <f>AT13+AS14</f>
      </c>
      <c r="AU14" s="109">
        <v>10</v>
      </c>
      <c r="AV14" s="109">
        <v>1500</v>
      </c>
      <c r="AW14" s="110">
        <f>AW13+AV14</f>
      </c>
    </row>
    <row r="15" ht="17.1" customHeight="1" spans="1:49" x14ac:dyDescent="0.25">
      <c r="A15" s="94"/>
      <c r="B15" s="95" t="s">
        <v>1920</v>
      </c>
      <c r="C15" s="111" t="s">
        <v>40</v>
      </c>
      <c r="D15" s="97">
        <v>7</v>
      </c>
      <c r="E15" s="96"/>
      <c r="F15" s="94"/>
      <c r="G15" s="94"/>
      <c r="H15" s="94"/>
      <c r="I15" s="94"/>
      <c r="K15" s="95"/>
      <c r="L15" s="95"/>
      <c r="M15" s="95"/>
      <c r="N15" s="95"/>
      <c r="O15" s="95"/>
      <c r="P15" s="95"/>
      <c r="R15" s="95"/>
      <c r="S15" s="95"/>
      <c r="T15" s="95"/>
      <c r="U15" s="95"/>
      <c r="V15" s="95"/>
      <c r="W15" s="95"/>
      <c r="X15" s="73"/>
      <c r="Y15" s="108">
        <v>4</v>
      </c>
      <c r="Z15" s="110">
        <v>125</v>
      </c>
      <c r="AA15" s="110">
        <f>AA14+Z15</f>
      </c>
      <c r="AB15" s="109">
        <v>11</v>
      </c>
      <c r="AC15" s="109">
        <v>250</v>
      </c>
      <c r="AD15" s="110">
        <f>AD14+AC15</f>
      </c>
      <c r="AE15" s="108">
        <v>4</v>
      </c>
      <c r="AF15" s="110">
        <v>250</v>
      </c>
      <c r="AG15" s="110">
        <f>AG14+AF15</f>
      </c>
      <c r="AH15" s="109">
        <v>11</v>
      </c>
      <c r="AI15" s="109">
        <v>500</v>
      </c>
      <c r="AJ15" s="110">
        <f>AJ14+AI15</f>
      </c>
      <c r="AL15" s="109">
        <v>4</v>
      </c>
      <c r="AM15" s="110">
        <v>375</v>
      </c>
      <c r="AN15" s="110">
        <f>AN14+AM15</f>
      </c>
      <c r="AO15" s="109">
        <v>11</v>
      </c>
      <c r="AP15" s="109">
        <v>750</v>
      </c>
      <c r="AQ15" s="110">
        <f>AQ14+AP15</f>
      </c>
      <c r="AR15" s="109">
        <v>4</v>
      </c>
      <c r="AS15" s="110">
        <v>750</v>
      </c>
      <c r="AT15" s="110">
        <f>AT14+AS15</f>
      </c>
      <c r="AU15" s="109">
        <v>11</v>
      </c>
      <c r="AV15" s="109">
        <v>1500</v>
      </c>
      <c r="AW15" s="110">
        <f>AW14+AV15</f>
      </c>
    </row>
    <row r="16" ht="17.1" customHeight="1" spans="5:49" x14ac:dyDescent="0.25">
      <c r="E16" s="88"/>
      <c r="X16" s="73"/>
      <c r="Y16" s="108">
        <v>5</v>
      </c>
      <c r="Z16" s="110">
        <v>125</v>
      </c>
      <c r="AA16" s="110">
        <f>AA15+Z16</f>
      </c>
      <c r="AB16" s="109">
        <v>12</v>
      </c>
      <c r="AC16" s="109">
        <v>250</v>
      </c>
      <c r="AD16" s="110">
        <f>AD15+AC16</f>
      </c>
      <c r="AE16" s="108">
        <v>5</v>
      </c>
      <c r="AF16" s="110">
        <v>250</v>
      </c>
      <c r="AG16" s="110">
        <f>AG15+AF16</f>
      </c>
      <c r="AH16" s="109">
        <v>12</v>
      </c>
      <c r="AI16" s="109">
        <v>500</v>
      </c>
      <c r="AJ16" s="110">
        <f>AJ15+AI16</f>
      </c>
      <c r="AL16" s="109">
        <v>5</v>
      </c>
      <c r="AM16" s="110">
        <v>375</v>
      </c>
      <c r="AN16" s="110">
        <f>AN15+AM16</f>
      </c>
      <c r="AO16" s="109">
        <v>12</v>
      </c>
      <c r="AP16" s="109">
        <v>750</v>
      </c>
      <c r="AQ16" s="110">
        <f>AQ15+AP16</f>
      </c>
      <c r="AR16" s="109">
        <v>5</v>
      </c>
      <c r="AS16" s="110">
        <v>750</v>
      </c>
      <c r="AT16" s="110">
        <f>AT15+AS16</f>
      </c>
      <c r="AU16" s="109">
        <v>12</v>
      </c>
      <c r="AV16" s="109">
        <v>1500</v>
      </c>
      <c r="AW16" s="110">
        <f>AW15+AV16</f>
      </c>
    </row>
    <row r="17" ht="17.1" customHeight="1" spans="1:49" x14ac:dyDescent="0.25">
      <c r="A17" s="74" t="s">
        <v>1882</v>
      </c>
      <c r="B17" s="75"/>
      <c r="C17" s="75"/>
      <c r="D17" s="75"/>
      <c r="E17" s="75"/>
      <c r="F17" s="74" t="s">
        <v>1883</v>
      </c>
      <c r="G17" s="75"/>
      <c r="H17" s="74" t="s">
        <v>674</v>
      </c>
      <c r="I17" s="75"/>
      <c r="J17" s="76" t="s">
        <v>1921</v>
      </c>
      <c r="K17" s="77" t="s">
        <v>1883</v>
      </c>
      <c r="L17" s="78" t="s">
        <v>1889</v>
      </c>
      <c r="M17" s="78" t="s">
        <v>1922</v>
      </c>
      <c r="N17" s="78" t="s">
        <v>1923</v>
      </c>
      <c r="O17" s="112"/>
      <c r="P17" s="112"/>
      <c r="Q17" s="113"/>
      <c r="R17" s="77" t="s">
        <v>674</v>
      </c>
      <c r="S17" s="78" t="s">
        <v>1889</v>
      </c>
      <c r="T17" s="78" t="s">
        <v>1922</v>
      </c>
      <c r="U17" s="78" t="s">
        <v>1923</v>
      </c>
      <c r="V17" s="112"/>
      <c r="W17" s="112"/>
      <c r="X17" s="73"/>
      <c r="Y17" s="108">
        <v>6</v>
      </c>
      <c r="Z17" s="110">
        <v>125</v>
      </c>
      <c r="AA17" s="110">
        <f>AA16+Z17</f>
      </c>
      <c r="AB17" s="109">
        <v>13</v>
      </c>
      <c r="AC17" s="109">
        <v>250</v>
      </c>
      <c r="AD17" s="110">
        <f>AD16+AC17</f>
      </c>
      <c r="AE17" s="108">
        <v>6</v>
      </c>
      <c r="AF17" s="110">
        <v>250</v>
      </c>
      <c r="AG17" s="110">
        <f>AG16+AF17</f>
      </c>
      <c r="AH17" s="109">
        <v>13</v>
      </c>
      <c r="AI17" s="109">
        <v>500</v>
      </c>
      <c r="AJ17" s="110">
        <f>AJ16+AI17</f>
      </c>
      <c r="AL17" s="109">
        <v>6</v>
      </c>
      <c r="AM17" s="110">
        <v>375</v>
      </c>
      <c r="AN17" s="110">
        <f>AN16+AM17</f>
      </c>
      <c r="AO17" s="109">
        <v>13</v>
      </c>
      <c r="AP17" s="109">
        <v>750</v>
      </c>
      <c r="AQ17" s="110">
        <f>AQ16+AP17</f>
      </c>
      <c r="AR17" s="109">
        <v>6</v>
      </c>
      <c r="AS17" s="110">
        <v>750</v>
      </c>
      <c r="AT17" s="110">
        <f>AT16+AS17</f>
      </c>
      <c r="AU17" s="109">
        <v>13</v>
      </c>
      <c r="AV17" s="109">
        <v>1500</v>
      </c>
      <c r="AW17" s="110">
        <f>AW16+AV17</f>
      </c>
    </row>
    <row r="18" ht="17.1" customHeight="1" spans="1:49" x14ac:dyDescent="0.25">
      <c r="A18" s="72" t="s">
        <v>1889</v>
      </c>
      <c r="B18" s="72" t="s">
        <v>1890</v>
      </c>
      <c r="C18" s="72" t="s">
        <v>1891</v>
      </c>
      <c r="D18" s="72" t="s">
        <v>1892</v>
      </c>
      <c r="E18" s="72" t="s">
        <v>1893</v>
      </c>
      <c r="F18" s="72" t="s">
        <v>1887</v>
      </c>
      <c r="G18" s="72" t="s">
        <v>1888</v>
      </c>
      <c r="H18" s="72" t="s">
        <v>1887</v>
      </c>
      <c r="I18" s="72" t="s">
        <v>1888</v>
      </c>
      <c r="K18" s="72" t="s">
        <v>1894</v>
      </c>
      <c r="L18" s="72" t="s">
        <v>1895</v>
      </c>
      <c r="M18" s="72" t="s">
        <v>1887</v>
      </c>
      <c r="N18" s="72" t="s">
        <v>1894</v>
      </c>
      <c r="O18" s="72" t="s">
        <v>1896</v>
      </c>
      <c r="P18" s="72" t="s">
        <v>1888</v>
      </c>
      <c r="Q18" s="72"/>
      <c r="R18" s="72" t="s">
        <v>1894</v>
      </c>
      <c r="S18" s="72" t="s">
        <v>1895</v>
      </c>
      <c r="T18" s="72" t="s">
        <v>1887</v>
      </c>
      <c r="U18" s="72" t="s">
        <v>1894</v>
      </c>
      <c r="V18" s="72" t="s">
        <v>1896</v>
      </c>
      <c r="W18" s="72" t="s">
        <v>1888</v>
      </c>
      <c r="X18" s="73"/>
      <c r="Y18" s="108">
        <v>7</v>
      </c>
      <c r="Z18" s="110">
        <v>125</v>
      </c>
      <c r="AA18" s="103">
        <f>AA17+Z18</f>
      </c>
      <c r="AB18" s="109">
        <v>14</v>
      </c>
      <c r="AC18" s="109">
        <v>400</v>
      </c>
      <c r="AD18" s="103">
        <f>AD17+AC18</f>
      </c>
      <c r="AE18" s="108">
        <v>7</v>
      </c>
      <c r="AF18" s="110">
        <v>250</v>
      </c>
      <c r="AG18" s="103">
        <f>AG17+AF18</f>
      </c>
      <c r="AH18" s="109">
        <v>14</v>
      </c>
      <c r="AI18" s="109">
        <v>800</v>
      </c>
      <c r="AJ18" s="103">
        <f>AJ17+AI18</f>
      </c>
      <c r="AL18" s="109">
        <v>7</v>
      </c>
      <c r="AM18" s="110">
        <v>375</v>
      </c>
      <c r="AN18" s="104">
        <f>AN17+AM18</f>
      </c>
      <c r="AO18" s="109">
        <v>14</v>
      </c>
      <c r="AP18" s="109">
        <v>1200</v>
      </c>
      <c r="AQ18" s="104">
        <f>AQ17+AP18</f>
      </c>
      <c r="AR18" s="109">
        <v>7</v>
      </c>
      <c r="AS18" s="110">
        <v>750</v>
      </c>
      <c r="AT18" s="104">
        <f>AT17+AS18</f>
      </c>
      <c r="AU18" s="109">
        <v>14</v>
      </c>
      <c r="AV18" s="109">
        <v>2400</v>
      </c>
      <c r="AW18" s="104">
        <f>AW17+AV18</f>
      </c>
    </row>
    <row r="19" ht="17.1" customHeight="1" spans="1:43" x14ac:dyDescent="0.25">
      <c r="A19" s="72" t="s">
        <v>1924</v>
      </c>
      <c r="C19" s="72" t="s">
        <v>1922</v>
      </c>
      <c r="D19" s="72">
        <v>3</v>
      </c>
      <c r="E19" s="88" t="s">
        <v>1911</v>
      </c>
      <c r="F19" s="91">
        <v>160</v>
      </c>
      <c r="G19" s="91">
        <v>320</v>
      </c>
      <c r="H19" s="89">
        <v>480</v>
      </c>
      <c r="I19" s="89">
        <v>960</v>
      </c>
      <c r="J19" s="89"/>
      <c r="K19" s="72">
        <v>0</v>
      </c>
      <c r="L19" s="72">
        <v>0</v>
      </c>
      <c r="M19" s="90">
        <v>160</v>
      </c>
      <c r="N19" s="72">
        <v>0</v>
      </c>
      <c r="O19" s="72">
        <v>0</v>
      </c>
      <c r="P19" s="91">
        <v>320</v>
      </c>
      <c r="Q19" s="72"/>
      <c r="R19" s="72">
        <v>0</v>
      </c>
      <c r="S19" s="72">
        <v>0</v>
      </c>
      <c r="T19" s="89">
        <v>480</v>
      </c>
      <c r="U19" s="72">
        <v>0</v>
      </c>
      <c r="V19" s="72">
        <v>0</v>
      </c>
      <c r="W19" s="89">
        <v>960</v>
      </c>
      <c r="X19" s="73"/>
      <c r="AL19" s="109"/>
      <c r="AM19" s="110"/>
      <c r="AN19" s="110"/>
      <c r="AO19" s="109"/>
      <c r="AP19" s="109"/>
      <c r="AQ19" s="110"/>
    </row>
    <row r="20" ht="17.1" customHeight="1" spans="3:49" x14ac:dyDescent="0.25">
      <c r="C20" s="72" t="s">
        <v>1923</v>
      </c>
      <c r="D20" s="72">
        <v>3</v>
      </c>
      <c r="E20" s="88" t="s">
        <v>1914</v>
      </c>
      <c r="F20" s="91">
        <v>275</v>
      </c>
      <c r="G20" s="91">
        <v>550</v>
      </c>
      <c r="H20" s="89">
        <v>825</v>
      </c>
      <c r="I20" s="89">
        <v>1650</v>
      </c>
      <c r="J20" s="89"/>
      <c r="K20" s="72">
        <v>7</v>
      </c>
      <c r="L20" s="92">
        <v>1120</v>
      </c>
      <c r="M20" s="90">
        <v>275</v>
      </c>
      <c r="N20" s="72">
        <v>7</v>
      </c>
      <c r="O20" s="92">
        <v>2240</v>
      </c>
      <c r="P20" s="91">
        <v>550</v>
      </c>
      <c r="Q20" s="72"/>
      <c r="R20" s="72">
        <v>7</v>
      </c>
      <c r="S20" s="93">
        <v>3360</v>
      </c>
      <c r="T20" s="89">
        <v>825</v>
      </c>
      <c r="U20" s="72">
        <v>7</v>
      </c>
      <c r="V20" s="93">
        <v>6720</v>
      </c>
      <c r="W20" s="89">
        <v>1650</v>
      </c>
      <c r="X20" s="73"/>
      <c r="Y20" s="82" t="s">
        <v>1883</v>
      </c>
      <c r="Z20" s="82" t="s">
        <v>1887</v>
      </c>
      <c r="AA20" s="82"/>
      <c r="AB20" s="82"/>
      <c r="AC20" s="82"/>
      <c r="AD20" s="82"/>
      <c r="AE20" s="82" t="s">
        <v>1883</v>
      </c>
      <c r="AF20" s="82" t="s">
        <v>1888</v>
      </c>
      <c r="AG20" s="82"/>
      <c r="AH20" s="82"/>
      <c r="AI20" s="82"/>
      <c r="AJ20" s="82"/>
      <c r="AL20" s="83" t="s">
        <v>674</v>
      </c>
      <c r="AM20" s="83" t="s">
        <v>1887</v>
      </c>
      <c r="AN20" s="84"/>
      <c r="AO20" s="84"/>
      <c r="AP20" s="84"/>
      <c r="AQ20" s="84"/>
      <c r="AR20" s="83" t="s">
        <v>674</v>
      </c>
      <c r="AS20" s="83" t="s">
        <v>1888</v>
      </c>
      <c r="AT20" s="85"/>
      <c r="AU20" s="86"/>
      <c r="AV20" s="85"/>
      <c r="AW20" s="85"/>
    </row>
    <row r="21" ht="17.1" customHeight="1" spans="1:49" x14ac:dyDescent="0.25">
      <c r="A21" s="94"/>
      <c r="B21" s="95"/>
      <c r="C21" s="94"/>
      <c r="D21" s="94"/>
      <c r="E21" s="96" t="s">
        <v>1915</v>
      </c>
      <c r="F21" s="101">
        <v>390</v>
      </c>
      <c r="G21" s="101">
        <v>780</v>
      </c>
      <c r="H21" s="98">
        <v>1170</v>
      </c>
      <c r="I21" s="98">
        <v>2340</v>
      </c>
      <c r="J21" s="89"/>
      <c r="K21" s="94">
        <v>14</v>
      </c>
      <c r="L21" s="99">
        <v>3045</v>
      </c>
      <c r="M21" s="100">
        <v>390</v>
      </c>
      <c r="N21" s="94">
        <v>14</v>
      </c>
      <c r="O21" s="99">
        <v>6090</v>
      </c>
      <c r="P21" s="101">
        <v>780</v>
      </c>
      <c r="Q21" s="72"/>
      <c r="R21" s="94">
        <v>14</v>
      </c>
      <c r="S21" s="102">
        <v>9135</v>
      </c>
      <c r="T21" s="98">
        <v>1170</v>
      </c>
      <c r="U21" s="94">
        <v>14</v>
      </c>
      <c r="V21" s="102">
        <v>18270</v>
      </c>
      <c r="W21" s="98">
        <v>2340</v>
      </c>
      <c r="X21" s="73"/>
      <c r="Y21" s="109">
        <v>0</v>
      </c>
      <c r="Z21" s="109">
        <v>0</v>
      </c>
      <c r="AA21" s="109">
        <f>Z21</f>
      </c>
      <c r="AB21" s="109"/>
      <c r="AC21" s="109"/>
      <c r="AD21" s="109"/>
      <c r="AE21" s="109">
        <v>0</v>
      </c>
      <c r="AF21" s="109">
        <v>0</v>
      </c>
      <c r="AG21" s="109">
        <f>AF21</f>
      </c>
      <c r="AH21" s="109"/>
      <c r="AI21" s="109"/>
      <c r="AJ21" s="109"/>
      <c r="AL21" s="109">
        <v>0</v>
      </c>
      <c r="AM21" s="109">
        <v>0</v>
      </c>
      <c r="AN21" s="109">
        <f>AM21</f>
      </c>
      <c r="AO21" s="109"/>
      <c r="AP21" s="109"/>
      <c r="AQ21" s="109"/>
      <c r="AR21" s="109">
        <v>0</v>
      </c>
      <c r="AS21" s="109">
        <v>0</v>
      </c>
      <c r="AT21" s="109">
        <f>AS21</f>
      </c>
      <c r="AU21" s="109"/>
      <c r="AV21" s="109"/>
      <c r="AW21" s="109"/>
    </row>
    <row r="22" ht="17.1" customHeight="1" spans="5:49" x14ac:dyDescent="0.25">
      <c r="E22" s="88"/>
      <c r="K22" s="72"/>
      <c r="L22" s="72"/>
      <c r="M22" s="105"/>
      <c r="N22" s="72"/>
      <c r="O22" s="72"/>
      <c r="P22" s="72"/>
      <c r="Q22" s="72"/>
      <c r="R22" s="72"/>
      <c r="S22" s="72"/>
      <c r="T22" s="105"/>
      <c r="U22" s="72"/>
      <c r="V22" s="72"/>
      <c r="W22" s="72"/>
      <c r="X22" s="73"/>
      <c r="Y22" s="109">
        <v>1</v>
      </c>
      <c r="Z22" s="110">
        <v>160</v>
      </c>
      <c r="AA22" s="110">
        <f>Z21+Z22</f>
      </c>
      <c r="AB22" s="109">
        <v>8</v>
      </c>
      <c r="AC22" s="109">
        <v>275</v>
      </c>
      <c r="AD22" s="110">
        <f>AA28+AC22</f>
      </c>
      <c r="AE22" s="109">
        <v>1</v>
      </c>
      <c r="AF22" s="110">
        <v>320</v>
      </c>
      <c r="AG22" s="110">
        <f>AF21+AF22</f>
      </c>
      <c r="AH22" s="109">
        <v>8</v>
      </c>
      <c r="AI22" s="109">
        <v>550</v>
      </c>
      <c r="AJ22" s="110">
        <f>AG28+AI22</f>
      </c>
      <c r="AL22" s="109">
        <v>1</v>
      </c>
      <c r="AM22" s="110">
        <v>480</v>
      </c>
      <c r="AN22" s="110">
        <f>AM21+AM22</f>
      </c>
      <c r="AO22" s="109">
        <v>8</v>
      </c>
      <c r="AP22" s="109">
        <v>825</v>
      </c>
      <c r="AQ22" s="110">
        <f>AN28+AP22</f>
      </c>
      <c r="AR22" s="109">
        <v>1</v>
      </c>
      <c r="AS22" s="110">
        <v>960</v>
      </c>
      <c r="AT22" s="110">
        <f>AS21+AS22</f>
      </c>
      <c r="AU22" s="109">
        <v>8</v>
      </c>
      <c r="AV22" s="109">
        <v>1650</v>
      </c>
      <c r="AW22" s="110">
        <f>AT28+AV22</f>
      </c>
    </row>
    <row r="23" ht="17.1" customHeight="1" spans="1:49" x14ac:dyDescent="0.25">
      <c r="A23" s="74" t="s">
        <v>1882</v>
      </c>
      <c r="B23" s="75"/>
      <c r="C23" s="75"/>
      <c r="D23" s="75"/>
      <c r="E23" s="75"/>
      <c r="F23" s="74" t="s">
        <v>1883</v>
      </c>
      <c r="G23" s="75"/>
      <c r="H23" s="74" t="s">
        <v>674</v>
      </c>
      <c r="I23" s="75"/>
      <c r="J23" s="76" t="s">
        <v>1925</v>
      </c>
      <c r="K23" s="77" t="s">
        <v>1883</v>
      </c>
      <c r="L23" s="78" t="s">
        <v>1889</v>
      </c>
      <c r="M23" s="78" t="s">
        <v>1926</v>
      </c>
      <c r="N23" s="112"/>
      <c r="O23" s="112"/>
      <c r="P23" s="112"/>
      <c r="Q23" s="113"/>
      <c r="R23" s="77" t="s">
        <v>674</v>
      </c>
      <c r="S23" s="78" t="s">
        <v>1889</v>
      </c>
      <c r="T23" s="78" t="s">
        <v>1926</v>
      </c>
      <c r="U23" s="112"/>
      <c r="V23" s="112"/>
      <c r="W23" s="112"/>
      <c r="Y23" s="109">
        <v>2</v>
      </c>
      <c r="Z23" s="110">
        <v>160</v>
      </c>
      <c r="AA23" s="110">
        <f>AA22+Z23</f>
      </c>
      <c r="AB23" s="109">
        <v>9</v>
      </c>
      <c r="AC23" s="109">
        <v>275</v>
      </c>
      <c r="AD23" s="110">
        <f>AD22+AC23</f>
      </c>
      <c r="AE23" s="109">
        <v>2</v>
      </c>
      <c r="AF23" s="110">
        <v>320</v>
      </c>
      <c r="AG23" s="110">
        <f>AG22+AF23</f>
      </c>
      <c r="AH23" s="109">
        <v>9</v>
      </c>
      <c r="AI23" s="109">
        <v>550</v>
      </c>
      <c r="AJ23" s="110">
        <f>AJ22+AI23</f>
      </c>
      <c r="AL23" s="109">
        <v>2</v>
      </c>
      <c r="AM23" s="110">
        <v>480</v>
      </c>
      <c r="AN23" s="110">
        <f>AN22+AM23</f>
      </c>
      <c r="AO23" s="109">
        <v>9</v>
      </c>
      <c r="AP23" s="109">
        <v>825</v>
      </c>
      <c r="AQ23" s="110">
        <f>AQ22+AP23</f>
      </c>
      <c r="AR23" s="109">
        <v>2</v>
      </c>
      <c r="AS23" s="110">
        <v>960</v>
      </c>
      <c r="AT23" s="110">
        <f>AT22+AS23</f>
      </c>
      <c r="AU23" s="109">
        <v>9</v>
      </c>
      <c r="AV23" s="109">
        <v>1650</v>
      </c>
      <c r="AW23" s="110">
        <f>AW22+AV23</f>
      </c>
    </row>
    <row r="24" ht="17.1" customHeight="1" spans="1:49" x14ac:dyDescent="0.25">
      <c r="A24" s="72" t="s">
        <v>1889</v>
      </c>
      <c r="B24" s="72" t="s">
        <v>1890</v>
      </c>
      <c r="C24" s="72" t="s">
        <v>1891</v>
      </c>
      <c r="D24" s="72" t="s">
        <v>1892</v>
      </c>
      <c r="E24" s="72" t="s">
        <v>1893</v>
      </c>
      <c r="F24" s="72" t="s">
        <v>1887</v>
      </c>
      <c r="G24" s="72" t="s">
        <v>1888</v>
      </c>
      <c r="H24" s="72" t="s">
        <v>1887</v>
      </c>
      <c r="I24" s="72" t="s">
        <v>1888</v>
      </c>
      <c r="K24" s="72" t="s">
        <v>1894</v>
      </c>
      <c r="L24" s="72" t="s">
        <v>1895</v>
      </c>
      <c r="M24" s="72" t="s">
        <v>1887</v>
      </c>
      <c r="N24" s="72" t="s">
        <v>1894</v>
      </c>
      <c r="O24" s="72" t="s">
        <v>1896</v>
      </c>
      <c r="P24" s="72" t="s">
        <v>1888</v>
      </c>
      <c r="Q24" s="72"/>
      <c r="R24" s="72" t="s">
        <v>1894</v>
      </c>
      <c r="S24" s="72" t="s">
        <v>1895</v>
      </c>
      <c r="T24" s="72" t="s">
        <v>1887</v>
      </c>
      <c r="U24" s="72" t="s">
        <v>1894</v>
      </c>
      <c r="V24" s="72" t="s">
        <v>1896</v>
      </c>
      <c r="W24" s="72" t="s">
        <v>1888</v>
      </c>
      <c r="Y24" s="109">
        <v>3</v>
      </c>
      <c r="Z24" s="110">
        <v>160</v>
      </c>
      <c r="AA24" s="110">
        <f>AA23+Z24</f>
      </c>
      <c r="AB24" s="109">
        <v>10</v>
      </c>
      <c r="AC24" s="109">
        <v>275</v>
      </c>
      <c r="AD24" s="110">
        <f>AD23+AC24</f>
      </c>
      <c r="AE24" s="109">
        <v>3</v>
      </c>
      <c r="AF24" s="110">
        <v>320</v>
      </c>
      <c r="AG24" s="110">
        <f>AG23+AF24</f>
      </c>
      <c r="AH24" s="109">
        <v>10</v>
      </c>
      <c r="AI24" s="109">
        <v>550</v>
      </c>
      <c r="AJ24" s="110">
        <f>AJ23+AI24</f>
      </c>
      <c r="AL24" s="109">
        <v>3</v>
      </c>
      <c r="AM24" s="110">
        <v>480</v>
      </c>
      <c r="AN24" s="110">
        <f>AN23+AM24</f>
      </c>
      <c r="AO24" s="109">
        <v>10</v>
      </c>
      <c r="AP24" s="109">
        <v>825</v>
      </c>
      <c r="AQ24" s="110">
        <f>AQ23+AP24</f>
      </c>
      <c r="AR24" s="109">
        <v>3</v>
      </c>
      <c r="AS24" s="110">
        <v>960</v>
      </c>
      <c r="AT24" s="110">
        <f>AT23+AS24</f>
      </c>
      <c r="AU24" s="109">
        <v>10</v>
      </c>
      <c r="AV24" s="109">
        <v>1650</v>
      </c>
      <c r="AW24" s="110">
        <f>AW23+AV24</f>
      </c>
    </row>
    <row r="25" ht="17.1" customHeight="1" spans="1:49" x14ac:dyDescent="0.25">
      <c r="A25" s="94" t="s">
        <v>1927</v>
      </c>
      <c r="B25" s="95"/>
      <c r="C25" s="94" t="s">
        <v>1926</v>
      </c>
      <c r="D25" s="111">
        <v>5</v>
      </c>
      <c r="E25" s="96" t="s">
        <v>1928</v>
      </c>
      <c r="F25" s="101">
        <v>50</v>
      </c>
      <c r="G25" s="101">
        <v>100</v>
      </c>
      <c r="H25" s="98">
        <v>150</v>
      </c>
      <c r="I25" s="98">
        <v>300</v>
      </c>
      <c r="J25" s="89"/>
      <c r="K25" s="94"/>
      <c r="L25" s="94"/>
      <c r="M25" s="100">
        <v>50</v>
      </c>
      <c r="N25" s="94"/>
      <c r="O25" s="94"/>
      <c r="P25" s="101">
        <v>100</v>
      </c>
      <c r="Q25" s="72"/>
      <c r="R25" s="94"/>
      <c r="S25" s="94"/>
      <c r="T25" s="98">
        <v>150</v>
      </c>
      <c r="U25" s="94"/>
      <c r="V25" s="94"/>
      <c r="W25" s="98">
        <v>300</v>
      </c>
      <c r="Y25" s="109">
        <v>4</v>
      </c>
      <c r="Z25" s="110">
        <v>160</v>
      </c>
      <c r="AA25" s="110">
        <f>AA24+Z25</f>
      </c>
      <c r="AB25" s="109">
        <v>11</v>
      </c>
      <c r="AC25" s="109">
        <v>275</v>
      </c>
      <c r="AD25" s="110">
        <f>AD24+AC25</f>
      </c>
      <c r="AE25" s="109">
        <v>4</v>
      </c>
      <c r="AF25" s="110">
        <v>320</v>
      </c>
      <c r="AG25" s="110">
        <f>AG24+AF25</f>
      </c>
      <c r="AH25" s="109">
        <v>11</v>
      </c>
      <c r="AI25" s="109">
        <v>550</v>
      </c>
      <c r="AJ25" s="110">
        <f>AJ24+AI25</f>
      </c>
      <c r="AL25" s="109">
        <v>4</v>
      </c>
      <c r="AM25" s="110">
        <v>480</v>
      </c>
      <c r="AN25" s="110">
        <f>AN24+AM25</f>
      </c>
      <c r="AO25" s="109">
        <v>11</v>
      </c>
      <c r="AP25" s="109">
        <v>825</v>
      </c>
      <c r="AQ25" s="110">
        <f>AQ24+AP25</f>
      </c>
      <c r="AR25" s="109">
        <v>4</v>
      </c>
      <c r="AS25" s="110">
        <v>960</v>
      </c>
      <c r="AT25" s="110">
        <f>AT24+AS25</f>
      </c>
      <c r="AU25" s="109">
        <v>11</v>
      </c>
      <c r="AV25" s="109">
        <v>1650</v>
      </c>
      <c r="AW25" s="110">
        <f>AW24+AV25</f>
      </c>
    </row>
    <row r="26" ht="17.1" customHeight="1" spans="25:49" x14ac:dyDescent="0.25">
      <c r="Y26" s="109">
        <v>5</v>
      </c>
      <c r="Z26" s="110">
        <v>160</v>
      </c>
      <c r="AA26" s="110">
        <f>AA25+Z26</f>
      </c>
      <c r="AB26" s="109">
        <v>12</v>
      </c>
      <c r="AC26" s="109">
        <v>275</v>
      </c>
      <c r="AD26" s="110">
        <f>AD25+AC26</f>
      </c>
      <c r="AE26" s="109">
        <v>5</v>
      </c>
      <c r="AF26" s="110">
        <v>320</v>
      </c>
      <c r="AG26" s="110">
        <f>AG25+AF26</f>
      </c>
      <c r="AH26" s="109">
        <v>12</v>
      </c>
      <c r="AI26" s="109">
        <v>550</v>
      </c>
      <c r="AJ26" s="110">
        <f>AJ25+AI26</f>
      </c>
      <c r="AL26" s="109">
        <v>5</v>
      </c>
      <c r="AM26" s="110">
        <v>480</v>
      </c>
      <c r="AN26" s="110">
        <f>AN25+AM26</f>
      </c>
      <c r="AO26" s="109">
        <v>12</v>
      </c>
      <c r="AP26" s="109">
        <v>825</v>
      </c>
      <c r="AQ26" s="110">
        <f>AQ25+AP26</f>
      </c>
      <c r="AR26" s="109">
        <v>5</v>
      </c>
      <c r="AS26" s="110">
        <v>960</v>
      </c>
      <c r="AT26" s="110">
        <f>AT25+AS26</f>
      </c>
      <c r="AU26" s="109">
        <v>12</v>
      </c>
      <c r="AV26" s="109">
        <v>1650</v>
      </c>
      <c r="AW26" s="110">
        <f>AW25+AV26</f>
      </c>
    </row>
    <row r="27" ht="17.1" customHeight="1" spans="25:49" x14ac:dyDescent="0.25">
      <c r="Y27" s="109">
        <v>6</v>
      </c>
      <c r="Z27" s="110">
        <v>160</v>
      </c>
      <c r="AA27" s="110">
        <f>AA26+Z27</f>
      </c>
      <c r="AB27" s="109">
        <v>13</v>
      </c>
      <c r="AC27" s="109">
        <v>275</v>
      </c>
      <c r="AD27" s="110">
        <f>AD26+AC27</f>
      </c>
      <c r="AE27" s="109">
        <v>6</v>
      </c>
      <c r="AF27" s="110">
        <v>320</v>
      </c>
      <c r="AG27" s="110">
        <f>AG26+AF27</f>
      </c>
      <c r="AH27" s="109">
        <v>13</v>
      </c>
      <c r="AI27" s="109">
        <v>550</v>
      </c>
      <c r="AJ27" s="110">
        <f>AJ26+AI27</f>
      </c>
      <c r="AL27" s="109">
        <v>6</v>
      </c>
      <c r="AM27" s="110">
        <v>480</v>
      </c>
      <c r="AN27" s="110">
        <f>AN26+AM27</f>
      </c>
      <c r="AO27" s="109">
        <v>13</v>
      </c>
      <c r="AP27" s="109">
        <v>825</v>
      </c>
      <c r="AQ27" s="110">
        <f>AQ26+AP27</f>
      </c>
      <c r="AR27" s="109">
        <v>6</v>
      </c>
      <c r="AS27" s="110">
        <v>960</v>
      </c>
      <c r="AT27" s="110">
        <f>AT26+AS27</f>
      </c>
      <c r="AU27" s="109">
        <v>13</v>
      </c>
      <c r="AV27" s="109">
        <v>1650</v>
      </c>
      <c r="AW27" s="110">
        <f>AW26+AV27</f>
      </c>
    </row>
    <row r="28" ht="17.1" customHeight="1" spans="25:49" x14ac:dyDescent="0.25">
      <c r="Y28" s="109">
        <v>7</v>
      </c>
      <c r="Z28" s="110">
        <v>160</v>
      </c>
      <c r="AA28" s="103">
        <f>AA27+Z28</f>
      </c>
      <c r="AB28" s="109">
        <v>14</v>
      </c>
      <c r="AC28" s="109">
        <v>390</v>
      </c>
      <c r="AD28" s="103">
        <f>AD27+AC28</f>
      </c>
      <c r="AE28" s="108">
        <v>7</v>
      </c>
      <c r="AF28" s="110">
        <v>320</v>
      </c>
      <c r="AG28" s="103">
        <f>AG27+AF28</f>
      </c>
      <c r="AH28" s="109">
        <v>14</v>
      </c>
      <c r="AI28" s="109">
        <v>780</v>
      </c>
      <c r="AJ28" s="103">
        <f>AJ27+AI28</f>
      </c>
      <c r="AL28" s="109">
        <v>7</v>
      </c>
      <c r="AM28" s="110">
        <v>480</v>
      </c>
      <c r="AN28" s="104">
        <f>AN27+AM28</f>
      </c>
      <c r="AO28" s="109">
        <v>14</v>
      </c>
      <c r="AP28" s="109">
        <v>1170</v>
      </c>
      <c r="AQ28" s="104">
        <f>AQ27+AP28</f>
      </c>
      <c r="AR28" s="109">
        <v>7</v>
      </c>
      <c r="AS28" s="110">
        <v>960</v>
      </c>
      <c r="AT28" s="104">
        <f>AT27+AS28</f>
      </c>
      <c r="AU28" s="109">
        <v>14</v>
      </c>
      <c r="AV28" s="109">
        <v>2340</v>
      </c>
      <c r="AW28" s="104">
        <f>AW27+AV28</f>
      </c>
    </row>
    <row r="29" ht="17.1" customHeight="1" spans="25:49" x14ac:dyDescent="0.25">
      <c r="Y29" s="109"/>
      <c r="Z29" s="110"/>
      <c r="AA29" s="85"/>
      <c r="AB29" s="109"/>
      <c r="AC29" s="109"/>
      <c r="AD29" s="85"/>
      <c r="AE29" s="108"/>
      <c r="AF29" s="110"/>
      <c r="AG29" s="85"/>
      <c r="AH29" s="109"/>
      <c r="AI29" s="109"/>
      <c r="AJ29" s="85"/>
      <c r="AL29" s="109"/>
      <c r="AM29" s="110"/>
      <c r="AN29" s="85"/>
      <c r="AO29" s="109"/>
      <c r="AP29" s="109"/>
      <c r="AQ29" s="85"/>
      <c r="AR29" s="109"/>
      <c r="AS29" s="110"/>
      <c r="AT29" s="85"/>
      <c r="AU29" s="109"/>
      <c r="AV29" s="109"/>
      <c r="AW29" s="85"/>
    </row>
    <row r="30" ht="17.1" customHeight="1" spans="1:49" x14ac:dyDescent="0.25">
      <c r="A30" s="82" t="s">
        <v>1929</v>
      </c>
      <c r="B30" s="113" t="s">
        <v>1930</v>
      </c>
      <c r="J30" s="76" t="s">
        <v>1931</v>
      </c>
      <c r="K30" s="77" t="s">
        <v>1883</v>
      </c>
      <c r="L30" s="78"/>
      <c r="M30" s="78"/>
      <c r="N30" s="78"/>
      <c r="O30" s="112"/>
      <c r="P30" s="112"/>
      <c r="Q30" s="113"/>
      <c r="R30" s="77" t="s">
        <v>674</v>
      </c>
      <c r="S30" s="78"/>
      <c r="T30" s="78"/>
      <c r="U30" s="78"/>
      <c r="V30" s="112"/>
      <c r="W30" s="112"/>
      <c r="Y30" s="82" t="s">
        <v>1883</v>
      </c>
      <c r="Z30" s="82" t="s">
        <v>1887</v>
      </c>
      <c r="AA30" s="82"/>
      <c r="AB30" s="82"/>
      <c r="AC30" s="82"/>
      <c r="AD30" s="82"/>
      <c r="AE30" s="82" t="s">
        <v>1883</v>
      </c>
      <c r="AF30" s="82" t="s">
        <v>1888</v>
      </c>
      <c r="AG30" s="82"/>
      <c r="AH30" s="82"/>
      <c r="AI30" s="82"/>
      <c r="AJ30" s="82"/>
      <c r="AL30" s="83" t="s">
        <v>674</v>
      </c>
      <c r="AM30" s="83" t="s">
        <v>1887</v>
      </c>
      <c r="AN30" s="84"/>
      <c r="AO30" s="84"/>
      <c r="AP30" s="84"/>
      <c r="AQ30" s="84"/>
      <c r="AR30" s="83" t="s">
        <v>674</v>
      </c>
      <c r="AS30" s="83" t="s">
        <v>1888</v>
      </c>
      <c r="AT30" s="85"/>
      <c r="AU30" s="86"/>
      <c r="AV30" s="85"/>
      <c r="AW30" s="85"/>
    </row>
    <row r="31" ht="17.1" customHeight="1" spans="2:49" x14ac:dyDescent="0.25">
      <c r="B31" s="113" t="s">
        <v>1932</v>
      </c>
      <c r="K31" s="72" t="s">
        <v>1894</v>
      </c>
      <c r="L31" s="72" t="s">
        <v>1895</v>
      </c>
      <c r="M31" s="72" t="s">
        <v>1887</v>
      </c>
      <c r="N31" s="72" t="s">
        <v>1894</v>
      </c>
      <c r="O31" s="72" t="s">
        <v>1896</v>
      </c>
      <c r="P31" s="72" t="s">
        <v>1888</v>
      </c>
      <c r="Q31" s="72"/>
      <c r="R31" s="72" t="s">
        <v>1894</v>
      </c>
      <c r="S31" s="72" t="s">
        <v>1895</v>
      </c>
      <c r="T31" s="72" t="s">
        <v>1887</v>
      </c>
      <c r="U31" s="72" t="s">
        <v>1894</v>
      </c>
      <c r="V31" s="72" t="s">
        <v>1896</v>
      </c>
      <c r="W31" s="72" t="s">
        <v>1888</v>
      </c>
      <c r="Y31" s="87">
        <v>0</v>
      </c>
      <c r="Z31" s="86">
        <v>0</v>
      </c>
      <c r="AA31" s="86">
        <f>Z31</f>
      </c>
      <c r="AB31" s="86">
        <v>5</v>
      </c>
      <c r="AC31" s="85">
        <v>600</v>
      </c>
      <c r="AD31" s="85">
        <f>AA35+AC31</f>
      </c>
      <c r="AE31" s="87">
        <v>0</v>
      </c>
      <c r="AF31" s="86">
        <v>0</v>
      </c>
      <c r="AG31" s="86">
        <f>AF31</f>
      </c>
      <c r="AH31" s="86">
        <v>5</v>
      </c>
      <c r="AI31" s="85">
        <v>1200</v>
      </c>
      <c r="AJ31" s="85">
        <f>AG35+AI31</f>
      </c>
      <c r="AL31" s="87">
        <v>0</v>
      </c>
      <c r="AM31" s="86">
        <v>0</v>
      </c>
      <c r="AN31" s="86">
        <f>AM31</f>
      </c>
      <c r="AO31" s="86">
        <v>5</v>
      </c>
      <c r="AP31" s="85">
        <v>1800</v>
      </c>
      <c r="AQ31" s="85">
        <f>AN35+AP31</f>
      </c>
      <c r="AR31" s="87">
        <v>0</v>
      </c>
      <c r="AS31" s="86">
        <v>0</v>
      </c>
      <c r="AT31" s="86">
        <f>AS31</f>
      </c>
      <c r="AU31" s="86">
        <v>5</v>
      </c>
      <c r="AV31" s="85">
        <v>3600</v>
      </c>
      <c r="AW31" s="85">
        <f>AT35+AV31</f>
      </c>
    </row>
    <row r="32" ht="17.1" customHeight="1" spans="1:49" s="23" customFormat="1" x14ac:dyDescent="0.25">
      <c r="A32" s="73"/>
      <c r="C32" s="21"/>
      <c r="D32" s="21"/>
      <c r="E32" s="21"/>
      <c r="F32" s="21"/>
      <c r="G32" s="21"/>
      <c r="H32" s="21"/>
      <c r="I32" s="21"/>
      <c r="J32" s="21"/>
      <c r="K32" s="72">
        <v>0</v>
      </c>
      <c r="L32" s="72">
        <v>0</v>
      </c>
      <c r="M32" s="114">
        <v>375</v>
      </c>
      <c r="N32" s="72">
        <v>0</v>
      </c>
      <c r="O32" s="72">
        <v>0</v>
      </c>
      <c r="P32" s="115">
        <v>750</v>
      </c>
      <c r="Q32" s="72"/>
      <c r="R32" s="72">
        <v>0</v>
      </c>
      <c r="S32" s="72">
        <v>0</v>
      </c>
      <c r="T32" s="89">
        <v>900</v>
      </c>
      <c r="U32" s="72">
        <v>0</v>
      </c>
      <c r="V32" s="72">
        <v>0</v>
      </c>
      <c r="W32" s="89">
        <v>1800</v>
      </c>
      <c r="X32" s="21"/>
      <c r="Y32" s="87">
        <v>1</v>
      </c>
      <c r="Z32" s="85">
        <v>300</v>
      </c>
      <c r="AA32" s="85">
        <f>Z31+Z32</f>
      </c>
      <c r="AB32" s="86">
        <v>6</v>
      </c>
      <c r="AC32" s="85">
        <v>600</v>
      </c>
      <c r="AD32" s="85">
        <f>AD31+AC32</f>
      </c>
      <c r="AE32" s="87">
        <v>1</v>
      </c>
      <c r="AF32" s="85">
        <v>600</v>
      </c>
      <c r="AG32" s="85">
        <f>AF31+AF32</f>
      </c>
      <c r="AH32" s="86">
        <v>6</v>
      </c>
      <c r="AI32" s="85">
        <v>1200</v>
      </c>
      <c r="AJ32" s="85">
        <f>AJ31+AI32</f>
      </c>
      <c r="AK32" s="72"/>
      <c r="AL32" s="87">
        <v>1</v>
      </c>
      <c r="AM32" s="85">
        <v>900</v>
      </c>
      <c r="AN32" s="85">
        <f>AM31+AM32</f>
      </c>
      <c r="AO32" s="86">
        <v>6</v>
      </c>
      <c r="AP32" s="85">
        <v>1800</v>
      </c>
      <c r="AQ32" s="85">
        <f>AQ31+AP32</f>
      </c>
      <c r="AR32" s="87">
        <v>1</v>
      </c>
      <c r="AS32" s="85">
        <v>1800</v>
      </c>
      <c r="AT32" s="85">
        <f>AS31+AS32</f>
      </c>
      <c r="AU32" s="86">
        <v>6</v>
      </c>
      <c r="AV32" s="85">
        <v>3600</v>
      </c>
      <c r="AW32" s="85">
        <f>AW31+AV32</f>
      </c>
    </row>
    <row r="33" ht="17.1" customHeight="1" spans="1:49" s="23" customFormat="1" x14ac:dyDescent="0.25">
      <c r="A33" s="73"/>
      <c r="C33" s="21"/>
      <c r="D33" s="21"/>
      <c r="E33" s="21"/>
      <c r="F33" s="21"/>
      <c r="G33" s="21"/>
      <c r="H33" s="21"/>
      <c r="I33" s="21"/>
      <c r="J33" s="21"/>
      <c r="K33" s="72">
        <v>5</v>
      </c>
      <c r="L33" s="92">
        <v>1200</v>
      </c>
      <c r="M33" s="114">
        <v>750</v>
      </c>
      <c r="N33" s="72">
        <v>7</v>
      </c>
      <c r="O33" s="92">
        <v>2400</v>
      </c>
      <c r="P33" s="115">
        <v>1500</v>
      </c>
      <c r="Q33" s="72"/>
      <c r="R33" s="72">
        <v>5</v>
      </c>
      <c r="S33" s="93">
        <v>3360</v>
      </c>
      <c r="T33" s="89">
        <v>1800</v>
      </c>
      <c r="U33" s="72">
        <v>9</v>
      </c>
      <c r="V33" s="93">
        <v>6720</v>
      </c>
      <c r="W33" s="89">
        <v>3600</v>
      </c>
      <c r="X33" s="21"/>
      <c r="Y33" s="87">
        <v>2</v>
      </c>
      <c r="Z33" s="85">
        <v>300</v>
      </c>
      <c r="AA33" s="85">
        <f>AA32+Z33</f>
      </c>
      <c r="AB33" s="86">
        <v>7</v>
      </c>
      <c r="AC33" s="85">
        <v>600</v>
      </c>
      <c r="AD33" s="85">
        <f>AD32+AC33</f>
      </c>
      <c r="AE33" s="87">
        <v>2</v>
      </c>
      <c r="AF33" s="85">
        <v>600</v>
      </c>
      <c r="AG33" s="85">
        <f>AG32+AF33</f>
      </c>
      <c r="AH33" s="86">
        <v>7</v>
      </c>
      <c r="AI33" s="85">
        <v>1200</v>
      </c>
      <c r="AJ33" s="85">
        <f>AJ32+AI33</f>
      </c>
      <c r="AK33" s="72"/>
      <c r="AL33" s="87">
        <v>2</v>
      </c>
      <c r="AM33" s="85">
        <v>900</v>
      </c>
      <c r="AN33" s="85">
        <f>AN32+AM33</f>
      </c>
      <c r="AO33" s="86">
        <v>7</v>
      </c>
      <c r="AP33" s="85">
        <v>1800</v>
      </c>
      <c r="AQ33" s="85">
        <f>AQ32+AP33</f>
      </c>
      <c r="AR33" s="87">
        <v>2</v>
      </c>
      <c r="AS33" s="85">
        <v>1800</v>
      </c>
      <c r="AT33" s="85">
        <f>AT32+AS33</f>
      </c>
      <c r="AU33" s="86">
        <v>7</v>
      </c>
      <c r="AV33" s="85">
        <v>3600</v>
      </c>
      <c r="AW33" s="85">
        <f>AW32+AV33</f>
      </c>
    </row>
    <row r="34" ht="17.1" customHeight="1" spans="1:49" s="23" customFormat="1" x14ac:dyDescent="0.25">
      <c r="A34" s="73"/>
      <c r="C34" s="21"/>
      <c r="D34" s="21"/>
      <c r="E34" s="21"/>
      <c r="F34" s="21"/>
      <c r="G34" s="21"/>
      <c r="H34" s="21"/>
      <c r="I34" s="21"/>
      <c r="J34" s="21"/>
      <c r="K34" s="94">
        <v>9</v>
      </c>
      <c r="L34" s="99">
        <v>4800</v>
      </c>
      <c r="M34" s="116">
        <v>1500</v>
      </c>
      <c r="N34" s="94">
        <v>14</v>
      </c>
      <c r="O34" s="99">
        <v>9600</v>
      </c>
      <c r="P34" s="117">
        <v>3000</v>
      </c>
      <c r="Q34" s="72"/>
      <c r="R34" s="94">
        <v>9</v>
      </c>
      <c r="S34" s="102">
        <v>9135</v>
      </c>
      <c r="T34" s="98">
        <v>3600</v>
      </c>
      <c r="U34" s="94">
        <v>9</v>
      </c>
      <c r="V34" s="102">
        <v>18270</v>
      </c>
      <c r="W34" s="98">
        <v>7200</v>
      </c>
      <c r="X34" s="21"/>
      <c r="Y34" s="87">
        <v>3</v>
      </c>
      <c r="Z34" s="85">
        <v>300</v>
      </c>
      <c r="AA34" s="85">
        <f>AA33+Z34</f>
      </c>
      <c r="AB34" s="86">
        <v>8</v>
      </c>
      <c r="AC34" s="85">
        <v>600</v>
      </c>
      <c r="AD34" s="85">
        <f>AD33+AC34</f>
      </c>
      <c r="AE34" s="87">
        <v>3</v>
      </c>
      <c r="AF34" s="85">
        <v>600</v>
      </c>
      <c r="AG34" s="85">
        <f>AG33+AF34</f>
      </c>
      <c r="AH34" s="86">
        <v>8</v>
      </c>
      <c r="AI34" s="85">
        <v>1200</v>
      </c>
      <c r="AJ34" s="85">
        <f>AJ33+AI34</f>
      </c>
      <c r="AK34" s="72"/>
      <c r="AL34" s="87">
        <v>3</v>
      </c>
      <c r="AM34" s="85">
        <v>900</v>
      </c>
      <c r="AN34" s="85">
        <f>AN33+AM34</f>
      </c>
      <c r="AO34" s="86">
        <v>8</v>
      </c>
      <c r="AP34" s="85">
        <v>1800</v>
      </c>
      <c r="AQ34" s="85">
        <f>AQ33+AP34</f>
      </c>
      <c r="AR34" s="87">
        <v>3</v>
      </c>
      <c r="AS34" s="85">
        <v>1800</v>
      </c>
      <c r="AT34" s="85">
        <f>AT33+AS34</f>
      </c>
      <c r="AU34" s="86">
        <v>8</v>
      </c>
      <c r="AV34" s="85">
        <v>3600</v>
      </c>
      <c r="AW34" s="85">
        <f>AW33+AV34</f>
      </c>
    </row>
    <row r="35" ht="17.1" customHeight="1" spans="1:49" s="23" customFormat="1" x14ac:dyDescent="0.25">
      <c r="A35" s="73"/>
      <c r="C35" s="21"/>
      <c r="D35" s="21"/>
      <c r="E35" s="21"/>
      <c r="F35" s="21"/>
      <c r="G35" s="21"/>
      <c r="H35" s="21"/>
      <c r="I35" s="21"/>
      <c r="J35" s="21"/>
      <c r="X35" s="21"/>
      <c r="Y35" s="87">
        <v>4</v>
      </c>
      <c r="Z35" s="86">
        <v>300</v>
      </c>
      <c r="AA35" s="103">
        <f>AA34+Z35</f>
      </c>
      <c r="AB35" s="86">
        <v>9</v>
      </c>
      <c r="AC35" s="85">
        <v>1200</v>
      </c>
      <c r="AD35" s="103">
        <f>AD34+AC35</f>
      </c>
      <c r="AE35" s="87">
        <v>4</v>
      </c>
      <c r="AF35" s="86">
        <v>600</v>
      </c>
      <c r="AG35" s="103">
        <f>AG34+AF35</f>
      </c>
      <c r="AH35" s="86">
        <v>9</v>
      </c>
      <c r="AI35" s="85">
        <v>2400</v>
      </c>
      <c r="AJ35" s="103">
        <f>AJ34+AI35</f>
      </c>
      <c r="AK35" s="72"/>
      <c r="AL35" s="87">
        <v>4</v>
      </c>
      <c r="AM35" s="86">
        <v>900</v>
      </c>
      <c r="AN35" s="103">
        <f>AN34+AM35</f>
      </c>
      <c r="AO35" s="86">
        <v>9</v>
      </c>
      <c r="AP35" s="85">
        <v>3600</v>
      </c>
      <c r="AQ35" s="103">
        <f>AQ34+AP35</f>
      </c>
      <c r="AR35" s="87">
        <v>4</v>
      </c>
      <c r="AS35" s="86">
        <v>1800</v>
      </c>
      <c r="AT35" s="103">
        <f>AT34+AS35</f>
      </c>
      <c r="AU35" s="86">
        <v>9</v>
      </c>
      <c r="AV35" s="85">
        <v>7200</v>
      </c>
      <c r="AW35" s="103">
        <f>AW34+AV35</f>
      </c>
    </row>
    <row r="36" ht="17.1" customHeight="1" hidden="1" spans="1:49" s="23" customFormat="1" x14ac:dyDescent="0.25">
      <c r="A36" s="23" t="s">
        <v>1886</v>
      </c>
      <c r="B36" s="23" t="s">
        <v>1883</v>
      </c>
      <c r="C36" s="23" t="s">
        <v>1933</v>
      </c>
      <c r="D36" s="21"/>
      <c r="E36" s="21"/>
      <c r="F36" s="21"/>
      <c r="G36" s="21"/>
      <c r="H36" s="21"/>
      <c r="I36" s="21"/>
      <c r="J36" s="21"/>
      <c r="X36" s="21"/>
      <c r="Y36" s="87"/>
      <c r="Z36" s="86"/>
      <c r="AA36" s="86"/>
      <c r="AB36" s="86"/>
      <c r="AC36" s="85"/>
      <c r="AD36" s="85"/>
      <c r="AE36" s="87"/>
      <c r="AF36" s="86"/>
      <c r="AG36" s="86"/>
      <c r="AH36" s="86"/>
      <c r="AI36" s="85"/>
      <c r="AJ36" s="85"/>
      <c r="AK36" s="72"/>
      <c r="AL36" s="87"/>
      <c r="AM36" s="86"/>
      <c r="AN36" s="86"/>
      <c r="AO36" s="86"/>
      <c r="AP36" s="85"/>
      <c r="AQ36" s="85"/>
      <c r="AR36" s="87"/>
      <c r="AS36" s="86"/>
      <c r="AT36" s="86"/>
      <c r="AU36" s="86"/>
      <c r="AV36" s="85"/>
      <c r="AW36" s="85"/>
    </row>
    <row r="37" ht="17.1" customHeight="1" hidden="1" spans="2:49" s="23" customFormat="1" x14ac:dyDescent="0.25">
      <c r="B37" s="23" t="s">
        <v>674</v>
      </c>
      <c r="C37" s="23" t="s">
        <v>1934</v>
      </c>
      <c r="D37" s="21"/>
      <c r="E37" s="21"/>
      <c r="F37" s="21"/>
      <c r="G37" s="21"/>
      <c r="H37" s="21"/>
      <c r="I37" s="21"/>
      <c r="J37" s="21"/>
      <c r="X37" s="21"/>
      <c r="Y37" s="87"/>
      <c r="Z37" s="86"/>
      <c r="AA37" s="86"/>
      <c r="AB37" s="86"/>
      <c r="AC37" s="85"/>
      <c r="AD37" s="85"/>
      <c r="AE37" s="87"/>
      <c r="AF37" s="86"/>
      <c r="AG37" s="86"/>
      <c r="AH37" s="86"/>
      <c r="AI37" s="85"/>
      <c r="AJ37" s="85"/>
      <c r="AK37" s="72"/>
      <c r="AL37" s="87"/>
      <c r="AM37" s="86"/>
      <c r="AN37" s="86"/>
      <c r="AO37" s="86"/>
      <c r="AP37" s="85"/>
      <c r="AQ37" s="85"/>
      <c r="AR37" s="87"/>
      <c r="AS37" s="86"/>
      <c r="AT37" s="86"/>
      <c r="AU37" s="86"/>
      <c r="AV37" s="85"/>
      <c r="AW37" s="85"/>
    </row>
    <row r="38" ht="17.1" customHeight="1" hidden="1" spans="1:24" s="23" customFormat="1" x14ac:dyDescent="0.25">
      <c r="A38" s="23" t="s">
        <v>1935</v>
      </c>
      <c r="B38" s="23" t="s">
        <v>1883</v>
      </c>
      <c r="C38" s="23" t="s">
        <v>1936</v>
      </c>
      <c r="D38" s="21"/>
      <c r="E38" s="21"/>
      <c r="F38" s="21"/>
      <c r="G38" s="21"/>
      <c r="H38" s="21"/>
      <c r="I38" s="21"/>
      <c r="J38" s="21"/>
      <c r="X38" s="21"/>
    </row>
    <row r="39" ht="17.1" customHeight="1" hidden="1" spans="2:43" s="23" customFormat="1" x14ac:dyDescent="0.25">
      <c r="B39" s="23" t="s">
        <v>674</v>
      </c>
      <c r="C39" s="23" t="s">
        <v>1937</v>
      </c>
      <c r="D39" s="21"/>
      <c r="E39" s="21"/>
      <c r="F39" s="21"/>
      <c r="G39" s="21"/>
      <c r="H39" s="21"/>
      <c r="I39" s="21"/>
      <c r="J39" s="21"/>
      <c r="X39" s="21"/>
      <c r="Y39" s="21"/>
      <c r="Z39" s="21"/>
      <c r="AA39" s="21"/>
      <c r="AB39" s="21"/>
      <c r="AC39" s="21"/>
      <c r="AD39" s="21"/>
      <c r="AE39" s="21"/>
      <c r="AK39" s="21"/>
      <c r="AQ39" s="21"/>
    </row>
    <row r="40" ht="17.1" customHeight="1" hidden="1" spans="1:43" s="23" customFormat="1" x14ac:dyDescent="0.25">
      <c r="A40" s="23" t="s">
        <v>1926</v>
      </c>
      <c r="B40" s="23" t="s">
        <v>1883</v>
      </c>
      <c r="C40" s="23" t="s">
        <v>1938</v>
      </c>
      <c r="D40" s="21"/>
      <c r="E40" s="21"/>
      <c r="F40" s="21"/>
      <c r="G40" s="21"/>
      <c r="H40" s="21"/>
      <c r="I40" s="21"/>
      <c r="J40" s="21"/>
      <c r="X40" s="21"/>
      <c r="Y40" s="21"/>
      <c r="Z40" s="21"/>
      <c r="AA40" s="21"/>
      <c r="AB40" s="21"/>
      <c r="AC40" s="21"/>
      <c r="AD40" s="21"/>
      <c r="AE40" s="21"/>
      <c r="AK40" s="21"/>
      <c r="AQ40" s="21"/>
    </row>
    <row r="41" ht="17.1" customHeight="1" hidden="1" spans="1:43" s="23" customFormat="1" x14ac:dyDescent="0.25">
      <c r="A41" s="21"/>
      <c r="B41" s="23" t="s">
        <v>674</v>
      </c>
      <c r="C41" s="23" t="s">
        <v>1939</v>
      </c>
      <c r="D41" s="21"/>
      <c r="E41" s="21"/>
      <c r="F41" s="21"/>
      <c r="G41" s="21"/>
      <c r="H41" s="21"/>
      <c r="I41" s="21"/>
      <c r="J41" s="21"/>
      <c r="X41" s="21"/>
      <c r="Y41" s="21"/>
      <c r="Z41" s="21"/>
      <c r="AA41" s="21"/>
      <c r="AB41" s="21"/>
      <c r="AC41" s="21"/>
      <c r="AD41" s="21"/>
      <c r="AE41" s="21"/>
      <c r="AK41" s="21"/>
      <c r="AQ41" s="21"/>
    </row>
    <row r="42" ht="17.1" customHeight="1" hidden="1" spans="1:43" s="23" customFormat="1" x14ac:dyDescent="0.25">
      <c r="A42" s="23" t="s">
        <v>1940</v>
      </c>
      <c r="B42" s="23" t="s">
        <v>1883</v>
      </c>
      <c r="C42" s="23" t="s">
        <v>1941</v>
      </c>
      <c r="D42" s="21"/>
      <c r="E42" s="21"/>
      <c r="F42" s="21"/>
      <c r="G42" s="21"/>
      <c r="H42" s="21"/>
      <c r="I42" s="21"/>
      <c r="J42" s="21"/>
      <c r="X42" s="21"/>
      <c r="Y42" s="21"/>
      <c r="Z42" s="21"/>
      <c r="AA42" s="21"/>
      <c r="AB42" s="21"/>
      <c r="AC42" s="21"/>
      <c r="AD42" s="21"/>
      <c r="AE42" s="21"/>
      <c r="AK42" s="21"/>
      <c r="AQ42" s="21"/>
    </row>
    <row r="43" ht="17.1" customHeight="1" hidden="1" spans="2:3" x14ac:dyDescent="0.25">
      <c r="B43" s="23" t="s">
        <v>674</v>
      </c>
      <c r="C43" s="23" t="s">
        <v>1942</v>
      </c>
    </row>
    <row r="44" ht="17.1" customHeight="1" hidden="1" x14ac:dyDescent="0.25"/>
    <row r="45" ht="17.1" customHeight="1" hidden="1" spans="1:3" x14ac:dyDescent="0.25">
      <c r="A45" s="108" t="s">
        <v>1943</v>
      </c>
      <c r="B45" s="108" t="s">
        <v>1894</v>
      </c>
      <c r="C45" s="108" t="s">
        <v>1944</v>
      </c>
    </row>
    <row r="46" ht="17.1" customHeight="1" hidden="1" spans="1:3" x14ac:dyDescent="0.25">
      <c r="A46" s="108" t="s">
        <v>1887</v>
      </c>
      <c r="B46" s="108">
        <v>0</v>
      </c>
      <c r="C46" s="21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08" t="s">
        <v>1887</v>
      </c>
      <c r="B47" s="108">
        <v>1</v>
      </c>
      <c r="C47" s="21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08" t="s">
        <v>1887</v>
      </c>
      <c r="B48" s="108">
        <v>2</v>
      </c>
      <c r="C48" s="21">
        <f>IF(A48="20'",VLOOKUP(B48,$R$9:$T$12,2,TRUE)+(B48-VLOOKUP(B48,$R$9:$T$12,1,TRUE))*VLOOKUP(B48,$R$9:$T$12,3,TRUE),VLOOKUP(B48,$U$9:$W$12,2,TRUE)+(B48-VLOOKUP(B48,$U$9:$W$12,1,TRUE))*VLOOKUP(B48,$U$9:$W$12,3,TRUE))</f>
      </c>
      <c r="G48" s="73"/>
    </row>
    <row r="49" ht="17.1" customHeight="1" hidden="1" spans="1:3" x14ac:dyDescent="0.25">
      <c r="A49" s="108" t="s">
        <v>1887</v>
      </c>
      <c r="B49" s="108">
        <v>3</v>
      </c>
      <c r="C49" s="21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08" t="s">
        <v>1887</v>
      </c>
      <c r="B50" s="108">
        <v>4</v>
      </c>
      <c r="C50" s="21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08" t="s">
        <v>1887</v>
      </c>
      <c r="B51" s="108">
        <v>5</v>
      </c>
      <c r="C51" s="21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08" t="s">
        <v>1887</v>
      </c>
      <c r="B52" s="108">
        <v>6</v>
      </c>
      <c r="C52" s="21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08" t="s">
        <v>1887</v>
      </c>
      <c r="B53" s="108">
        <v>7</v>
      </c>
      <c r="C53" s="21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08" t="s">
        <v>1887</v>
      </c>
      <c r="B54" s="108">
        <v>8</v>
      </c>
      <c r="C54" s="21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08" t="s">
        <v>1887</v>
      </c>
      <c r="B55" s="108">
        <v>9</v>
      </c>
      <c r="C55" s="21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08" t="s">
        <v>1887</v>
      </c>
      <c r="B56" s="108">
        <v>10</v>
      </c>
      <c r="C56" s="21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08" t="s">
        <v>1887</v>
      </c>
      <c r="B57" s="108">
        <v>11</v>
      </c>
      <c r="C57" s="21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08" t="s">
        <v>1887</v>
      </c>
      <c r="B58" s="108">
        <v>12</v>
      </c>
      <c r="C58" s="21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08" t="s">
        <v>1887</v>
      </c>
      <c r="B59" s="108">
        <v>13</v>
      </c>
      <c r="C59" s="21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08" t="s">
        <v>1887</v>
      </c>
      <c r="B60" s="108">
        <v>14</v>
      </c>
      <c r="C60" s="21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08" t="s">
        <v>1887</v>
      </c>
      <c r="B61" s="108">
        <v>15</v>
      </c>
      <c r="C61" s="21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08" t="s">
        <v>1888</v>
      </c>
      <c r="B62" s="108">
        <v>0</v>
      </c>
      <c r="C62" s="21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08" t="s">
        <v>1888</v>
      </c>
      <c r="B63" s="108">
        <v>1</v>
      </c>
      <c r="C63" s="21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08" t="s">
        <v>1888</v>
      </c>
      <c r="B64" s="108">
        <v>2</v>
      </c>
      <c r="C64" s="21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08" t="s">
        <v>1888</v>
      </c>
      <c r="B65" s="108">
        <v>3</v>
      </c>
      <c r="C65" s="21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08" t="s">
        <v>1888</v>
      </c>
      <c r="B66" s="108">
        <v>4</v>
      </c>
      <c r="C66" s="21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08" t="s">
        <v>1888</v>
      </c>
      <c r="B67" s="108">
        <v>5</v>
      </c>
      <c r="C67" s="21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08" t="s">
        <v>1888</v>
      </c>
      <c r="B68" s="108">
        <v>6</v>
      </c>
      <c r="C68" s="21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08" t="s">
        <v>1888</v>
      </c>
      <c r="B69" s="108">
        <v>7</v>
      </c>
      <c r="C69" s="21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08" t="s">
        <v>1888</v>
      </c>
      <c r="B70" s="108">
        <v>8</v>
      </c>
      <c r="C70" s="21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08" t="s">
        <v>1888</v>
      </c>
      <c r="B71" s="108">
        <v>9</v>
      </c>
      <c r="C71" s="21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08" t="s">
        <v>1888</v>
      </c>
      <c r="B72" s="108">
        <v>10</v>
      </c>
      <c r="C72" s="21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08" t="s">
        <v>1888</v>
      </c>
      <c r="B73" s="108">
        <v>11</v>
      </c>
      <c r="C73" s="21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08" t="s">
        <v>1888</v>
      </c>
      <c r="B74" s="108">
        <v>12</v>
      </c>
      <c r="C74" s="21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08" t="s">
        <v>1888</v>
      </c>
      <c r="B75" s="108">
        <v>13</v>
      </c>
      <c r="C75" s="21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08" t="s">
        <v>1888</v>
      </c>
      <c r="B76" s="108">
        <v>14</v>
      </c>
      <c r="C76" s="21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08" t="s">
        <v>1888</v>
      </c>
      <c r="B77" s="108">
        <v>15</v>
      </c>
      <c r="C77" s="21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