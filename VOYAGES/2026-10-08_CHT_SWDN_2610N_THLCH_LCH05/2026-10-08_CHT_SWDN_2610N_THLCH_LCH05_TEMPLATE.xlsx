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SKRU1900119</t>
        </is>
      </c>
      <c r="B2" s="161" t="inlineStr">
        <is>
          <t>2026-10-08</t>
        </is>
      </c>
      <c r="C2" s="96" t="inlineStr">
        <is>
          <t>SWDN</t>
        </is>
      </c>
      <c r="D2" s="96" t="inlineStr">
        <is>
          <t>2610N</t>
        </is>
      </c>
      <c r="E2" s="96" t="inlineStr">
        <is>
          <t>22RE</t>
        </is>
      </c>
      <c r="F2" s="96" t="inlineStr">
        <is>
          <t>SD</t>
        </is>
      </c>
      <c r="G2" s="96" t="inlineStr">
        <is>
          <t>THLKR</t>
        </is>
      </c>
      <c r="H2" s="96" t="inlineStr">
        <is>
          <t>THLCH</t>
        </is>
      </c>
      <c r="I2" s="96" t="inlineStr">
        <is>
          <t>HKHKG</t>
        </is>
      </c>
      <c r="J2" s="96" t="inlineStr">
        <is>
          <t>HKHKG</t>
        </is>
      </c>
      <c r="K2" s="96" t="inlineStr">
        <is>
          <t>F</t>
        </is>
      </c>
      <c r="L2" s="96" t="inlineStr">
        <is>
          <t>ONE</t>
        </is>
      </c>
      <c r="M2" s="96" t="inlineStr">
        <is>
          <t>VFL</t>
        </is>
      </c>
      <c r="N2" s="96" t="inlineStr">
        <is>
          <t>LCH05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HASLS22260900990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CHT</t>
        </is>
      </c>
      <c r="U2" s="97" t="n"/>
      <c r="V2" s="96" t="inlineStr">
        <is>
          <t>K0120024</t>
        </is>
      </c>
      <c r="W2" s="96" t="inlineStr">
        <is>
          <t>THAI SUMMIT  MARKETING  CO., LTD.</t>
        </is>
      </c>
      <c r="X2" s="96" t="inlineStr">
        <is>
          <t>VFD</t>
        </is>
      </c>
      <c r="Y2" s="96" t="inlineStr">
        <is>
          <t>FULLY WIN CORPORATION LIMITED</t>
        </is>
      </c>
      <c r="Z2" s="96" t="inlineStr">
        <is>
          <t>FULLY WIN CORPORATION LIMITED</t>
        </is>
      </c>
      <c r="AA2" s="97" t="n">
        <v>4790.09</v>
      </c>
      <c r="AB2" s="96" t="inlineStr">
        <is>
          <t>LCH05</t>
        </is>
      </c>
      <c r="AC2" s="96" t="inlineStr">
        <is>
          <t>HKG03</t>
        </is>
      </c>
    </row>
    <row r="3" ht="12" customHeight="1">
      <c r="A3" s="96" t="inlineStr">
        <is>
          <t>BEAU2356127</t>
        </is>
      </c>
      <c r="B3" s="161" t="inlineStr">
        <is>
          <t>2026-10-08</t>
        </is>
      </c>
      <c r="C3" s="96" t="inlineStr">
        <is>
          <t>SWDN</t>
        </is>
      </c>
      <c r="D3" s="96" t="inlineStr">
        <is>
          <t>2610N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CNXMN</t>
        </is>
      </c>
      <c r="J3" s="96" t="inlineStr">
        <is>
          <t>CNXMN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LCH05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HASLS22260901146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CHT</t>
        </is>
      </c>
      <c r="U3" s="97" t="n"/>
      <c r="V3" s="96" t="inlineStr">
        <is>
          <t>TSN16L05</t>
        </is>
      </c>
      <c r="W3" s="96" t="inlineStr">
        <is>
          <t>PTT GLOBAL CHEMICAL PUBLIC COMPANY</t>
        </is>
      </c>
      <c r="X3" s="96" t="inlineStr">
        <is>
          <t>VFD</t>
        </is>
      </c>
      <c r="Y3" s="96" t="inlineStr">
        <is>
          <t>SINOCHEM PETROCHEMICAL</t>
        </is>
      </c>
      <c r="Z3" s="96" t="inlineStr">
        <is>
          <t>SINOCHEM INTERNATIONAL OIL</t>
        </is>
      </c>
      <c r="AA3" s="97" t="n">
        <v>18072</v>
      </c>
      <c r="AB3" s="96" t="inlineStr">
        <is>
          <t>LCH05</t>
        </is>
      </c>
      <c r="AC3" s="96" t="inlineStr">
        <is>
          <t>XMN01</t>
        </is>
      </c>
    </row>
    <row r="4" ht="12" customHeight="1">
      <c r="A4" s="96" t="inlineStr">
        <is>
          <t>BEAU2477638</t>
        </is>
      </c>
      <c r="B4" s="161" t="inlineStr">
        <is>
          <t>2026-10-08</t>
        </is>
      </c>
      <c r="C4" s="96" t="inlineStr">
        <is>
          <t>SWDN</t>
        </is>
      </c>
      <c r="D4" s="96" t="inlineStr">
        <is>
          <t>2610N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CNXMN</t>
        </is>
      </c>
      <c r="J4" s="96" t="inlineStr">
        <is>
          <t>CNXMN</t>
        </is>
      </c>
      <c r="K4" s="96" t="inlineStr">
        <is>
          <t>F</t>
        </is>
      </c>
      <c r="L4" s="96" t="inlineStr">
        <is>
          <t>L/T</t>
        </is>
      </c>
      <c r="M4" s="96" t="inlineStr">
        <is>
          <t>VFL</t>
        </is>
      </c>
      <c r="N4" s="96" t="inlineStr">
        <is>
          <t>LCH05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HASLS22260901029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CHT</t>
        </is>
      </c>
      <c r="U4" s="97" t="n"/>
      <c r="V4" s="96" t="inlineStr">
        <is>
          <t>SHA16L07</t>
        </is>
      </c>
      <c r="W4" s="96" t="inlineStr">
        <is>
          <t>THAI POLYCARBONATE CO.,LTD.</t>
        </is>
      </c>
      <c r="X4" s="96" t="inlineStr">
        <is>
          <t>VFD</t>
        </is>
      </c>
      <c r="Y4" s="96" t="inlineStr">
        <is>
          <t>PLASTEL INDUSTRIES CO.,LTD.</t>
        </is>
      </c>
      <c r="Z4" s="96" t="inlineStr">
        <is>
          <t>PLASTEL INDUSTRIES CO.,LTD.</t>
        </is>
      </c>
      <c r="AA4" s="97" t="n">
        <v>16432</v>
      </c>
      <c r="AB4" s="96" t="inlineStr">
        <is>
          <t>LCH05</t>
        </is>
      </c>
      <c r="AC4" s="96" t="inlineStr">
        <is>
          <t>XMN01</t>
        </is>
      </c>
    </row>
    <row r="5" ht="12" customHeight="1">
      <c r="A5" s="96" t="inlineStr">
        <is>
          <t>BEAU2985449</t>
        </is>
      </c>
      <c r="B5" s="161" t="inlineStr">
        <is>
          <t>2026-10-08</t>
        </is>
      </c>
      <c r="C5" s="96" t="inlineStr">
        <is>
          <t>SWDN</t>
        </is>
      </c>
      <c r="D5" s="96" t="inlineStr">
        <is>
          <t>2610N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CNXMN</t>
        </is>
      </c>
      <c r="J5" s="96" t="inlineStr">
        <is>
          <t>CNXMN</t>
        </is>
      </c>
      <c r="K5" s="96" t="inlineStr">
        <is>
          <t>F</t>
        </is>
      </c>
      <c r="L5" s="96" t="inlineStr">
        <is>
          <t>L/T</t>
        </is>
      </c>
      <c r="M5" s="96" t="inlineStr">
        <is>
          <t>VFL</t>
        </is>
      </c>
      <c r="N5" s="96" t="inlineStr">
        <is>
          <t>LCH05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HASLS22260901873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CHT</t>
        </is>
      </c>
      <c r="U5" s="97" t="n"/>
      <c r="V5" s="96" t="inlineStr">
        <is>
          <t>SHA17L01</t>
        </is>
      </c>
      <c r="W5" s="96" t="inlineStr">
        <is>
          <t>DIMERCO EXPRESS (THAILAND) CO.,LTD.</t>
        </is>
      </c>
      <c r="X5" s="96" t="inlineStr">
        <is>
          <t>VED</t>
        </is>
      </c>
      <c r="Y5" s="96" t="inlineStr">
        <is>
          <t>DIVERSIFIED INTERNATIONAL</t>
        </is>
      </c>
      <c r="Z5" s="96" t="inlineStr">
        <is>
          <t>DIVERSIFIED INTERNATIONAL</t>
        </is>
      </c>
      <c r="AA5" s="97" t="n">
        <v>542.8</v>
      </c>
      <c r="AB5" s="96" t="inlineStr">
        <is>
          <t>LCH05</t>
        </is>
      </c>
      <c r="AC5" s="96" t="inlineStr">
        <is>
          <t>XMN01</t>
        </is>
      </c>
    </row>
    <row r="6" ht="12" customHeight="1">
      <c r="A6" s="96" t="inlineStr">
        <is>
          <t>FBIU5092414</t>
        </is>
      </c>
      <c r="B6" s="161" t="inlineStr">
        <is>
          <t>2026-10-08</t>
        </is>
      </c>
      <c r="C6" s="96" t="inlineStr">
        <is>
          <t>SWDN</t>
        </is>
      </c>
      <c r="D6" s="96" t="inlineStr">
        <is>
          <t>2610N</t>
        </is>
      </c>
      <c r="E6" s="96" t="inlineStr">
        <is>
          <t>45RE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HKHKG</t>
        </is>
      </c>
      <c r="J6" s="96" t="inlineStr">
        <is>
          <t>HKHKG</t>
        </is>
      </c>
      <c r="K6" s="96" t="inlineStr">
        <is>
          <t>F</t>
        </is>
      </c>
      <c r="L6" s="96" t="inlineStr">
        <is>
          <t>ONE</t>
        </is>
      </c>
      <c r="M6" s="96" t="inlineStr">
        <is>
          <t>VFL</t>
        </is>
      </c>
      <c r="N6" s="96" t="inlineStr">
        <is>
          <t>LCH05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HASLS22260902204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CHT</t>
        </is>
      </c>
      <c r="U6" s="97" t="n"/>
      <c r="V6" s="96" t="inlineStr">
        <is>
          <t>K0120025</t>
        </is>
      </c>
      <c r="W6" s="96" t="inlineStr">
        <is>
          <t>AN NAM DRAGON 2017 CO.,LTD.</t>
        </is>
      </c>
      <c r="X6" s="96" t="inlineStr">
        <is>
          <t>VFD</t>
        </is>
      </c>
      <c r="Y6" s="96" t="inlineStr">
        <is>
          <t>XIN THAI XIANG IMPORTS AND EXPORTS</t>
        </is>
      </c>
      <c r="Z6" s="96" t="inlineStr">
        <is>
          <t>XIN THAI XIANG IMPORTS AND EXPORTS</t>
        </is>
      </c>
      <c r="AA6" s="97" t="n">
        <v>22194.3</v>
      </c>
      <c r="AB6" s="96" t="inlineStr">
        <is>
          <t>LCH05</t>
        </is>
      </c>
      <c r="AC6" s="96" t="inlineStr">
        <is>
          <t>HKG03</t>
        </is>
      </c>
    </row>
    <row r="7" ht="12" customHeight="1">
      <c r="A7" s="96" t="inlineStr">
        <is>
          <t>FBIU5103210</t>
        </is>
      </c>
      <c r="B7" s="161" t="inlineStr">
        <is>
          <t>2026-10-08</t>
        </is>
      </c>
      <c r="C7" s="96" t="inlineStr">
        <is>
          <t>SWDN</t>
        </is>
      </c>
      <c r="D7" s="96" t="inlineStr">
        <is>
          <t>2610N</t>
        </is>
      </c>
      <c r="E7" s="96" t="inlineStr">
        <is>
          <t>45RE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HKHKG</t>
        </is>
      </c>
      <c r="J7" s="96" t="inlineStr">
        <is>
          <t>HKHKG</t>
        </is>
      </c>
      <c r="K7" s="96" t="inlineStr">
        <is>
          <t>F</t>
        </is>
      </c>
      <c r="L7" s="96" t="inlineStr">
        <is>
          <t>L/T</t>
        </is>
      </c>
      <c r="M7" s="96" t="inlineStr">
        <is>
          <t>VFL</t>
        </is>
      </c>
      <c r="N7" s="96" t="inlineStr">
        <is>
          <t>LCH05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HASLS22260801601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CHT</t>
        </is>
      </c>
      <c r="U7" s="97" t="n"/>
      <c r="V7" s="96" t="inlineStr">
        <is>
          <t>C0321002</t>
        </is>
      </c>
      <c r="W7" s="96" t="inlineStr">
        <is>
          <t>CP-MEIJI CO.,LTD.</t>
        </is>
      </c>
      <c r="X7" s="96" t="inlineStr">
        <is>
          <t>VFD</t>
        </is>
      </c>
      <c r="Y7" s="96" t="inlineStr">
        <is>
          <t>CPF HONG KONG COMPANY LIMITED</t>
        </is>
      </c>
      <c r="Z7" s="96" t="inlineStr">
        <is>
          <t>CPF HONG KONG COMPANY LIMITED</t>
        </is>
      </c>
      <c r="AA7" s="97" t="n">
        <v>23084.88</v>
      </c>
      <c r="AB7" s="96" t="inlineStr">
        <is>
          <t>LCH05</t>
        </is>
      </c>
      <c r="AC7" s="96" t="inlineStr">
        <is>
          <t>HKG03</t>
        </is>
      </c>
    </row>
    <row r="8" ht="12" customHeight="1">
      <c r="A8" s="96" t="inlineStr">
        <is>
          <t>FBIU5103313</t>
        </is>
      </c>
      <c r="B8" s="161" t="inlineStr">
        <is>
          <t>2026-10-08</t>
        </is>
      </c>
      <c r="C8" s="96" t="inlineStr">
        <is>
          <t>SWDN</t>
        </is>
      </c>
      <c r="D8" s="96" t="inlineStr">
        <is>
          <t>2610N</t>
        </is>
      </c>
      <c r="E8" s="96" t="inlineStr">
        <is>
          <t>45RE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HKHKG</t>
        </is>
      </c>
      <c r="J8" s="96" t="inlineStr">
        <is>
          <t>HKHKG</t>
        </is>
      </c>
      <c r="K8" s="96" t="inlineStr">
        <is>
          <t>F</t>
        </is>
      </c>
      <c r="L8" s="96" t="inlineStr">
        <is>
          <t>L/T</t>
        </is>
      </c>
      <c r="M8" s="96" t="inlineStr">
        <is>
          <t>VFL</t>
        </is>
      </c>
      <c r="N8" s="96" t="inlineStr">
        <is>
          <t>LCH05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HASLS22260900917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CHT</t>
        </is>
      </c>
      <c r="U8" s="97" t="n"/>
      <c r="V8" s="96" t="inlineStr">
        <is>
          <t>C0321002</t>
        </is>
      </c>
      <c r="W8" s="96" t="inlineStr">
        <is>
          <t>CP-MEIJI CO.,LTD.</t>
        </is>
      </c>
      <c r="X8" s="96" t="inlineStr">
        <is>
          <t>VFD</t>
        </is>
      </c>
      <c r="Y8" s="96" t="inlineStr">
        <is>
          <t>CPF HONG KONG COMPANY LIMITED</t>
        </is>
      </c>
      <c r="Z8" s="96" t="inlineStr">
        <is>
          <t>CPF HONG KONG COMPANY LIMITED</t>
        </is>
      </c>
      <c r="AA8" s="97" t="n">
        <v>21182.28</v>
      </c>
      <c r="AB8" s="96" t="inlineStr">
        <is>
          <t>LCH05</t>
        </is>
      </c>
      <c r="AC8" s="96" t="inlineStr">
        <is>
          <t>HKG03</t>
        </is>
      </c>
    </row>
    <row r="9" ht="12" customHeight="1">
      <c r="A9" s="96" t="inlineStr">
        <is>
          <t>FSCU5893590</t>
        </is>
      </c>
      <c r="B9" s="161" t="inlineStr">
        <is>
          <t>2026-10-08</t>
        </is>
      </c>
      <c r="C9" s="96" t="inlineStr">
        <is>
          <t>SWDN</t>
        </is>
      </c>
      <c r="D9" s="96" t="inlineStr">
        <is>
          <t>2610N</t>
        </is>
      </c>
      <c r="E9" s="96" t="inlineStr">
        <is>
          <t>45RE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L/T</t>
        </is>
      </c>
      <c r="M9" s="96" t="inlineStr">
        <is>
          <t>VFL</t>
        </is>
      </c>
      <c r="N9" s="96" t="inlineStr">
        <is>
          <t>LCH05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HASLS22260900918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CHT</t>
        </is>
      </c>
      <c r="U9" s="97" t="n"/>
      <c r="V9" s="96" t="inlineStr">
        <is>
          <t>C0320021</t>
        </is>
      </c>
      <c r="W9" s="96" t="inlineStr">
        <is>
          <t>CP-MEIJI CO.,LTD.</t>
        </is>
      </c>
      <c r="X9" s="96" t="inlineStr">
        <is>
          <t>VFD</t>
        </is>
      </c>
      <c r="Y9" s="96" t="inlineStr">
        <is>
          <t>CPF HONG KONG COMPANY LIMITED</t>
        </is>
      </c>
      <c r="Z9" s="96" t="inlineStr">
        <is>
          <t>CPF HONG KONG COMPANY LIMITED</t>
        </is>
      </c>
      <c r="AA9" s="97" t="n">
        <v>23655.66</v>
      </c>
      <c r="AB9" s="96" t="inlineStr">
        <is>
          <t>LCH05</t>
        </is>
      </c>
      <c r="AC9" s="96" t="inlineStr">
        <is>
          <t>HKG03</t>
        </is>
      </c>
    </row>
    <row r="10" ht="12" customHeight="1">
      <c r="A10" s="96" t="inlineStr">
        <is>
          <t>GCXU2429912</t>
        </is>
      </c>
      <c r="B10" s="161" t="inlineStr">
        <is>
          <t>2026-10-08</t>
        </is>
      </c>
      <c r="C10" s="96" t="inlineStr">
        <is>
          <t>SWDN</t>
        </is>
      </c>
      <c r="D10" s="96" t="inlineStr">
        <is>
          <t>2610N</t>
        </is>
      </c>
      <c r="E10" s="96" t="inlineStr">
        <is>
          <t>22GP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LCH05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HASLS22260800649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CHT</t>
        </is>
      </c>
      <c r="U10" s="97" t="n"/>
      <c r="V10" s="96" t="inlineStr">
        <is>
          <t>K0120021</t>
        </is>
      </c>
      <c r="W10" s="96" t="inlineStr">
        <is>
          <t>NIPPON EXPRESS LOGISTICS</t>
        </is>
      </c>
      <c r="X10" s="96" t="inlineStr">
        <is>
          <t>VFD</t>
        </is>
      </c>
      <c r="Y10" s="96" t="inlineStr">
        <is>
          <t>NIPPON EXPRESS (H.K.) CO.,LTD.</t>
        </is>
      </c>
      <c r="Z10" s="96" t="inlineStr">
        <is>
          <t>NIPPON EXPRESS (H.K.) CO.,LTD.</t>
        </is>
      </c>
      <c r="AA10" s="97" t="n">
        <v>1046</v>
      </c>
      <c r="AB10" s="96" t="inlineStr">
        <is>
          <t>LCH05</t>
        </is>
      </c>
      <c r="AC10" s="96" t="inlineStr">
        <is>
          <t>HKG03</t>
        </is>
      </c>
    </row>
    <row r="11" ht="12" customHeight="1">
      <c r="A11" s="96" t="inlineStr">
        <is>
          <t>HALU2083638</t>
        </is>
      </c>
      <c r="B11" s="161" t="inlineStr">
        <is>
          <t>2026-10-08</t>
        </is>
      </c>
      <c r="C11" s="96" t="inlineStr">
        <is>
          <t>SWDN</t>
        </is>
      </c>
      <c r="D11" s="96" t="inlineStr">
        <is>
          <t>2610N</t>
        </is>
      </c>
      <c r="E11" s="96" t="inlineStr">
        <is>
          <t>22GP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CNXMN</t>
        </is>
      </c>
      <c r="J11" s="96" t="inlineStr">
        <is>
          <t>CNXMN</t>
        </is>
      </c>
      <c r="K11" s="96" t="inlineStr">
        <is>
          <t>F</t>
        </is>
      </c>
      <c r="L11" s="96" t="inlineStr">
        <is>
          <t>OWN</t>
        </is>
      </c>
      <c r="M11" s="96" t="inlineStr">
        <is>
          <t>VFL</t>
        </is>
      </c>
      <c r="N11" s="96" t="inlineStr">
        <is>
          <t>LCH05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HASLS22260901415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CHT</t>
        </is>
      </c>
      <c r="U11" s="97" t="n"/>
      <c r="V11" s="96" t="inlineStr">
        <is>
          <t>TXG15006</t>
        </is>
      </c>
      <c r="W11" s="96" t="inlineStr">
        <is>
          <t>SCGC ICO POLYMERS CO.,LTD.</t>
        </is>
      </c>
      <c r="X11" s="96" t="inlineStr">
        <is>
          <t>VED</t>
        </is>
      </c>
      <c r="Y11" s="96" t="inlineStr">
        <is>
          <t>SHANGHAI JIUCHENG TRADE CO., LTD.</t>
        </is>
      </c>
      <c r="Z11" s="96" t="inlineStr">
        <is>
          <t>SHANGHAI JIUCHENG TRADE CO., LTD.</t>
        </is>
      </c>
      <c r="AA11" s="97" t="n">
        <v>11265.2</v>
      </c>
      <c r="AB11" s="96" t="inlineStr">
        <is>
          <t>LCH05</t>
        </is>
      </c>
      <c r="AC11" s="96" t="inlineStr">
        <is>
          <t>XMN01</t>
        </is>
      </c>
    </row>
    <row r="12" ht="12" customHeight="1">
      <c r="A12" s="96" t="inlineStr">
        <is>
          <t>HALU2313129</t>
        </is>
      </c>
      <c r="B12" s="161" t="inlineStr">
        <is>
          <t>2026-10-08</t>
        </is>
      </c>
      <c r="C12" s="96" t="inlineStr">
        <is>
          <t>SWDN</t>
        </is>
      </c>
      <c r="D12" s="96" t="inlineStr">
        <is>
          <t>2610N</t>
        </is>
      </c>
      <c r="E12" s="96" t="inlineStr">
        <is>
          <t>22GP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HKHKG</t>
        </is>
      </c>
      <c r="J12" s="96" t="inlineStr">
        <is>
          <t>CNZHU</t>
        </is>
      </c>
      <c r="K12" s="96" t="inlineStr">
        <is>
          <t>F</t>
        </is>
      </c>
      <c r="L12" s="96" t="inlineStr">
        <is>
          <t>OWN</t>
        </is>
      </c>
      <c r="M12" s="96" t="inlineStr">
        <is>
          <t>VFL</t>
        </is>
      </c>
      <c r="N12" s="96" t="inlineStr">
        <is>
          <t>LCH05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HASLS22260900563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CHT</t>
        </is>
      </c>
      <c r="U12" s="97" t="n"/>
      <c r="V12" s="96" t="inlineStr">
        <is>
          <t>C0223001</t>
        </is>
      </c>
      <c r="W12" s="96" t="inlineStr">
        <is>
          <t>PTT GLOBAL CHEMICAL PUBLIC COMPANY</t>
        </is>
      </c>
      <c r="X12" s="96" t="inlineStr">
        <is>
          <t>VED</t>
        </is>
      </c>
      <c r="Y12" s="96" t="inlineStr">
        <is>
          <t>GC MARKETING SOLUTIONS (SHANGHAI)</t>
        </is>
      </c>
      <c r="Z12" s="96" t="inlineStr">
        <is>
          <t>GC MARKETING SOLUTIONS (SHANGHAI)</t>
        </is>
      </c>
      <c r="AA12" s="97" t="n">
        <v>18072</v>
      </c>
      <c r="AB12" s="96" t="inlineStr">
        <is>
          <t>LCH05</t>
        </is>
      </c>
      <c r="AC12" s="96" t="inlineStr">
        <is>
          <t>HKG03</t>
        </is>
      </c>
    </row>
    <row r="13" ht="12" customHeight="1">
      <c r="A13" s="96" t="inlineStr">
        <is>
          <t>HALU2352969</t>
        </is>
      </c>
      <c r="B13" s="161" t="inlineStr">
        <is>
          <t>2026-10-08</t>
        </is>
      </c>
      <c r="C13" s="96" t="inlineStr">
        <is>
          <t>SWDN</t>
        </is>
      </c>
      <c r="D13" s="96" t="inlineStr">
        <is>
          <t>2610N</t>
        </is>
      </c>
      <c r="E13" s="96" t="inlineStr">
        <is>
          <t>22GP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CNXMN</t>
        </is>
      </c>
      <c r="J13" s="96" t="inlineStr">
        <is>
          <t>CNXMN</t>
        </is>
      </c>
      <c r="K13" s="96" t="inlineStr">
        <is>
          <t>F</t>
        </is>
      </c>
      <c r="L13" s="96" t="inlineStr">
        <is>
          <t>OWN</t>
        </is>
      </c>
      <c r="M13" s="96" t="inlineStr">
        <is>
          <t>VFL</t>
        </is>
      </c>
      <c r="N13" s="96" t="inlineStr">
        <is>
          <t>LCH05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HASLS22260901146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CHT</t>
        </is>
      </c>
      <c r="U13" s="97" t="n"/>
      <c r="V13" s="96" t="inlineStr">
        <is>
          <t>C0223008</t>
        </is>
      </c>
      <c r="W13" s="96" t="inlineStr">
        <is>
          <t>PTT GLOBAL CHEMICAL PUBLIC COMPANY</t>
        </is>
      </c>
      <c r="X13" s="96" t="inlineStr">
        <is>
          <t>VED</t>
        </is>
      </c>
      <c r="Y13" s="96" t="inlineStr">
        <is>
          <t>SINOCHEM PETROCHEMICAL</t>
        </is>
      </c>
      <c r="Z13" s="96" t="inlineStr">
        <is>
          <t>SINOCHEM INTERNATIONAL OIL</t>
        </is>
      </c>
      <c r="AA13" s="97" t="n">
        <v>18072</v>
      </c>
      <c r="AB13" s="96" t="inlineStr">
        <is>
          <t>LCH05</t>
        </is>
      </c>
      <c r="AC13" s="96" t="inlineStr">
        <is>
          <t>XMN01</t>
        </is>
      </c>
    </row>
    <row r="14" ht="12" customHeight="1">
      <c r="A14" s="96" t="inlineStr">
        <is>
          <t>HALU2400286</t>
        </is>
      </c>
      <c r="B14" s="161" t="inlineStr">
        <is>
          <t>2026-10-08</t>
        </is>
      </c>
      <c r="C14" s="96" t="inlineStr">
        <is>
          <t>SWDN</t>
        </is>
      </c>
      <c r="D14" s="96" t="inlineStr">
        <is>
          <t>2610N</t>
        </is>
      </c>
      <c r="E14" s="96" t="inlineStr">
        <is>
          <t>22GP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HKHKG</t>
        </is>
      </c>
      <c r="J14" s="96" t="inlineStr">
        <is>
          <t>CNZHU</t>
        </is>
      </c>
      <c r="K14" s="96" t="inlineStr">
        <is>
          <t>F</t>
        </is>
      </c>
      <c r="L14" s="96" t="inlineStr">
        <is>
          <t>OWN</t>
        </is>
      </c>
      <c r="M14" s="96" t="inlineStr">
        <is>
          <t>VFL</t>
        </is>
      </c>
      <c r="N14" s="96" t="inlineStr">
        <is>
          <t>LCH05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HASLS22260900563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CHT</t>
        </is>
      </c>
      <c r="U14" s="97" t="n"/>
      <c r="V14" s="96" t="inlineStr">
        <is>
          <t>C0124002</t>
        </is>
      </c>
      <c r="W14" s="96" t="inlineStr">
        <is>
          <t>PTT GLOBAL CHEMICAL PUBLIC COMPANY</t>
        </is>
      </c>
      <c r="X14" s="96" t="inlineStr">
        <is>
          <t>VFD</t>
        </is>
      </c>
      <c r="Y14" s="96" t="inlineStr">
        <is>
          <t>GC MARKETING SOLUTIONS (SHANGHAI)</t>
        </is>
      </c>
      <c r="Z14" s="96" t="inlineStr">
        <is>
          <t>GC MARKETING SOLUTIONS (SHANGHAI)</t>
        </is>
      </c>
      <c r="AA14" s="97" t="n">
        <v>18072</v>
      </c>
      <c r="AB14" s="96" t="inlineStr">
        <is>
          <t>LCH05</t>
        </is>
      </c>
      <c r="AC14" s="96" t="inlineStr">
        <is>
          <t>HKG03</t>
        </is>
      </c>
    </row>
    <row r="15" ht="12" customHeight="1">
      <c r="A15" s="96" t="inlineStr">
        <is>
          <t>HALU2446630</t>
        </is>
      </c>
      <c r="B15" s="161" t="inlineStr">
        <is>
          <t>2026-10-08</t>
        </is>
      </c>
      <c r="C15" s="96" t="inlineStr">
        <is>
          <t>SWDN</t>
        </is>
      </c>
      <c r="D15" s="96" t="inlineStr">
        <is>
          <t>2610N</t>
        </is>
      </c>
      <c r="E15" s="96" t="inlineStr">
        <is>
          <t>22GP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KRINC</t>
        </is>
      </c>
      <c r="J15" s="96" t="inlineStr">
        <is>
          <t>KRINC</t>
        </is>
      </c>
      <c r="K15" s="96" t="inlineStr">
        <is>
          <t>F</t>
        </is>
      </c>
      <c r="L15" s="96" t="inlineStr">
        <is>
          <t>OWN</t>
        </is>
      </c>
      <c r="M15" s="96" t="inlineStr">
        <is>
          <t>VFL</t>
        </is>
      </c>
      <c r="N15" s="96" t="inlineStr">
        <is>
          <t>LCH05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HASLS22260900777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CHT</t>
        </is>
      </c>
      <c r="U15" s="97" t="n"/>
      <c r="V15" s="96" t="inlineStr">
        <is>
          <t>C0324009</t>
        </is>
      </c>
      <c r="W15" s="96" t="inlineStr">
        <is>
          <t>T.C. PHARMACEUTICAL INDUSTRIES</t>
        </is>
      </c>
      <c r="X15" s="96" t="inlineStr">
        <is>
          <t>VFD</t>
        </is>
      </c>
      <c r="Y15" s="96" t="inlineStr">
        <is>
          <t>WORL-KET COMPANY LIMITED</t>
        </is>
      </c>
      <c r="Z15" s="96" t="inlineStr">
        <is>
          <t>WORL-KET COMPANY LIMITED</t>
        </is>
      </c>
      <c r="AA15" s="97" t="n">
        <v>16718.4</v>
      </c>
      <c r="AB15" s="96" t="inlineStr">
        <is>
          <t>LCH05</t>
        </is>
      </c>
      <c r="AC15" s="96" t="inlineStr">
        <is>
          <t>INC03</t>
        </is>
      </c>
    </row>
    <row r="16" ht="12" customHeight="1">
      <c r="A16" s="96" t="inlineStr">
        <is>
          <t>HALU2453943</t>
        </is>
      </c>
      <c r="B16" s="161" t="inlineStr">
        <is>
          <t>2026-10-08</t>
        </is>
      </c>
      <c r="C16" s="96" t="inlineStr">
        <is>
          <t>SWDN</t>
        </is>
      </c>
      <c r="D16" s="96" t="inlineStr">
        <is>
          <t>2610N</t>
        </is>
      </c>
      <c r="E16" s="96" t="inlineStr">
        <is>
          <t>22GP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HKHKG</t>
        </is>
      </c>
      <c r="J16" s="96" t="inlineStr">
        <is>
          <t>CNZHU</t>
        </is>
      </c>
      <c r="K16" s="96" t="inlineStr">
        <is>
          <t>F</t>
        </is>
      </c>
      <c r="L16" s="96" t="inlineStr">
        <is>
          <t>OWN</t>
        </is>
      </c>
      <c r="M16" s="96" t="inlineStr">
        <is>
          <t>VFL</t>
        </is>
      </c>
      <c r="N16" s="96" t="inlineStr">
        <is>
          <t>LCH05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HASLS22260900563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CHT</t>
        </is>
      </c>
      <c r="U16" s="97" t="n"/>
      <c r="V16" s="96" t="inlineStr">
        <is>
          <t>C0324009</t>
        </is>
      </c>
      <c r="W16" s="96" t="inlineStr">
        <is>
          <t>PTT GLOBAL CHEMICAL PUBLIC COMPANY</t>
        </is>
      </c>
      <c r="X16" s="96" t="inlineStr">
        <is>
          <t>VED</t>
        </is>
      </c>
      <c r="Y16" s="96" t="inlineStr">
        <is>
          <t>GC MARKETING SOLUTIONS (SHANGHAI)</t>
        </is>
      </c>
      <c r="Z16" s="96" t="inlineStr">
        <is>
          <t>GC MARKETING SOLUTIONS (SHANGHAI)</t>
        </is>
      </c>
      <c r="AA16" s="97" t="n">
        <v>18072</v>
      </c>
      <c r="AB16" s="96" t="inlineStr">
        <is>
          <t>LCH05</t>
        </is>
      </c>
      <c r="AC16" s="96" t="inlineStr">
        <is>
          <t>HKG03</t>
        </is>
      </c>
    </row>
    <row r="17" ht="12" customHeight="1">
      <c r="A17" s="96" t="inlineStr">
        <is>
          <t>HALU2526124</t>
        </is>
      </c>
      <c r="B17" s="161" t="inlineStr">
        <is>
          <t>2026-10-08</t>
        </is>
      </c>
      <c r="C17" s="96" t="inlineStr">
        <is>
          <t>SWDN</t>
        </is>
      </c>
      <c r="D17" s="96" t="inlineStr">
        <is>
          <t>2610N</t>
        </is>
      </c>
      <c r="E17" s="96" t="inlineStr">
        <is>
          <t>22GP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HKHKG</t>
        </is>
      </c>
      <c r="J17" s="96" t="inlineStr">
        <is>
          <t>CNZHU</t>
        </is>
      </c>
      <c r="K17" s="96" t="inlineStr">
        <is>
          <t>F</t>
        </is>
      </c>
      <c r="L17" s="96" t="inlineStr">
        <is>
          <t>OWN</t>
        </is>
      </c>
      <c r="M17" s="96" t="inlineStr">
        <is>
          <t>VFL</t>
        </is>
      </c>
      <c r="N17" s="96" t="inlineStr">
        <is>
          <t>LCH05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HASLS22260900563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CHT</t>
        </is>
      </c>
      <c r="U17" s="97" t="n"/>
      <c r="V17" s="96" t="inlineStr">
        <is>
          <t>C0125002</t>
        </is>
      </c>
      <c r="W17" s="96" t="inlineStr">
        <is>
          <t>PTT GLOBAL CHEMICAL PUBLIC COMPANY</t>
        </is>
      </c>
      <c r="X17" s="96" t="inlineStr">
        <is>
          <t>VFD</t>
        </is>
      </c>
      <c r="Y17" s="96" t="inlineStr">
        <is>
          <t>GC MARKETING SOLUTIONS (SHANGHAI)</t>
        </is>
      </c>
      <c r="Z17" s="96" t="inlineStr">
        <is>
          <t>GC MARKETING SOLUTIONS (SHANGHAI)</t>
        </is>
      </c>
      <c r="AA17" s="97" t="n">
        <v>18072</v>
      </c>
      <c r="AB17" s="96" t="inlineStr">
        <is>
          <t>LCH05</t>
        </is>
      </c>
      <c r="AC17" s="96" t="inlineStr">
        <is>
          <t>HKG03</t>
        </is>
      </c>
    </row>
    <row r="18" ht="12" customHeight="1">
      <c r="A18" s="96" t="inlineStr">
        <is>
          <t>HALU2567648</t>
        </is>
      </c>
      <c r="B18" s="161" t="inlineStr">
        <is>
          <t>2026-10-08</t>
        </is>
      </c>
      <c r="C18" s="96" t="inlineStr">
        <is>
          <t>SWDN</t>
        </is>
      </c>
      <c r="D18" s="96" t="inlineStr">
        <is>
          <t>2610N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HKHKG</t>
        </is>
      </c>
      <c r="J18" s="96" t="inlineStr">
        <is>
          <t>CNZHU</t>
        </is>
      </c>
      <c r="K18" s="96" t="inlineStr">
        <is>
          <t>F</t>
        </is>
      </c>
      <c r="L18" s="96" t="inlineStr">
        <is>
          <t>OWN</t>
        </is>
      </c>
      <c r="M18" s="96" t="inlineStr">
        <is>
          <t>VFL</t>
        </is>
      </c>
      <c r="N18" s="96" t="inlineStr">
        <is>
          <t>LCH05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HASLS22260900563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CHT</t>
        </is>
      </c>
      <c r="U18" s="97" t="n"/>
      <c r="V18" s="96" t="inlineStr">
        <is>
          <t>C0325006</t>
        </is>
      </c>
      <c r="W18" s="96" t="inlineStr">
        <is>
          <t>PTT GLOBAL CHEMICAL PUBLIC COMPANY</t>
        </is>
      </c>
      <c r="X18" s="96" t="inlineStr">
        <is>
          <t>VFD</t>
        </is>
      </c>
      <c r="Y18" s="96" t="inlineStr">
        <is>
          <t>GC MARKETING SOLUTIONS (SHANGHAI)</t>
        </is>
      </c>
      <c r="Z18" s="96" t="inlineStr">
        <is>
          <t>GC MARKETING SOLUTIONS (SHANGHAI)</t>
        </is>
      </c>
      <c r="AA18" s="97" t="n">
        <v>18072</v>
      </c>
      <c r="AB18" s="96" t="inlineStr">
        <is>
          <t>LCH05</t>
        </is>
      </c>
      <c r="AC18" s="96" t="inlineStr">
        <is>
          <t>HKG03</t>
        </is>
      </c>
    </row>
    <row r="19" ht="12" customHeight="1">
      <c r="A19" s="96" t="inlineStr">
        <is>
          <t>HALU2568731</t>
        </is>
      </c>
      <c r="B19" s="161" t="inlineStr">
        <is>
          <t>2026-10-08</t>
        </is>
      </c>
      <c r="C19" s="96" t="inlineStr">
        <is>
          <t>SWDN</t>
        </is>
      </c>
      <c r="D19" s="96" t="inlineStr">
        <is>
          <t>2610N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HKHKG</t>
        </is>
      </c>
      <c r="J19" s="96" t="inlineStr">
        <is>
          <t>CNZHU</t>
        </is>
      </c>
      <c r="K19" s="96" t="inlineStr">
        <is>
          <t>F</t>
        </is>
      </c>
      <c r="L19" s="96" t="inlineStr">
        <is>
          <t>OWN</t>
        </is>
      </c>
      <c r="M19" s="96" t="inlineStr">
        <is>
          <t>VFL</t>
        </is>
      </c>
      <c r="N19" s="96" t="inlineStr">
        <is>
          <t>LCH05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HASLS22260900563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CHT</t>
        </is>
      </c>
      <c r="U19" s="97" t="n"/>
      <c r="V19" s="96" t="inlineStr">
        <is>
          <t>C0325006</t>
        </is>
      </c>
      <c r="W19" s="96" t="inlineStr">
        <is>
          <t>PTT GLOBAL CHEMICAL PUBLIC COMPANY</t>
        </is>
      </c>
      <c r="X19" s="96" t="inlineStr">
        <is>
          <t>VFD</t>
        </is>
      </c>
      <c r="Y19" s="96" t="inlineStr">
        <is>
          <t>GC MARKETING SOLUTIONS (SHANGHAI)</t>
        </is>
      </c>
      <c r="Z19" s="96" t="inlineStr">
        <is>
          <t>GC MARKETING SOLUTIONS (SHANGHAI)</t>
        </is>
      </c>
      <c r="AA19" s="97" t="n">
        <v>18072</v>
      </c>
      <c r="AB19" s="96" t="inlineStr">
        <is>
          <t>LCH05</t>
        </is>
      </c>
      <c r="AC19" s="96" t="inlineStr">
        <is>
          <t>HKG03</t>
        </is>
      </c>
    </row>
    <row r="20" ht="12" customHeight="1">
      <c r="A20" s="96" t="inlineStr">
        <is>
          <t>HLHU6407690</t>
        </is>
      </c>
      <c r="B20" s="161" t="inlineStr">
        <is>
          <t>2026-10-08</t>
        </is>
      </c>
      <c r="C20" s="96" t="inlineStr">
        <is>
          <t>SWDN</t>
        </is>
      </c>
      <c r="D20" s="96" t="inlineStr">
        <is>
          <t>2610N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KRINC</t>
        </is>
      </c>
      <c r="J20" s="96" t="inlineStr">
        <is>
          <t>KRINC</t>
        </is>
      </c>
      <c r="K20" s="96" t="inlineStr">
        <is>
          <t>F</t>
        </is>
      </c>
      <c r="L20" s="96" t="inlineStr">
        <is>
          <t>OWN</t>
        </is>
      </c>
      <c r="M20" s="96" t="inlineStr">
        <is>
          <t>VFL</t>
        </is>
      </c>
      <c r="N20" s="96" t="inlineStr">
        <is>
          <t>LCH05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HASLS22260901600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CHT</t>
        </is>
      </c>
      <c r="U20" s="97" t="n"/>
      <c r="V20" s="96" t="inlineStr">
        <is>
          <t>C0724001</t>
        </is>
      </c>
      <c r="W20" s="96" t="inlineStr">
        <is>
          <t>VANACHAI PANEL INDUSTRIES CO., LTD.</t>
        </is>
      </c>
      <c r="X20" s="96" t="inlineStr">
        <is>
          <t>VFD</t>
        </is>
      </c>
      <c r="Y20" s="96" t="inlineStr">
        <is>
          <t>TO THE ORDER OF SHINHAN BANK SEOUL</t>
        </is>
      </c>
      <c r="Z20" s="96" t="inlineStr">
        <is>
          <t>DABINWOOD CO., LTD.</t>
        </is>
      </c>
      <c r="AA20" s="97" t="n">
        <v>24332</v>
      </c>
      <c r="AB20" s="96" t="inlineStr">
        <is>
          <t>LCH05</t>
        </is>
      </c>
      <c r="AC20" s="96" t="inlineStr">
        <is>
          <t>INC03</t>
        </is>
      </c>
    </row>
    <row r="21" ht="12" customHeight="1">
      <c r="A21" s="96" t="inlineStr">
        <is>
          <t>HLHU8108620</t>
        </is>
      </c>
      <c r="B21" s="161" t="inlineStr">
        <is>
          <t>2026-10-08</t>
        </is>
      </c>
      <c r="C21" s="96" t="inlineStr">
        <is>
          <t>SWDN</t>
        </is>
      </c>
      <c r="D21" s="96" t="inlineStr">
        <is>
          <t>2610N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KRINC</t>
        </is>
      </c>
      <c r="J21" s="96" t="inlineStr">
        <is>
          <t>KRINC</t>
        </is>
      </c>
      <c r="K21" s="96" t="inlineStr">
        <is>
          <t>F</t>
        </is>
      </c>
      <c r="L21" s="96" t="inlineStr">
        <is>
          <t>OWN</t>
        </is>
      </c>
      <c r="M21" s="96" t="inlineStr">
        <is>
          <t>VFL</t>
        </is>
      </c>
      <c r="N21" s="96" t="inlineStr">
        <is>
          <t>LCH05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HASLS22260901610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CHT</t>
        </is>
      </c>
      <c r="U21" s="97" t="n"/>
      <c r="V21" s="96" t="inlineStr">
        <is>
          <t>C0121003</t>
        </is>
      </c>
      <c r="W21" s="96" t="inlineStr">
        <is>
          <t>VANACHAI PANEL INDUSTRIES CO.,LTD.</t>
        </is>
      </c>
      <c r="X21" s="96" t="inlineStr">
        <is>
          <t>VFD</t>
        </is>
      </c>
      <c r="Y21" s="96" t="inlineStr">
        <is>
          <t>TO THE ORDER OF INDUSTRIAL</t>
        </is>
      </c>
      <c r="Z21" s="96" t="inlineStr">
        <is>
          <t>SAMSAN INTERNATIONAL INC.</t>
        </is>
      </c>
      <c r="AA21" s="97" t="n">
        <v>24332</v>
      </c>
      <c r="AB21" s="96" t="inlineStr">
        <is>
          <t>LCH05</t>
        </is>
      </c>
      <c r="AC21" s="96" t="inlineStr">
        <is>
          <t>INC03</t>
        </is>
      </c>
    </row>
    <row r="22" ht="12" customHeight="1">
      <c r="A22" s="96" t="inlineStr">
        <is>
          <t>HLHU8329473</t>
        </is>
      </c>
      <c r="B22" s="161" t="inlineStr">
        <is>
          <t>2026-10-08</t>
        </is>
      </c>
      <c r="C22" s="96" t="inlineStr">
        <is>
          <t>SWDN</t>
        </is>
      </c>
      <c r="D22" s="96" t="inlineStr">
        <is>
          <t>2610N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CNXMN</t>
        </is>
      </c>
      <c r="J22" s="96" t="inlineStr">
        <is>
          <t>CNXMN</t>
        </is>
      </c>
      <c r="K22" s="96" t="inlineStr">
        <is>
          <t>F</t>
        </is>
      </c>
      <c r="L22" s="96" t="inlineStr">
        <is>
          <t>OWN</t>
        </is>
      </c>
      <c r="M22" s="96" t="inlineStr">
        <is>
          <t>VFL</t>
        </is>
      </c>
      <c r="N22" s="96" t="inlineStr">
        <is>
          <t>LCH05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HASLS22260902292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CHT</t>
        </is>
      </c>
      <c r="U22" s="97" t="n"/>
      <c r="V22" s="96" t="inlineStr">
        <is>
          <t>C0623001</t>
        </is>
      </c>
      <c r="W22" s="96" t="inlineStr">
        <is>
          <t>NATURAL RUBBER THREAD CO.,LTD.</t>
        </is>
      </c>
      <c r="X22" s="96" t="inlineStr">
        <is>
          <t>RTN</t>
        </is>
      </c>
      <c r="Y22" s="96" t="inlineStr">
        <is>
          <t>SHENZHEN QIANHAI ZHONGTAI YOULIAN</t>
        </is>
      </c>
      <c r="Z22" s="96" t="inlineStr">
        <is>
          <t>SHENZHEN QIANHAI ZHONGTAI YOULIAN</t>
        </is>
      </c>
      <c r="AA22" s="97" t="n">
        <v>26050</v>
      </c>
      <c r="AB22" s="96" t="inlineStr">
        <is>
          <t>LCH05</t>
        </is>
      </c>
      <c r="AC22" s="96" t="inlineStr">
        <is>
          <t>XMN01</t>
        </is>
      </c>
    </row>
    <row r="23" ht="12" customHeight="1">
      <c r="A23" s="96" t="inlineStr">
        <is>
          <t>HLHU8388239</t>
        </is>
      </c>
      <c r="B23" s="161" t="inlineStr">
        <is>
          <t>2026-10-08</t>
        </is>
      </c>
      <c r="C23" s="96" t="inlineStr">
        <is>
          <t>SWDN</t>
        </is>
      </c>
      <c r="D23" s="96" t="inlineStr">
        <is>
          <t>2610N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KRINC</t>
        </is>
      </c>
      <c r="J23" s="96" t="inlineStr">
        <is>
          <t>KRINC</t>
        </is>
      </c>
      <c r="K23" s="96" t="inlineStr">
        <is>
          <t>F</t>
        </is>
      </c>
      <c r="L23" s="96" t="inlineStr">
        <is>
          <t>OWN</t>
        </is>
      </c>
      <c r="M23" s="96" t="inlineStr">
        <is>
          <t>VFL</t>
        </is>
      </c>
      <c r="N23" s="96" t="inlineStr">
        <is>
          <t>LCH05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HASLS22260901610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CHT</t>
        </is>
      </c>
      <c r="U23" s="97" t="n"/>
      <c r="V23" s="96" t="inlineStr">
        <is>
          <t>C0324002</t>
        </is>
      </c>
      <c r="W23" s="96" t="inlineStr">
        <is>
          <t>VANACHAI PANEL INDUSTRIES CO.,LTD.</t>
        </is>
      </c>
      <c r="X23" s="96" t="inlineStr">
        <is>
          <t>VFD</t>
        </is>
      </c>
      <c r="Y23" s="96" t="inlineStr">
        <is>
          <t>TO THE ORDER OF INDUSTRIAL</t>
        </is>
      </c>
      <c r="Z23" s="96" t="inlineStr">
        <is>
          <t>SAMSAN INTERNATIONAL INC.</t>
        </is>
      </c>
      <c r="AA23" s="97" t="n">
        <v>24332</v>
      </c>
      <c r="AB23" s="96" t="inlineStr">
        <is>
          <t>LCH05</t>
        </is>
      </c>
      <c r="AC23" s="96" t="inlineStr">
        <is>
          <t>INC03</t>
        </is>
      </c>
    </row>
    <row r="24" ht="12" customHeight="1">
      <c r="A24" s="96" t="inlineStr">
        <is>
          <t>HLHU8468057</t>
        </is>
      </c>
      <c r="B24" s="161" t="inlineStr">
        <is>
          <t>2026-10-08</t>
        </is>
      </c>
      <c r="C24" s="96" t="inlineStr">
        <is>
          <t>SWDN</t>
        </is>
      </c>
      <c r="D24" s="96" t="inlineStr">
        <is>
          <t>2610N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KRINC</t>
        </is>
      </c>
      <c r="J24" s="96" t="inlineStr">
        <is>
          <t>KRINC</t>
        </is>
      </c>
      <c r="K24" s="96" t="inlineStr">
        <is>
          <t>F</t>
        </is>
      </c>
      <c r="L24" s="96" t="inlineStr">
        <is>
          <t>OWN</t>
        </is>
      </c>
      <c r="M24" s="96" t="inlineStr">
        <is>
          <t>VFL</t>
        </is>
      </c>
      <c r="N24" s="96" t="inlineStr">
        <is>
          <t>LCH05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HASLS22260902174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CHT</t>
        </is>
      </c>
      <c r="U24" s="97" t="n"/>
      <c r="V24" s="96" t="inlineStr">
        <is>
          <t>C0324008</t>
        </is>
      </c>
      <c r="W24" s="96" t="inlineStr">
        <is>
          <t>LX PANTOS (THAILAND) CO., LTD.</t>
        </is>
      </c>
      <c r="X24" s="96" t="inlineStr">
        <is>
          <t>VFD</t>
        </is>
      </c>
      <c r="Y24" s="96" t="inlineStr">
        <is>
          <t>LX PANTOS CO., LTD.</t>
        </is>
      </c>
      <c r="Z24" s="96" t="inlineStr">
        <is>
          <t>LX PANTOS CO., LTD.</t>
        </is>
      </c>
      <c r="AA24" s="97" t="n">
        <v>5699.96</v>
      </c>
      <c r="AB24" s="96" t="inlineStr">
        <is>
          <t>LCH05</t>
        </is>
      </c>
      <c r="AC24" s="96" t="inlineStr">
        <is>
          <t>INC03</t>
        </is>
      </c>
    </row>
    <row r="25" ht="12" customHeight="1">
      <c r="A25" s="96" t="inlineStr">
        <is>
          <t>HLHU8483637</t>
        </is>
      </c>
      <c r="B25" s="161" t="inlineStr">
        <is>
          <t>2026-10-08</t>
        </is>
      </c>
      <c r="C25" s="96" t="inlineStr">
        <is>
          <t>SWDN</t>
        </is>
      </c>
      <c r="D25" s="96" t="inlineStr">
        <is>
          <t>2610N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CNXMN</t>
        </is>
      </c>
      <c r="J25" s="96" t="inlineStr">
        <is>
          <t>CNXMN</t>
        </is>
      </c>
      <c r="K25" s="96" t="inlineStr">
        <is>
          <t>F</t>
        </is>
      </c>
      <c r="L25" s="96" t="inlineStr">
        <is>
          <t>OWN</t>
        </is>
      </c>
      <c r="M25" s="96" t="inlineStr">
        <is>
          <t>VFL</t>
        </is>
      </c>
      <c r="N25" s="96" t="inlineStr">
        <is>
          <t>LCH05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HASLS22260902292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CHT</t>
        </is>
      </c>
      <c r="U25" s="97" t="n"/>
      <c r="V25" s="96" t="inlineStr">
        <is>
          <t>C0524001</t>
        </is>
      </c>
      <c r="W25" s="96" t="inlineStr">
        <is>
          <t>NATURAL RUBBER THREAD CO.,LTD.</t>
        </is>
      </c>
      <c r="X25" s="96" t="inlineStr">
        <is>
          <t>VFD</t>
        </is>
      </c>
      <c r="Y25" s="96" t="inlineStr">
        <is>
          <t>SHENZHEN QIANHAI ZHONGTAI YOULIAN</t>
        </is>
      </c>
      <c r="Z25" s="96" t="inlineStr">
        <is>
          <t>SHENZHEN QIANHAI ZHONGTAI YOULIAN</t>
        </is>
      </c>
      <c r="AA25" s="97" t="n">
        <v>26050</v>
      </c>
      <c r="AB25" s="96" t="inlineStr">
        <is>
          <t>LCH05</t>
        </is>
      </c>
      <c r="AC25" s="96" t="inlineStr">
        <is>
          <t>XMN01</t>
        </is>
      </c>
    </row>
    <row r="26" ht="12" customHeight="1">
      <c r="A26" s="96" t="inlineStr">
        <is>
          <t>HLHU8508859</t>
        </is>
      </c>
      <c r="B26" s="161" t="inlineStr">
        <is>
          <t>2026-10-08</t>
        </is>
      </c>
      <c r="C26" s="96" t="inlineStr">
        <is>
          <t>SWDN</t>
        </is>
      </c>
      <c r="D26" s="96" t="inlineStr">
        <is>
          <t>2610N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KRINC</t>
        </is>
      </c>
      <c r="J26" s="96" t="inlineStr">
        <is>
          <t>KRINC</t>
        </is>
      </c>
      <c r="K26" s="96" t="inlineStr">
        <is>
          <t>F</t>
        </is>
      </c>
      <c r="L26" s="96" t="inlineStr">
        <is>
          <t>OWN</t>
        </is>
      </c>
      <c r="M26" s="96" t="inlineStr">
        <is>
          <t>VFL</t>
        </is>
      </c>
      <c r="N26" s="96" t="inlineStr">
        <is>
          <t>LCH05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HASLS22260902144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CHT</t>
        </is>
      </c>
      <c r="U26" s="97" t="n"/>
      <c r="V26" s="96" t="inlineStr">
        <is>
          <t>C0125003</t>
        </is>
      </c>
      <c r="W26" s="96" t="inlineStr">
        <is>
          <t>SRI TRANG GLOVES (THAILAND) PUBLIC</t>
        </is>
      </c>
      <c r="X26" s="96" t="inlineStr">
        <is>
          <t>VFD</t>
        </is>
      </c>
      <c r="Y26" s="96" t="inlineStr">
        <is>
          <t>SEJONG HEALTHCARE CO., LTD</t>
        </is>
      </c>
      <c r="Z26" s="96" t="inlineStr">
        <is>
          <t>SEJONG HEALTHCARE CO., LTD</t>
        </is>
      </c>
      <c r="AA26" s="97" t="n">
        <v>19555.72</v>
      </c>
      <c r="AB26" s="96" t="inlineStr">
        <is>
          <t>LCH05</t>
        </is>
      </c>
      <c r="AC26" s="96" t="inlineStr">
        <is>
          <t>INC03</t>
        </is>
      </c>
    </row>
    <row r="27" ht="12" customHeight="1">
      <c r="A27" s="96" t="inlineStr">
        <is>
          <t>KMLU2800151</t>
        </is>
      </c>
      <c r="B27" s="161" t="inlineStr">
        <is>
          <t>2026-10-08</t>
        </is>
      </c>
      <c r="C27" s="96" t="inlineStr">
        <is>
          <t>SWDN</t>
        </is>
      </c>
      <c r="D27" s="96" t="inlineStr">
        <is>
          <t>2610N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KRINC</t>
        </is>
      </c>
      <c r="J27" s="96" t="inlineStr">
        <is>
          <t>KRINC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LCH05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HASLS22260902542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CHT</t>
        </is>
      </c>
      <c r="U27" s="97" t="n"/>
      <c r="V27" s="96" t="inlineStr">
        <is>
          <t>K0120021</t>
        </is>
      </c>
      <c r="W27" s="96" t="inlineStr">
        <is>
          <t>MAXTOP LOGISTICS(THAILAND)CO.,LTD.</t>
        </is>
      </c>
      <c r="X27" s="96" t="inlineStr">
        <is>
          <t>VFD</t>
        </is>
      </c>
      <c r="Y27" s="96" t="inlineStr">
        <is>
          <t>CHEONWOO NEOLOGIS CO.,LTD.</t>
        </is>
      </c>
      <c r="Z27" s="96" t="inlineStr">
        <is>
          <t>CHEONWOO NEOLOGIS CO.,LTD.</t>
        </is>
      </c>
      <c r="AA27" s="97" t="n">
        <v>1920.962</v>
      </c>
      <c r="AB27" s="96" t="inlineStr">
        <is>
          <t>LCH05</t>
        </is>
      </c>
      <c r="AC27" s="96" t="inlineStr">
        <is>
          <t>INC03</t>
        </is>
      </c>
    </row>
    <row r="28" ht="12" customHeight="1">
      <c r="A28" s="96" t="inlineStr">
        <is>
          <t>SEKU4426240</t>
        </is>
      </c>
      <c r="B28" s="161" t="inlineStr">
        <is>
          <t>2026-10-08</t>
        </is>
      </c>
      <c r="C28" s="96" t="inlineStr">
        <is>
          <t>SWDN</t>
        </is>
      </c>
      <c r="D28" s="96" t="inlineStr">
        <is>
          <t>2610N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KRINC</t>
        </is>
      </c>
      <c r="J28" s="96" t="inlineStr">
        <is>
          <t>KRINC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LCH05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HASLS22260901600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CHT</t>
        </is>
      </c>
      <c r="U28" s="97" t="n"/>
      <c r="V28" s="96" t="inlineStr">
        <is>
          <t>K0120023</t>
        </is>
      </c>
      <c r="W28" s="96" t="inlineStr">
        <is>
          <t>VANACHAI PANEL INDUSTRIES CO., LTD.</t>
        </is>
      </c>
      <c r="X28" s="96" t="inlineStr">
        <is>
          <t>VFD</t>
        </is>
      </c>
      <c r="Y28" s="96" t="inlineStr">
        <is>
          <t>TO THE ORDER OF SHINHAN BANK SEOUL</t>
        </is>
      </c>
      <c r="Z28" s="96" t="inlineStr">
        <is>
          <t>DABINWOOD CO., LTD.</t>
        </is>
      </c>
      <c r="AA28" s="97" t="n">
        <v>24332</v>
      </c>
      <c r="AB28" s="96" t="inlineStr">
        <is>
          <t>LCH05</t>
        </is>
      </c>
      <c r="AC28" s="96" t="inlineStr">
        <is>
          <t>INC03</t>
        </is>
      </c>
    </row>
    <row r="29" ht="12" customHeight="1">
      <c r="A29" s="96" t="inlineStr">
        <is>
          <t>SKHU6400184</t>
        </is>
      </c>
      <c r="B29" s="161" t="inlineStr">
        <is>
          <t>2026-10-08</t>
        </is>
      </c>
      <c r="C29" s="96" t="inlineStr">
        <is>
          <t>SWDN</t>
        </is>
      </c>
      <c r="D29" s="96" t="inlineStr">
        <is>
          <t>2610N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KRINC</t>
        </is>
      </c>
      <c r="J29" s="96" t="inlineStr">
        <is>
          <t>KRINC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LCH05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HASLS22260901608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CHT</t>
        </is>
      </c>
      <c r="U29" s="97" t="n"/>
      <c r="V29" s="96" t="inlineStr">
        <is>
          <t>K0120023</t>
        </is>
      </c>
      <c r="W29" s="96" t="inlineStr">
        <is>
          <t>VANACHAI PANEL INDUSTRIES CO.,LTD.</t>
        </is>
      </c>
      <c r="X29" s="96" t="inlineStr">
        <is>
          <t>VFD</t>
        </is>
      </c>
      <c r="Y29" s="96" t="inlineStr">
        <is>
          <t>TO THE ORDER OF KOOKMIN BANK</t>
        </is>
      </c>
      <c r="Z29" s="96" t="inlineStr">
        <is>
          <t>NKG BOARD CO., LTD.</t>
        </is>
      </c>
      <c r="AA29" s="97" t="n">
        <v>24332</v>
      </c>
      <c r="AB29" s="96" t="inlineStr">
        <is>
          <t>LCH05</t>
        </is>
      </c>
      <c r="AC29" s="96" t="inlineStr">
        <is>
          <t>INC03</t>
        </is>
      </c>
    </row>
    <row r="30" ht="12" customHeight="1">
      <c r="A30" s="96" t="inlineStr">
        <is>
          <t>SKHU6462756</t>
        </is>
      </c>
      <c r="B30" s="161" t="inlineStr">
        <is>
          <t>2026-10-08</t>
        </is>
      </c>
      <c r="C30" s="96" t="inlineStr">
        <is>
          <t>SWDN</t>
        </is>
      </c>
      <c r="D30" s="96" t="inlineStr">
        <is>
          <t>2610N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KRINC</t>
        </is>
      </c>
      <c r="J30" s="96" t="inlineStr">
        <is>
          <t>KRINC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LCH05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HASLS22260901608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CHT</t>
        </is>
      </c>
      <c r="U30" s="97" t="n"/>
      <c r="V30" s="96" t="inlineStr">
        <is>
          <t>K0120023</t>
        </is>
      </c>
      <c r="W30" s="96" t="inlineStr">
        <is>
          <t>VANACHAI PANEL INDUSTRIES CO.,LTD.</t>
        </is>
      </c>
      <c r="X30" s="96" t="inlineStr">
        <is>
          <t>VFD</t>
        </is>
      </c>
      <c r="Y30" s="96" t="inlineStr">
        <is>
          <t>TO THE ORDER OF KOOKMIN BANK</t>
        </is>
      </c>
      <c r="Z30" s="96" t="inlineStr">
        <is>
          <t>NKG BOARD CO., LTD.</t>
        </is>
      </c>
      <c r="AA30" s="97" t="n">
        <v>24332</v>
      </c>
      <c r="AB30" s="96" t="inlineStr">
        <is>
          <t>LCH05</t>
        </is>
      </c>
      <c r="AC30" s="96" t="inlineStr">
        <is>
          <t>INC03</t>
        </is>
      </c>
    </row>
    <row r="31" ht="12" customHeight="1">
      <c r="A31" s="96" t="inlineStr">
        <is>
          <t>SKHU6467634</t>
        </is>
      </c>
      <c r="B31" s="161" t="inlineStr">
        <is>
          <t>2026-10-08</t>
        </is>
      </c>
      <c r="C31" s="96" t="inlineStr">
        <is>
          <t>SWDN</t>
        </is>
      </c>
      <c r="D31" s="96" t="inlineStr">
        <is>
          <t>2610N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CNXMN</t>
        </is>
      </c>
      <c r="J31" s="96" t="inlineStr">
        <is>
          <t>CNXMN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LCH05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HASLS22260902292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CHT</t>
        </is>
      </c>
      <c r="U31" s="97" t="n"/>
      <c r="V31" s="96" t="inlineStr">
        <is>
          <t>K0120023</t>
        </is>
      </c>
      <c r="W31" s="96" t="inlineStr">
        <is>
          <t>NATURAL RUBBER THREAD CO.,LTD.</t>
        </is>
      </c>
      <c r="X31" s="96" t="inlineStr">
        <is>
          <t>VFD</t>
        </is>
      </c>
      <c r="Y31" s="96" t="inlineStr">
        <is>
          <t>SHENZHEN QIANHAI ZHONGTAI YOULIAN</t>
        </is>
      </c>
      <c r="Z31" s="96" t="inlineStr">
        <is>
          <t>SHENZHEN QIANHAI ZHONGTAI YOULIAN</t>
        </is>
      </c>
      <c r="AA31" s="97" t="n">
        <v>26050</v>
      </c>
      <c r="AB31" s="96" t="inlineStr">
        <is>
          <t>LCH05</t>
        </is>
      </c>
      <c r="AC31" s="96" t="inlineStr">
        <is>
          <t>XMN01</t>
        </is>
      </c>
    </row>
    <row r="32" ht="12" customHeight="1">
      <c r="A32" s="96" t="inlineStr">
        <is>
          <t>SKHU6483960</t>
        </is>
      </c>
      <c r="B32" s="161" t="inlineStr">
        <is>
          <t>2026-10-08</t>
        </is>
      </c>
      <c r="C32" s="96" t="inlineStr">
        <is>
          <t>SWDN</t>
        </is>
      </c>
      <c r="D32" s="96" t="inlineStr">
        <is>
          <t>2610N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KRINC</t>
        </is>
      </c>
      <c r="J32" s="96" t="inlineStr">
        <is>
          <t>KRINC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LCH05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HASLS22260901608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CHT</t>
        </is>
      </c>
      <c r="U32" s="97" t="n"/>
      <c r="V32" s="96" t="inlineStr">
        <is>
          <t>K0120023</t>
        </is>
      </c>
      <c r="W32" s="96" t="inlineStr">
        <is>
          <t>VANACHAI PANEL INDUSTRIES CO.,LTD.</t>
        </is>
      </c>
      <c r="X32" s="96" t="inlineStr">
        <is>
          <t>VED</t>
        </is>
      </c>
      <c r="Y32" s="96" t="inlineStr">
        <is>
          <t>TO THE ORDER OF KOOKMIN BANK</t>
        </is>
      </c>
      <c r="Z32" s="96" t="inlineStr">
        <is>
          <t>NKG BOARD CO., LTD.</t>
        </is>
      </c>
      <c r="AA32" s="97" t="n">
        <v>24332</v>
      </c>
      <c r="AB32" s="96" t="inlineStr">
        <is>
          <t>LCH05</t>
        </is>
      </c>
      <c r="AC32" s="96" t="inlineStr">
        <is>
          <t>INC03</t>
        </is>
      </c>
    </row>
    <row r="33" ht="12" customHeight="1">
      <c r="A33" s="96" t="inlineStr">
        <is>
          <t>SKHU6558713</t>
        </is>
      </c>
      <c r="B33" s="161" t="inlineStr">
        <is>
          <t>2026-10-08</t>
        </is>
      </c>
      <c r="C33" s="96" t="inlineStr">
        <is>
          <t>SWDN</t>
        </is>
      </c>
      <c r="D33" s="96" t="inlineStr">
        <is>
          <t>2610N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HKHKG</t>
        </is>
      </c>
      <c r="J33" s="96" t="inlineStr">
        <is>
          <t>HKHKG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LCH05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HASLS22260800648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CHT</t>
        </is>
      </c>
      <c r="U33" s="97" t="n"/>
      <c r="V33" s="96" t="inlineStr">
        <is>
          <t>K0120023</t>
        </is>
      </c>
      <c r="W33" s="96" t="inlineStr">
        <is>
          <t>NIPPON EXPRESS LOGISTICS</t>
        </is>
      </c>
      <c r="X33" s="96" t="inlineStr">
        <is>
          <t>VFD</t>
        </is>
      </c>
      <c r="Y33" s="96" t="inlineStr">
        <is>
          <t>NIPPON EXPRESS (H.K.) CO.,LTD.</t>
        </is>
      </c>
      <c r="Z33" s="96" t="inlineStr">
        <is>
          <t>NIPPON EXPRESS (H.K.) CO.,LTD.</t>
        </is>
      </c>
      <c r="AA33" s="97" t="n">
        <v>6330</v>
      </c>
      <c r="AB33" s="96" t="inlineStr">
        <is>
          <t>LCH05</t>
        </is>
      </c>
      <c r="AC33" s="96" t="inlineStr">
        <is>
          <t>HKG03</t>
        </is>
      </c>
    </row>
    <row r="34" ht="12" customHeight="1">
      <c r="A34" s="96" t="inlineStr">
        <is>
          <t>SKHU8111555</t>
        </is>
      </c>
      <c r="B34" s="161" t="inlineStr">
        <is>
          <t>2026-10-08</t>
        </is>
      </c>
      <c r="C34" s="96" t="inlineStr">
        <is>
          <t>SWDN</t>
        </is>
      </c>
      <c r="D34" s="96" t="inlineStr">
        <is>
          <t>2610N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KRINC</t>
        </is>
      </c>
      <c r="J34" s="96" t="inlineStr">
        <is>
          <t>KRINC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LCH05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HASLS22260901600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CHT</t>
        </is>
      </c>
      <c r="U34" s="97" t="n"/>
      <c r="V34" s="96" t="inlineStr">
        <is>
          <t>K0120023</t>
        </is>
      </c>
      <c r="W34" s="96" t="inlineStr">
        <is>
          <t>VANACHAI PANEL INDUSTRIES CO., LTD.</t>
        </is>
      </c>
      <c r="X34" s="96" t="inlineStr">
        <is>
          <t>VFD</t>
        </is>
      </c>
      <c r="Y34" s="96" t="inlineStr">
        <is>
          <t>TO THE ORDER OF SHINHAN BANK SEOUL</t>
        </is>
      </c>
      <c r="Z34" s="96" t="inlineStr">
        <is>
          <t>DABINWOOD CO., LTD.</t>
        </is>
      </c>
      <c r="AA34" s="97" t="n">
        <v>24332</v>
      </c>
      <c r="AB34" s="96" t="inlineStr">
        <is>
          <t>LCH05</t>
        </is>
      </c>
      <c r="AC34" s="96" t="inlineStr">
        <is>
          <t>INC03</t>
        </is>
      </c>
    </row>
    <row r="35" ht="12" customHeight="1">
      <c r="A35" s="96" t="inlineStr">
        <is>
          <t>SKHU8908359</t>
        </is>
      </c>
      <c r="B35" s="161" t="inlineStr">
        <is>
          <t>2026-10-08</t>
        </is>
      </c>
      <c r="C35" s="96" t="inlineStr">
        <is>
          <t>SWDN</t>
        </is>
      </c>
      <c r="D35" s="96" t="inlineStr">
        <is>
          <t>2610N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HKHKG</t>
        </is>
      </c>
      <c r="J35" s="96" t="inlineStr">
        <is>
          <t>HKHKG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LCH05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HASLS22260902506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CHT</t>
        </is>
      </c>
      <c r="U35" s="97" t="n"/>
      <c r="V35" s="96" t="inlineStr">
        <is>
          <t>K0120023</t>
        </is>
      </c>
      <c r="W35" s="96" t="inlineStr">
        <is>
          <t>NIPPON EXPRESS LOGISTICS (THAILAND)</t>
        </is>
      </c>
      <c r="X35" s="96" t="inlineStr">
        <is>
          <t>VFD</t>
        </is>
      </c>
      <c r="Y35" s="96" t="inlineStr">
        <is>
          <t>NIPPON EXPRESS (H.K) CO.,LTD</t>
        </is>
      </c>
      <c r="Z35" s="96" t="inlineStr">
        <is>
          <t>NIPPON EXPRESS (H.K) CO.,LTD</t>
        </is>
      </c>
      <c r="AA35" s="97" t="n">
        <v>17711</v>
      </c>
      <c r="AB35" s="96" t="inlineStr">
        <is>
          <t>LCH05</t>
        </is>
      </c>
      <c r="AC35" s="96" t="inlineStr">
        <is>
          <t>HKG03</t>
        </is>
      </c>
    </row>
    <row r="36" ht="12" customHeight="1">
      <c r="A36" s="96" t="inlineStr">
        <is>
          <t>SKHU9604181</t>
        </is>
      </c>
      <c r="B36" s="161" t="inlineStr">
        <is>
          <t>2026-10-08</t>
        </is>
      </c>
      <c r="C36" s="96" t="inlineStr">
        <is>
          <t>SWDN</t>
        </is>
      </c>
      <c r="D36" s="96" t="inlineStr">
        <is>
          <t>2610N</t>
        </is>
      </c>
      <c r="E36" s="96" t="inlineStr">
        <is>
          <t>45GP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HKHKG</t>
        </is>
      </c>
      <c r="J36" s="96" t="inlineStr">
        <is>
          <t>HKHKG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LCH05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HASLS22260901529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CHT</t>
        </is>
      </c>
      <c r="U36" s="97" t="n"/>
      <c r="V36" s="96" t="inlineStr">
        <is>
          <t>K0120023</t>
        </is>
      </c>
      <c r="W36" s="96" t="inlineStr">
        <is>
          <t>PGS LOGISTICS (THAILAND) CO.,LTD.</t>
        </is>
      </c>
      <c r="X36" s="96" t="inlineStr">
        <is>
          <t>VFD</t>
        </is>
      </c>
      <c r="Y36" s="96" t="inlineStr">
        <is>
          <t>PARISI GRAND SMOOTH LOGISTICS LTD</t>
        </is>
      </c>
      <c r="Z36" s="96" t="inlineStr">
        <is>
          <t>PARISI GRAND SMOOTH LOGISTICS LTD</t>
        </is>
      </c>
      <c r="AA36" s="97" t="n">
        <v>5615.52</v>
      </c>
      <c r="AB36" s="96" t="inlineStr">
        <is>
          <t>LCH05</t>
        </is>
      </c>
      <c r="AC36" s="96" t="inlineStr">
        <is>
          <t>HKG03</t>
        </is>
      </c>
    </row>
    <row r="37" ht="12" customHeight="1">
      <c r="A37" s="96" t="inlineStr">
        <is>
          <t>SKHU9966257</t>
        </is>
      </c>
      <c r="B37" s="161" t="inlineStr">
        <is>
          <t>2026-10-08</t>
        </is>
      </c>
      <c r="C37" s="96" t="inlineStr">
        <is>
          <t>SWDN</t>
        </is>
      </c>
      <c r="D37" s="96" t="inlineStr">
        <is>
          <t>2610N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CNXMN</t>
        </is>
      </c>
      <c r="J37" s="96" t="inlineStr">
        <is>
          <t>CNXMN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LCH05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HASLS22260902269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CHT</t>
        </is>
      </c>
      <c r="U37" s="97" t="n"/>
      <c r="V37" s="96" t="inlineStr">
        <is>
          <t>K0120023</t>
        </is>
      </c>
      <c r="W37" s="96" t="inlineStr">
        <is>
          <t>CHAIYA SUVARNABHUMI CO.,LTD.</t>
        </is>
      </c>
      <c r="X37" s="96" t="inlineStr">
        <is>
          <t>VFD</t>
        </is>
      </c>
      <c r="Y37" s="96" t="inlineStr">
        <is>
          <t>XIAMEN HONESTY IMPORT AND EXPORT</t>
        </is>
      </c>
      <c r="Z37" s="96" t="inlineStr">
        <is>
          <t>XIAMEN HONESTY IMPORT AND EXPORT</t>
        </is>
      </c>
      <c r="AA37" s="97" t="n">
        <v>26350</v>
      </c>
      <c r="AB37" s="96" t="inlineStr">
        <is>
          <t>LCH05</t>
        </is>
      </c>
      <c r="AC37" s="96" t="inlineStr">
        <is>
          <t>XMN01</t>
        </is>
      </c>
    </row>
    <row r="38" ht="12" customHeight="1">
      <c r="A38" s="96" t="inlineStr">
        <is>
          <t>SKLU1308216</t>
        </is>
      </c>
      <c r="B38" s="161" t="inlineStr">
        <is>
          <t>2026-10-08</t>
        </is>
      </c>
      <c r="C38" s="96" t="inlineStr">
        <is>
          <t>SWDN</t>
        </is>
      </c>
      <c r="D38" s="96" t="inlineStr">
        <is>
          <t>2610N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CNXMN</t>
        </is>
      </c>
      <c r="J38" s="96" t="inlineStr">
        <is>
          <t>CNXMN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LCH05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HASLS22260901029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CHT</t>
        </is>
      </c>
      <c r="U38" s="97" t="n"/>
      <c r="V38" s="96" t="inlineStr">
        <is>
          <t>S1120012</t>
        </is>
      </c>
      <c r="W38" s="96" t="inlineStr">
        <is>
          <t>THAI POLYCARBONATE CO.,LTD.</t>
        </is>
      </c>
      <c r="X38" s="96" t="inlineStr">
        <is>
          <t>VED</t>
        </is>
      </c>
      <c r="Y38" s="96" t="inlineStr">
        <is>
          <t>PLASTEL INDUSTRIES CO.,LTD.</t>
        </is>
      </c>
      <c r="Z38" s="96" t="inlineStr">
        <is>
          <t>PLASTEL INDUSTRIES CO.,LTD.</t>
        </is>
      </c>
      <c r="AA38" s="97" t="n">
        <v>16432</v>
      </c>
      <c r="AB38" s="96" t="inlineStr">
        <is>
          <t>LCH05</t>
        </is>
      </c>
      <c r="AC38" s="96" t="inlineStr">
        <is>
          <t>XMN01</t>
        </is>
      </c>
    </row>
    <row r="39" ht="12" customHeight="1">
      <c r="A39" s="96" t="inlineStr">
        <is>
          <t>SKLU1643493</t>
        </is>
      </c>
      <c r="B39" s="161" t="inlineStr">
        <is>
          <t>2026-10-08</t>
        </is>
      </c>
      <c r="C39" s="96" t="inlineStr">
        <is>
          <t>SWDN</t>
        </is>
      </c>
      <c r="D39" s="96" t="inlineStr">
        <is>
          <t>2610N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CNXMN</t>
        </is>
      </c>
      <c r="J39" s="96" t="inlineStr">
        <is>
          <t>CNXMN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LCH05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HASLS22260901148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CHT</t>
        </is>
      </c>
      <c r="U39" s="97" t="n"/>
      <c r="V39" s="96" t="inlineStr">
        <is>
          <t>K0120021</t>
        </is>
      </c>
      <c r="W39" s="96" t="inlineStr">
        <is>
          <t>PTT GLOBAL CHEMICAL PUBLIC COMPANY</t>
        </is>
      </c>
      <c r="X39" s="96" t="inlineStr">
        <is>
          <t>VED</t>
        </is>
      </c>
      <c r="Y39" s="96" t="inlineStr">
        <is>
          <t>LEMIBA (QUANZHOU) NEW MATERIAL</t>
        </is>
      </c>
      <c r="Z39" s="96" t="inlineStr">
        <is>
          <t>LEMIBA (QUANZHOU) NEW MATERIAL</t>
        </is>
      </c>
      <c r="AA39" s="97" t="n">
        <v>18072</v>
      </c>
      <c r="AB39" s="96" t="inlineStr">
        <is>
          <t>LCH05</t>
        </is>
      </c>
      <c r="AC39" s="96" t="inlineStr">
        <is>
          <t>XMN01</t>
        </is>
      </c>
    </row>
    <row r="40" ht="12" customHeight="1">
      <c r="A40" s="96" t="inlineStr">
        <is>
          <t>SKLU1644231</t>
        </is>
      </c>
      <c r="B40" s="161" t="inlineStr">
        <is>
          <t>2026-10-08</t>
        </is>
      </c>
      <c r="C40" s="96" t="inlineStr">
        <is>
          <t>SWDN</t>
        </is>
      </c>
      <c r="D40" s="96" t="inlineStr">
        <is>
          <t>2610N</t>
        </is>
      </c>
      <c r="E40" s="96" t="inlineStr">
        <is>
          <t>22GP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CNXMN</t>
        </is>
      </c>
      <c r="J40" s="96" t="inlineStr">
        <is>
          <t>CNXMN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LCH05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HASLS22260901148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CHT</t>
        </is>
      </c>
      <c r="U40" s="97" t="n"/>
      <c r="V40" s="96" t="inlineStr">
        <is>
          <t>K0120021</t>
        </is>
      </c>
      <c r="W40" s="96" t="inlineStr">
        <is>
          <t>PTT GLOBAL CHEMICAL PUBLIC COMPANY</t>
        </is>
      </c>
      <c r="X40" s="96" t="inlineStr">
        <is>
          <t>VFD</t>
        </is>
      </c>
      <c r="Y40" s="96" t="inlineStr">
        <is>
          <t>LEMIBA (QUANZHOU) NEW MATERIAL</t>
        </is>
      </c>
      <c r="Z40" s="96" t="inlineStr">
        <is>
          <t>LEMIBA (QUANZHOU) NEW MATERIAL</t>
        </is>
      </c>
      <c r="AA40" s="97" t="n">
        <v>18072</v>
      </c>
      <c r="AB40" s="96" t="inlineStr">
        <is>
          <t>LCH05</t>
        </is>
      </c>
      <c r="AC40" s="96" t="inlineStr">
        <is>
          <t>XMN01</t>
        </is>
      </c>
    </row>
    <row r="41" ht="12" customHeight="1">
      <c r="A41" s="96" t="inlineStr">
        <is>
          <t>SKLU1644870</t>
        </is>
      </c>
      <c r="B41" s="161" t="inlineStr">
        <is>
          <t>2026-10-08</t>
        </is>
      </c>
      <c r="C41" s="96" t="inlineStr">
        <is>
          <t>SWDN</t>
        </is>
      </c>
      <c r="D41" s="96" t="inlineStr">
        <is>
          <t>2610N</t>
        </is>
      </c>
      <c r="E41" s="96" t="inlineStr">
        <is>
          <t>22GP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CNXMN</t>
        </is>
      </c>
      <c r="J41" s="96" t="inlineStr">
        <is>
          <t>CNXMN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LCH05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HASLS22260901146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CHT</t>
        </is>
      </c>
      <c r="U41" s="97" t="n"/>
      <c r="V41" s="96" t="inlineStr">
        <is>
          <t>K0120021</t>
        </is>
      </c>
      <c r="W41" s="96" t="inlineStr">
        <is>
          <t>PTT GLOBAL CHEMICAL PUBLIC COMPANY</t>
        </is>
      </c>
      <c r="X41" s="96" t="inlineStr">
        <is>
          <t>VFD</t>
        </is>
      </c>
      <c r="Y41" s="96" t="inlineStr">
        <is>
          <t>SINOCHEM PETROCHEMICAL</t>
        </is>
      </c>
      <c r="Z41" s="96" t="inlineStr">
        <is>
          <t>SINOCHEM INTERNATIONAL OIL</t>
        </is>
      </c>
      <c r="AA41" s="97" t="n">
        <v>18072</v>
      </c>
      <c r="AB41" s="96" t="inlineStr">
        <is>
          <t>LCH05</t>
        </is>
      </c>
      <c r="AC41" s="96" t="inlineStr">
        <is>
          <t>XMN01</t>
        </is>
      </c>
    </row>
    <row r="42" ht="12" customHeight="1">
      <c r="A42" s="96" t="inlineStr">
        <is>
          <t>SKLU1661500</t>
        </is>
      </c>
      <c r="B42" s="161" t="inlineStr">
        <is>
          <t>2026-10-08</t>
        </is>
      </c>
      <c r="C42" s="96" t="inlineStr">
        <is>
          <t>SWDN</t>
        </is>
      </c>
      <c r="D42" s="96" t="inlineStr">
        <is>
          <t>2610N</t>
        </is>
      </c>
      <c r="E42" s="96" t="inlineStr">
        <is>
          <t>22GP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HKHKG</t>
        </is>
      </c>
      <c r="J42" s="96" t="inlineStr">
        <is>
          <t>CNZHU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LCH05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HASLS22260900563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CHT</t>
        </is>
      </c>
      <c r="U42" s="97" t="n"/>
      <c r="V42" s="96" t="inlineStr">
        <is>
          <t>K0120021</t>
        </is>
      </c>
      <c r="W42" s="96" t="inlineStr">
        <is>
          <t>PTT GLOBAL CHEMICAL PUBLIC COMPANY</t>
        </is>
      </c>
      <c r="X42" s="96" t="inlineStr">
        <is>
          <t>VED</t>
        </is>
      </c>
      <c r="Y42" s="96" t="inlineStr">
        <is>
          <t>GC MARKETING SOLUTIONS (SHANGHAI)</t>
        </is>
      </c>
      <c r="Z42" s="96" t="inlineStr">
        <is>
          <t>GC MARKETING SOLUTIONS (SHANGHAI)</t>
        </is>
      </c>
      <c r="AA42" s="97" t="n">
        <v>18072</v>
      </c>
      <c r="AB42" s="96" t="inlineStr">
        <is>
          <t>LCH05</t>
        </is>
      </c>
      <c r="AC42" s="96" t="inlineStr">
        <is>
          <t>HKG03</t>
        </is>
      </c>
    </row>
    <row r="43" ht="12" customHeight="1">
      <c r="A43" s="96" t="inlineStr">
        <is>
          <t>SKLU1663503</t>
        </is>
      </c>
      <c r="B43" s="161" t="inlineStr">
        <is>
          <t>2026-10-08</t>
        </is>
      </c>
      <c r="C43" s="96" t="inlineStr">
        <is>
          <t>SWDN</t>
        </is>
      </c>
      <c r="D43" s="96" t="inlineStr">
        <is>
          <t>2610N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CNXMN</t>
        </is>
      </c>
      <c r="J43" s="96" t="inlineStr">
        <is>
          <t>CNXMN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LCH05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HASLS22260901148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CHT</t>
        </is>
      </c>
      <c r="U43" s="97" t="n"/>
      <c r="V43" s="96" t="inlineStr">
        <is>
          <t>K0120021</t>
        </is>
      </c>
      <c r="W43" s="96" t="inlineStr">
        <is>
          <t>PTT GLOBAL CHEMICAL PUBLIC COMPANY</t>
        </is>
      </c>
      <c r="X43" s="96" t="inlineStr">
        <is>
          <t>VED</t>
        </is>
      </c>
      <c r="Y43" s="96" t="inlineStr">
        <is>
          <t>LEMIBA (QUANZHOU) NEW MATERIAL</t>
        </is>
      </c>
      <c r="Z43" s="96" t="inlineStr">
        <is>
          <t>LEMIBA (QUANZHOU) NEW MATERIAL</t>
        </is>
      </c>
      <c r="AA43" s="97" t="n">
        <v>18072</v>
      </c>
      <c r="AB43" s="96" t="inlineStr">
        <is>
          <t>LCH05</t>
        </is>
      </c>
      <c r="AC43" s="96" t="inlineStr">
        <is>
          <t>XMN01</t>
        </is>
      </c>
    </row>
    <row r="44" ht="12" customHeight="1">
      <c r="A44" s="96" t="inlineStr">
        <is>
          <t>SKLU1669008</t>
        </is>
      </c>
      <c r="B44" s="161" t="inlineStr">
        <is>
          <t>2026-10-08</t>
        </is>
      </c>
      <c r="C44" s="96" t="inlineStr">
        <is>
          <t>SWDN</t>
        </is>
      </c>
      <c r="D44" s="96" t="inlineStr">
        <is>
          <t>2610N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CNXMN</t>
        </is>
      </c>
      <c r="J44" s="96" t="inlineStr">
        <is>
          <t>CNXMN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LCH05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HASLS22260901015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CHT</t>
        </is>
      </c>
      <c r="U44" s="97" t="n"/>
      <c r="V44" s="96" t="inlineStr">
        <is>
          <t>K0120021</t>
        </is>
      </c>
      <c r="W44" s="96" t="inlineStr">
        <is>
          <t>THAI POLYCARBONATE CO.,LTD.</t>
        </is>
      </c>
      <c r="X44" s="96" t="inlineStr">
        <is>
          <t>VED</t>
        </is>
      </c>
      <c r="Y44" s="96" t="inlineStr">
        <is>
          <t>DONG GUAN HUA GANG INTERNATIONAL</t>
        </is>
      </c>
      <c r="Z44" s="96" t="inlineStr">
        <is>
          <t>DONG GUAN HUA GANG INTERNATIONAL</t>
        </is>
      </c>
      <c r="AA44" s="97" t="n">
        <v>16672</v>
      </c>
      <c r="AB44" s="96" t="inlineStr">
        <is>
          <t>LCH05</t>
        </is>
      </c>
      <c r="AC44" s="96" t="inlineStr">
        <is>
          <t>XMN01</t>
        </is>
      </c>
    </row>
    <row r="45" ht="12" customHeight="1">
      <c r="A45" s="96" t="inlineStr">
        <is>
          <t>SKLU1816161</t>
        </is>
      </c>
      <c r="B45" s="161" t="inlineStr">
        <is>
          <t>2026-10-08</t>
        </is>
      </c>
      <c r="C45" s="96" t="inlineStr">
        <is>
          <t>SWDN</t>
        </is>
      </c>
      <c r="D45" s="96" t="inlineStr">
        <is>
          <t>2610N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CNXMN</t>
        </is>
      </c>
      <c r="J45" s="96" t="inlineStr">
        <is>
          <t>CNXMN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LCH05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HASLS22260901029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CHT</t>
        </is>
      </c>
      <c r="U45" s="97" t="n"/>
      <c r="V45" s="96" t="inlineStr">
        <is>
          <t>K0120021</t>
        </is>
      </c>
      <c r="W45" s="96" t="inlineStr">
        <is>
          <t>THAI POLYCARBONATE CO.,LTD.</t>
        </is>
      </c>
      <c r="X45" s="96" t="inlineStr">
        <is>
          <t>VFD</t>
        </is>
      </c>
      <c r="Y45" s="96" t="inlineStr">
        <is>
          <t>PLASTEL INDUSTRIES CO.,LTD.</t>
        </is>
      </c>
      <c r="Z45" s="96" t="inlineStr">
        <is>
          <t>PLASTEL INDUSTRIES CO.,LTD.</t>
        </is>
      </c>
      <c r="AA45" s="97" t="n">
        <v>16432</v>
      </c>
      <c r="AB45" s="96" t="inlineStr">
        <is>
          <t>LCH05</t>
        </is>
      </c>
      <c r="AC45" s="96" t="inlineStr">
        <is>
          <t>XMN01</t>
        </is>
      </c>
    </row>
    <row r="46" ht="12" customHeight="1">
      <c r="A46" s="96" t="inlineStr">
        <is>
          <t>SKLU2301350</t>
        </is>
      </c>
      <c r="B46" s="161" t="inlineStr">
        <is>
          <t>2026-10-08</t>
        </is>
      </c>
      <c r="C46" s="96" t="inlineStr">
        <is>
          <t>SWDN</t>
        </is>
      </c>
      <c r="D46" s="96" t="inlineStr">
        <is>
          <t>2610N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THLCH</t>
        </is>
      </c>
      <c r="H46" s="96" t="inlineStr">
        <is>
          <t>THLCH</t>
        </is>
      </c>
      <c r="I46" s="96" t="inlineStr">
        <is>
          <t>HKHKG</t>
        </is>
      </c>
      <c r="J46" s="96" t="inlineStr">
        <is>
          <t>CNZHU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LCH05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HASLS22260900563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CHT</t>
        </is>
      </c>
      <c r="U46" s="97" t="n"/>
      <c r="V46" s="96" t="inlineStr">
        <is>
          <t>K0120021</t>
        </is>
      </c>
      <c r="W46" s="96" t="inlineStr">
        <is>
          <t>PTT GLOBAL CHEMICAL PUBLIC COMPANY</t>
        </is>
      </c>
      <c r="X46" s="96" t="inlineStr">
        <is>
          <t>VED</t>
        </is>
      </c>
      <c r="Y46" s="96" t="inlineStr">
        <is>
          <t>GC MARKETING SOLUTIONS (SHANGHAI)</t>
        </is>
      </c>
      <c r="Z46" s="96" t="inlineStr">
        <is>
          <t>GC MARKETING SOLUTIONS (SHANGHAI)</t>
        </is>
      </c>
      <c r="AA46" s="97" t="n">
        <v>18072</v>
      </c>
      <c r="AB46" s="96" t="inlineStr">
        <is>
          <t>LCH05</t>
        </is>
      </c>
      <c r="AC46" s="96" t="inlineStr">
        <is>
          <t>HKG03</t>
        </is>
      </c>
    </row>
    <row r="47" ht="12" customHeight="1">
      <c r="A47" s="96" t="inlineStr">
        <is>
          <t>SKLU2312186</t>
        </is>
      </c>
      <c r="B47" s="161" t="inlineStr">
        <is>
          <t>2026-10-08</t>
        </is>
      </c>
      <c r="C47" s="96" t="inlineStr">
        <is>
          <t>SWDN</t>
        </is>
      </c>
      <c r="D47" s="96" t="inlineStr">
        <is>
          <t>2610N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CNXMN</t>
        </is>
      </c>
      <c r="J47" s="96" t="inlineStr">
        <is>
          <t>CNXMN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LCH05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HASLS22260901148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CHT</t>
        </is>
      </c>
      <c r="U47" s="97" t="n"/>
      <c r="V47" s="96" t="inlineStr">
        <is>
          <t>S1120012</t>
        </is>
      </c>
      <c r="W47" s="96" t="inlineStr">
        <is>
          <t>PTT GLOBAL CHEMICAL PUBLIC COMPANY</t>
        </is>
      </c>
      <c r="X47" s="96" t="inlineStr">
        <is>
          <t>VFD</t>
        </is>
      </c>
      <c r="Y47" s="96" t="inlineStr">
        <is>
          <t>LEMIBA (QUANZHOU) NEW MATERIAL</t>
        </is>
      </c>
      <c r="Z47" s="96" t="inlineStr">
        <is>
          <t>LEMIBA (QUANZHOU) NEW MATERIAL</t>
        </is>
      </c>
      <c r="AA47" s="97" t="n">
        <v>18072</v>
      </c>
      <c r="AB47" s="96" t="inlineStr">
        <is>
          <t>LCH05</t>
        </is>
      </c>
      <c r="AC47" s="96" t="inlineStr">
        <is>
          <t>XMN01</t>
        </is>
      </c>
    </row>
    <row r="48" ht="12" customHeight="1">
      <c r="A48" s="96" t="inlineStr">
        <is>
          <t>SKLU3510078</t>
        </is>
      </c>
      <c r="B48" s="161" t="inlineStr">
        <is>
          <t>2026-10-08</t>
        </is>
      </c>
      <c r="C48" s="96" t="inlineStr">
        <is>
          <t>SWDN</t>
        </is>
      </c>
      <c r="D48" s="96" t="inlineStr">
        <is>
          <t>2610N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THLCH</t>
        </is>
      </c>
      <c r="H48" s="96" t="inlineStr">
        <is>
          <t>THLCH</t>
        </is>
      </c>
      <c r="I48" s="96" t="inlineStr">
        <is>
          <t>CNXMN</t>
        </is>
      </c>
      <c r="J48" s="96" t="inlineStr">
        <is>
          <t>CNXMN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LCH05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HASLS22260901146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CHT</t>
        </is>
      </c>
      <c r="U48" s="97" t="n"/>
      <c r="V48" s="96" t="inlineStr">
        <is>
          <t>K0120021</t>
        </is>
      </c>
      <c r="W48" s="96" t="inlineStr">
        <is>
          <t>PTT GLOBAL CHEMICAL PUBLIC COMPANY</t>
        </is>
      </c>
      <c r="X48" s="96" t="inlineStr">
        <is>
          <t>VFD</t>
        </is>
      </c>
      <c r="Y48" s="96" t="inlineStr">
        <is>
          <t>SINOCHEM PETROCHEMICAL</t>
        </is>
      </c>
      <c r="Z48" s="96" t="inlineStr">
        <is>
          <t>SINOCHEM INTERNATIONAL OIL</t>
        </is>
      </c>
      <c r="AA48" s="97" t="n">
        <v>18072</v>
      </c>
      <c r="AB48" s="96" t="inlineStr">
        <is>
          <t>LCH05</t>
        </is>
      </c>
      <c r="AC48" s="96" t="inlineStr">
        <is>
          <t>XMN01</t>
        </is>
      </c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>
        <v>835588.772</v>
      </c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31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HASLS22260900990</t>
        </is>
      </c>
      <c r="B2" s="96" t="inlineStr">
        <is>
          <t>20RFx1</t>
        </is>
      </c>
      <c r="C2" s="97" t="n">
        <v>1</v>
      </c>
      <c r="D2" s="97" t="n">
        <v>1</v>
      </c>
      <c r="E2" s="97" t="inlineStr">
        <is>
          <t>THLKR</t>
        </is>
      </c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CHT</t>
        </is>
      </c>
      <c r="M2" s="96" t="inlineStr">
        <is>
          <t>SWDN</t>
        </is>
      </c>
      <c r="N2" s="96" t="inlineStr">
        <is>
          <t>2610N</t>
        </is>
      </c>
      <c r="O2" s="96" t="inlineStr">
        <is>
          <t>THLCH</t>
        </is>
      </c>
      <c r="P2" s="96" t="inlineStr">
        <is>
          <t>LCH05</t>
        </is>
      </c>
      <c r="Q2" s="96" t="inlineStr">
        <is>
          <t>IA</t>
        </is>
      </c>
      <c r="R2" s="161" t="inlineStr">
        <is>
          <t>2026-10-08</t>
        </is>
      </c>
      <c r="S2" s="96" t="inlineStr">
        <is>
          <t>HKHKG</t>
        </is>
      </c>
      <c r="T2" s="96" t="inlineStr">
        <is>
          <t>HKG03</t>
        </is>
      </c>
      <c r="U2" s="96" t="inlineStr">
        <is>
          <t>HKHKG</t>
        </is>
      </c>
      <c r="V2" s="161" t="inlineStr">
        <is>
          <t>2026-10-11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NAMYONG LOGISTICS CO., LTD.</t>
        </is>
      </c>
      <c r="AB2" s="96" t="inlineStr">
        <is>
          <t>THAI SUMMIT MARKETING CO., LTD.</t>
        </is>
      </c>
      <c r="AC2" s="163" t="n">
        <v>4790.09</v>
      </c>
      <c r="AD2" s="163" t="n">
        <v>6990.09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TBKK47</t>
        </is>
      </c>
      <c r="AN2" s="96" t="inlineStr">
        <is>
          <t>Tarn(Supaporn)</t>
        </is>
      </c>
      <c r="AO2" s="96" t="inlineStr">
        <is>
          <t>FROZEN CHICKEN MEAT / FROZEN PREPARED CHICKEN MEAT</t>
        </is>
      </c>
      <c r="AP2" s="96" t="inlineStr">
        <is>
          <t>T/S</t>
        </is>
      </c>
      <c r="AQ2" s="97" t="n"/>
      <c r="AR2" s="97" t="n"/>
      <c r="AS2" s="97" t="inlineStr">
        <is>
          <t>RF// MIN:-20.0 MAX:-20.0 [COVER:CLOSE]</t>
        </is>
      </c>
      <c r="AT2" s="97" t="inlineStr">
        <is>
          <t xml:space="preserve">22REx1 </t>
        </is>
      </c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Pickup : 2026-09-28, Return LKR  : 2026-09-30 (Temp -20.0 / Vent Close) [PAPERLESS CODE 2815]
CLS TIME 01/10/26 @23.59 (1ST DATE RTN 30/09/2026 W/O RENT,ELECTRIC)</t>
        </is>
      </c>
      <c r="BA2" s="97" t="inlineStr">
        <is>
          <t>FM KMGY 2610N 11/09HS CODE: 1602.32</t>
        </is>
      </c>
      <c r="BB2" s="96" t="inlineStr">
        <is>
          <t>P</t>
        </is>
      </c>
      <c r="BC2" s="161" t="inlineStr">
        <is>
          <t>2026-09-11</t>
        </is>
      </c>
      <c r="BD2" s="161" t="inlineStr">
        <is>
          <t>2026-10-01</t>
        </is>
      </c>
      <c r="BE2" s="96" t="inlineStr">
        <is>
          <t>Y</t>
        </is>
      </c>
      <c r="BF2" s="96" t="inlineStr">
        <is>
          <t xml:space="preserve">FROZEN CHICKEN MEAT 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BKK27</t>
        </is>
      </c>
      <c r="BL2" s="161" t="inlineStr">
        <is>
          <t>2026-09-28</t>
        </is>
      </c>
      <c r="BM2" s="127" t="n"/>
      <c r="BN2" s="127" t="n"/>
      <c r="BO2" s="127" t="n"/>
      <c r="BP2" s="127" t="n"/>
      <c r="BQ2" s="127" t="n">
        <v>1</v>
      </c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LCH55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op-seaex@namyonglogistics.com</t>
        </is>
      </c>
      <c r="CJ2" s="96" t="inlineStr">
        <is>
          <t>THAI SUMMIT  MARKETING  CO., LTD.</t>
        </is>
      </c>
      <c r="CK2" s="96" t="inlineStr">
        <is>
          <t>FULLY WIN CORPORATION LIMITED</t>
        </is>
      </c>
      <c r="CL2" s="96" t="inlineStr">
        <is>
          <t>FULLY WIN CORPORATION LIMITED</t>
        </is>
      </c>
      <c r="CM2" s="97" t="inlineStr">
        <is>
          <t>CLOSED</t>
        </is>
      </c>
      <c r="CN2" s="96" t="inlineStr">
        <is>
          <t>202610051200</t>
        </is>
      </c>
      <c r="CO2" s="96" t="inlineStr">
        <is>
          <t>202610061500</t>
        </is>
      </c>
      <c r="CP2" s="97" t="inlineStr">
        <is>
          <t>22RE x1: RF(Temp:-20.0' / Cover:CLOSE)</t>
        </is>
      </c>
      <c r="CQ2" s="96" t="inlineStr">
        <is>
          <t>S22-2308029</t>
        </is>
      </c>
      <c r="CR2" s="96" t="inlineStr">
        <is>
          <t>THTKGC</t>
        </is>
      </c>
      <c r="CS2" s="96" t="inlineStr">
        <is>
          <t>NAMYONG LOGISTICS CO., LTD.</t>
        </is>
      </c>
      <c r="CT2" s="96" t="inlineStr">
        <is>
          <t>N</t>
        </is>
      </c>
      <c r="CU2" s="97" t="n"/>
      <c r="CV2" s="97" t="n"/>
      <c r="CW2" s="161" t="inlineStr">
        <is>
          <t>2026-10-03</t>
        </is>
      </c>
      <c r="CX2" s="97" t="n"/>
      <c r="CY2" s="156" t="n"/>
    </row>
    <row r="3" ht="12" customHeight="1">
      <c r="A3" s="116" t="inlineStr">
        <is>
          <t>HASLS22260901167</t>
        </is>
      </c>
      <c r="B3" s="96" t="inlineStr">
        <is>
          <t>20TKx2</t>
        </is>
      </c>
      <c r="C3" s="97" t="n">
        <v>0</v>
      </c>
      <c r="D3" s="97" t="n">
        <v>0</v>
      </c>
      <c r="E3" s="97" t="n"/>
      <c r="F3" s="97" t="n">
        <v>0</v>
      </c>
      <c r="G3" s="97" t="n">
        <v>2</v>
      </c>
      <c r="H3" s="97" t="n">
        <v>0</v>
      </c>
      <c r="I3" s="97" t="n">
        <v>0</v>
      </c>
      <c r="J3" s="97" t="n">
        <v>2</v>
      </c>
      <c r="K3" s="96" t="inlineStr">
        <is>
          <t>SOC</t>
        </is>
      </c>
      <c r="L3" s="96" t="inlineStr">
        <is>
          <t>CHT</t>
        </is>
      </c>
      <c r="M3" s="96" t="inlineStr">
        <is>
          <t>SWDN</t>
        </is>
      </c>
      <c r="N3" s="96" t="inlineStr">
        <is>
          <t>2610N</t>
        </is>
      </c>
      <c r="O3" s="96" t="inlineStr">
        <is>
          <t>THLCH</t>
        </is>
      </c>
      <c r="P3" s="96" t="inlineStr">
        <is>
          <t>LCH05</t>
        </is>
      </c>
      <c r="Q3" s="96" t="inlineStr">
        <is>
          <t>IA</t>
        </is>
      </c>
      <c r="R3" s="161" t="inlineStr">
        <is>
          <t>2026-10-08</t>
        </is>
      </c>
      <c r="S3" s="96" t="inlineStr">
        <is>
          <t>HKHKG</t>
        </is>
      </c>
      <c r="T3" s="96" t="inlineStr">
        <is>
          <t>HKG03</t>
        </is>
      </c>
      <c r="U3" s="96" t="inlineStr">
        <is>
          <t>CNHUA</t>
        </is>
      </c>
      <c r="V3" s="161" t="inlineStr">
        <is>
          <t>2026-10-11</t>
        </is>
      </c>
      <c r="W3" s="96" t="inlineStr">
        <is>
          <t>IA</t>
        </is>
      </c>
      <c r="X3" s="97" t="inlineStr">
        <is>
          <t>Barge</t>
        </is>
      </c>
      <c r="Y3" s="97" t="n"/>
      <c r="Z3" s="97" t="n"/>
      <c r="AA3" s="96" t="inlineStr">
        <is>
          <t>NS INTERNATIONAL (THAILAND) CO., LTD.</t>
        </is>
      </c>
      <c r="AB3" s="96" t="inlineStr">
        <is>
          <t>THAI MMA CO., LTD.</t>
        </is>
      </c>
      <c r="AC3" s="163" t="n">
        <v>43810</v>
      </c>
      <c r="AD3" s="163" t="n">
        <v>51810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n"/>
      <c r="AJ3" s="97" t="n"/>
      <c r="AK3" s="97" t="n"/>
      <c r="AL3" s="97" t="n"/>
      <c r="AM3" s="96" t="inlineStr">
        <is>
          <t>TBKK97</t>
        </is>
      </c>
      <c r="AN3" s="96" t="inlineStr">
        <is>
          <t>Arunphat W. (Aiw)</t>
        </is>
      </c>
      <c r="AO3" s="96" t="inlineStr">
        <is>
          <t>METHACRYLIC ACID (MAA)</t>
        </is>
      </c>
      <c r="AP3" s="96" t="inlineStr">
        <is>
          <t>Normal</t>
        </is>
      </c>
      <c r="AQ3" s="97" t="inlineStr">
        <is>
          <t>2531/8-II</t>
        </is>
      </c>
      <c r="AR3" s="97" t="inlineStr">
        <is>
          <t xml:space="preserve">22TNx2 </t>
        </is>
      </c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n"/>
      <c r="AZ3" s="96" t="inlineStr">
        <is>
          <t>**APPROVE DG IN SYSTEM 18/09/26** DG22TNx2 (CLS 8 / UN 2531) SOC 
Pickup : 2026-09-24, Return @JWD : 2026-09-25  
CUSTOMS FORMALITY (SOC) BY NS // Tax ID : 0105550071991</t>
        </is>
      </c>
      <c r="BA3" s="97" t="inlineStr">
        <is>
          <t>CUSTOMS FORMALITY (SOC) BY NS // Tax ID : 0105550071991</t>
        </is>
      </c>
      <c r="BB3" s="96" t="inlineStr">
        <is>
          <t>P</t>
        </is>
      </c>
      <c r="BC3" s="161" t="inlineStr">
        <is>
          <t>2026-09-15</t>
        </is>
      </c>
      <c r="BD3" s="161" t="inlineStr">
        <is>
          <t>2026-10-05</t>
        </is>
      </c>
      <c r="BE3" s="96" t="inlineStr">
        <is>
          <t>Y</t>
        </is>
      </c>
      <c r="BF3" s="96" t="inlineStr">
        <is>
          <t>METHACRYLIC ACID (MAA)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n"/>
      <c r="BL3" s="161" t="inlineStr">
        <is>
          <t>2026-09-24</t>
        </is>
      </c>
      <c r="BM3" s="127" t="n"/>
      <c r="BN3" s="127" t="n"/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>
        <v>2</v>
      </c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LCH05</t>
        </is>
      </c>
      <c r="CD3" s="97" t="n"/>
      <c r="CE3" s="97" t="n"/>
      <c r="CF3" s="96" t="inlineStr">
        <is>
          <t>8 Class x 2 Teu (Approval),</t>
        </is>
      </c>
      <c r="CG3" s="96" t="inlineStr">
        <is>
          <t>CY/CY</t>
        </is>
      </c>
      <c r="CH3" s="97" t="n"/>
      <c r="CI3" s="96" t="inlineStr">
        <is>
          <t>EXPORT@NSINTER.COM</t>
        </is>
      </c>
      <c r="CJ3" s="96" t="inlineStr">
        <is>
          <t>NS INTERNATIONAL (THAILAND) CO.,LTD</t>
        </is>
      </c>
      <c r="CK3" s="96" t="inlineStr">
        <is>
          <t>DL CHEMICAL YIBIANSHI(SHANGHAI)</t>
        </is>
      </c>
      <c r="CL3" s="96" t="inlineStr">
        <is>
          <t>DL CHEMICAL YIBIANSHI(SHANGHAI)</t>
        </is>
      </c>
      <c r="CM3" s="97" t="n"/>
      <c r="CN3" s="96" t="inlineStr">
        <is>
          <t>202610051200</t>
        </is>
      </c>
      <c r="CO3" s="96" t="inlineStr">
        <is>
          <t>202610061500</t>
        </is>
      </c>
      <c r="CP3" s="97" t="inlineStr">
        <is>
          <t>22TN x2: DG(UNNo.:2531/ Class:8)</t>
        </is>
      </c>
      <c r="CQ3" s="96" t="inlineStr">
        <is>
          <t>S22-2606035</t>
        </is>
      </c>
      <c r="CR3" s="96" t="inlineStr">
        <is>
          <t>TH05FO</t>
        </is>
      </c>
      <c r="CS3" s="96" t="inlineStr">
        <is>
          <t>NS INTERNATIONAL (THAILAND) CO., LTD.</t>
        </is>
      </c>
      <c r="CT3" s="96" t="inlineStr">
        <is>
          <t>N</t>
        </is>
      </c>
      <c r="CU3" s="97" t="n"/>
      <c r="CV3" s="97" t="n"/>
      <c r="CW3" s="161" t="inlineStr">
        <is>
          <t>2026-10-01</t>
        </is>
      </c>
      <c r="CX3" s="97" t="n"/>
      <c r="CY3" s="183" t="n"/>
    </row>
    <row r="4" ht="12" customHeight="1">
      <c r="A4" s="116" t="inlineStr">
        <is>
          <t>HASLS22260900777</t>
        </is>
      </c>
      <c r="B4" s="96" t="inlineStr">
        <is>
          <t>20'x1</t>
        </is>
      </c>
      <c r="C4" s="97" t="n">
        <v>1</v>
      </c>
      <c r="D4" s="97" t="n">
        <v>1</v>
      </c>
      <c r="E4" s="97" t="n"/>
      <c r="F4" s="97" t="n">
        <v>0</v>
      </c>
      <c r="G4" s="97" t="n">
        <v>1</v>
      </c>
      <c r="H4" s="97" t="n">
        <v>0</v>
      </c>
      <c r="I4" s="97" t="n">
        <v>0</v>
      </c>
      <c r="J4" s="97" t="n">
        <v>1</v>
      </c>
      <c r="K4" s="96" t="inlineStr">
        <is>
          <t>N</t>
        </is>
      </c>
      <c r="L4" s="96" t="inlineStr">
        <is>
          <t>CHT</t>
        </is>
      </c>
      <c r="M4" s="96" t="inlineStr">
        <is>
          <t>SWDN</t>
        </is>
      </c>
      <c r="N4" s="96" t="inlineStr">
        <is>
          <t>2610N</t>
        </is>
      </c>
      <c r="O4" s="96" t="inlineStr">
        <is>
          <t>THLCH</t>
        </is>
      </c>
      <c r="P4" s="96" t="inlineStr">
        <is>
          <t>LCH05</t>
        </is>
      </c>
      <c r="Q4" s="96" t="inlineStr">
        <is>
          <t>IA</t>
        </is>
      </c>
      <c r="R4" s="161" t="inlineStr">
        <is>
          <t>2026-10-08</t>
        </is>
      </c>
      <c r="S4" s="96" t="inlineStr">
        <is>
          <t>KRINC</t>
        </is>
      </c>
      <c r="T4" s="96" t="inlineStr">
        <is>
          <t>INC03</t>
        </is>
      </c>
      <c r="U4" s="96" t="inlineStr">
        <is>
          <t>KRINC</t>
        </is>
      </c>
      <c r="V4" s="161" t="inlineStr">
        <is>
          <t>2026-10-16</t>
        </is>
      </c>
      <c r="W4" s="96" t="inlineStr">
        <is>
          <t>KR</t>
        </is>
      </c>
      <c r="X4" s="97" t="n"/>
      <c r="Y4" s="97" t="n"/>
      <c r="Z4" s="97" t="n"/>
      <c r="AA4" s="96" t="inlineStr">
        <is>
          <t>T.C.PHARMACEUTICAL INDUSTRIES CO., LTD.</t>
        </is>
      </c>
      <c r="AB4" s="96" t="inlineStr">
        <is>
          <t>T.C.PHARMACEUTICAL INDUSTRIES CO., LTD.</t>
        </is>
      </c>
      <c r="AC4" s="163" t="n">
        <v>16718.4</v>
      </c>
      <c r="AD4" s="163" t="n">
        <v>18918.4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S1951</t>
        </is>
      </c>
      <c r="AN4" s="96" t="inlineStr">
        <is>
          <t>Lee suk hyun</t>
        </is>
      </c>
      <c r="AO4" s="96" t="inlineStr">
        <is>
          <t>SPONSOR ORIGINAL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>CY-RTN : 02-03/10/2026
PO : 20260824WKTCP05</t>
        </is>
      </c>
      <c r="BA4" s="97" t="inlineStr">
        <is>
          <t>SI DD.29/9/26</t>
        </is>
      </c>
      <c r="BB4" s="96" t="inlineStr">
        <is>
          <t>C</t>
        </is>
      </c>
      <c r="BC4" s="161" t="inlineStr">
        <is>
          <t>2026-09-09</t>
        </is>
      </c>
      <c r="BD4" s="161" t="inlineStr">
        <is>
          <t>2026-09-29</t>
        </is>
      </c>
      <c r="BE4" s="96" t="inlineStr">
        <is>
          <t>Y</t>
        </is>
      </c>
      <c r="BF4" s="96" t="inlineStr">
        <is>
          <t>ELECTROLYTE DRINK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2026-10-02</t>
        </is>
      </c>
      <c r="BM4" s="127" t="n"/>
      <c r="BN4" s="127" t="n">
        <v>1</v>
      </c>
      <c r="BO4" s="127" t="n"/>
      <c r="BP4" s="127" t="n"/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n"/>
      <c r="CB4" s="97" t="n"/>
      <c r="CC4" s="96" t="inlineStr">
        <is>
          <t>LCH05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ammarin.phu@tcp.com</t>
        </is>
      </c>
      <c r="CJ4" s="96" t="inlineStr">
        <is>
          <t>T.C. PHARMACEUTICAL INDUSTRIES</t>
        </is>
      </c>
      <c r="CK4" s="96" t="inlineStr">
        <is>
          <t>WORL-KET COMPANY LIMITED</t>
        </is>
      </c>
      <c r="CL4" s="96" t="inlineStr">
        <is>
          <t>WORL-KET COMPANY LIMITED</t>
        </is>
      </c>
      <c r="CM4" s="97" t="inlineStr">
        <is>
          <t>CLOSED</t>
        </is>
      </c>
      <c r="CN4" s="96" t="inlineStr">
        <is>
          <t>202610051200</t>
        </is>
      </c>
      <c r="CO4" s="96" t="inlineStr">
        <is>
          <t>202610061500</t>
        </is>
      </c>
      <c r="CP4" s="97" t="n"/>
      <c r="CQ4" s="96" t="inlineStr">
        <is>
          <t>K01-2001365</t>
        </is>
      </c>
      <c r="CR4" s="96" t="inlineStr">
        <is>
          <t>THTNWG</t>
        </is>
      </c>
      <c r="CS4" s="96" t="inlineStr">
        <is>
          <t>T.C.PHARMACEUTICAL INDUSTRIES CO., LTD.</t>
        </is>
      </c>
      <c r="CT4" s="96" t="inlineStr">
        <is>
          <t>N</t>
        </is>
      </c>
      <c r="CU4" s="97" t="n"/>
      <c r="CV4" s="97" t="n"/>
      <c r="CW4" s="161" t="inlineStr">
        <is>
          <t>2026-10-03</t>
        </is>
      </c>
      <c r="CX4" s="97" t="n"/>
      <c r="CY4" s="183" t="n"/>
    </row>
    <row r="5" ht="12" customHeight="1">
      <c r="A5" s="116" t="inlineStr">
        <is>
          <t>HASLS22260901415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CHT</t>
        </is>
      </c>
      <c r="M5" s="96" t="inlineStr">
        <is>
          <t>SWDN</t>
        </is>
      </c>
      <c r="N5" s="96" t="inlineStr">
        <is>
          <t>2610N</t>
        </is>
      </c>
      <c r="O5" s="96" t="inlineStr">
        <is>
          <t>THLCH</t>
        </is>
      </c>
      <c r="P5" s="96" t="inlineStr">
        <is>
          <t>LCH05</t>
        </is>
      </c>
      <c r="Q5" s="96" t="inlineStr">
        <is>
          <t>IA</t>
        </is>
      </c>
      <c r="R5" s="161" t="inlineStr">
        <is>
          <t>2026-10-08</t>
        </is>
      </c>
      <c r="S5" s="96" t="inlineStr">
        <is>
          <t>CNXMN</t>
        </is>
      </c>
      <c r="T5" s="96" t="inlineStr">
        <is>
          <t>XMN01</t>
        </is>
      </c>
      <c r="U5" s="96" t="inlineStr">
        <is>
          <t>CNXMN</t>
        </is>
      </c>
      <c r="V5" s="161" t="inlineStr">
        <is>
          <t>2026-10-13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SCGJWD LOGISTICS PUBLIC COMPANY LIMITED</t>
        </is>
      </c>
      <c r="AB5" s="96" t="inlineStr">
        <is>
          <t>THAI POLYETHYLENE CO., LTD.</t>
        </is>
      </c>
      <c r="AC5" s="163" t="n">
        <v>11265.2</v>
      </c>
      <c r="AD5" s="163" t="n">
        <v>13465.2</v>
      </c>
      <c r="AE5" s="96" t="inlineStr">
        <is>
          <t>OK</t>
        </is>
      </c>
      <c r="AF5" s="96" t="inlineStr">
        <is>
          <t>SR</t>
        </is>
      </c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TBKK19</t>
        </is>
      </c>
      <c r="AN5" s="96" t="inlineStr">
        <is>
          <t>Kanokporn</t>
        </is>
      </c>
      <c r="AO5" s="96" t="inlineStr">
        <is>
          <t>LINEAR LOW DENSITY POLYETHYLENE RESIN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>CY-RTN : 21-22/09/2026 **INV : 3231006655
REQ GOOD AND CLEAN CONT., NO OIL, NO RUSTY</t>
        </is>
      </c>
      <c r="BA5" s="97" t="inlineStr">
        <is>
          <t>ROLL OVER FROM PREVIOUS VSL KMGY 2610N BY ALLOCATION TEAM MS.TARN APPROVED COST IS UNDER HAL DD.28/09</t>
        </is>
      </c>
      <c r="BB5" s="96" t="inlineStr">
        <is>
          <t>P</t>
        </is>
      </c>
      <c r="BC5" s="161" t="inlineStr">
        <is>
          <t>2026-09-16</t>
        </is>
      </c>
      <c r="BD5" s="161" t="inlineStr">
        <is>
          <t>2026-10-01</t>
        </is>
      </c>
      <c r="BE5" s="96" t="inlineStr">
        <is>
          <t>Y</t>
        </is>
      </c>
      <c r="BF5" s="96" t="inlineStr">
        <is>
          <t>RESIN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2026-09-21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n"/>
      <c r="CB5" s="97" t="n"/>
      <c r="CC5" s="96" t="inlineStr">
        <is>
          <t>LCH05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pornnariv@scgjwd.com</t>
        </is>
      </c>
      <c r="CJ5" s="96" t="inlineStr">
        <is>
          <t>SCGC ICO POLYMERS CO.,LTD.</t>
        </is>
      </c>
      <c r="CK5" s="96" t="inlineStr">
        <is>
          <t>SHANGHAI JIUCHENG TRADE CO., LTD.</t>
        </is>
      </c>
      <c r="CL5" s="96" t="inlineStr">
        <is>
          <t>SHANGHAI JIUCHENG TRADE CO., LTD.</t>
        </is>
      </c>
      <c r="CM5" s="97" t="inlineStr">
        <is>
          <t>CLOSED</t>
        </is>
      </c>
      <c r="CN5" s="96" t="inlineStr">
        <is>
          <t>202610051200</t>
        </is>
      </c>
      <c r="CO5" s="96" t="inlineStr">
        <is>
          <t>202610061500</t>
        </is>
      </c>
      <c r="CP5" s="97" t="n"/>
      <c r="CQ5" s="96" t="inlineStr">
        <is>
          <t>S19-2308041</t>
        </is>
      </c>
      <c r="CR5" s="96" t="inlineStr">
        <is>
          <t>TH0235</t>
        </is>
      </c>
      <c r="CS5" s="96" t="inlineStr">
        <is>
          <t>SCGJWD LOGISTICS PUBLIC COMPANY LIMITED</t>
        </is>
      </c>
      <c r="CT5" s="96" t="inlineStr">
        <is>
          <t>N</t>
        </is>
      </c>
      <c r="CU5" s="97" t="n"/>
      <c r="CV5" s="97" t="n"/>
      <c r="CW5" s="161" t="inlineStr">
        <is>
          <t>2026-10-07</t>
        </is>
      </c>
      <c r="CX5" s="97" t="inlineStr">
        <is>
          <t>390140</t>
        </is>
      </c>
      <c r="CY5" s="183" t="inlineStr">
        <is>
          <t>ROLL OVER FROM PREVIOUS VSL KMGY 2610N BY ALLOCATION TEAM MS.TARN APPROVED COST IS UNDER HAL DD.28/09</t>
        </is>
      </c>
    </row>
    <row r="6" ht="12" customHeight="1">
      <c r="A6" s="116" t="inlineStr">
        <is>
          <t>HASLS22260901873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CHT</t>
        </is>
      </c>
      <c r="M6" s="96" t="inlineStr">
        <is>
          <t>SWDN</t>
        </is>
      </c>
      <c r="N6" s="96" t="inlineStr">
        <is>
          <t>2610N</t>
        </is>
      </c>
      <c r="O6" s="96" t="inlineStr">
        <is>
          <t>THLCH</t>
        </is>
      </c>
      <c r="P6" s="96" t="inlineStr">
        <is>
          <t>LCH05</t>
        </is>
      </c>
      <c r="Q6" s="96" t="inlineStr">
        <is>
          <t>IA</t>
        </is>
      </c>
      <c r="R6" s="161" t="inlineStr">
        <is>
          <t>2026-10-08</t>
        </is>
      </c>
      <c r="S6" s="96" t="inlineStr">
        <is>
          <t>CNXMN</t>
        </is>
      </c>
      <c r="T6" s="96" t="inlineStr">
        <is>
          <t>XMN01</t>
        </is>
      </c>
      <c r="U6" s="96" t="inlineStr">
        <is>
          <t>CNXMN</t>
        </is>
      </c>
      <c r="V6" s="161" t="inlineStr">
        <is>
          <t>2026-10-13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DIMERCO EXPRESS (THAILAND) CO., LTD.</t>
        </is>
      </c>
      <c r="AB6" s="96" t="inlineStr">
        <is>
          <t>MITSUBISHI ELECTRIC THAI AUTO-PARTS CO., LTD.</t>
        </is>
      </c>
      <c r="AC6" s="163" t="n">
        <v>542.8</v>
      </c>
      <c r="AD6" s="163" t="n">
        <v>2742.8</v>
      </c>
      <c r="AE6" s="96" t="inlineStr">
        <is>
          <t>OK</t>
        </is>
      </c>
      <c r="AF6" s="96" t="inlineStr">
        <is>
          <t>SR</t>
        </is>
      </c>
      <c r="AG6" s="97" t="n"/>
      <c r="AH6" s="96" t="inlineStr">
        <is>
          <t>CON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TBKK28</t>
        </is>
      </c>
      <c r="AN6" s="96" t="inlineStr">
        <is>
          <t>Nustsireerach</t>
        </is>
      </c>
      <c r="AO6" s="96" t="inlineStr">
        <is>
          <t>ASSY-LCD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 xml:space="preserve">Pickup : 2026-09-28, Return : 2026-09-29 (1ST RTN 29/09 W/O RENT) 
 ** PLEASE CHECK OPEN GATE BEFORE RETURN CNTR **
</t>
        </is>
      </c>
      <c r="BA6" s="97" t="inlineStr">
        <is>
          <t xml:space="preserve">FM KMGY 2610N DD 22/09 
 </t>
        </is>
      </c>
      <c r="BB6" s="96" t="inlineStr">
        <is>
          <t>P</t>
        </is>
      </c>
      <c r="BC6" s="161" t="inlineStr">
        <is>
          <t>2026-09-21</t>
        </is>
      </c>
      <c r="BD6" s="161" t="inlineStr">
        <is>
          <t>2026-10-01</t>
        </is>
      </c>
      <c r="BE6" s="96" t="inlineStr">
        <is>
          <t>Y</t>
        </is>
      </c>
      <c r="BF6" s="96" t="inlineStr">
        <is>
          <t>ASSY-LCD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2026-09-28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LCH05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oe_dimbkk@dimerco.com</t>
        </is>
      </c>
      <c r="CJ6" s="96" t="inlineStr">
        <is>
          <t>DIMERCO EXPRESS (THAILAND) CO.,LTD.</t>
        </is>
      </c>
      <c r="CK6" s="96" t="inlineStr">
        <is>
          <t>DIVERSIFIED INTERNATIONAL</t>
        </is>
      </c>
      <c r="CL6" s="96" t="inlineStr">
        <is>
          <t>DIVERSIFIED INTERNATIONAL</t>
        </is>
      </c>
      <c r="CM6" s="97" t="inlineStr">
        <is>
          <t>CLOSED</t>
        </is>
      </c>
      <c r="CN6" s="96" t="inlineStr">
        <is>
          <t>202610051200</t>
        </is>
      </c>
      <c r="CO6" s="96" t="inlineStr">
        <is>
          <t>202610061500</t>
        </is>
      </c>
      <c r="CP6" s="97" t="n"/>
      <c r="CQ6" s="96" t="inlineStr">
        <is>
          <t>S19-2307006</t>
        </is>
      </c>
      <c r="CR6" s="96" t="inlineStr">
        <is>
          <t>BB0164</t>
        </is>
      </c>
      <c r="CS6" s="96" t="inlineStr">
        <is>
          <t>DIMERCO EXPRESS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2026-10-03</t>
        </is>
      </c>
      <c r="CX6" s="97" t="n"/>
      <c r="CY6" s="183" t="n"/>
    </row>
    <row r="7" ht="12" customHeight="1">
      <c r="A7" s="116" t="inlineStr">
        <is>
          <t>HASLS22260902542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CHT</t>
        </is>
      </c>
      <c r="M7" s="96" t="inlineStr">
        <is>
          <t>SWDN</t>
        </is>
      </c>
      <c r="N7" s="96" t="inlineStr">
        <is>
          <t>2610N</t>
        </is>
      </c>
      <c r="O7" s="96" t="inlineStr">
        <is>
          <t>THLCH</t>
        </is>
      </c>
      <c r="P7" s="96" t="inlineStr">
        <is>
          <t>LCH05</t>
        </is>
      </c>
      <c r="Q7" s="96" t="inlineStr">
        <is>
          <t>IA</t>
        </is>
      </c>
      <c r="R7" s="161" t="inlineStr">
        <is>
          <t>2026-10-08</t>
        </is>
      </c>
      <c r="S7" s="96" t="inlineStr">
        <is>
          <t>KRINC</t>
        </is>
      </c>
      <c r="T7" s="96" t="inlineStr">
        <is>
          <t>INC03</t>
        </is>
      </c>
      <c r="U7" s="96" t="inlineStr">
        <is>
          <t>KRINC</t>
        </is>
      </c>
      <c r="V7" s="161" t="inlineStr">
        <is>
          <t>2026-10-16</t>
        </is>
      </c>
      <c r="W7" s="96" t="inlineStr">
        <is>
          <t>KR</t>
        </is>
      </c>
      <c r="X7" s="97" t="n"/>
      <c r="Y7" s="97" t="n"/>
      <c r="Z7" s="97" t="n"/>
      <c r="AA7" s="96" t="inlineStr">
        <is>
          <t>MAXTOP LOGISTICS (THAILAND) CO., LTD.</t>
        </is>
      </c>
      <c r="AB7" s="96" t="inlineStr">
        <is>
          <t>ALLIANCE LAUNDRY (THAILAND) CO., LTD.</t>
        </is>
      </c>
      <c r="AC7" s="163" t="n">
        <v>1920.962</v>
      </c>
      <c r="AD7" s="163" t="n">
        <v>4120.962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TBKK97</t>
        </is>
      </c>
      <c r="AN7" s="96" t="inlineStr">
        <is>
          <t>Arunphat W. (Aiw)</t>
        </is>
      </c>
      <c r="AO7" s="96" t="inlineStr">
        <is>
          <t>SELF SERVICE WASHERS AND TUMBLE DRYERS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 xml:space="preserve">Pickup : 2026-10-01, Return : 2026-10-03 *1ST RETURN CNTR DD.03/10/2026*
 ** PLEASE CHECK OPEN GATE BEFORE RETURN CNTR ** 
</t>
        </is>
      </c>
      <c r="BA7" s="97" t="n"/>
      <c r="BB7" s="96" t="inlineStr">
        <is>
          <t>P</t>
        </is>
      </c>
      <c r="BC7" s="161" t="inlineStr">
        <is>
          <t>2026-09-28</t>
        </is>
      </c>
      <c r="BD7" s="161" t="inlineStr">
        <is>
          <t>2026-10-02</t>
        </is>
      </c>
      <c r="BE7" s="96" t="inlineStr">
        <is>
          <t>Y</t>
        </is>
      </c>
      <c r="BF7" s="96" t="inlineStr">
        <is>
          <t>SELF SERVICE WASHERS AND TUMBLE DRYERS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LCHY5</t>
        </is>
      </c>
      <c r="BL7" s="161" t="inlineStr">
        <is>
          <t>2026-10-01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LCH05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maxtop.thai@maxlogis.com</t>
        </is>
      </c>
      <c r="CJ7" s="96" t="inlineStr">
        <is>
          <t>MAXTOP LOGISTICS(THAILAND)CO.,LTD.</t>
        </is>
      </c>
      <c r="CK7" s="96" t="inlineStr">
        <is>
          <t>CHEONWOO NEOLOGIS CO.,LTD.</t>
        </is>
      </c>
      <c r="CL7" s="96" t="inlineStr">
        <is>
          <t>CHEONWOO NEOLOGIS CO.,LTD.</t>
        </is>
      </c>
      <c r="CM7" s="97" t="inlineStr">
        <is>
          <t>CLOSED</t>
        </is>
      </c>
      <c r="CN7" s="96" t="inlineStr">
        <is>
          <t>202610051200</t>
        </is>
      </c>
      <c r="CO7" s="96" t="inlineStr">
        <is>
          <t>202610061500</t>
        </is>
      </c>
      <c r="CP7" s="97" t="n"/>
      <c r="CQ7" s="96" t="inlineStr">
        <is>
          <t>S22-2602020</t>
        </is>
      </c>
      <c r="CR7" s="96" t="inlineStr">
        <is>
          <t>THTTF4</t>
        </is>
      </c>
      <c r="CS7" s="96" t="inlineStr">
        <is>
          <t>MAXTOP LOGISTICS (THAILAND) CO., LTD.</t>
        </is>
      </c>
      <c r="CT7" s="96" t="inlineStr">
        <is>
          <t>N</t>
        </is>
      </c>
      <c r="CU7" s="97" t="n"/>
      <c r="CV7" s="97" t="n"/>
      <c r="CW7" s="161" t="inlineStr">
        <is>
          <t>2026-10-07</t>
        </is>
      </c>
      <c r="CX7" s="97" t="n"/>
      <c r="CY7" s="183" t="n"/>
    </row>
    <row r="8" ht="12" customHeight="1">
      <c r="A8" s="116" t="inlineStr">
        <is>
          <t>HASLS22260800649</t>
        </is>
      </c>
      <c r="B8" s="96" t="inlineStr">
        <is>
          <t>20'x1</t>
        </is>
      </c>
      <c r="C8" s="97" t="n">
        <v>1</v>
      </c>
      <c r="D8" s="97" t="n">
        <v>1</v>
      </c>
      <c r="E8" s="97" t="n"/>
      <c r="F8" s="97" t="n">
        <v>0</v>
      </c>
      <c r="G8" s="97" t="n">
        <v>1</v>
      </c>
      <c r="H8" s="97" t="n">
        <v>0</v>
      </c>
      <c r="I8" s="97" t="n">
        <v>0</v>
      </c>
      <c r="J8" s="97" t="n">
        <v>1</v>
      </c>
      <c r="K8" s="96" t="inlineStr">
        <is>
          <t>N</t>
        </is>
      </c>
      <c r="L8" s="96" t="inlineStr">
        <is>
          <t>CHT</t>
        </is>
      </c>
      <c r="M8" s="96" t="inlineStr">
        <is>
          <t>SWDN</t>
        </is>
      </c>
      <c r="N8" s="96" t="inlineStr">
        <is>
          <t>2610N</t>
        </is>
      </c>
      <c r="O8" s="96" t="inlineStr">
        <is>
          <t>THLCH</t>
        </is>
      </c>
      <c r="P8" s="96" t="inlineStr">
        <is>
          <t>LCH05</t>
        </is>
      </c>
      <c r="Q8" s="96" t="inlineStr">
        <is>
          <t>IA</t>
        </is>
      </c>
      <c r="R8" s="161" t="inlineStr">
        <is>
          <t>2026-10-08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HKHKG</t>
        </is>
      </c>
      <c r="V8" s="161" t="inlineStr">
        <is>
          <t>2026-10-11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NIPPON EXPRESS LOGISTICS (THAILAND) CO., LTD.</t>
        </is>
      </c>
      <c r="AB8" s="96" t="inlineStr">
        <is>
          <t>OLYMPUS(THAILAND) CO., LTD.</t>
        </is>
      </c>
      <c r="AC8" s="163" t="n">
        <v>1046</v>
      </c>
      <c r="AD8" s="163" t="n">
        <v>3246</v>
      </c>
      <c r="AE8" s="96" t="inlineStr">
        <is>
          <t>OK</t>
        </is>
      </c>
      <c r="AF8" s="96" t="n"/>
      <c r="AG8" s="97" t="n"/>
      <c r="AH8" s="96" t="inlineStr">
        <is>
          <t>CON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440007</t>
        </is>
      </c>
      <c r="AN8" s="96" t="inlineStr">
        <is>
          <t>AHN SOON BO</t>
        </is>
      </c>
      <c r="AO8" s="96" t="inlineStr">
        <is>
          <t>OTHER INSTRUMENTS IN MEDICAL, SURGICAL,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Pickup : 2026-09-24, Return : 2026-09-25 [1ST RTN 29/09/2026 W/O RENT]
** PLEASE CHECK OPEN GATE BEFORE RETURN CONTAINER **
 ADD DEM COST 4 DAYS = 1,500 BAHT</t>
        </is>
      </c>
      <c r="BA8" s="97" t="inlineStr">
        <is>
          <t>ADD DEM COST 4 DAYS = 1,500 BAHT CUST. ACCEPT DD 25/09 
MAINTAIN SWDN 2610N BY K.POON DD 23/09 
FM SWSR 2611N 07/09
FM 1X40HQ 15/09
FM SKOR 2611N DD 17/09 B/L Type SEA WAYBILL</t>
        </is>
      </c>
      <c r="BB8" s="96" t="inlineStr">
        <is>
          <t>P</t>
        </is>
      </c>
      <c r="BC8" s="161" t="inlineStr">
        <is>
          <t>2026-08-07</t>
        </is>
      </c>
      <c r="BD8" s="161" t="inlineStr">
        <is>
          <t>2026-10-05</t>
        </is>
      </c>
      <c r="BE8" s="96" t="inlineStr">
        <is>
          <t>Y</t>
        </is>
      </c>
      <c r="BF8" s="96" t="inlineStr">
        <is>
          <t>OTHER INSTRUMENTS IN MEDICAL, SURGICAL,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2026-09-24</t>
        </is>
      </c>
      <c r="BM8" s="127" t="n"/>
      <c r="BN8" s="127" t="n">
        <v>1</v>
      </c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LCH05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NELT-aclc-exp@nipponexpress.com</t>
        </is>
      </c>
      <c r="CJ8" s="96" t="inlineStr">
        <is>
          <t>NIPPON EXPRESS LOGISTICS</t>
        </is>
      </c>
      <c r="CK8" s="96" t="inlineStr">
        <is>
          <t>NIPPON EXPRESS (H.K.) CO.,LTD.</t>
        </is>
      </c>
      <c r="CL8" s="96" t="inlineStr">
        <is>
          <t>NIPPON EXPRESS (H.K.) CO.,LTD.</t>
        </is>
      </c>
      <c r="CM8" s="97" t="inlineStr">
        <is>
          <t>CLOSED</t>
        </is>
      </c>
      <c r="CN8" s="96" t="inlineStr">
        <is>
          <t>202610051200</t>
        </is>
      </c>
      <c r="CO8" s="96" t="inlineStr">
        <is>
          <t>202610061500</t>
        </is>
      </c>
      <c r="CP8" s="97" t="n"/>
      <c r="CQ8" s="96" t="inlineStr">
        <is>
          <t>K01-2604098</t>
        </is>
      </c>
      <c r="CR8" s="96" t="inlineStr">
        <is>
          <t>THTSOT</t>
        </is>
      </c>
      <c r="CS8" s="96" t="inlineStr">
        <is>
          <t>NIPPON EXPRESS LOGISTICS (THAILAND) CO., LTD.</t>
        </is>
      </c>
      <c r="CT8" s="96" t="inlineStr">
        <is>
          <t>N</t>
        </is>
      </c>
      <c r="CU8" s="97" t="n"/>
      <c r="CV8" s="97" t="n"/>
      <c r="CW8" s="161" t="inlineStr">
        <is>
          <t>2026-10-03</t>
        </is>
      </c>
      <c r="CX8" s="97" t="n"/>
      <c r="CY8" s="183" t="n"/>
    </row>
    <row r="9" ht="12" customHeight="1">
      <c r="A9" s="116" t="inlineStr">
        <is>
          <t>HASLS22260901015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CHT</t>
        </is>
      </c>
      <c r="M9" s="96" t="inlineStr">
        <is>
          <t>SWDN</t>
        </is>
      </c>
      <c r="N9" s="96" t="inlineStr">
        <is>
          <t>2610N</t>
        </is>
      </c>
      <c r="O9" s="96" t="inlineStr">
        <is>
          <t>THLCH</t>
        </is>
      </c>
      <c r="P9" s="96" t="inlineStr">
        <is>
          <t>LCH05</t>
        </is>
      </c>
      <c r="Q9" s="96" t="inlineStr">
        <is>
          <t>IA</t>
        </is>
      </c>
      <c r="R9" s="161" t="inlineStr">
        <is>
          <t>2026-10-08</t>
        </is>
      </c>
      <c r="S9" s="96" t="inlineStr">
        <is>
          <t>CNXMN</t>
        </is>
      </c>
      <c r="T9" s="96" t="inlineStr">
        <is>
          <t>XMN01</t>
        </is>
      </c>
      <c r="U9" s="96" t="inlineStr">
        <is>
          <t>CNXMN</t>
        </is>
      </c>
      <c r="V9" s="161" t="inlineStr">
        <is>
          <t>2026-10-13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THAI POLYCARBONATE CO., LTD.</t>
        </is>
      </c>
      <c r="AB9" s="96" t="inlineStr">
        <is>
          <t>THAI POLYCARBONATE CO., LTD.</t>
        </is>
      </c>
      <c r="AC9" s="163" t="n">
        <v>16672</v>
      </c>
      <c r="AD9" s="163" t="n">
        <v>18872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TBKK55</t>
        </is>
      </c>
      <c r="AN9" s="96" t="inlineStr">
        <is>
          <t>Vilaiporn</t>
        </is>
      </c>
      <c r="AO9" s="96" t="inlineStr">
        <is>
          <t>POLYCARBONATE RESIN IUPILON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 xml:space="preserve">Pickup : 2026-09-24, Return : 2026-09-25 (1ST RTN 26/09 W/O RENT) 
 ** PLEASE CHECK OPEN GATE BEFORE RETURN CNTR **
</t>
        </is>
      </c>
      <c r="BA9" s="97" t="inlineStr">
        <is>
          <t>SI DD.18/9/26</t>
        </is>
      </c>
      <c r="BB9" s="96" t="inlineStr">
        <is>
          <t>P</t>
        </is>
      </c>
      <c r="BC9" s="161" t="inlineStr">
        <is>
          <t>2026-09-11</t>
        </is>
      </c>
      <c r="BD9" s="161" t="inlineStr">
        <is>
          <t>2026-09-18</t>
        </is>
      </c>
      <c r="BE9" s="96" t="inlineStr">
        <is>
          <t>Y</t>
        </is>
      </c>
      <c r="BF9" s="96" t="inlineStr">
        <is>
          <t>POLYCARBONATE RESIN , HS CODEIS 3907.40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LCH27</t>
        </is>
      </c>
      <c r="BL9" s="161" t="inlineStr">
        <is>
          <t>2026-09-24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LCH05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supaporn.fako@th.tpcc-tpac.com</t>
        </is>
      </c>
      <c r="CJ9" s="96" t="inlineStr">
        <is>
          <t>THAI POLYCARBONATE CO.,LTD.</t>
        </is>
      </c>
      <c r="CK9" s="96" t="inlineStr">
        <is>
          <t>DONG GUAN HUA GANG INTERNATIONAL</t>
        </is>
      </c>
      <c r="CL9" s="96" t="inlineStr">
        <is>
          <t>DONG GUAN HUA GANG INTERNATIONAL</t>
        </is>
      </c>
      <c r="CM9" s="97" t="inlineStr">
        <is>
          <t>CLOSED</t>
        </is>
      </c>
      <c r="CN9" s="96" t="inlineStr">
        <is>
          <t>202610051200</t>
        </is>
      </c>
      <c r="CO9" s="96" t="inlineStr">
        <is>
          <t>202610061500</t>
        </is>
      </c>
      <c r="CP9" s="97" t="n"/>
      <c r="CQ9" s="96" t="inlineStr">
        <is>
          <t>S19-2112039</t>
        </is>
      </c>
      <c r="CR9" s="96" t="inlineStr">
        <is>
          <t>THTKNC</t>
        </is>
      </c>
      <c r="CS9" s="96" t="inlineStr">
        <is>
          <t>THAI POLYCARBONATE CO., LTD.</t>
        </is>
      </c>
      <c r="CT9" s="96" t="inlineStr">
        <is>
          <t>N</t>
        </is>
      </c>
      <c r="CU9" s="97" t="n"/>
      <c r="CV9" s="97" t="n"/>
      <c r="CW9" s="161" t="inlineStr">
        <is>
          <t>2026-09-30</t>
        </is>
      </c>
      <c r="CX9" s="97" t="inlineStr">
        <is>
          <t>390740</t>
        </is>
      </c>
      <c r="CY9" s="183" t="n"/>
    </row>
    <row r="10" ht="12" customHeight="1">
      <c r="A10" s="116" t="inlineStr">
        <is>
          <t>HASLS22260901029</t>
        </is>
      </c>
      <c r="B10" s="96" t="inlineStr">
        <is>
          <t>20'x3</t>
        </is>
      </c>
      <c r="C10" s="97" t="n">
        <v>3</v>
      </c>
      <c r="D10" s="97" t="n">
        <v>3</v>
      </c>
      <c r="E10" s="97" t="n"/>
      <c r="F10" s="97" t="n">
        <v>0</v>
      </c>
      <c r="G10" s="97" t="n">
        <v>3</v>
      </c>
      <c r="H10" s="97" t="n">
        <v>0</v>
      </c>
      <c r="I10" s="97" t="n">
        <v>0</v>
      </c>
      <c r="J10" s="97" t="n">
        <v>3</v>
      </c>
      <c r="K10" s="96" t="inlineStr">
        <is>
          <t>N</t>
        </is>
      </c>
      <c r="L10" s="96" t="inlineStr">
        <is>
          <t>CHT</t>
        </is>
      </c>
      <c r="M10" s="96" t="inlineStr">
        <is>
          <t>SWDN</t>
        </is>
      </c>
      <c r="N10" s="96" t="inlineStr">
        <is>
          <t>2610N</t>
        </is>
      </c>
      <c r="O10" s="96" t="inlineStr">
        <is>
          <t>THLCH</t>
        </is>
      </c>
      <c r="P10" s="96" t="inlineStr">
        <is>
          <t>LCH05</t>
        </is>
      </c>
      <c r="Q10" s="96" t="inlineStr">
        <is>
          <t>IA</t>
        </is>
      </c>
      <c r="R10" s="161" t="inlineStr">
        <is>
          <t>2026-10-08</t>
        </is>
      </c>
      <c r="S10" s="96" t="inlineStr">
        <is>
          <t>CNXMN</t>
        </is>
      </c>
      <c r="T10" s="96" t="inlineStr">
        <is>
          <t>XMN01</t>
        </is>
      </c>
      <c r="U10" s="96" t="inlineStr">
        <is>
          <t>CNXMN</t>
        </is>
      </c>
      <c r="V10" s="161" t="inlineStr">
        <is>
          <t>2026-10-13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THAI POLYCARBONATE CO., LTD.</t>
        </is>
      </c>
      <c r="AB10" s="96" t="inlineStr">
        <is>
          <t>THAI POLYCARBONATE CO., LTD.</t>
        </is>
      </c>
      <c r="AC10" s="163" t="n">
        <v>49296</v>
      </c>
      <c r="AD10" s="163" t="n">
        <v>55896</v>
      </c>
      <c r="AE10" s="96" t="inlineStr">
        <is>
          <t>OK</t>
        </is>
      </c>
      <c r="AF10" s="96" t="n"/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TBKK55</t>
        </is>
      </c>
      <c r="AN10" s="96" t="inlineStr">
        <is>
          <t>Vilaiporn</t>
        </is>
      </c>
      <c r="AO10" s="96" t="inlineStr">
        <is>
          <t>POLYCARBONATE RESIN IUPILON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>Pickup : 2026-09-23, Return : 2026-09-25 [1ST RTN 26/09/2026 W/O RENT]
** PLEASE CHECK OPEN GATE BEFORE RETURN CONTAINER **</t>
        </is>
      </c>
      <c r="BA10" s="97" t="inlineStr">
        <is>
          <t>SI DD.25/9/26</t>
        </is>
      </c>
      <c r="BB10" s="96" t="inlineStr">
        <is>
          <t>P</t>
        </is>
      </c>
      <c r="BC10" s="161" t="inlineStr">
        <is>
          <t>2026-09-11</t>
        </is>
      </c>
      <c r="BD10" s="161" t="inlineStr">
        <is>
          <t>2026-09-25</t>
        </is>
      </c>
      <c r="BE10" s="96" t="inlineStr">
        <is>
          <t>Y</t>
        </is>
      </c>
      <c r="BF10" s="96" t="inlineStr">
        <is>
          <t>POLYCARBONATE RESIN (HS CODE. 3907.40)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LCH27</t>
        </is>
      </c>
      <c r="BL10" s="161" t="inlineStr">
        <is>
          <t>2026-09-23</t>
        </is>
      </c>
      <c r="BM10" s="127" t="n"/>
      <c r="BN10" s="127" t="n">
        <v>3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LCH05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supaporn.fako@th.tpcc-tpac.com</t>
        </is>
      </c>
      <c r="CJ10" s="96" t="inlineStr">
        <is>
          <t>THAI POLYCARBONATE CO.,LTD.</t>
        </is>
      </c>
      <c r="CK10" s="96" t="inlineStr">
        <is>
          <t>PLASTEL INDUSTRIES CO.,LTD.</t>
        </is>
      </c>
      <c r="CL10" s="96" t="inlineStr">
        <is>
          <t>PLASTEL INDUSTRIES CO.,LTD.</t>
        </is>
      </c>
      <c r="CM10" s="97" t="inlineStr">
        <is>
          <t>CLOSED</t>
        </is>
      </c>
      <c r="CN10" s="96" t="inlineStr">
        <is>
          <t>202610051200</t>
        </is>
      </c>
      <c r="CO10" s="96" t="inlineStr">
        <is>
          <t>202610061500</t>
        </is>
      </c>
      <c r="CP10" s="97" t="n"/>
      <c r="CQ10" s="96" t="inlineStr">
        <is>
          <t>S19-2112039</t>
        </is>
      </c>
      <c r="CR10" s="96" t="inlineStr">
        <is>
          <t>THTKNC</t>
        </is>
      </c>
      <c r="CS10" s="96" t="inlineStr">
        <is>
          <t>THAI POLYCARBONATE CO., LTD.</t>
        </is>
      </c>
      <c r="CT10" s="96" t="inlineStr">
        <is>
          <t>N</t>
        </is>
      </c>
      <c r="CU10" s="97" t="n"/>
      <c r="CV10" s="97" t="n"/>
      <c r="CW10" s="161" t="inlineStr">
        <is>
          <t>2026-09-30</t>
        </is>
      </c>
      <c r="CX10" s="97" t="inlineStr">
        <is>
          <t>390740</t>
        </is>
      </c>
      <c r="CY10" s="183" t="n"/>
    </row>
    <row r="11" ht="12" customHeight="1">
      <c r="A11" s="116" t="inlineStr">
        <is>
          <t>HASLS22260901146</t>
        </is>
      </c>
      <c r="B11" s="96" t="inlineStr">
        <is>
          <t>20'x4</t>
        </is>
      </c>
      <c r="C11" s="97" t="n">
        <v>4</v>
      </c>
      <c r="D11" s="97" t="n">
        <v>4</v>
      </c>
      <c r="E11" s="97" t="n"/>
      <c r="F11" s="97" t="n">
        <v>0</v>
      </c>
      <c r="G11" s="97" t="n">
        <v>4</v>
      </c>
      <c r="H11" s="97" t="n">
        <v>0</v>
      </c>
      <c r="I11" s="97" t="n">
        <v>0</v>
      </c>
      <c r="J11" s="97" t="n">
        <v>4</v>
      </c>
      <c r="K11" s="96" t="inlineStr">
        <is>
          <t>N</t>
        </is>
      </c>
      <c r="L11" s="96" t="inlineStr">
        <is>
          <t>CHT</t>
        </is>
      </c>
      <c r="M11" s="96" t="inlineStr">
        <is>
          <t>SWDN</t>
        </is>
      </c>
      <c r="N11" s="96" t="inlineStr">
        <is>
          <t>2610N</t>
        </is>
      </c>
      <c r="O11" s="96" t="inlineStr">
        <is>
          <t>THLCH</t>
        </is>
      </c>
      <c r="P11" s="96" t="inlineStr">
        <is>
          <t>LCH05</t>
        </is>
      </c>
      <c r="Q11" s="96" t="inlineStr">
        <is>
          <t>IA</t>
        </is>
      </c>
      <c r="R11" s="161" t="inlineStr">
        <is>
          <t>2026-10-08</t>
        </is>
      </c>
      <c r="S11" s="96" t="inlineStr">
        <is>
          <t>CNXMN</t>
        </is>
      </c>
      <c r="T11" s="96" t="inlineStr">
        <is>
          <t>XMN01</t>
        </is>
      </c>
      <c r="U11" s="96" t="inlineStr">
        <is>
          <t>CNXMN</t>
        </is>
      </c>
      <c r="V11" s="161" t="inlineStr">
        <is>
          <t>2026-10-13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WHA GC LOGISTICS COMPANY LIMITED</t>
        </is>
      </c>
      <c r="AB11" s="96" t="inlineStr">
        <is>
          <t>PTT GLOBAL CHEMICAL PUBLIC COMPANY LIMITED</t>
        </is>
      </c>
      <c r="AC11" s="163" t="n">
        <v>72288</v>
      </c>
      <c r="AD11" s="163" t="n">
        <v>81088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TBKK13</t>
        </is>
      </c>
      <c r="AN11" s="96" t="inlineStr">
        <is>
          <t>Dharaporn</t>
        </is>
      </c>
      <c r="AO11" s="96" t="inlineStr">
        <is>
          <t>LINEAR LOW DENSITY POLYETHYLENE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 xml:space="preserve">CY-RTN 21-25/09/26 *PR2610003144*
</t>
        </is>
      </c>
      <c r="BA11" s="97" t="inlineStr">
        <is>
          <t>SI DD.21/9/26</t>
        </is>
      </c>
      <c r="BB11" s="96" t="inlineStr">
        <is>
          <t>P</t>
        </is>
      </c>
      <c r="BC11" s="161" t="inlineStr">
        <is>
          <t>2026-09-14</t>
        </is>
      </c>
      <c r="BD11" s="161" t="inlineStr">
        <is>
          <t>2026-10-01</t>
        </is>
      </c>
      <c r="BE11" s="96" t="inlineStr">
        <is>
          <t>Y</t>
        </is>
      </c>
      <c r="BF11" s="96" t="inlineStr">
        <is>
          <t>RESIN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2026-09-21</t>
        </is>
      </c>
      <c r="BM11" s="127" t="n"/>
      <c r="BN11" s="127" t="n">
        <v>4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n"/>
      <c r="CB11" s="97" t="n"/>
      <c r="CC11" s="96" t="inlineStr">
        <is>
          <t>LCH05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nitchakamon.s@wha-gc.com</t>
        </is>
      </c>
      <c r="CJ11" s="96" t="inlineStr">
        <is>
          <t>PTT GLOBAL CHEMICAL PUBLIC COMPANY</t>
        </is>
      </c>
      <c r="CK11" s="96" t="inlineStr">
        <is>
          <t>SINOCHEM PETROCHEMICAL</t>
        </is>
      </c>
      <c r="CL11" s="96" t="inlineStr">
        <is>
          <t>SINOCHEM INTERNATIONAL OIL</t>
        </is>
      </c>
      <c r="CM11" s="97" t="n"/>
      <c r="CN11" s="96" t="inlineStr">
        <is>
          <t>202610051200</t>
        </is>
      </c>
      <c r="CO11" s="96" t="inlineStr">
        <is>
          <t>202610061500</t>
        </is>
      </c>
      <c r="CP11" s="97" t="n"/>
      <c r="CQ11" s="96" t="inlineStr">
        <is>
          <t>S22-2309036</t>
        </is>
      </c>
      <c r="CR11" s="96" t="inlineStr">
        <is>
          <t>TH02GR</t>
        </is>
      </c>
      <c r="CS11" s="96" t="inlineStr">
        <is>
          <t>WHA GC LOGISTICS COMPANY LIMITED</t>
        </is>
      </c>
      <c r="CT11" s="96" t="inlineStr">
        <is>
          <t>N</t>
        </is>
      </c>
      <c r="CU11" s="97" t="n"/>
      <c r="CV11" s="97" t="n"/>
      <c r="CW11" s="161" t="inlineStr">
        <is>
          <t>2026-10-01</t>
        </is>
      </c>
      <c r="CX11" s="97" t="inlineStr">
        <is>
          <t>390140</t>
        </is>
      </c>
      <c r="CY11" s="183" t="n"/>
    </row>
    <row r="12" ht="12" customHeight="1">
      <c r="A12" s="116" t="inlineStr">
        <is>
          <t>HASLS22260901148</t>
        </is>
      </c>
      <c r="B12" s="96" t="inlineStr">
        <is>
          <t>20'x4</t>
        </is>
      </c>
      <c r="C12" s="97" t="n">
        <v>4</v>
      </c>
      <c r="D12" s="97" t="n">
        <v>4</v>
      </c>
      <c r="E12" s="97" t="n"/>
      <c r="F12" s="97" t="n">
        <v>0</v>
      </c>
      <c r="G12" s="97" t="n">
        <v>4</v>
      </c>
      <c r="H12" s="97" t="n">
        <v>0</v>
      </c>
      <c r="I12" s="97" t="n">
        <v>0</v>
      </c>
      <c r="J12" s="97" t="n">
        <v>4</v>
      </c>
      <c r="K12" s="96" t="inlineStr">
        <is>
          <t>N</t>
        </is>
      </c>
      <c r="L12" s="96" t="inlineStr">
        <is>
          <t>CHT</t>
        </is>
      </c>
      <c r="M12" s="96" t="inlineStr">
        <is>
          <t>SWDN</t>
        </is>
      </c>
      <c r="N12" s="96" t="inlineStr">
        <is>
          <t>2610N</t>
        </is>
      </c>
      <c r="O12" s="96" t="inlineStr">
        <is>
          <t>THLCH</t>
        </is>
      </c>
      <c r="P12" s="96" t="inlineStr">
        <is>
          <t>LCH05</t>
        </is>
      </c>
      <c r="Q12" s="96" t="inlineStr">
        <is>
          <t>IA</t>
        </is>
      </c>
      <c r="R12" s="161" t="inlineStr">
        <is>
          <t>2026-10-08</t>
        </is>
      </c>
      <c r="S12" s="96" t="inlineStr">
        <is>
          <t>CNXMN</t>
        </is>
      </c>
      <c r="T12" s="96" t="inlineStr">
        <is>
          <t>XMN01</t>
        </is>
      </c>
      <c r="U12" s="96" t="inlineStr">
        <is>
          <t>CNXMN</t>
        </is>
      </c>
      <c r="V12" s="161" t="inlineStr">
        <is>
          <t>2026-10-13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WHA GC LOGISTICS COMPANY LIMITED</t>
        </is>
      </c>
      <c r="AB12" s="96" t="inlineStr">
        <is>
          <t>PTT GLOBAL CHEMICAL PUBLIC COMPANY LIMITED</t>
        </is>
      </c>
      <c r="AC12" s="163" t="n">
        <v>72288</v>
      </c>
      <c r="AD12" s="163" t="n">
        <v>81088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TBKK13</t>
        </is>
      </c>
      <c r="AN12" s="96" t="inlineStr">
        <is>
          <t>Dharaporn</t>
        </is>
      </c>
      <c r="AO12" s="96" t="inlineStr">
        <is>
          <t>LINEAR LOW DENSITY POLYETHYLENE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 xml:space="preserve">CY-RTN 21-25/09/26 *PR2610003148*
</t>
        </is>
      </c>
      <c r="BA12" s="97" t="inlineStr">
        <is>
          <t>SI DD.21/9/26</t>
        </is>
      </c>
      <c r="BB12" s="96" t="inlineStr">
        <is>
          <t>P</t>
        </is>
      </c>
      <c r="BC12" s="161" t="inlineStr">
        <is>
          <t>2026-09-14</t>
        </is>
      </c>
      <c r="BD12" s="161" t="inlineStr">
        <is>
          <t>2026-10-01</t>
        </is>
      </c>
      <c r="BE12" s="96" t="inlineStr">
        <is>
          <t>Y</t>
        </is>
      </c>
      <c r="BF12" s="96" t="inlineStr">
        <is>
          <t>RESIN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LCHY5</t>
        </is>
      </c>
      <c r="BL12" s="161" t="inlineStr">
        <is>
          <t>2026-09-21</t>
        </is>
      </c>
      <c r="BM12" s="127" t="n"/>
      <c r="BN12" s="127" t="n">
        <v>4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n"/>
      <c r="CB12" s="97" t="n"/>
      <c r="CC12" s="96" t="inlineStr">
        <is>
          <t>LCH05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nitchakamon.s@wha-gc.com</t>
        </is>
      </c>
      <c r="CJ12" s="96" t="inlineStr">
        <is>
          <t>PTT GLOBAL CHEMICAL PUBLIC COMPANY</t>
        </is>
      </c>
      <c r="CK12" s="96" t="inlineStr">
        <is>
          <t>LEMIBA (QUANZHOU) NEW MATERIAL</t>
        </is>
      </c>
      <c r="CL12" s="96" t="inlineStr">
        <is>
          <t>LEMIBA (QUANZHOU) NEW MATERIAL</t>
        </is>
      </c>
      <c r="CM12" s="97" t="n"/>
      <c r="CN12" s="96" t="inlineStr">
        <is>
          <t>202610051200</t>
        </is>
      </c>
      <c r="CO12" s="96" t="inlineStr">
        <is>
          <t>202610061500</t>
        </is>
      </c>
      <c r="CP12" s="97" t="n"/>
      <c r="CQ12" s="96" t="inlineStr">
        <is>
          <t>S22-2309036</t>
        </is>
      </c>
      <c r="CR12" s="96" t="inlineStr">
        <is>
          <t>TH02GR</t>
        </is>
      </c>
      <c r="CS12" s="96" t="inlineStr">
        <is>
          <t>WHA GC LOGISTICS COMPANY LIMITED</t>
        </is>
      </c>
      <c r="CT12" s="96" t="inlineStr">
        <is>
          <t>N</t>
        </is>
      </c>
      <c r="CU12" s="97" t="n"/>
      <c r="CV12" s="97" t="n"/>
      <c r="CW12" s="161" t="inlineStr">
        <is>
          <t>2026-10-01</t>
        </is>
      </c>
      <c r="CX12" s="97" t="inlineStr">
        <is>
          <t>390140</t>
        </is>
      </c>
      <c r="CY12" s="183" t="n"/>
    </row>
    <row r="13" ht="12" customHeight="1">
      <c r="A13" s="116" t="inlineStr">
        <is>
          <t>HASLS22260900563</t>
        </is>
      </c>
      <c r="B13" s="96" t="inlineStr">
        <is>
          <t>20'x8</t>
        </is>
      </c>
      <c r="C13" s="97" t="n">
        <v>8</v>
      </c>
      <c r="D13" s="97" t="n">
        <v>8</v>
      </c>
      <c r="E13" s="97" t="n"/>
      <c r="F13" s="97" t="n">
        <v>0</v>
      </c>
      <c r="G13" s="97" t="n">
        <v>8</v>
      </c>
      <c r="H13" s="97" t="n">
        <v>0</v>
      </c>
      <c r="I13" s="97" t="n">
        <v>0</v>
      </c>
      <c r="J13" s="97" t="n">
        <v>8</v>
      </c>
      <c r="K13" s="96" t="inlineStr">
        <is>
          <t>N</t>
        </is>
      </c>
      <c r="L13" s="96" t="inlineStr">
        <is>
          <t>CHT</t>
        </is>
      </c>
      <c r="M13" s="96" t="inlineStr">
        <is>
          <t>SWDN</t>
        </is>
      </c>
      <c r="N13" s="96" t="inlineStr">
        <is>
          <t>2610N</t>
        </is>
      </c>
      <c r="O13" s="96" t="inlineStr">
        <is>
          <t>THLCH</t>
        </is>
      </c>
      <c r="P13" s="96" t="inlineStr">
        <is>
          <t>LCH05</t>
        </is>
      </c>
      <c r="Q13" s="96" t="inlineStr">
        <is>
          <t>IA</t>
        </is>
      </c>
      <c r="R13" s="161" t="inlineStr">
        <is>
          <t>2026-10-08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CNZHU</t>
        </is>
      </c>
      <c r="V13" s="161" t="inlineStr">
        <is>
          <t>2026-10-11</t>
        </is>
      </c>
      <c r="W13" s="96" t="inlineStr">
        <is>
          <t>IA</t>
        </is>
      </c>
      <c r="X13" s="97" t="inlineStr">
        <is>
          <t>Barge</t>
        </is>
      </c>
      <c r="Y13" s="97" t="n"/>
      <c r="Z13" s="97" t="n"/>
      <c r="AA13" s="96" t="inlineStr">
        <is>
          <t>WHA GC LOGISTICS COMPANY LIMITED</t>
        </is>
      </c>
      <c r="AB13" s="96" t="inlineStr">
        <is>
          <t>PTT GLOBAL CHEMICAL PUBLIC COMPANY LIMITED</t>
        </is>
      </c>
      <c r="AC13" s="163" t="n">
        <v>144576</v>
      </c>
      <c r="AD13" s="163" t="n">
        <v>162176</v>
      </c>
      <c r="AE13" s="96" t="inlineStr">
        <is>
          <t>OK</t>
        </is>
      </c>
      <c r="AF13" s="96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TBKK13</t>
        </is>
      </c>
      <c r="AN13" s="96" t="inlineStr">
        <is>
          <t>Dharaporn</t>
        </is>
      </c>
      <c r="AO13" s="96" t="inlineStr">
        <is>
          <t>HIGH DENSITY POLYETHYLENE (HDPE)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n"/>
      <c r="AZ13" s="96" t="inlineStr">
        <is>
          <t>CY-RTN 21-25/09/26 (CIVET TERMINAL)
*PLS CHECK OPEN GATE BEFORE RETURN CTNR*</t>
        </is>
      </c>
      <c r="BA13" s="97" t="inlineStr">
        <is>
          <t>SI DD.21/9/26 (CIVET TERMINAL)
CNTR: HALU2400286/HAL458661 , SKLU1661500/HAL458662 MOVE FM HASLS22260900583</t>
        </is>
      </c>
      <c r="BB13" s="96" t="inlineStr">
        <is>
          <t>P</t>
        </is>
      </c>
      <c r="BC13" s="161" t="inlineStr">
        <is>
          <t>2026-09-07</t>
        </is>
      </c>
      <c r="BD13" s="161" t="inlineStr">
        <is>
          <t>2026-09-28</t>
        </is>
      </c>
      <c r="BE13" s="96" t="inlineStr">
        <is>
          <t>Y</t>
        </is>
      </c>
      <c r="BF13" s="96" t="inlineStr">
        <is>
          <t>RESIN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LCH27</t>
        </is>
      </c>
      <c r="BL13" s="161" t="inlineStr">
        <is>
          <t>2026-09-21</t>
        </is>
      </c>
      <c r="BM13" s="127" t="n"/>
      <c r="BN13" s="127" t="n">
        <v>8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n"/>
      <c r="CB13" s="97" t="n"/>
      <c r="CC13" s="96" t="inlineStr">
        <is>
          <t>LCH05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jariya.c@wha-gc.com</t>
        </is>
      </c>
      <c r="CJ13" s="96" t="inlineStr">
        <is>
          <t>PTT GLOBAL CHEMICAL PUBLIC COMPANY</t>
        </is>
      </c>
      <c r="CK13" s="96" t="inlineStr">
        <is>
          <t>GC MARKETING SOLUTIONS (SHANGHAI)</t>
        </is>
      </c>
      <c r="CL13" s="96" t="inlineStr">
        <is>
          <t>GC MARKETING SOLUTIONS (SHANGHAI)</t>
        </is>
      </c>
      <c r="CM13" s="97" t="n"/>
      <c r="CN13" s="96" t="inlineStr">
        <is>
          <t>202610051200</t>
        </is>
      </c>
      <c r="CO13" s="96" t="inlineStr">
        <is>
          <t>202610061500</t>
        </is>
      </c>
      <c r="CP13" s="97" t="n"/>
      <c r="CQ13" s="96" t="inlineStr">
        <is>
          <t>S22-2309036</t>
        </is>
      </c>
      <c r="CR13" s="96" t="inlineStr">
        <is>
          <t>TH02GR</t>
        </is>
      </c>
      <c r="CS13" s="96" t="inlineStr">
        <is>
          <t>WHA GC LOGISTICS COMPANY LIMITED</t>
        </is>
      </c>
      <c r="CT13" s="96" t="inlineStr">
        <is>
          <t>N</t>
        </is>
      </c>
      <c r="CU13" s="97" t="n"/>
      <c r="CV13" s="97" t="n"/>
      <c r="CW13" s="161" t="inlineStr">
        <is>
          <t>2026-09-30</t>
        </is>
      </c>
      <c r="CX13" s="97" t="inlineStr">
        <is>
          <t>390120</t>
        </is>
      </c>
      <c r="CY13" s="183" t="n"/>
    </row>
    <row r="14" ht="12" customHeight="1">
      <c r="A14" s="116" t="inlineStr">
        <is>
          <t>HASLS22260902174</t>
        </is>
      </c>
      <c r="B14" s="96" t="inlineStr">
        <is>
          <t>40Hx1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0</v>
      </c>
      <c r="H14" s="97" t="n">
        <v>0</v>
      </c>
      <c r="I14" s="97" t="n">
        <v>1</v>
      </c>
      <c r="J14" s="97" t="n">
        <v>2</v>
      </c>
      <c r="K14" s="96" t="inlineStr">
        <is>
          <t>N</t>
        </is>
      </c>
      <c r="L14" s="96" t="inlineStr">
        <is>
          <t>CHT</t>
        </is>
      </c>
      <c r="M14" s="96" t="inlineStr">
        <is>
          <t>SWDN</t>
        </is>
      </c>
      <c r="N14" s="96" t="inlineStr">
        <is>
          <t>2610N</t>
        </is>
      </c>
      <c r="O14" s="96" t="inlineStr">
        <is>
          <t>THLCH</t>
        </is>
      </c>
      <c r="P14" s="96" t="inlineStr">
        <is>
          <t>LCH05</t>
        </is>
      </c>
      <c r="Q14" s="96" t="inlineStr">
        <is>
          <t>IA</t>
        </is>
      </c>
      <c r="R14" s="161" t="inlineStr">
        <is>
          <t>2026-10-08</t>
        </is>
      </c>
      <c r="S14" s="96" t="inlineStr">
        <is>
          <t>KRINC</t>
        </is>
      </c>
      <c r="T14" s="96" t="inlineStr">
        <is>
          <t>INC03</t>
        </is>
      </c>
      <c r="U14" s="96" t="inlineStr">
        <is>
          <t>KRINC</t>
        </is>
      </c>
      <c r="V14" s="161" t="inlineStr">
        <is>
          <t>2026-10-16</t>
        </is>
      </c>
      <c r="W14" s="96" t="inlineStr">
        <is>
          <t>KR</t>
        </is>
      </c>
      <c r="X14" s="97" t="n"/>
      <c r="Y14" s="97" t="n"/>
      <c r="Z14" s="97" t="n"/>
      <c r="AA14" s="96" t="inlineStr">
        <is>
          <t>LX PANTOS (THAILAND) CO., LTD.</t>
        </is>
      </c>
      <c r="AB14" s="96" t="inlineStr">
        <is>
          <t>ROFU (THAILAND) LTD.</t>
        </is>
      </c>
      <c r="AC14" s="163" t="n">
        <v>5699.96</v>
      </c>
      <c r="AD14" s="163" t="n">
        <v>9699.959999999999</v>
      </c>
      <c r="AE14" s="96" t="inlineStr">
        <is>
          <t>OK</t>
        </is>
      </c>
      <c r="AF14" s="96" t="n"/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H2602</t>
        </is>
      </c>
      <c r="AN14" s="96" t="inlineStr">
        <is>
          <t>Kim jaewon</t>
        </is>
      </c>
      <c r="AO14" s="96" t="inlineStr">
        <is>
          <t>SHOES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>Pickup : 2026-09-28, Return : 2026-09-29</t>
        </is>
      </c>
      <c r="BA14" s="97" t="inlineStr">
        <is>
          <t>SI</t>
        </is>
      </c>
      <c r="BB14" s="96" t="inlineStr">
        <is>
          <t>C</t>
        </is>
      </c>
      <c r="BC14" s="161" t="inlineStr">
        <is>
          <t>2026-09-23</t>
        </is>
      </c>
      <c r="BD14" s="161" t="inlineStr">
        <is>
          <t>2026-10-02</t>
        </is>
      </c>
      <c r="BE14" s="96" t="inlineStr">
        <is>
          <t>Y</t>
        </is>
      </c>
      <c r="BF14" s="96" t="inlineStr">
        <is>
          <t>SHOES KEEN BRAND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2026-09-28</t>
        </is>
      </c>
      <c r="BM14" s="127" t="n"/>
      <c r="BN14" s="127" t="n"/>
      <c r="BO14" s="127" t="n"/>
      <c r="BP14" s="127" t="n">
        <v>1</v>
      </c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LCH05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th.seaopenex@lxpantos.com</t>
        </is>
      </c>
      <c r="CJ14" s="96" t="inlineStr">
        <is>
          <t>LX PANTOS (THAILAND) CO., LTD.</t>
        </is>
      </c>
      <c r="CK14" s="96" t="inlineStr">
        <is>
          <t>LX PANTOS CO., LTD.</t>
        </is>
      </c>
      <c r="CL14" s="96" t="inlineStr">
        <is>
          <t>LX PANTOS CO., LTD.</t>
        </is>
      </c>
      <c r="CM14" s="97" t="n"/>
      <c r="CN14" s="96" t="inlineStr">
        <is>
          <t>202610051200</t>
        </is>
      </c>
      <c r="CO14" s="96" t="inlineStr">
        <is>
          <t>202610061500</t>
        </is>
      </c>
      <c r="CP14" s="97" t="n"/>
      <c r="CQ14" s="96" t="inlineStr">
        <is>
          <t>K01-2112121</t>
        </is>
      </c>
      <c r="CR14" s="96" t="inlineStr">
        <is>
          <t>THTRJ5</t>
        </is>
      </c>
      <c r="CS14" s="96" t="inlineStr">
        <is>
          <t>LX PANTOS (THAILAND) CO., LTD.</t>
        </is>
      </c>
      <c r="CT14" s="96" t="inlineStr">
        <is>
          <t>N</t>
        </is>
      </c>
      <c r="CU14" s="97" t="n"/>
      <c r="CV14" s="97" t="n"/>
      <c r="CW14" s="161" t="inlineStr">
        <is>
          <t>2026-10-03</t>
        </is>
      </c>
      <c r="CX14" s="97" t="n"/>
      <c r="CY14" s="183" t="n"/>
    </row>
    <row r="15" ht="12" customHeight="1">
      <c r="A15" s="116" t="inlineStr">
        <is>
          <t>HASLS22260800648</t>
        </is>
      </c>
      <c r="B15" s="96" t="inlineStr">
        <is>
          <t>40Hx1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0</v>
      </c>
      <c r="H15" s="97" t="n">
        <v>0</v>
      </c>
      <c r="I15" s="97" t="n">
        <v>1</v>
      </c>
      <c r="J15" s="97" t="n">
        <v>2</v>
      </c>
      <c r="K15" s="96" t="inlineStr">
        <is>
          <t>N</t>
        </is>
      </c>
      <c r="L15" s="96" t="inlineStr">
        <is>
          <t>CHT</t>
        </is>
      </c>
      <c r="M15" s="96" t="inlineStr">
        <is>
          <t>SWDN</t>
        </is>
      </c>
      <c r="N15" s="96" t="inlineStr">
        <is>
          <t>2610N</t>
        </is>
      </c>
      <c r="O15" s="96" t="inlineStr">
        <is>
          <t>THLCH</t>
        </is>
      </c>
      <c r="P15" s="96" t="inlineStr">
        <is>
          <t>LCH05</t>
        </is>
      </c>
      <c r="Q15" s="96" t="inlineStr">
        <is>
          <t>IA</t>
        </is>
      </c>
      <c r="R15" s="161" t="inlineStr">
        <is>
          <t>2026-10-08</t>
        </is>
      </c>
      <c r="S15" s="96" t="inlineStr">
        <is>
          <t>HKHKG</t>
        </is>
      </c>
      <c r="T15" s="96" t="inlineStr">
        <is>
          <t>HKG03</t>
        </is>
      </c>
      <c r="U15" s="96" t="inlineStr">
        <is>
          <t>HKHKG</t>
        </is>
      </c>
      <c r="V15" s="161" t="inlineStr">
        <is>
          <t>2026-10-11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NIPPON EXPRESS LOGISTICS (THAILAND) CO., LTD.</t>
        </is>
      </c>
      <c r="AB15" s="96" t="inlineStr">
        <is>
          <t>OLYMPUS(THAILAND) CO., LTD.</t>
        </is>
      </c>
      <c r="AC15" s="163" t="n">
        <v>6330</v>
      </c>
      <c r="AD15" s="163" t="n">
        <v>10330</v>
      </c>
      <c r="AE15" s="96" t="inlineStr">
        <is>
          <t>OK</t>
        </is>
      </c>
      <c r="AF15" s="96" t="inlineStr">
        <is>
          <t>SR</t>
        </is>
      </c>
      <c r="AG15" s="97" t="n"/>
      <c r="AH15" s="96" t="inlineStr">
        <is>
          <t>CON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440007</t>
        </is>
      </c>
      <c r="AN15" s="96" t="inlineStr">
        <is>
          <t>AHN SOON BO</t>
        </is>
      </c>
      <c r="AO15" s="96" t="inlineStr">
        <is>
          <t>OTHER INSTRUMENTS IN MEDICAL, SURGICAL,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n"/>
      <c r="AZ15" s="96" t="inlineStr">
        <is>
          <t>Pickup : 2026-09-25, Return : 2026-09-25 (1ST RTN 29/09 W/O RENT) 
 ** PLEASE CHECK OPEN GATE BEFORE RETURN CNTR **
 ADD DEM COST 4 DAYS = 3,000 BAHT</t>
        </is>
      </c>
      <c r="BA15" s="97" t="inlineStr">
        <is>
          <t>ADD DEM COST 4 DAYS = 3,000 BAHT CUST. CFM DD 25/09 
MAINTAIN SWDN 2610N BY K. POON DD 23/09 
FM SKOR 2611N DD 17/09 
FM CMA 2614N DD 17/08 
FM SWSR 2611N 07/09</t>
        </is>
      </c>
      <c r="BB15" s="96" t="inlineStr">
        <is>
          <t>P</t>
        </is>
      </c>
      <c r="BC15" s="161" t="inlineStr">
        <is>
          <t>2026-08-07</t>
        </is>
      </c>
      <c r="BD15" s="161" t="inlineStr">
        <is>
          <t>2026-10-05</t>
        </is>
      </c>
      <c r="BE15" s="96" t="inlineStr">
        <is>
          <t>Y</t>
        </is>
      </c>
      <c r="BF15" s="96" t="inlineStr">
        <is>
          <t>OTHER INSTRUMENTS IN MEDICAL, SURGICAL,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2026-09-25</t>
        </is>
      </c>
      <c r="BM15" s="127" t="n"/>
      <c r="BN15" s="127" t="n"/>
      <c r="BO15" s="127" t="n"/>
      <c r="BP15" s="127" t="n">
        <v>1</v>
      </c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LCH05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NELT-aclc-exp@nipponexpress.com</t>
        </is>
      </c>
      <c r="CJ15" s="96" t="inlineStr">
        <is>
          <t>NIPPON EXPRESS LOGISTICS</t>
        </is>
      </c>
      <c r="CK15" s="96" t="inlineStr">
        <is>
          <t>NIPPON EXPRESS (H.K.) CO.,LTD.</t>
        </is>
      </c>
      <c r="CL15" s="96" t="inlineStr">
        <is>
          <t>NIPPON EXPRESS (H.K.) CO.,LTD.</t>
        </is>
      </c>
      <c r="CM15" s="97" t="n"/>
      <c r="CN15" s="96" t="inlineStr">
        <is>
          <t>202610051200</t>
        </is>
      </c>
      <c r="CO15" s="96" t="inlineStr">
        <is>
          <t>202610061500</t>
        </is>
      </c>
      <c r="CP15" s="97" t="n"/>
      <c r="CQ15" s="96" t="inlineStr">
        <is>
          <t>K01-2604098</t>
        </is>
      </c>
      <c r="CR15" s="96" t="inlineStr">
        <is>
          <t>THTSOT</t>
        </is>
      </c>
      <c r="CS15" s="96" t="inlineStr">
        <is>
          <t>NIPPON EXPRESS LOGISTICS (THAILAND) CO., LTD.</t>
        </is>
      </c>
      <c r="CT15" s="96" t="inlineStr">
        <is>
          <t>N</t>
        </is>
      </c>
      <c r="CU15" s="97" t="n"/>
      <c r="CV15" s="97" t="n"/>
      <c r="CW15" s="161" t="inlineStr">
        <is>
          <t>2026-10-03</t>
        </is>
      </c>
      <c r="CX15" s="97" t="n"/>
      <c r="CY15" s="183" t="n"/>
    </row>
    <row r="16" ht="12" customHeight="1">
      <c r="A16" s="116" t="inlineStr">
        <is>
          <t>HASLS22260901529</t>
        </is>
      </c>
      <c r="B16" s="96" t="inlineStr">
        <is>
          <t>40Hx1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0</v>
      </c>
      <c r="H16" s="97" t="n">
        <v>0</v>
      </c>
      <c r="I16" s="97" t="n">
        <v>1</v>
      </c>
      <c r="J16" s="97" t="n">
        <v>2</v>
      </c>
      <c r="K16" s="96" t="inlineStr">
        <is>
          <t>N</t>
        </is>
      </c>
      <c r="L16" s="96" t="inlineStr">
        <is>
          <t>CHT</t>
        </is>
      </c>
      <c r="M16" s="96" t="inlineStr">
        <is>
          <t>SWDN</t>
        </is>
      </c>
      <c r="N16" s="96" t="inlineStr">
        <is>
          <t>2610N</t>
        </is>
      </c>
      <c r="O16" s="96" t="inlineStr">
        <is>
          <t>THLCH</t>
        </is>
      </c>
      <c r="P16" s="96" t="inlineStr">
        <is>
          <t>LCH05</t>
        </is>
      </c>
      <c r="Q16" s="96" t="inlineStr">
        <is>
          <t>IA</t>
        </is>
      </c>
      <c r="R16" s="161" t="inlineStr">
        <is>
          <t>2026-10-08</t>
        </is>
      </c>
      <c r="S16" s="96" t="inlineStr">
        <is>
          <t>HKHKG</t>
        </is>
      </c>
      <c r="T16" s="96" t="inlineStr">
        <is>
          <t>HKG03</t>
        </is>
      </c>
      <c r="U16" s="96" t="inlineStr">
        <is>
          <t>HKHKG</t>
        </is>
      </c>
      <c r="V16" s="161" t="inlineStr">
        <is>
          <t>2026-10-11</t>
        </is>
      </c>
      <c r="W16" s="96" t="inlineStr">
        <is>
          <t>IA</t>
        </is>
      </c>
      <c r="X16" s="97" t="n"/>
      <c r="Y16" s="97" t="n"/>
      <c r="Z16" s="97" t="n"/>
      <c r="AA16" s="96" t="inlineStr">
        <is>
          <t>PGS LOGISTICS (THAILAND) CO., LTD.</t>
        </is>
      </c>
      <c r="AB16" s="96" t="inlineStr">
        <is>
          <t>ROFU (THAILAND) LTD.</t>
        </is>
      </c>
      <c r="AC16" s="163" t="n">
        <v>5615.52</v>
      </c>
      <c r="AD16" s="163" t="n">
        <v>9615.52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TBKK97</t>
        </is>
      </c>
      <c r="AN16" s="96" t="inlineStr">
        <is>
          <t>Arunphat W. (Aiw)</t>
        </is>
      </c>
      <c r="AO16" s="96" t="inlineStr">
        <is>
          <t>SHOES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>Pickup : 2026-09-29, Return : 2026-09-30 (1ST 01/10 RETURN W/O RENT)</t>
        </is>
      </c>
      <c r="BA16" s="97" t="inlineStr">
        <is>
          <t>ROLL OVER FROM PREVIOUS VSL SWAT 2610N BY ALLOCATION TEAM MS.TARN APPROVED COST IS UNDER HAL DD.05/10
SI DD.5/10/26
COST DEM 1 DAY 750 BAHT AS PER B/L</t>
        </is>
      </c>
      <c r="BB16" s="96" t="inlineStr">
        <is>
          <t>P</t>
        </is>
      </c>
      <c r="BC16" s="161" t="inlineStr">
        <is>
          <t>2026-09-17</t>
        </is>
      </c>
      <c r="BD16" s="161" t="inlineStr">
        <is>
          <t>2026-10-05</t>
        </is>
      </c>
      <c r="BE16" s="96" t="inlineStr">
        <is>
          <t>Y</t>
        </is>
      </c>
      <c r="BF16" s="96" t="inlineStr">
        <is>
          <t>SHOES : KEEN BRAND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LCHY5</t>
        </is>
      </c>
      <c r="BL16" s="161" t="inlineStr">
        <is>
          <t>2026-09-29</t>
        </is>
      </c>
      <c r="BM16" s="127" t="n"/>
      <c r="BN16" s="127" t="n"/>
      <c r="BO16" s="127" t="n"/>
      <c r="BP16" s="127" t="n">
        <v>1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LCH05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bkk-opr@parisigs.com</t>
        </is>
      </c>
      <c r="CJ16" s="96" t="inlineStr">
        <is>
          <t>PGS LOGISTICS (THAILAND) CO.,LTD.</t>
        </is>
      </c>
      <c r="CK16" s="96" t="inlineStr">
        <is>
          <t>PARISI GRAND SMOOTH LOGISTICS LTD</t>
        </is>
      </c>
      <c r="CL16" s="96" t="inlineStr">
        <is>
          <t>PARISI GRAND SMOOTH LOGISTICS LTD</t>
        </is>
      </c>
      <c r="CM16" s="97" t="inlineStr">
        <is>
          <t>CLOSED</t>
        </is>
      </c>
      <c r="CN16" s="96" t="inlineStr">
        <is>
          <t>202610051200</t>
        </is>
      </c>
      <c r="CO16" s="96" t="inlineStr">
        <is>
          <t>202610061500</t>
        </is>
      </c>
      <c r="CP16" s="97" t="n"/>
      <c r="CQ16" s="96" t="inlineStr">
        <is>
          <t>S22-2609015</t>
        </is>
      </c>
      <c r="CR16" s="96" t="inlineStr">
        <is>
          <t>THTJ7C</t>
        </is>
      </c>
      <c r="CS16" s="96" t="inlineStr">
        <is>
          <t>PGS LOGISTICS (THAILAND) CO., LTD.</t>
        </is>
      </c>
      <c r="CT16" s="96" t="inlineStr">
        <is>
          <t>N</t>
        </is>
      </c>
      <c r="CU16" s="97" t="n"/>
      <c r="CV16" s="97" t="n"/>
      <c r="CW16" s="161" t="inlineStr">
        <is>
          <t>2026-10-08</t>
        </is>
      </c>
      <c r="CX16" s="97" t="n"/>
      <c r="CY16" s="183" t="inlineStr">
        <is>
          <t>ROLL OVER FROM PREVIOUS VSL SWAT 2610N BY ALLOCATION TEAM MS.TARN APPROVED COST IS UNDER HAL DD.05/10</t>
        </is>
      </c>
    </row>
    <row r="17" ht="12" customHeight="1">
      <c r="A17" s="116" t="inlineStr">
        <is>
          <t>HASLS22260902144</t>
        </is>
      </c>
      <c r="B17" s="96" t="inlineStr">
        <is>
          <t>40Hx1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0</v>
      </c>
      <c r="H17" s="97" t="n">
        <v>0</v>
      </c>
      <c r="I17" s="97" t="n">
        <v>1</v>
      </c>
      <c r="J17" s="97" t="n">
        <v>2</v>
      </c>
      <c r="K17" s="96" t="inlineStr">
        <is>
          <t>N</t>
        </is>
      </c>
      <c r="L17" s="96" t="inlineStr">
        <is>
          <t>CHT</t>
        </is>
      </c>
      <c r="M17" s="96" t="inlineStr">
        <is>
          <t>SWDN</t>
        </is>
      </c>
      <c r="N17" s="96" t="inlineStr">
        <is>
          <t>2610N</t>
        </is>
      </c>
      <c r="O17" s="96" t="inlineStr">
        <is>
          <t>THLCH</t>
        </is>
      </c>
      <c r="P17" s="96" t="inlineStr">
        <is>
          <t>LCH05</t>
        </is>
      </c>
      <c r="Q17" s="96" t="inlineStr">
        <is>
          <t>IA</t>
        </is>
      </c>
      <c r="R17" s="161" t="inlineStr">
        <is>
          <t>2026-10-08</t>
        </is>
      </c>
      <c r="S17" s="96" t="inlineStr">
        <is>
          <t>KRINC</t>
        </is>
      </c>
      <c r="T17" s="96" t="inlineStr">
        <is>
          <t>INC03</t>
        </is>
      </c>
      <c r="U17" s="96" t="inlineStr">
        <is>
          <t>KRINC</t>
        </is>
      </c>
      <c r="V17" s="161" t="inlineStr">
        <is>
          <t>2026-10-16</t>
        </is>
      </c>
      <c r="W17" s="96" t="inlineStr">
        <is>
          <t>KR</t>
        </is>
      </c>
      <c r="X17" s="97" t="n"/>
      <c r="Y17" s="97" t="n"/>
      <c r="Z17" s="97" t="n"/>
      <c r="AA17" s="96" t="inlineStr">
        <is>
          <t>CANVAS GLOBAL LOGISTICS (THAILAND) CO., LTD.</t>
        </is>
      </c>
      <c r="AB17" s="96" t="inlineStr">
        <is>
          <t>SRI TRANG GLOVES (THAILAND) PUBLIC COMPANY LIMITED</t>
        </is>
      </c>
      <c r="AC17" s="163" t="n">
        <v>19555.72</v>
      </c>
      <c r="AD17" s="163" t="n">
        <v>23555.72</v>
      </c>
      <c r="AE17" s="96" t="inlineStr">
        <is>
          <t>OK</t>
        </is>
      </c>
      <c r="AF17" s="96" t="n"/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TBKK97</t>
        </is>
      </c>
      <c r="AN17" s="96" t="inlineStr">
        <is>
          <t>Arunphat W. (Aiw)</t>
        </is>
      </c>
      <c r="AO17" s="96" t="inlineStr">
        <is>
          <t>GLOVES</t>
        </is>
      </c>
      <c r="AP17" s="96" t="inlineStr">
        <is>
          <t>Normal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n"/>
      <c r="AZ17" s="96" t="inlineStr">
        <is>
          <t xml:space="preserve">Pickup : 2026-09-26, Return : 2026-09-28 [1ST RTN 29/09/2026 W/O RENT]
** PLEASE CHECK OPEN GATE BEFORE RETURN CONTAINER ** </t>
        </is>
      </c>
      <c r="BA17" s="97" t="n"/>
      <c r="BB17" s="96" t="inlineStr">
        <is>
          <t>P</t>
        </is>
      </c>
      <c r="BC17" s="161" t="inlineStr">
        <is>
          <t>2026-09-23</t>
        </is>
      </c>
      <c r="BD17" s="161" t="inlineStr">
        <is>
          <t>2026-09-29</t>
        </is>
      </c>
      <c r="BE17" s="96" t="inlineStr">
        <is>
          <t>Y</t>
        </is>
      </c>
      <c r="BF17" s="96" t="inlineStr">
        <is>
          <t>LATEX GLOVES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LCHY5</t>
        </is>
      </c>
      <c r="BL17" s="161" t="inlineStr">
        <is>
          <t>2026-09-26</t>
        </is>
      </c>
      <c r="BM17" s="127" t="n"/>
      <c r="BN17" s="127" t="n"/>
      <c r="BO17" s="127" t="n"/>
      <c r="BP17" s="127" t="n">
        <v>1</v>
      </c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LCH05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cs.log@canvasglobal-log.co.th</t>
        </is>
      </c>
      <c r="CJ17" s="96" t="inlineStr">
        <is>
          <t>SRI TRANG GLOVES (THAILAND) PUBLIC</t>
        </is>
      </c>
      <c r="CK17" s="96" t="inlineStr">
        <is>
          <t>SEJONG HEALTHCARE CO., LTD</t>
        </is>
      </c>
      <c r="CL17" s="96" t="inlineStr">
        <is>
          <t>SEJONG HEALTHCARE CO., LTD</t>
        </is>
      </c>
      <c r="CM17" s="97" t="n"/>
      <c r="CN17" s="96" t="inlineStr">
        <is>
          <t>202610051200</t>
        </is>
      </c>
      <c r="CO17" s="96" t="inlineStr">
        <is>
          <t>202610061500</t>
        </is>
      </c>
      <c r="CP17" s="97" t="n"/>
      <c r="CQ17" s="96" t="inlineStr">
        <is>
          <t>S22-2609010</t>
        </is>
      </c>
      <c r="CR17" s="96" t="inlineStr">
        <is>
          <t>THTWN1</t>
        </is>
      </c>
      <c r="CS17" s="96" t="inlineStr">
        <is>
          <t>CANVAS GLOBAL LOGISTICS (THAILAND) CO., LTD.</t>
        </is>
      </c>
      <c r="CT17" s="96" t="inlineStr">
        <is>
          <t>N</t>
        </is>
      </c>
      <c r="CU17" s="97" t="n"/>
      <c r="CV17" s="97" t="n"/>
      <c r="CW17" s="161" t="inlineStr">
        <is>
          <t>2026-10-03</t>
        </is>
      </c>
      <c r="CX17" s="97" t="n"/>
      <c r="CY17" s="183" t="n"/>
    </row>
    <row r="18" ht="12" customHeight="1">
      <c r="A18" s="116" t="inlineStr">
        <is>
          <t>HASLS22260902269</t>
        </is>
      </c>
      <c r="B18" s="96" t="inlineStr">
        <is>
          <t>40Hx1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0</v>
      </c>
      <c r="H18" s="97" t="n">
        <v>0</v>
      </c>
      <c r="I18" s="97" t="n">
        <v>1</v>
      </c>
      <c r="J18" s="97" t="n">
        <v>2</v>
      </c>
      <c r="K18" s="96" t="inlineStr">
        <is>
          <t>N</t>
        </is>
      </c>
      <c r="L18" s="96" t="inlineStr">
        <is>
          <t>CHT</t>
        </is>
      </c>
      <c r="M18" s="96" t="inlineStr">
        <is>
          <t>SWDN</t>
        </is>
      </c>
      <c r="N18" s="96" t="inlineStr">
        <is>
          <t>2610N</t>
        </is>
      </c>
      <c r="O18" s="96" t="inlineStr">
        <is>
          <t>THLCH</t>
        </is>
      </c>
      <c r="P18" s="96" t="inlineStr">
        <is>
          <t>LCH05</t>
        </is>
      </c>
      <c r="Q18" s="96" t="inlineStr">
        <is>
          <t>IA</t>
        </is>
      </c>
      <c r="R18" s="161" t="inlineStr">
        <is>
          <t>2026-10-08</t>
        </is>
      </c>
      <c r="S18" s="96" t="inlineStr">
        <is>
          <t>CNXMN</t>
        </is>
      </c>
      <c r="T18" s="96" t="inlineStr">
        <is>
          <t>XMN01</t>
        </is>
      </c>
      <c r="U18" s="96" t="inlineStr">
        <is>
          <t>CNXMN</t>
        </is>
      </c>
      <c r="V18" s="161" t="inlineStr">
        <is>
          <t>2026-10-13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COMPREHENSIVE CARGO MANAGEMENT LTD.</t>
        </is>
      </c>
      <c r="AB18" s="96" t="inlineStr">
        <is>
          <t>CHAIYA SUWANNABHUM CO.,LTD.</t>
        </is>
      </c>
      <c r="AC18" s="163" t="n">
        <v>26350</v>
      </c>
      <c r="AD18" s="163" t="n">
        <v>30350</v>
      </c>
      <c r="AE18" s="96" t="inlineStr">
        <is>
          <t>OK</t>
        </is>
      </c>
      <c r="AF18" s="96" t="n"/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TBKK97</t>
        </is>
      </c>
      <c r="AN18" s="96" t="inlineStr">
        <is>
          <t>Arunphat W. (Aiw)</t>
        </is>
      </c>
      <c r="AO18" s="96" t="inlineStr">
        <is>
          <t>EXHAUSTED POWDER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 xml:space="preserve">Pickup : 2026-09-29, Return : 2026-09-30 
 ** PLEASE CHECK OPEN GATE BEFORE RETURN CNTR **
</t>
        </is>
      </c>
      <c r="BA18" s="97" t="inlineStr">
        <is>
          <t>EXPORTER/ CHAIYA SUVARNABHUMI CO.,LTD.</t>
        </is>
      </c>
      <c r="BB18" s="96" t="inlineStr">
        <is>
          <t>P</t>
        </is>
      </c>
      <c r="BC18" s="161" t="inlineStr">
        <is>
          <t>2026-09-24</t>
        </is>
      </c>
      <c r="BD18" s="161" t="inlineStr">
        <is>
          <t>2026-09-30</t>
        </is>
      </c>
      <c r="BE18" s="96" t="inlineStr">
        <is>
          <t>Y</t>
        </is>
      </c>
      <c r="BF18" s="96" t="inlineStr">
        <is>
          <t>WOOD POWDER FOR MAKING INCENSE STICK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LCHY5</t>
        </is>
      </c>
      <c r="BL18" s="161" t="inlineStr">
        <is>
          <t>2026-09-29</t>
        </is>
      </c>
      <c r="BM18" s="127" t="n"/>
      <c r="BN18" s="127" t="n"/>
      <c r="BO18" s="127" t="n"/>
      <c r="BP18" s="127" t="n">
        <v>1</v>
      </c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LCH05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ccm@ccmgroups.com</t>
        </is>
      </c>
      <c r="CJ18" s="96" t="inlineStr">
        <is>
          <t>CHAIYA SUVARNABHUMI CO.,LTD.</t>
        </is>
      </c>
      <c r="CK18" s="96" t="inlineStr">
        <is>
          <t>XIAMEN HONESTY IMPORT AND EXPORT</t>
        </is>
      </c>
      <c r="CL18" s="96" t="inlineStr">
        <is>
          <t>XIAMEN HONESTY IMPORT AND EXPORT</t>
        </is>
      </c>
      <c r="CM18" s="97" t="inlineStr">
        <is>
          <t>CLOSED</t>
        </is>
      </c>
      <c r="CN18" s="96" t="inlineStr">
        <is>
          <t>202610051200</t>
        </is>
      </c>
      <c r="CO18" s="96" t="inlineStr">
        <is>
          <t>202610061500</t>
        </is>
      </c>
      <c r="CP18" s="97" t="n"/>
      <c r="CQ18" s="96" t="inlineStr">
        <is>
          <t>S22-2303004</t>
        </is>
      </c>
      <c r="CR18" s="96" t="inlineStr">
        <is>
          <t>TH016L</t>
        </is>
      </c>
      <c r="CS18" s="96" t="inlineStr">
        <is>
          <t>COMPREHENSIVE CARGO MANAGEMENT LTD.</t>
        </is>
      </c>
      <c r="CT18" s="96" t="inlineStr">
        <is>
          <t>N</t>
        </is>
      </c>
      <c r="CU18" s="97" t="n"/>
      <c r="CV18" s="97" t="n"/>
      <c r="CW18" s="161" t="inlineStr">
        <is>
          <t>2026-10-03</t>
        </is>
      </c>
      <c r="CX18" s="97" t="n"/>
      <c r="CY18" s="183" t="n"/>
    </row>
    <row r="19" ht="12" customHeight="1">
      <c r="A19" s="116" t="inlineStr">
        <is>
          <t>HASLS22260902506</t>
        </is>
      </c>
      <c r="B19" s="96" t="inlineStr">
        <is>
          <t>40Hx1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0</v>
      </c>
      <c r="H19" s="97" t="n">
        <v>0</v>
      </c>
      <c r="I19" s="97" t="n">
        <v>1</v>
      </c>
      <c r="J19" s="97" t="n">
        <v>2</v>
      </c>
      <c r="K19" s="96" t="inlineStr">
        <is>
          <t>N</t>
        </is>
      </c>
      <c r="L19" s="96" t="inlineStr">
        <is>
          <t>CHT</t>
        </is>
      </c>
      <c r="M19" s="96" t="inlineStr">
        <is>
          <t>SWDN</t>
        </is>
      </c>
      <c r="N19" s="96" t="inlineStr">
        <is>
          <t>2610N</t>
        </is>
      </c>
      <c r="O19" s="96" t="inlineStr">
        <is>
          <t>THLCH</t>
        </is>
      </c>
      <c r="P19" s="96" t="inlineStr">
        <is>
          <t>LCH05</t>
        </is>
      </c>
      <c r="Q19" s="96" t="inlineStr">
        <is>
          <t>IA</t>
        </is>
      </c>
      <c r="R19" s="161" t="inlineStr">
        <is>
          <t>2026-10-08</t>
        </is>
      </c>
      <c r="S19" s="96" t="inlineStr">
        <is>
          <t>HKHKG</t>
        </is>
      </c>
      <c r="T19" s="96" t="inlineStr">
        <is>
          <t>HKG03</t>
        </is>
      </c>
      <c r="U19" s="96" t="inlineStr">
        <is>
          <t>HKHKG</t>
        </is>
      </c>
      <c r="V19" s="161" t="inlineStr">
        <is>
          <t>2026-10-11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NIPPON EXPRESS LOGISTICS (THAILAND) CO., LTD.</t>
        </is>
      </c>
      <c r="AB19" s="96" t="inlineStr">
        <is>
          <t>SLING AUTOMOBILE BEARING (THAILAND) CO.,LTD.</t>
        </is>
      </c>
      <c r="AC19" s="163" t="n">
        <v>17711</v>
      </c>
      <c r="AD19" s="163" t="n">
        <v>21711</v>
      </c>
      <c r="AE19" s="96" t="inlineStr">
        <is>
          <t>OK</t>
        </is>
      </c>
      <c r="AF19" s="96" t="inlineStr">
        <is>
          <t>SR</t>
        </is>
      </c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TBKK55</t>
        </is>
      </c>
      <c r="AN19" s="96" t="inlineStr">
        <is>
          <t>Vilaiporn</t>
        </is>
      </c>
      <c r="AO19" s="96" t="inlineStr">
        <is>
          <t>BALL BEARING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OBL</t>
        </is>
      </c>
      <c r="AZ19" s="96" t="inlineStr">
        <is>
          <t>Pickup : 2026-10-02, Return : 2026-10-02</t>
        </is>
      </c>
      <c r="BA19" s="97" t="inlineStr">
        <is>
          <t xml:space="preserve">FM SHPR: EAS AUTOMOTIVE LTD. 30/09Revise only actual shipper name </t>
        </is>
      </c>
      <c r="BB19" s="96" t="inlineStr">
        <is>
          <t>P</t>
        </is>
      </c>
      <c r="BC19" s="161" t="inlineStr">
        <is>
          <t>2026-09-28</t>
        </is>
      </c>
      <c r="BD19" s="161" t="inlineStr">
        <is>
          <t>2026-09-30</t>
        </is>
      </c>
      <c r="BE19" s="96" t="inlineStr">
        <is>
          <t>Y</t>
        </is>
      </c>
      <c r="BF19" s="96" t="inlineStr">
        <is>
          <t>BALL BEARING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LCH27</t>
        </is>
      </c>
      <c r="BL19" s="161" t="inlineStr">
        <is>
          <t>2026-10-02</t>
        </is>
      </c>
      <c r="BM19" s="127" t="n"/>
      <c r="BN19" s="127" t="n"/>
      <c r="BO19" s="127" t="n"/>
      <c r="BP19" s="127" t="n">
        <v>1</v>
      </c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LCH05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nelt-lcb-exp@nipponexpress.com</t>
        </is>
      </c>
      <c r="CJ19" s="96" t="inlineStr">
        <is>
          <t>NIPPON EXPRESS LOGISTICS (THAILAND)</t>
        </is>
      </c>
      <c r="CK19" s="96" t="inlineStr">
        <is>
          <t>NIPPON EXPRESS (H.K) CO.,LTD</t>
        </is>
      </c>
      <c r="CL19" s="96" t="inlineStr">
        <is>
          <t>NIPPON EXPRESS (H.K) CO.,LTD</t>
        </is>
      </c>
      <c r="CM19" s="97" t="inlineStr">
        <is>
          <t>CLOSED</t>
        </is>
      </c>
      <c r="CN19" s="96" t="inlineStr">
        <is>
          <t>202610051200</t>
        </is>
      </c>
      <c r="CO19" s="96" t="inlineStr">
        <is>
          <t>202610061500</t>
        </is>
      </c>
      <c r="CP19" s="97" t="n"/>
      <c r="CQ19" s="96" t="inlineStr">
        <is>
          <t>S19-2308033</t>
        </is>
      </c>
      <c r="CR19" s="96" t="inlineStr">
        <is>
          <t>THTP3H</t>
        </is>
      </c>
      <c r="CS19" s="96" t="inlineStr">
        <is>
          <t>NIPPON EXPRESS LOGISTICS (THAILAND) CO., LTD.</t>
        </is>
      </c>
      <c r="CT19" s="96" t="inlineStr">
        <is>
          <t>N</t>
        </is>
      </c>
      <c r="CU19" s="97" t="n"/>
      <c r="CV19" s="97" t="n"/>
      <c r="CW19" s="161" t="inlineStr">
        <is>
          <t>2026-10-07</t>
        </is>
      </c>
      <c r="CX19" s="97" t="n"/>
      <c r="CY19" s="183" t="n"/>
    </row>
    <row r="20" ht="12" customHeight="1">
      <c r="A20" s="116" t="inlineStr">
        <is>
          <t>HASLS22260901610</t>
        </is>
      </c>
      <c r="B20" s="96" t="inlineStr">
        <is>
          <t>40Hx2</t>
        </is>
      </c>
      <c r="C20" s="97" t="n">
        <v>2</v>
      </c>
      <c r="D20" s="97" t="n">
        <v>2</v>
      </c>
      <c r="E20" s="97" t="n"/>
      <c r="F20" s="97" t="n">
        <v>0</v>
      </c>
      <c r="G20" s="97" t="n">
        <v>0</v>
      </c>
      <c r="H20" s="97" t="n">
        <v>0</v>
      </c>
      <c r="I20" s="97" t="n">
        <v>2</v>
      </c>
      <c r="J20" s="97" t="n">
        <v>4</v>
      </c>
      <c r="K20" s="96" t="inlineStr">
        <is>
          <t>N</t>
        </is>
      </c>
      <c r="L20" s="96" t="inlineStr">
        <is>
          <t>CHT</t>
        </is>
      </c>
      <c r="M20" s="96" t="inlineStr">
        <is>
          <t>SWDN</t>
        </is>
      </c>
      <c r="N20" s="96" t="inlineStr">
        <is>
          <t>2610N</t>
        </is>
      </c>
      <c r="O20" s="96" t="inlineStr">
        <is>
          <t>THLCH</t>
        </is>
      </c>
      <c r="P20" s="96" t="inlineStr">
        <is>
          <t>LCH05</t>
        </is>
      </c>
      <c r="Q20" s="96" t="inlineStr">
        <is>
          <t>IA</t>
        </is>
      </c>
      <c r="R20" s="161" t="inlineStr">
        <is>
          <t>2026-10-08</t>
        </is>
      </c>
      <c r="S20" s="96" t="inlineStr">
        <is>
          <t>KRINC</t>
        </is>
      </c>
      <c r="T20" s="96" t="inlineStr">
        <is>
          <t>INC03</t>
        </is>
      </c>
      <c r="U20" s="96" t="inlineStr">
        <is>
          <t>KRINC</t>
        </is>
      </c>
      <c r="V20" s="161" t="inlineStr">
        <is>
          <t>2026-10-16</t>
        </is>
      </c>
      <c r="W20" s="96" t="inlineStr">
        <is>
          <t>KR</t>
        </is>
      </c>
      <c r="X20" s="97" t="n"/>
      <c r="Y20" s="97" t="n"/>
      <c r="Z20" s="97" t="n"/>
      <c r="AA20" s="96" t="inlineStr">
        <is>
          <t>VANACHAI GROUP PUBLIC COMPANY LIMITED</t>
        </is>
      </c>
      <c r="AB20" s="96" t="inlineStr">
        <is>
          <t>VANACHAI PANEL INDUSTRIES CO., LTD.</t>
        </is>
      </c>
      <c r="AC20" s="163" t="n">
        <v>48664</v>
      </c>
      <c r="AD20" s="163" t="n">
        <v>56664</v>
      </c>
      <c r="AE20" s="96" t="inlineStr">
        <is>
          <t>OK</t>
        </is>
      </c>
      <c r="AF20" s="96" t="n"/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TBKK97</t>
        </is>
      </c>
      <c r="AN20" s="96" t="inlineStr">
        <is>
          <t>Arunphat W. (Aiw)</t>
        </is>
      </c>
      <c r="AO20" s="96" t="inlineStr">
        <is>
          <t>PARTICLE BOARD</t>
        </is>
      </c>
      <c r="AP20" s="96" t="inlineStr">
        <is>
          <t>Normal</t>
        </is>
      </c>
      <c r="AQ20" s="97" t="n"/>
      <c r="AR20" s="97" t="n"/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n"/>
      <c r="AZ20" s="96" t="inlineStr">
        <is>
          <t xml:space="preserve">CY-RTN : 02-03/10/2026 *VGM CUT OFF DD.05/10/2026 @ 12.00
REF : (VI(MDF) – 2026/274(Z)
 ** PLEASE CHECK OPEN GATE BEFORE RETURN CNTR **
</t>
        </is>
      </c>
      <c r="BA20" s="97" t="inlineStr">
        <is>
          <t>SI DD.18/9/26</t>
        </is>
      </c>
      <c r="BB20" s="96" t="inlineStr">
        <is>
          <t>P</t>
        </is>
      </c>
      <c r="BC20" s="161" t="inlineStr">
        <is>
          <t>2026-09-17</t>
        </is>
      </c>
      <c r="BD20" s="161" t="inlineStr">
        <is>
          <t>2026-10-02</t>
        </is>
      </c>
      <c r="BE20" s="96" t="inlineStr">
        <is>
          <t>Y</t>
        </is>
      </c>
      <c r="BF20" s="96" t="inlineStr">
        <is>
          <t>PARTICLE BOARD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LCH27</t>
        </is>
      </c>
      <c r="BL20" s="161" t="inlineStr">
        <is>
          <t>2026-10-02</t>
        </is>
      </c>
      <c r="BM20" s="127" t="n"/>
      <c r="BN20" s="127" t="n"/>
      <c r="BO20" s="127" t="n"/>
      <c r="BP20" s="127" t="n">
        <v>2</v>
      </c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/>
      <c r="CA20" s="96" t="n"/>
      <c r="CB20" s="97" t="n"/>
      <c r="CC20" s="96" t="inlineStr">
        <is>
          <t>LCH05</t>
        </is>
      </c>
      <c r="CD20" s="97" t="n"/>
      <c r="CE20" s="97" t="n"/>
      <c r="CF20" s="96" t="inlineStr">
        <is>
          <t>0 Teu</t>
        </is>
      </c>
      <c r="CG20" s="96" t="inlineStr">
        <is>
          <t>CY/CY</t>
        </is>
      </c>
      <c r="CH20" s="97" t="n"/>
      <c r="CI20" s="96" t="inlineStr">
        <is>
          <t>wilaiporn@vanachai.com</t>
        </is>
      </c>
      <c r="CJ20" s="96" t="inlineStr">
        <is>
          <t>VANACHAI PANEL INDUSTRIES CO.,LTD.</t>
        </is>
      </c>
      <c r="CK20" s="96" t="inlineStr">
        <is>
          <t>TO THE ORDER OF INDUSTRIAL</t>
        </is>
      </c>
      <c r="CL20" s="96" t="inlineStr">
        <is>
          <t>SAMSAN INTERNATIONAL INC.</t>
        </is>
      </c>
      <c r="CM20" s="97" t="n"/>
      <c r="CN20" s="96" t="inlineStr">
        <is>
          <t>202610051200</t>
        </is>
      </c>
      <c r="CO20" s="96" t="inlineStr">
        <is>
          <t>202610061500</t>
        </is>
      </c>
      <c r="CP20" s="97" t="n"/>
      <c r="CQ20" s="96" t="inlineStr">
        <is>
          <t>S22-2301027</t>
        </is>
      </c>
      <c r="CR20" s="96" t="inlineStr">
        <is>
          <t>BB0632</t>
        </is>
      </c>
      <c r="CS20" s="96" t="inlineStr">
        <is>
          <t>VANACHAI GROUP PUBLIC COMPANY LIMITED</t>
        </is>
      </c>
      <c r="CT20" s="96" t="inlineStr">
        <is>
          <t>N</t>
        </is>
      </c>
      <c r="CU20" s="97" t="n"/>
      <c r="CV20" s="97" t="n"/>
      <c r="CW20" s="161" t="inlineStr">
        <is>
          <t>2026-10-07</t>
        </is>
      </c>
      <c r="CX20" s="97" t="inlineStr">
        <is>
          <t>441114</t>
        </is>
      </c>
      <c r="CY20" s="183" t="n"/>
    </row>
    <row r="21" ht="12" customHeight="1">
      <c r="A21" s="116" t="inlineStr">
        <is>
          <t>HASLS22260901608</t>
        </is>
      </c>
      <c r="B21" s="96" t="inlineStr">
        <is>
          <t>40Hx3</t>
        </is>
      </c>
      <c r="C21" s="97" t="n">
        <v>3</v>
      </c>
      <c r="D21" s="97" t="n">
        <v>3</v>
      </c>
      <c r="E21" s="97" t="n"/>
      <c r="F21" s="97" t="n">
        <v>0</v>
      </c>
      <c r="G21" s="97" t="n">
        <v>0</v>
      </c>
      <c r="H21" s="97" t="n">
        <v>0</v>
      </c>
      <c r="I21" s="97" t="n">
        <v>3</v>
      </c>
      <c r="J21" s="97" t="n">
        <v>6</v>
      </c>
      <c r="K21" s="96" t="inlineStr">
        <is>
          <t>N</t>
        </is>
      </c>
      <c r="L21" s="96" t="inlineStr">
        <is>
          <t>CHT</t>
        </is>
      </c>
      <c r="M21" s="96" t="inlineStr">
        <is>
          <t>SWDN</t>
        </is>
      </c>
      <c r="N21" s="96" t="inlineStr">
        <is>
          <t>2610N</t>
        </is>
      </c>
      <c r="O21" s="96" t="inlineStr">
        <is>
          <t>THLCH</t>
        </is>
      </c>
      <c r="P21" s="96" t="inlineStr">
        <is>
          <t>LCH05</t>
        </is>
      </c>
      <c r="Q21" s="96" t="inlineStr">
        <is>
          <t>IA</t>
        </is>
      </c>
      <c r="R21" s="161" t="inlineStr">
        <is>
          <t>2026-10-08</t>
        </is>
      </c>
      <c r="S21" s="96" t="inlineStr">
        <is>
          <t>KRINC</t>
        </is>
      </c>
      <c r="T21" s="96" t="inlineStr">
        <is>
          <t>INC03</t>
        </is>
      </c>
      <c r="U21" s="96" t="inlineStr">
        <is>
          <t>KRINC</t>
        </is>
      </c>
      <c r="V21" s="161" t="inlineStr">
        <is>
          <t>2026-10-16</t>
        </is>
      </c>
      <c r="W21" s="96" t="inlineStr">
        <is>
          <t>KR</t>
        </is>
      </c>
      <c r="X21" s="97" t="n"/>
      <c r="Y21" s="97" t="n"/>
      <c r="Z21" s="97" t="n"/>
      <c r="AA21" s="96" t="inlineStr">
        <is>
          <t>VANACHAI GROUP PUBLIC COMPANY LIMITED</t>
        </is>
      </c>
      <c r="AB21" s="96" t="inlineStr">
        <is>
          <t>VANACHAI PANEL INDUSTRIES CO., LTD.</t>
        </is>
      </c>
      <c r="AC21" s="163" t="n">
        <v>72996</v>
      </c>
      <c r="AD21" s="163" t="n">
        <v>84996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TBKK97</t>
        </is>
      </c>
      <c r="AN21" s="96" t="inlineStr">
        <is>
          <t>Arunphat W. (Aiw)</t>
        </is>
      </c>
      <c r="AO21" s="96" t="inlineStr">
        <is>
          <t>MEDIUM DENSITY FIBERBOARD</t>
        </is>
      </c>
      <c r="AP21" s="96" t="inlineStr">
        <is>
          <t>Normal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n"/>
      <c r="AZ21" s="96" t="inlineStr">
        <is>
          <t xml:space="preserve">CY 02/10/2026 - RTN 03/10/2026  (VI(MDF) – 2026/273(Z)
 ** PLEASE CHECK OPEN GATE BEFORE RETURN CNTR **
</t>
        </is>
      </c>
      <c r="BA21" s="97" t="inlineStr">
        <is>
          <t xml:space="preserve">SI DD.24/9/26
SI : 01/10 @15.00 </t>
        </is>
      </c>
      <c r="BB21" s="96" t="inlineStr">
        <is>
          <t>P</t>
        </is>
      </c>
      <c r="BC21" s="161" t="inlineStr">
        <is>
          <t>2026-09-17</t>
        </is>
      </c>
      <c r="BD21" s="161" t="inlineStr">
        <is>
          <t>2026-09-30</t>
        </is>
      </c>
      <c r="BE21" s="96" t="inlineStr">
        <is>
          <t>Y</t>
        </is>
      </c>
      <c r="BF21" s="96" t="inlineStr">
        <is>
          <t>PARTICLE BOARD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LCH27</t>
        </is>
      </c>
      <c r="BL21" s="161" t="inlineStr">
        <is>
          <t>2026-10-02</t>
        </is>
      </c>
      <c r="BM21" s="127" t="n"/>
      <c r="BN21" s="127" t="n"/>
      <c r="BO21" s="127" t="n"/>
      <c r="BP21" s="127" t="n">
        <v>3</v>
      </c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/>
      <c r="CA21" s="96" t="n"/>
      <c r="CB21" s="97" t="n"/>
      <c r="CC21" s="96" t="inlineStr">
        <is>
          <t>LCH05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n"/>
      <c r="CI21" s="96" t="inlineStr">
        <is>
          <t>wiranphat@vanachai.com</t>
        </is>
      </c>
      <c r="CJ21" s="96" t="inlineStr">
        <is>
          <t>VANACHAI PANEL INDUSTRIES CO.,LTD.</t>
        </is>
      </c>
      <c r="CK21" s="96" t="inlineStr">
        <is>
          <t>TO THE ORDER OF KOOKMIN BANK</t>
        </is>
      </c>
      <c r="CL21" s="96" t="inlineStr">
        <is>
          <t>NKG BOARD CO., LTD.</t>
        </is>
      </c>
      <c r="CM21" s="97" t="n"/>
      <c r="CN21" s="96" t="inlineStr">
        <is>
          <t>202610051200</t>
        </is>
      </c>
      <c r="CO21" s="96" t="inlineStr">
        <is>
          <t>202610061500</t>
        </is>
      </c>
      <c r="CP21" s="97" t="n"/>
      <c r="CQ21" s="96" t="inlineStr">
        <is>
          <t>S22-2301027</t>
        </is>
      </c>
      <c r="CR21" s="96" t="inlineStr">
        <is>
          <t>BB0632</t>
        </is>
      </c>
      <c r="CS21" s="96" t="inlineStr">
        <is>
          <t>VANACHAI GROUP PUBLIC COMPANY LIMITED</t>
        </is>
      </c>
      <c r="CT21" s="96" t="inlineStr">
        <is>
          <t>N</t>
        </is>
      </c>
      <c r="CU21" s="97" t="n"/>
      <c r="CV21" s="97" t="n"/>
      <c r="CW21" s="161" t="inlineStr">
        <is>
          <t>2026-10-07</t>
        </is>
      </c>
      <c r="CX21" s="97" t="n"/>
      <c r="CY21" s="183" t="n"/>
    </row>
    <row r="22" ht="12" customHeight="1">
      <c r="A22" s="116" t="inlineStr">
        <is>
          <t>HASLS22260902292</t>
        </is>
      </c>
      <c r="B22" s="96" t="inlineStr">
        <is>
          <t>40Hx3</t>
        </is>
      </c>
      <c r="C22" s="97" t="n">
        <v>3</v>
      </c>
      <c r="D22" s="97" t="n">
        <v>3</v>
      </c>
      <c r="E22" s="97" t="n"/>
      <c r="F22" s="97" t="n">
        <v>0</v>
      </c>
      <c r="G22" s="97" t="n">
        <v>0</v>
      </c>
      <c r="H22" s="97" t="n">
        <v>0</v>
      </c>
      <c r="I22" s="97" t="n">
        <v>3</v>
      </c>
      <c r="J22" s="97" t="n">
        <v>6</v>
      </c>
      <c r="K22" s="96" t="inlineStr">
        <is>
          <t>N</t>
        </is>
      </c>
      <c r="L22" s="96" t="inlineStr">
        <is>
          <t>CHT</t>
        </is>
      </c>
      <c r="M22" s="96" t="inlineStr">
        <is>
          <t>SWDN</t>
        </is>
      </c>
      <c r="N22" s="96" t="inlineStr">
        <is>
          <t>2610N</t>
        </is>
      </c>
      <c r="O22" s="96" t="inlineStr">
        <is>
          <t>THLCH</t>
        </is>
      </c>
      <c r="P22" s="96" t="inlineStr">
        <is>
          <t>LCH05</t>
        </is>
      </c>
      <c r="Q22" s="96" t="inlineStr">
        <is>
          <t>IA</t>
        </is>
      </c>
      <c r="R22" s="161" t="inlineStr">
        <is>
          <t>2026-10-08</t>
        </is>
      </c>
      <c r="S22" s="96" t="inlineStr">
        <is>
          <t>CNXMN</t>
        </is>
      </c>
      <c r="T22" s="96" t="inlineStr">
        <is>
          <t>XMN01</t>
        </is>
      </c>
      <c r="U22" s="96" t="inlineStr">
        <is>
          <t>CNXMN</t>
        </is>
      </c>
      <c r="V22" s="161" t="inlineStr">
        <is>
          <t>2026-10-13</t>
        </is>
      </c>
      <c r="W22" s="96" t="inlineStr">
        <is>
          <t>IA</t>
        </is>
      </c>
      <c r="X22" s="97" t="n"/>
      <c r="Y22" s="97" t="n"/>
      <c r="Z22" s="97" t="n"/>
      <c r="AA22" s="96" t="inlineStr">
        <is>
          <t>MASTERICH COMPANY LIMITED.</t>
        </is>
      </c>
      <c r="AB22" s="96" t="inlineStr">
        <is>
          <t>NATURAL RUBBER THREAD CO., LTD.</t>
        </is>
      </c>
      <c r="AC22" s="163" t="n">
        <v>78150</v>
      </c>
      <c r="AD22" s="163" t="n">
        <v>90150</v>
      </c>
      <c r="AE22" s="96" t="inlineStr">
        <is>
          <t>OK</t>
        </is>
      </c>
      <c r="AF22" s="96" t="inlineStr">
        <is>
          <t>SR</t>
        </is>
      </c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TBKK19</t>
        </is>
      </c>
      <c r="AN22" s="96" t="inlineStr">
        <is>
          <t>Kanokporn</t>
        </is>
      </c>
      <c r="AO22" s="96" t="inlineStr">
        <is>
          <t>RUBBER THREAD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n"/>
      <c r="AZ22" s="96" t="inlineStr">
        <is>
          <t xml:space="preserve">Pickup : 2026-09-30, Return : 2026-10-02 // EXTEND CLS TIME 02/10 @12.00 
 ** PLEASE CHECK OPEN GATE BEFORE RETURN CNTR **
 </t>
        </is>
      </c>
      <c r="BA22" s="97" t="inlineStr">
        <is>
          <t>VOL 3 X 40'HC = G.W. 26,500.00/40'HCREQUEST :  UP GRADE CONTAINER                   GOOD CLEAN NO SMELL CONTAINER</t>
        </is>
      </c>
      <c r="BB22" s="96" t="inlineStr">
        <is>
          <t>P</t>
        </is>
      </c>
      <c r="BC22" s="161" t="inlineStr">
        <is>
          <t>2026-09-24</t>
        </is>
      </c>
      <c r="BD22" s="161" t="inlineStr">
        <is>
          <t>2026-10-01</t>
        </is>
      </c>
      <c r="BE22" s="96" t="inlineStr">
        <is>
          <t>Y</t>
        </is>
      </c>
      <c r="BF22" s="96" t="inlineStr">
        <is>
          <t>RUBBER THREAD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LCHY5</t>
        </is>
      </c>
      <c r="BL22" s="161" t="inlineStr">
        <is>
          <t>2026-09-30</t>
        </is>
      </c>
      <c r="BM22" s="127" t="n"/>
      <c r="BN22" s="127" t="n"/>
      <c r="BO22" s="127" t="n"/>
      <c r="BP22" s="127" t="n">
        <v>3</v>
      </c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/>
      <c r="CA22" s="96" t="inlineStr">
        <is>
          <t>Y</t>
        </is>
      </c>
      <c r="CB22" s="97" t="n"/>
      <c r="CC22" s="96" t="inlineStr">
        <is>
          <t>LCH05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n"/>
      <c r="CI22" s="96" t="inlineStr">
        <is>
          <t>export@masterich.com</t>
        </is>
      </c>
      <c r="CJ22" s="96" t="inlineStr">
        <is>
          <t>NATURAL RUBBER THREAD CO.,LTD.</t>
        </is>
      </c>
      <c r="CK22" s="96" t="inlineStr">
        <is>
          <t>SHENZHEN QIANHAI ZHONGTAI YOULIAN</t>
        </is>
      </c>
      <c r="CL22" s="96" t="inlineStr">
        <is>
          <t>SHENZHEN QIANHAI ZHONGTAI YOULIAN</t>
        </is>
      </c>
      <c r="CM22" s="97" t="n"/>
      <c r="CN22" s="96" t="inlineStr">
        <is>
          <t>202610051200</t>
        </is>
      </c>
      <c r="CO22" s="96" t="inlineStr">
        <is>
          <t>202610061500</t>
        </is>
      </c>
      <c r="CP22" s="97" t="n"/>
      <c r="CQ22" s="96" t="inlineStr">
        <is>
          <t>S19-2210002</t>
        </is>
      </c>
      <c r="CR22" s="96" t="inlineStr">
        <is>
          <t>BB0601</t>
        </is>
      </c>
      <c r="CS22" s="96" t="inlineStr">
        <is>
          <t>MASTERICH COMPANY LIMITED.</t>
        </is>
      </c>
      <c r="CT22" s="96" t="inlineStr">
        <is>
          <t>N</t>
        </is>
      </c>
      <c r="CU22" s="97" t="n"/>
      <c r="CV22" s="97" t="n"/>
      <c r="CW22" s="161" t="inlineStr">
        <is>
          <t>2026-10-03</t>
        </is>
      </c>
      <c r="CX22" s="97" t="n"/>
      <c r="CY22" s="183" t="n"/>
    </row>
    <row r="23" ht="12" customHeight="1">
      <c r="A23" s="116" t="inlineStr">
        <is>
          <t>HASLS22260901600</t>
        </is>
      </c>
      <c r="B23" s="96" t="inlineStr">
        <is>
          <t>40Hx3</t>
        </is>
      </c>
      <c r="C23" s="97" t="n">
        <v>3</v>
      </c>
      <c r="D23" s="97" t="n">
        <v>3</v>
      </c>
      <c r="E23" s="97" t="n"/>
      <c r="F23" s="97" t="n">
        <v>0</v>
      </c>
      <c r="G23" s="97" t="n">
        <v>0</v>
      </c>
      <c r="H23" s="97" t="n">
        <v>0</v>
      </c>
      <c r="I23" s="97" t="n">
        <v>3</v>
      </c>
      <c r="J23" s="97" t="n">
        <v>6</v>
      </c>
      <c r="K23" s="96" t="inlineStr">
        <is>
          <t>N</t>
        </is>
      </c>
      <c r="L23" s="96" t="inlineStr">
        <is>
          <t>CHT</t>
        </is>
      </c>
      <c r="M23" s="96" t="inlineStr">
        <is>
          <t>SWDN</t>
        </is>
      </c>
      <c r="N23" s="96" t="inlineStr">
        <is>
          <t>2610N</t>
        </is>
      </c>
      <c r="O23" s="96" t="inlineStr">
        <is>
          <t>THLCH</t>
        </is>
      </c>
      <c r="P23" s="96" t="inlineStr">
        <is>
          <t>LCH05</t>
        </is>
      </c>
      <c r="Q23" s="96" t="inlineStr">
        <is>
          <t>IA</t>
        </is>
      </c>
      <c r="R23" s="161" t="inlineStr">
        <is>
          <t>2026-10-08</t>
        </is>
      </c>
      <c r="S23" s="96" t="inlineStr">
        <is>
          <t>KRINC</t>
        </is>
      </c>
      <c r="T23" s="96" t="inlineStr">
        <is>
          <t>INC03</t>
        </is>
      </c>
      <c r="U23" s="96" t="inlineStr">
        <is>
          <t>KRINC</t>
        </is>
      </c>
      <c r="V23" s="161" t="inlineStr">
        <is>
          <t>2026-10-16</t>
        </is>
      </c>
      <c r="W23" s="96" t="inlineStr">
        <is>
          <t>KR</t>
        </is>
      </c>
      <c r="X23" s="97" t="n"/>
      <c r="Y23" s="97" t="n"/>
      <c r="Z23" s="97" t="n"/>
      <c r="AA23" s="96" t="inlineStr">
        <is>
          <t>VANACHAI GROUP PUBLIC COMPANY LIMITED</t>
        </is>
      </c>
      <c r="AB23" s="96" t="inlineStr">
        <is>
          <t>VANACHAI GROUP PUBLIC COMPANY LIMITED</t>
        </is>
      </c>
      <c r="AC23" s="163" t="n">
        <v>72996</v>
      </c>
      <c r="AD23" s="163" t="n">
        <v>84996</v>
      </c>
      <c r="AE23" s="96" t="inlineStr">
        <is>
          <t>OK</t>
        </is>
      </c>
      <c r="AF23" s="96" t="n"/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TBKK97</t>
        </is>
      </c>
      <c r="AN23" s="96" t="inlineStr">
        <is>
          <t>Arunphat W. (Aiw)</t>
        </is>
      </c>
      <c r="AO23" s="96" t="inlineStr">
        <is>
          <t>MEDIUM DENSITY FIBER BOARDS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n"/>
      <c r="AZ23" s="96" t="inlineStr">
        <is>
          <t xml:space="preserve">CY 02/10/2026 - RTN 03/10/2026  (VI(MDF) – 2026/272(Z)
 ** PLEASE CHECK OPEN GATE BEFORE RETURN CNTR **
</t>
        </is>
      </c>
      <c r="BA23" s="97" t="inlineStr">
        <is>
          <t>SI DD.22/9/26</t>
        </is>
      </c>
      <c r="BB23" s="96" t="inlineStr">
        <is>
          <t>P</t>
        </is>
      </c>
      <c r="BC23" s="161" t="inlineStr">
        <is>
          <t>2026-09-17</t>
        </is>
      </c>
      <c r="BD23" s="161" t="inlineStr">
        <is>
          <t>2026-09-30</t>
        </is>
      </c>
      <c r="BE23" s="96" t="inlineStr">
        <is>
          <t>Y</t>
        </is>
      </c>
      <c r="BF23" s="96" t="inlineStr">
        <is>
          <t>PARTICLE BOARD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LCH27</t>
        </is>
      </c>
      <c r="BL23" s="161" t="inlineStr">
        <is>
          <t>2026-10-02</t>
        </is>
      </c>
      <c r="BM23" s="127" t="n"/>
      <c r="BN23" s="127" t="n"/>
      <c r="BO23" s="127" t="n"/>
      <c r="BP23" s="127" t="n">
        <v>3</v>
      </c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n"/>
      <c r="CB23" s="97" t="n"/>
      <c r="CC23" s="96" t="inlineStr">
        <is>
          <t>LCH05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sompon@vanachai.com</t>
        </is>
      </c>
      <c r="CJ23" s="96" t="inlineStr">
        <is>
          <t>VANACHAI PANEL INDUSTRIES CO., LTD.</t>
        </is>
      </c>
      <c r="CK23" s="96" t="inlineStr">
        <is>
          <t>TO THE ORDER OF SHINHAN BANK SEOUL</t>
        </is>
      </c>
      <c r="CL23" s="96" t="inlineStr">
        <is>
          <t>DABINWOOD CO., LTD.</t>
        </is>
      </c>
      <c r="CM23" s="97" t="n"/>
      <c r="CN23" s="96" t="inlineStr">
        <is>
          <t>202610051200</t>
        </is>
      </c>
      <c r="CO23" s="96" t="inlineStr">
        <is>
          <t>202610061500</t>
        </is>
      </c>
      <c r="CP23" s="97" t="n"/>
      <c r="CQ23" s="96" t="inlineStr">
        <is>
          <t>S22-2301027</t>
        </is>
      </c>
      <c r="CR23" s="96" t="inlineStr">
        <is>
          <t>BB0632</t>
        </is>
      </c>
      <c r="CS23" s="96" t="inlineStr">
        <is>
          <t>VANACHAI GROUP PUBLIC COMPANY LIMITED</t>
        </is>
      </c>
      <c r="CT23" s="96" t="inlineStr">
        <is>
          <t>N</t>
        </is>
      </c>
      <c r="CU23" s="97" t="n"/>
      <c r="CV23" s="97" t="n"/>
      <c r="CW23" s="161" t="inlineStr">
        <is>
          <t>2026-10-01</t>
        </is>
      </c>
      <c r="CX23" s="97" t="inlineStr">
        <is>
          <t>441114</t>
        </is>
      </c>
      <c r="CY23" s="183" t="n"/>
    </row>
    <row r="24" ht="12" customHeight="1">
      <c r="A24" s="116" t="inlineStr">
        <is>
          <t>HASLS22260900917</t>
        </is>
      </c>
      <c r="B24" s="96" t="inlineStr">
        <is>
          <t>R40Hx1</t>
        </is>
      </c>
      <c r="C24" s="97" t="n">
        <v>1</v>
      </c>
      <c r="D24" s="97" t="n">
        <v>1</v>
      </c>
      <c r="E24" s="97" t="n"/>
      <c r="F24" s="97" t="n">
        <v>0</v>
      </c>
      <c r="G24" s="97" t="n">
        <v>0</v>
      </c>
      <c r="H24" s="97" t="n">
        <v>0</v>
      </c>
      <c r="I24" s="97" t="n">
        <v>1</v>
      </c>
      <c r="J24" s="97" t="n">
        <v>2</v>
      </c>
      <c r="K24" s="96" t="inlineStr">
        <is>
          <t>N</t>
        </is>
      </c>
      <c r="L24" s="96" t="inlineStr">
        <is>
          <t>CHT</t>
        </is>
      </c>
      <c r="M24" s="96" t="inlineStr">
        <is>
          <t>SWDN</t>
        </is>
      </c>
      <c r="N24" s="96" t="inlineStr">
        <is>
          <t>2610N</t>
        </is>
      </c>
      <c r="O24" s="96" t="inlineStr">
        <is>
          <t>THLCH</t>
        </is>
      </c>
      <c r="P24" s="96" t="inlineStr">
        <is>
          <t>LCH05</t>
        </is>
      </c>
      <c r="Q24" s="96" t="inlineStr">
        <is>
          <t>IA</t>
        </is>
      </c>
      <c r="R24" s="161" t="inlineStr">
        <is>
          <t>2026-10-08</t>
        </is>
      </c>
      <c r="S24" s="96" t="inlineStr">
        <is>
          <t>HKHKG</t>
        </is>
      </c>
      <c r="T24" s="96" t="inlineStr">
        <is>
          <t>HKG03</t>
        </is>
      </c>
      <c r="U24" s="96" t="inlineStr">
        <is>
          <t>HKHKG</t>
        </is>
      </c>
      <c r="V24" s="161" t="inlineStr">
        <is>
          <t>2026-10-11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DYNAMIC INTERTRANSPORT CO., LTD.</t>
        </is>
      </c>
      <c r="AB24" s="96" t="inlineStr">
        <is>
          <t>CP-MEIJI CO., LTD.</t>
        </is>
      </c>
      <c r="AC24" s="163" t="n">
        <v>21182.28</v>
      </c>
      <c r="AD24" s="163" t="n">
        <v>25182.28</v>
      </c>
      <c r="AE24" s="96" t="inlineStr">
        <is>
          <t>OK</t>
        </is>
      </c>
      <c r="AF24" s="96" t="inlineStr">
        <is>
          <t>SR</t>
        </is>
      </c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TBKK55</t>
        </is>
      </c>
      <c r="AN24" s="96" t="inlineStr">
        <is>
          <t>Vilaiporn</t>
        </is>
      </c>
      <c r="AO24" s="96" t="inlineStr">
        <is>
          <t>FRESH MILK AND MILK PRODUCT</t>
        </is>
      </c>
      <c r="AP24" s="96" t="inlineStr">
        <is>
          <t>Normal</t>
        </is>
      </c>
      <c r="AQ24" s="97" t="n"/>
      <c r="AR24" s="97" t="n"/>
      <c r="AS24" s="97" t="inlineStr">
        <is>
          <t>RF// MIN:+0.0 MAX:+0.0 [COVER:CLOSE]</t>
        </is>
      </c>
      <c r="AT24" s="97" t="inlineStr">
        <is>
          <t xml:space="preserve">45REx1 </t>
        </is>
      </c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 xml:space="preserve">Pickup : 2026-10-02, Return : 2026-10-03 (Temp +0.0 / Vent Close) 
CLS TIME : 06/10/2026 @10.00  [1ST RTN 05/10 W/O ELECTRIC] </t>
        </is>
      </c>
      <c r="BA24" s="97" t="inlineStr">
        <is>
          <t>CY (BKK) , RT (LCB) , (Temp +0.0 / Vent Close)  REQUEST : CLEAN AND GOOD CONTAINER FOR MILK PRODUCTSEND TO : nuttakan.des@cpintertrade.com,chuchat.ong@dynamic.co.th</t>
        </is>
      </c>
      <c r="BB24" s="96" t="inlineStr">
        <is>
          <t>P</t>
        </is>
      </c>
      <c r="BC24" s="161" t="inlineStr">
        <is>
          <t>2026-09-10</t>
        </is>
      </c>
      <c r="BD24" s="161" t="inlineStr">
        <is>
          <t>2026-10-02</t>
        </is>
      </c>
      <c r="BE24" s="96" t="inlineStr">
        <is>
          <t>Y</t>
        </is>
      </c>
      <c r="BF24" s="96" t="inlineStr">
        <is>
          <t>FRESH MILK AND MILK PRODUCT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LCH27</t>
        </is>
      </c>
      <c r="BL24" s="161" t="inlineStr">
        <is>
          <t>2026-10-02</t>
        </is>
      </c>
      <c r="BM24" s="127" t="n"/>
      <c r="BN24" s="127" t="n"/>
      <c r="BO24" s="127" t="n"/>
      <c r="BP24" s="127" t="n"/>
      <c r="BQ24" s="127" t="n"/>
      <c r="BR24" s="127" t="n">
        <v>1</v>
      </c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LCH05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nuttakan.des@cpintertrade.com;chuchat.ong@dynamic.co.th</t>
        </is>
      </c>
      <c r="CJ24" s="96" t="inlineStr">
        <is>
          <t>CP-MEIJI CO.,LTD.</t>
        </is>
      </c>
      <c r="CK24" s="96" t="inlineStr">
        <is>
          <t>CPF HONG KONG COMPANY LIMITED</t>
        </is>
      </c>
      <c r="CL24" s="96" t="inlineStr">
        <is>
          <t>CPF HONG KONG COMPANY LIMITED</t>
        </is>
      </c>
      <c r="CM24" s="97" t="inlineStr">
        <is>
          <t>CLOSED</t>
        </is>
      </c>
      <c r="CN24" s="96" t="inlineStr">
        <is>
          <t>202610051200</t>
        </is>
      </c>
      <c r="CO24" s="96" t="inlineStr">
        <is>
          <t>202610061500</t>
        </is>
      </c>
      <c r="CP24" s="97" t="inlineStr">
        <is>
          <t>45RE x1: RF(Temp:+0.0' / Cover:CLOSE)</t>
        </is>
      </c>
      <c r="CQ24" s="96" t="inlineStr">
        <is>
          <t>S19-2308018</t>
        </is>
      </c>
      <c r="CR24" s="96" t="inlineStr">
        <is>
          <t>BB0575</t>
        </is>
      </c>
      <c r="CS24" s="96" t="inlineStr">
        <is>
          <t>DYNAMIC INTERTRANSPORT CO., LTD.</t>
        </is>
      </c>
      <c r="CT24" s="96" t="inlineStr">
        <is>
          <t>N</t>
        </is>
      </c>
      <c r="CU24" s="97" t="n"/>
      <c r="CV24" s="97" t="n"/>
      <c r="CW24" s="161" t="inlineStr">
        <is>
          <t>2026-10-07</t>
        </is>
      </c>
      <c r="CX24" s="97" t="n"/>
      <c r="CY24" s="183" t="n"/>
    </row>
    <row r="25" ht="12" customHeight="1">
      <c r="A25" s="116" t="inlineStr">
        <is>
          <t>HASLS22260801601</t>
        </is>
      </c>
      <c r="B25" s="96" t="inlineStr">
        <is>
          <t>R40Hx1</t>
        </is>
      </c>
      <c r="C25" s="97" t="n">
        <v>1</v>
      </c>
      <c r="D25" s="97" t="n">
        <v>1</v>
      </c>
      <c r="E25" s="97" t="n"/>
      <c r="F25" s="97" t="n">
        <v>0</v>
      </c>
      <c r="G25" s="97" t="n">
        <v>0</v>
      </c>
      <c r="H25" s="97" t="n">
        <v>0</v>
      </c>
      <c r="I25" s="97" t="n">
        <v>1</v>
      </c>
      <c r="J25" s="97" t="n">
        <v>2</v>
      </c>
      <c r="K25" s="96" t="inlineStr">
        <is>
          <t>N</t>
        </is>
      </c>
      <c r="L25" s="96" t="inlineStr">
        <is>
          <t>CHT</t>
        </is>
      </c>
      <c r="M25" s="96" t="inlineStr">
        <is>
          <t>SWDN</t>
        </is>
      </c>
      <c r="N25" s="96" t="inlineStr">
        <is>
          <t>2610N</t>
        </is>
      </c>
      <c r="O25" s="96" t="inlineStr">
        <is>
          <t>THLCH</t>
        </is>
      </c>
      <c r="P25" s="96" t="inlineStr">
        <is>
          <t>LCH05</t>
        </is>
      </c>
      <c r="Q25" s="96" t="inlineStr">
        <is>
          <t>IA</t>
        </is>
      </c>
      <c r="R25" s="161" t="inlineStr">
        <is>
          <t>2026-10-08</t>
        </is>
      </c>
      <c r="S25" s="96" t="inlineStr">
        <is>
          <t>HKHKG</t>
        </is>
      </c>
      <c r="T25" s="96" t="inlineStr">
        <is>
          <t>HKG03</t>
        </is>
      </c>
      <c r="U25" s="96" t="inlineStr">
        <is>
          <t>HKHKG</t>
        </is>
      </c>
      <c r="V25" s="161" t="inlineStr">
        <is>
          <t>2026-10-11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DYNAMIC INTERTRANSPORT CO., LTD.</t>
        </is>
      </c>
      <c r="AB25" s="96" t="inlineStr">
        <is>
          <t>CP-MEIJI CO., LTD.</t>
        </is>
      </c>
      <c r="AC25" s="163" t="n">
        <v>23084.88</v>
      </c>
      <c r="AD25" s="163" t="n">
        <v>27084.88</v>
      </c>
      <c r="AE25" s="96" t="inlineStr">
        <is>
          <t>OK</t>
        </is>
      </c>
      <c r="AF25" s="96" t="inlineStr">
        <is>
          <t>SR</t>
        </is>
      </c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TBKK55</t>
        </is>
      </c>
      <c r="AN25" s="96" t="inlineStr">
        <is>
          <t>Vilaiporn</t>
        </is>
      </c>
      <c r="AO25" s="96" t="inlineStr">
        <is>
          <t>FRESH MILK AND MILK PRODUCT</t>
        </is>
      </c>
      <c r="AP25" s="96" t="inlineStr">
        <is>
          <t>Normal</t>
        </is>
      </c>
      <c r="AQ25" s="97" t="n"/>
      <c r="AR25" s="97" t="n"/>
      <c r="AS25" s="97" t="inlineStr">
        <is>
          <t>RF// MIN:+0.0 MAX:+0.0 [COVER:CLOSE]</t>
        </is>
      </c>
      <c r="AT25" s="97" t="inlineStr">
        <is>
          <t xml:space="preserve">45REx1 </t>
        </is>
      </c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OBL</t>
        </is>
      </c>
      <c r="AZ25" s="96" t="inlineStr">
        <is>
          <t xml:space="preserve">Pickup : 2026-10-02, Return : 2026-10-03 RF45REx1 (Temp +0.0 / Vent Close) 
CLS TIME : 06/10/2026 @10.00  [1ST RTN 05/10 W/O ELECTRIC] 
 </t>
        </is>
      </c>
      <c r="BA25" s="97" t="inlineStr">
        <is>
          <t>FM TSNA 2609N SKIP THAILAND 25/08
FM KJT 2610N DD 16/09 CY (BKK) , RT (LCB) , (Temp +0.0 / Vent Close)  REQUEST : CLEAN AND GOOD CONTAINER FOR MILK PRODUCTSEND TO : nuttakan.des@cpintertrade.com,chuchat.ong@dynamic.co.th</t>
        </is>
      </c>
      <c r="BB25" s="96" t="inlineStr">
        <is>
          <t>P</t>
        </is>
      </c>
      <c r="BC25" s="161" t="inlineStr">
        <is>
          <t>2026-08-19</t>
        </is>
      </c>
      <c r="BD25" s="161" t="inlineStr">
        <is>
          <t>2026-10-02</t>
        </is>
      </c>
      <c r="BE25" s="96" t="inlineStr">
        <is>
          <t>Y</t>
        </is>
      </c>
      <c r="BF25" s="96" t="inlineStr">
        <is>
          <t>FRESH MILK AND MILK PRODUCT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LCH27</t>
        </is>
      </c>
      <c r="BL25" s="161" t="inlineStr">
        <is>
          <t>2026-10-02</t>
        </is>
      </c>
      <c r="BM25" s="127" t="n"/>
      <c r="BN25" s="127" t="n"/>
      <c r="BO25" s="127" t="n"/>
      <c r="BP25" s="127" t="n"/>
      <c r="BQ25" s="127" t="n"/>
      <c r="BR25" s="127" t="n">
        <v>1</v>
      </c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LCH05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nuttakan.des@cpintertrade.com;chuchat.ong@dynamic.co.th</t>
        </is>
      </c>
      <c r="CJ25" s="96" t="inlineStr">
        <is>
          <t>CP-MEIJI CO.,LTD.</t>
        </is>
      </c>
      <c r="CK25" s="96" t="inlineStr">
        <is>
          <t>CPF HONG KONG COMPANY LIMITED</t>
        </is>
      </c>
      <c r="CL25" s="96" t="inlineStr">
        <is>
          <t>CPF HONG KONG COMPANY LIMITED</t>
        </is>
      </c>
      <c r="CM25" s="97" t="inlineStr">
        <is>
          <t>CLOSED</t>
        </is>
      </c>
      <c r="CN25" s="96" t="inlineStr">
        <is>
          <t>202610051200</t>
        </is>
      </c>
      <c r="CO25" s="96" t="inlineStr">
        <is>
          <t>202610061500</t>
        </is>
      </c>
      <c r="CP25" s="97" t="inlineStr">
        <is>
          <t>45RE x1: RF(Temp:+0.0' / Cover:CLOSE)</t>
        </is>
      </c>
      <c r="CQ25" s="96" t="inlineStr">
        <is>
          <t>S19-2308018</t>
        </is>
      </c>
      <c r="CR25" s="96" t="inlineStr">
        <is>
          <t>BB0575</t>
        </is>
      </c>
      <c r="CS25" s="96" t="inlineStr">
        <is>
          <t>DYNAMIC INTERTRANSPORT CO., LTD.</t>
        </is>
      </c>
      <c r="CT25" s="96" t="inlineStr">
        <is>
          <t>N</t>
        </is>
      </c>
      <c r="CU25" s="97" t="n"/>
      <c r="CV25" s="97" t="n"/>
      <c r="CW25" s="161" t="inlineStr">
        <is>
          <t>2026-10-07</t>
        </is>
      </c>
      <c r="CX25" s="97" t="n"/>
      <c r="CY25" s="183" t="n"/>
    </row>
    <row r="26" ht="12" customHeight="1">
      <c r="A26" s="116" t="inlineStr">
        <is>
          <t>HASLS22260902204</t>
        </is>
      </c>
      <c r="B26" s="96" t="inlineStr">
        <is>
          <t>R40Hx1</t>
        </is>
      </c>
      <c r="C26" s="97" t="n">
        <v>1</v>
      </c>
      <c r="D26" s="97" t="n">
        <v>1</v>
      </c>
      <c r="E26" s="97" t="n"/>
      <c r="F26" s="97" t="n">
        <v>0</v>
      </c>
      <c r="G26" s="97" t="n">
        <v>0</v>
      </c>
      <c r="H26" s="97" t="n">
        <v>0</v>
      </c>
      <c r="I26" s="97" t="n">
        <v>1</v>
      </c>
      <c r="J26" s="97" t="n">
        <v>2</v>
      </c>
      <c r="K26" s="96" t="inlineStr">
        <is>
          <t>N</t>
        </is>
      </c>
      <c r="L26" s="96" t="inlineStr">
        <is>
          <t>CHT</t>
        </is>
      </c>
      <c r="M26" s="96" t="inlineStr">
        <is>
          <t>SWDN</t>
        </is>
      </c>
      <c r="N26" s="96" t="inlineStr">
        <is>
          <t>2610N</t>
        </is>
      </c>
      <c r="O26" s="96" t="inlineStr">
        <is>
          <t>THLCH</t>
        </is>
      </c>
      <c r="P26" s="96" t="inlineStr">
        <is>
          <t>LCH05</t>
        </is>
      </c>
      <c r="Q26" s="96" t="inlineStr">
        <is>
          <t>IA</t>
        </is>
      </c>
      <c r="R26" s="161" t="inlineStr">
        <is>
          <t>2026-10-08</t>
        </is>
      </c>
      <c r="S26" s="96" t="inlineStr">
        <is>
          <t>HKHKG</t>
        </is>
      </c>
      <c r="T26" s="96" t="inlineStr">
        <is>
          <t>HKG03</t>
        </is>
      </c>
      <c r="U26" s="96" t="inlineStr">
        <is>
          <t>HKHKG</t>
        </is>
      </c>
      <c r="V26" s="161" t="inlineStr">
        <is>
          <t>2026-10-11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STAR SHIPPING CARGO LIKES CO., LTD.</t>
        </is>
      </c>
      <c r="AB26" s="96" t="inlineStr">
        <is>
          <t>AN NAM DRAGON 2017 CO., LTD.</t>
        </is>
      </c>
      <c r="AC26" s="163" t="n">
        <v>22194.3</v>
      </c>
      <c r="AD26" s="163" t="n">
        <v>26194.3</v>
      </c>
      <c r="AE26" s="96" t="inlineStr">
        <is>
          <t>OK</t>
        </is>
      </c>
      <c r="AF26" s="96" t="n"/>
      <c r="AG26" s="97" t="n"/>
      <c r="AH26" s="96" t="inlineStr">
        <is>
          <t>CHK</t>
        </is>
      </c>
      <c r="AI26" s="97" t="n"/>
      <c r="AJ26" s="97" t="n"/>
      <c r="AK26" s="97" t="n"/>
      <c r="AL26" s="97" t="n"/>
      <c r="AM26" s="96" t="inlineStr">
        <is>
          <t>TBKK97</t>
        </is>
      </c>
      <c r="AN26" s="96" t="inlineStr">
        <is>
          <t>Arunphat W. (Aiw)</t>
        </is>
      </c>
      <c r="AO26" s="96" t="inlineStr">
        <is>
          <t>FRESH FRUITS, VEGETABLES, FOODSTUFF</t>
        </is>
      </c>
      <c r="AP26" s="96" t="inlineStr">
        <is>
          <t>Normal</t>
        </is>
      </c>
      <c r="AQ26" s="97" t="n"/>
      <c r="AR26" s="97" t="n"/>
      <c r="AS26" s="97" t="inlineStr">
        <is>
          <t>RF// MIN:+4.0 MAX:+4.0 [COVER:OPEN]</t>
        </is>
      </c>
      <c r="AT26" s="97" t="inlineStr">
        <is>
          <t xml:space="preserve">45REx1 </t>
        </is>
      </c>
      <c r="AU26" s="97" t="n"/>
      <c r="AV26" s="97" t="n"/>
      <c r="AW26" s="97" t="n">
        <v>0</v>
      </c>
      <c r="AX26" s="96" t="inlineStr">
        <is>
          <t>N</t>
        </is>
      </c>
      <c r="AY26" s="97" t="n"/>
      <c r="AZ26" s="96" t="inlineStr">
        <is>
          <t xml:space="preserve">Pickup : 2026-10-05, Return : 2026-10-06 (Temp +4.0℃ / Vent 15% Open)
 CLS TIME 07/10 @12.00 [1ST RTN 06/10 W/O ELCTRIC] </t>
        </is>
      </c>
      <c r="BA26" s="97" t="inlineStr">
        <is>
          <t xml:space="preserve">FM SWAT 2610N DD 03/10 </t>
        </is>
      </c>
      <c r="BB26" s="96" t="inlineStr">
        <is>
          <t>P</t>
        </is>
      </c>
      <c r="BC26" s="161" t="inlineStr">
        <is>
          <t>2026-09-23</t>
        </is>
      </c>
      <c r="BD26" s="161" t="inlineStr">
        <is>
          <t>2026-10-06</t>
        </is>
      </c>
      <c r="BE26" s="96" t="inlineStr">
        <is>
          <t>Y</t>
        </is>
      </c>
      <c r="BF26" s="96" t="inlineStr">
        <is>
          <t>FRESH FRUITS, VEGETABLES, FOODSTUFF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LCH27</t>
        </is>
      </c>
      <c r="BL26" s="161" t="inlineStr">
        <is>
          <t>2026-10-05</t>
        </is>
      </c>
      <c r="BM26" s="127" t="n"/>
      <c r="BN26" s="127" t="n"/>
      <c r="BO26" s="127" t="n"/>
      <c r="BP26" s="127" t="n"/>
      <c r="BQ26" s="127" t="n"/>
      <c r="BR26" s="127" t="n">
        <v>1</v>
      </c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LCH05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STARSHIPPING.IM@GMAIL.COM</t>
        </is>
      </c>
      <c r="CJ26" s="96" t="inlineStr">
        <is>
          <t>AN NAM DRAGON 2017 CO.,LTD.</t>
        </is>
      </c>
      <c r="CK26" s="96" t="inlineStr">
        <is>
          <t>XIN THAI XIANG IMPORTS AND EXPORTS</t>
        </is>
      </c>
      <c r="CL26" s="96" t="inlineStr">
        <is>
          <t>XIN THAI XIANG IMPORTS AND EXPORTS</t>
        </is>
      </c>
      <c r="CM26" s="97" t="n"/>
      <c r="CN26" s="96" t="inlineStr">
        <is>
          <t>202610051200</t>
        </is>
      </c>
      <c r="CO26" s="96" t="inlineStr">
        <is>
          <t>202610061500</t>
        </is>
      </c>
      <c r="CP26" s="97" t="inlineStr">
        <is>
          <t>45RE x1: RF(Temp:+4.0' / Cover:FULL OPEN)</t>
        </is>
      </c>
      <c r="CQ26" s="96" t="inlineStr">
        <is>
          <t>S22-2401023</t>
        </is>
      </c>
      <c r="CR26" s="96" t="inlineStr">
        <is>
          <t>THTQZX</t>
        </is>
      </c>
      <c r="CS26" s="96" t="inlineStr">
        <is>
          <t>STAR SHIPPING CARGO LIKES CO., LTD.</t>
        </is>
      </c>
      <c r="CT26" s="96" t="inlineStr">
        <is>
          <t>N</t>
        </is>
      </c>
      <c r="CU26" s="97" t="n"/>
      <c r="CV26" s="97" t="n"/>
      <c r="CW26" s="161" t="inlineStr">
        <is>
          <t>2026-10-08</t>
        </is>
      </c>
      <c r="CX26" s="97" t="n"/>
      <c r="CY26" s="183" t="n"/>
    </row>
    <row r="27" ht="12" customHeight="1">
      <c r="A27" s="116" t="inlineStr">
        <is>
          <t>HASLS22260900918</t>
        </is>
      </c>
      <c r="B27" s="96" t="inlineStr">
        <is>
          <t>R40Hx1</t>
        </is>
      </c>
      <c r="C27" s="97" t="n">
        <v>1</v>
      </c>
      <c r="D27" s="97" t="n">
        <v>1</v>
      </c>
      <c r="E27" s="97" t="n"/>
      <c r="F27" s="97" t="n">
        <v>0</v>
      </c>
      <c r="G27" s="97" t="n">
        <v>0</v>
      </c>
      <c r="H27" s="97" t="n">
        <v>0</v>
      </c>
      <c r="I27" s="97" t="n">
        <v>1</v>
      </c>
      <c r="J27" s="97" t="n">
        <v>2</v>
      </c>
      <c r="K27" s="96" t="inlineStr">
        <is>
          <t>N</t>
        </is>
      </c>
      <c r="L27" s="96" t="inlineStr">
        <is>
          <t>CHT</t>
        </is>
      </c>
      <c r="M27" s="96" t="inlineStr">
        <is>
          <t>SWDN</t>
        </is>
      </c>
      <c r="N27" s="96" t="inlineStr">
        <is>
          <t>2610N</t>
        </is>
      </c>
      <c r="O27" s="96" t="inlineStr">
        <is>
          <t>THLCH</t>
        </is>
      </c>
      <c r="P27" s="96" t="inlineStr">
        <is>
          <t>LCH05</t>
        </is>
      </c>
      <c r="Q27" s="96" t="inlineStr">
        <is>
          <t>IA</t>
        </is>
      </c>
      <c r="R27" s="161" t="inlineStr">
        <is>
          <t>2026-10-08</t>
        </is>
      </c>
      <c r="S27" s="96" t="inlineStr">
        <is>
          <t>HKHKG</t>
        </is>
      </c>
      <c r="T27" s="96" t="inlineStr">
        <is>
          <t>HKG03</t>
        </is>
      </c>
      <c r="U27" s="96" t="inlineStr">
        <is>
          <t>HKHKG</t>
        </is>
      </c>
      <c r="V27" s="161" t="inlineStr">
        <is>
          <t>2026-10-11</t>
        </is>
      </c>
      <c r="W27" s="96" t="inlineStr">
        <is>
          <t>IA</t>
        </is>
      </c>
      <c r="X27" s="97" t="n"/>
      <c r="Y27" s="97" t="n"/>
      <c r="Z27" s="97" t="n"/>
      <c r="AA27" s="96" t="inlineStr">
        <is>
          <t>DYNAMIC INTERTRANSPORT CO., LTD.</t>
        </is>
      </c>
      <c r="AB27" s="96" t="inlineStr">
        <is>
          <t>CP-MEIJI CO., LTD.</t>
        </is>
      </c>
      <c r="AC27" s="163" t="n">
        <v>23655.66</v>
      </c>
      <c r="AD27" s="163" t="n">
        <v>27655.66</v>
      </c>
      <c r="AE27" s="96" t="inlineStr">
        <is>
          <t>OK</t>
        </is>
      </c>
      <c r="AF27" s="96" t="inlineStr">
        <is>
          <t>SR</t>
        </is>
      </c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TBKK55</t>
        </is>
      </c>
      <c r="AN27" s="96" t="inlineStr">
        <is>
          <t>Vilaiporn</t>
        </is>
      </c>
      <c r="AO27" s="96" t="inlineStr">
        <is>
          <t>FRESH MILK AND MILK PRODUCT</t>
        </is>
      </c>
      <c r="AP27" s="96" t="inlineStr">
        <is>
          <t>Normal</t>
        </is>
      </c>
      <c r="AQ27" s="97" t="n"/>
      <c r="AR27" s="97" t="n"/>
      <c r="AS27" s="97" t="inlineStr">
        <is>
          <t>RF// MIN:+0.0 MAX:+0.0 [COVER:CLOSE]</t>
        </is>
      </c>
      <c r="AT27" s="97" t="inlineStr">
        <is>
          <t xml:space="preserve">45REx1 </t>
        </is>
      </c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OBL</t>
        </is>
      </c>
      <c r="AZ27" s="96" t="inlineStr">
        <is>
          <t xml:space="preserve">Pickup : 2026-10-02, Return : 2026-10-03 (Temp +0.0 / Vent Close) 
CLS TIME : 06/10/2026 @10.00  [1ST RTN 05/10 W/O ELECTRIC] </t>
        </is>
      </c>
      <c r="BA27" s="97" t="inlineStr">
        <is>
          <t>CY (BKK) , RT (LCB) , (Temp +0.0 / Vent Close)  REQUEST : CLEAN AND GOOD CONTAINER FOR MILK PRODUCTSEND TO : nuttakan.des@cpintertrade.com,chuchat.ong@dynamic.co.th</t>
        </is>
      </c>
      <c r="BB27" s="96" t="inlineStr">
        <is>
          <t>P</t>
        </is>
      </c>
      <c r="BC27" s="161" t="inlineStr">
        <is>
          <t>2026-09-10</t>
        </is>
      </c>
      <c r="BD27" s="161" t="inlineStr">
        <is>
          <t>2026-10-02</t>
        </is>
      </c>
      <c r="BE27" s="96" t="inlineStr">
        <is>
          <t>Y</t>
        </is>
      </c>
      <c r="BF27" s="96" t="inlineStr">
        <is>
          <t>FRESH MILK AND MILK PRODUCT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LCH27</t>
        </is>
      </c>
      <c r="BL27" s="161" t="inlineStr">
        <is>
          <t>2026-10-02</t>
        </is>
      </c>
      <c r="BM27" s="127" t="n"/>
      <c r="BN27" s="127" t="n"/>
      <c r="BO27" s="127" t="n"/>
      <c r="BP27" s="127" t="n"/>
      <c r="BQ27" s="127" t="n"/>
      <c r="BR27" s="127" t="n">
        <v>1</v>
      </c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/>
      <c r="CA27" s="96" t="inlineStr">
        <is>
          <t>Y</t>
        </is>
      </c>
      <c r="CB27" s="97" t="n"/>
      <c r="CC27" s="96" t="inlineStr">
        <is>
          <t>LCH05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n"/>
      <c r="CI27" s="96" t="inlineStr">
        <is>
          <t>nuttakan.des@cpintertrade.com;chuchat.ong@dynamic.co.th</t>
        </is>
      </c>
      <c r="CJ27" s="96" t="inlineStr">
        <is>
          <t>CP-MEIJI CO.,LTD.</t>
        </is>
      </c>
      <c r="CK27" s="96" t="inlineStr">
        <is>
          <t>CPF HONG KONG COMPANY LIMITED</t>
        </is>
      </c>
      <c r="CL27" s="96" t="inlineStr">
        <is>
          <t>CPF HONG KONG COMPANY LIMITED</t>
        </is>
      </c>
      <c r="CM27" s="97" t="inlineStr">
        <is>
          <t>CLOSED</t>
        </is>
      </c>
      <c r="CN27" s="96" t="inlineStr">
        <is>
          <t>202610051200</t>
        </is>
      </c>
      <c r="CO27" s="96" t="inlineStr">
        <is>
          <t>202610061500</t>
        </is>
      </c>
      <c r="CP27" s="97" t="inlineStr">
        <is>
          <t>45RE x1: RF(Temp:+0.0' / Cover:CLOSE)</t>
        </is>
      </c>
      <c r="CQ27" s="96" t="inlineStr">
        <is>
          <t>S19-2308018</t>
        </is>
      </c>
      <c r="CR27" s="96" t="inlineStr">
        <is>
          <t>BB0575</t>
        </is>
      </c>
      <c r="CS27" s="96" t="inlineStr">
        <is>
          <t>DYNAMIC INTERTRANSPORT CO., LTD.</t>
        </is>
      </c>
      <c r="CT27" s="96" t="inlineStr">
        <is>
          <t>N</t>
        </is>
      </c>
      <c r="CU27" s="97" t="n"/>
      <c r="CV27" s="97" t="n"/>
      <c r="CW27" s="161" t="inlineStr">
        <is>
          <t>2026-10-07</t>
        </is>
      </c>
      <c r="CX27" s="97" t="n"/>
      <c r="CY27" s="183" t="n"/>
    </row>
    <row r="28" ht="12" customHeight="1">
      <c r="A28" s="116" t="inlineStr">
        <is>
          <t xml:space="preserve">TOTAL </t>
        </is>
      </c>
      <c r="B28" s="96" t="inlineStr">
        <is>
          <t>2</t>
        </is>
      </c>
      <c r="C28" s="97" t="n"/>
      <c r="D28" s="97" t="n"/>
      <c r="E28" s="97" t="n"/>
      <c r="F28" s="97" t="n">
        <v>0</v>
      </c>
      <c r="G28" s="97" t="n">
        <v>28</v>
      </c>
      <c r="H28" s="97" t="n">
        <v>0</v>
      </c>
      <c r="I28" s="97" t="n">
        <v>21</v>
      </c>
      <c r="J28" s="97" t="n">
        <v>70</v>
      </c>
      <c r="K28" s="96" t="n"/>
      <c r="L28" s="96" t="n"/>
      <c r="M28" s="96" t="n"/>
      <c r="N28" s="96" t="n"/>
      <c r="O28" s="96" t="n"/>
      <c r="P28" s="96" t="n"/>
      <c r="Q28" s="96" t="n"/>
      <c r="R28" s="161" t="n"/>
      <c r="S28" s="96" t="n"/>
      <c r="T28" s="96" t="n"/>
      <c r="U28" s="96" t="n"/>
      <c r="V28" s="161" t="n"/>
      <c r="W28" s="96" t="n"/>
      <c r="X28" s="97" t="n"/>
      <c r="Y28" s="97" t="n"/>
      <c r="Z28" s="97" t="n"/>
      <c r="AA28" s="96" t="n"/>
      <c r="AB28" s="96" t="n"/>
      <c r="AC28" s="163" t="n">
        <v>879398.772</v>
      </c>
      <c r="AD28" s="163" t="n">
        <v>1028598.772</v>
      </c>
      <c r="AE28" s="96" t="n"/>
      <c r="AF28" s="96" t="n"/>
      <c r="AG28" s="97" t="n"/>
      <c r="AH28" s="96" t="n"/>
      <c r="AI28" s="97" t="n"/>
      <c r="AJ28" s="97" t="n"/>
      <c r="AK28" s="97" t="n"/>
      <c r="AL28" s="97" t="n"/>
      <c r="AM28" s="96" t="n"/>
      <c r="AN28" s="96" t="n"/>
      <c r="AO28" s="96" t="n"/>
      <c r="AP28" s="96" t="n"/>
      <c r="AQ28" s="97" t="n"/>
      <c r="AR28" s="97" t="n"/>
      <c r="AS28" s="97" t="n"/>
      <c r="AT28" s="97" t="n"/>
      <c r="AU28" s="97" t="n"/>
      <c r="AV28" s="97" t="n"/>
      <c r="AW28" s="97" t="n"/>
      <c r="AX28" s="96" t="n"/>
      <c r="AY28" s="97" t="n"/>
      <c r="AZ28" s="96" t="n"/>
      <c r="BA28" s="97" t="n"/>
      <c r="BB28" s="96" t="n"/>
      <c r="BC28" s="161" t="n"/>
      <c r="BD28" s="161" t="n"/>
      <c r="BE28" s="96" t="n"/>
      <c r="BF28" s="96" t="n"/>
      <c r="BG28" s="96" t="n"/>
      <c r="BH28" s="96" t="n"/>
      <c r="BI28" s="97" t="n"/>
      <c r="BJ28" s="97" t="n"/>
      <c r="BK28" s="96" t="n"/>
      <c r="BL28" s="161" t="n"/>
      <c r="BM28" s="127" t="n">
        <v>0</v>
      </c>
      <c r="BN28" s="127" t="n">
        <v>25</v>
      </c>
      <c r="BO28" s="127" t="n">
        <v>0</v>
      </c>
      <c r="BP28" s="127" t="n">
        <v>17</v>
      </c>
      <c r="BQ28" s="127" t="n">
        <v>1</v>
      </c>
      <c r="BR28" s="127" t="n">
        <v>4</v>
      </c>
      <c r="BS28" s="127" t="n">
        <v>0</v>
      </c>
      <c r="BT28" s="127" t="n">
        <v>0</v>
      </c>
      <c r="BU28" s="127" t="n">
        <v>0</v>
      </c>
      <c r="BV28" s="127" t="n">
        <v>0</v>
      </c>
      <c r="BW28" s="127" t="n">
        <v>2</v>
      </c>
      <c r="BX28" s="127" t="n">
        <v>0</v>
      </c>
      <c r="BY28" s="96" t="n"/>
      <c r="BZ28" s="97" t="n"/>
      <c r="CA28" s="96" t="n"/>
      <c r="CB28" s="97" t="n"/>
      <c r="CC28" s="96" t="n"/>
      <c r="CD28" s="97" t="n"/>
      <c r="CE28" s="97" t="n"/>
      <c r="CF28" s="96" t="n"/>
      <c r="CG28" s="96" t="n"/>
      <c r="CH28" s="97" t="n"/>
      <c r="CI28" s="96" t="n"/>
      <c r="CJ28" s="96" t="n"/>
      <c r="CK28" s="96" t="n"/>
      <c r="CL28" s="96" t="n"/>
      <c r="CM28" s="97" t="n"/>
      <c r="CN28" s="96" t="n"/>
      <c r="CO28" s="96" t="n"/>
      <c r="CP28" s="97" t="n"/>
      <c r="CQ28" s="96" t="n"/>
      <c r="CR28" s="96" t="n"/>
      <c r="CS28" s="96" t="n"/>
      <c r="CT28" s="96" t="n"/>
      <c r="CU28" s="97" t="n"/>
      <c r="CV28" s="97" t="n"/>
      <c r="CW28" s="161" t="n"/>
      <c r="CX28" s="97" t="n"/>
      <c r="CY28" s="183" t="n"/>
    </row>
    <row r="29" ht="12" customHeight="1">
      <c r="A29" s="116" t="inlineStr">
        <is>
          <t xml:space="preserve">COC </t>
        </is>
      </c>
      <c r="B29" s="96" t="inlineStr">
        <is>
          <t>5</t>
        </is>
      </c>
      <c r="C29" s="97" t="n"/>
      <c r="D29" s="97" t="n"/>
      <c r="E29" s="97" t="n"/>
      <c r="F29" s="97" t="n">
        <v>0</v>
      </c>
      <c r="G29" s="97" t="n">
        <v>26</v>
      </c>
      <c r="H29" s="97" t="n">
        <v>0</v>
      </c>
      <c r="I29" s="97" t="n">
        <v>21</v>
      </c>
      <c r="J29" s="97" t="n">
        <v>68</v>
      </c>
      <c r="K29" s="96" t="n"/>
      <c r="L29" s="96" t="n"/>
      <c r="M29" s="96" t="n"/>
      <c r="N29" s="96" t="n"/>
      <c r="O29" s="96" t="n"/>
      <c r="P29" s="96" t="n"/>
      <c r="Q29" s="96" t="n"/>
      <c r="R29" s="161" t="n"/>
      <c r="S29" s="96" t="n"/>
      <c r="T29" s="96" t="n"/>
      <c r="U29" s="96" t="n"/>
      <c r="V29" s="161" t="n"/>
      <c r="W29" s="96" t="n"/>
      <c r="X29" s="97" t="n"/>
      <c r="Y29" s="97" t="n"/>
      <c r="Z29" s="97" t="n"/>
      <c r="AA29" s="96" t="n"/>
      <c r="AB29" s="96" t="n"/>
      <c r="AC29" s="163" t="n"/>
      <c r="AD29" s="163" t="n"/>
      <c r="AE29" s="96" t="n"/>
      <c r="AF29" s="96" t="n"/>
      <c r="AG29" s="97" t="n"/>
      <c r="AH29" s="96" t="n"/>
      <c r="AI29" s="97" t="n"/>
      <c r="AJ29" s="97" t="n"/>
      <c r="AK29" s="97" t="n"/>
      <c r="AL29" s="97" t="n"/>
      <c r="AM29" s="96" t="n"/>
      <c r="AN29" s="96" t="n"/>
      <c r="AO29" s="96" t="n"/>
      <c r="AP29" s="96" t="n"/>
      <c r="AQ29" s="97" t="n"/>
      <c r="AR29" s="97" t="n"/>
      <c r="AS29" s="97" t="n"/>
      <c r="AT29" s="97" t="n"/>
      <c r="AU29" s="97" t="n"/>
      <c r="AV29" s="97" t="n"/>
      <c r="AW29" s="97" t="n"/>
      <c r="AX29" s="96" t="n"/>
      <c r="AY29" s="97" t="n"/>
      <c r="AZ29" s="96" t="n"/>
      <c r="BA29" s="97" t="n"/>
      <c r="BB29" s="96" t="n"/>
      <c r="BC29" s="161" t="n"/>
      <c r="BD29" s="161" t="n"/>
      <c r="BE29" s="96" t="n"/>
      <c r="BF29" s="96" t="n"/>
      <c r="BG29" s="96" t="n"/>
      <c r="BH29" s="96" t="n"/>
      <c r="BI29" s="97" t="n"/>
      <c r="BJ29" s="97" t="n"/>
      <c r="BK29" s="96" t="n"/>
      <c r="BL29" s="161" t="n"/>
      <c r="BM29" s="127" t="n"/>
      <c r="BN29" s="127" t="n"/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n"/>
      <c r="BZ29" s="97" t="n"/>
      <c r="CA29" s="96" t="n"/>
      <c r="CB29" s="97" t="n"/>
      <c r="CC29" s="96" t="n"/>
      <c r="CD29" s="97" t="n"/>
      <c r="CE29" s="97" t="n"/>
      <c r="CF29" s="96" t="n"/>
      <c r="CG29" s="96" t="n"/>
      <c r="CH29" s="97" t="n"/>
      <c r="CI29" s="96" t="n"/>
      <c r="CJ29" s="96" t="n"/>
      <c r="CK29" s="96" t="n"/>
      <c r="CL29" s="96" t="n"/>
      <c r="CM29" s="97" t="n"/>
      <c r="CN29" s="96" t="n"/>
      <c r="CO29" s="96" t="n"/>
      <c r="CP29" s="97" t="n"/>
      <c r="CQ29" s="96" t="n"/>
      <c r="CR29" s="96" t="n"/>
      <c r="CS29" s="96" t="n"/>
      <c r="CT29" s="96" t="n"/>
      <c r="CU29" s="97" t="n"/>
      <c r="CV29" s="97" t="n"/>
      <c r="CW29" s="161" t="n"/>
      <c r="CX29" s="97" t="n"/>
      <c r="CY29" s="183" t="n"/>
    </row>
    <row r="30" ht="12" customHeight="1">
      <c r="A30" s="116" t="inlineStr">
        <is>
          <t xml:space="preserve">SOC </t>
        </is>
      </c>
      <c r="B30" s="96" t="inlineStr">
        <is>
          <t>0</t>
        </is>
      </c>
      <c r="C30" s="97" t="n"/>
      <c r="D30" s="97" t="n"/>
      <c r="E30" s="97" t="n"/>
      <c r="F30" s="97" t="n">
        <v>0</v>
      </c>
      <c r="G30" s="97" t="n">
        <v>2</v>
      </c>
      <c r="H30" s="97" t="n">
        <v>0</v>
      </c>
      <c r="I30" s="97" t="n">
        <v>0</v>
      </c>
      <c r="J30" s="97" t="n">
        <v>2</v>
      </c>
      <c r="K30" s="96" t="n"/>
      <c r="L30" s="96" t="n"/>
      <c r="M30" s="96" t="n"/>
      <c r="N30" s="96" t="n"/>
      <c r="O30" s="96" t="n"/>
      <c r="P30" s="96" t="n"/>
      <c r="Q30" s="96" t="n"/>
      <c r="R30" s="161" t="n"/>
      <c r="S30" s="96" t="n"/>
      <c r="T30" s="96" t="n"/>
      <c r="U30" s="96" t="n"/>
      <c r="V30" s="161" t="n"/>
      <c r="W30" s="96" t="n"/>
      <c r="X30" s="97" t="n"/>
      <c r="Y30" s="97" t="n"/>
      <c r="Z30" s="97" t="n"/>
      <c r="AA30" s="96" t="n"/>
      <c r="AB30" s="96" t="n"/>
      <c r="AC30" s="163" t="n"/>
      <c r="AD30" s="163" t="n"/>
      <c r="AE30" s="96" t="n"/>
      <c r="AF30" s="96" t="n"/>
      <c r="AG30" s="97" t="n"/>
      <c r="AH30" s="96" t="n"/>
      <c r="AI30" s="97" t="n"/>
      <c r="AJ30" s="97" t="n"/>
      <c r="AK30" s="97" t="n"/>
      <c r="AL30" s="97" t="n"/>
      <c r="AM30" s="96" t="n"/>
      <c r="AN30" s="96" t="n"/>
      <c r="AO30" s="96" t="n"/>
      <c r="AP30" s="96" t="n"/>
      <c r="AQ30" s="97" t="n"/>
      <c r="AR30" s="97" t="n"/>
      <c r="AS30" s="97" t="n"/>
      <c r="AT30" s="97" t="n"/>
      <c r="AU30" s="97" t="n"/>
      <c r="AV30" s="97" t="n"/>
      <c r="AW30" s="97" t="n"/>
      <c r="AX30" s="96" t="n"/>
      <c r="AY30" s="97" t="n"/>
      <c r="AZ30" s="96" t="n"/>
      <c r="BA30" s="97" t="n"/>
      <c r="BB30" s="96" t="n"/>
      <c r="BC30" s="161" t="n"/>
      <c r="BD30" s="161" t="n"/>
      <c r="BE30" s="96" t="n"/>
      <c r="BF30" s="96" t="n"/>
      <c r="BG30" s="96" t="n"/>
      <c r="BH30" s="96" t="n"/>
      <c r="BI30" s="97" t="n"/>
      <c r="BJ30" s="97" t="n"/>
      <c r="BK30" s="96" t="n"/>
      <c r="BL30" s="161" t="n"/>
      <c r="BM30" s="127" t="n"/>
      <c r="BN30" s="127" t="n"/>
      <c r="BO30" s="127" t="n"/>
      <c r="BP30" s="127" t="n"/>
      <c r="BQ30" s="127" t="n"/>
      <c r="BR30" s="127" t="n"/>
      <c r="BS30" s="127" t="n"/>
      <c r="BT30" s="127" t="n"/>
      <c r="BU30" s="127" t="n"/>
      <c r="BV30" s="127" t="n"/>
      <c r="BW30" s="127" t="n"/>
      <c r="BX30" s="127" t="n"/>
      <c r="BY30" s="96" t="n"/>
      <c r="BZ30" s="97" t="n"/>
      <c r="CA30" s="96" t="n"/>
      <c r="CB30" s="97" t="n"/>
      <c r="CC30" s="96" t="n"/>
      <c r="CD30" s="97" t="n"/>
      <c r="CE30" s="97" t="n"/>
      <c r="CF30" s="96" t="n"/>
      <c r="CG30" s="96" t="n"/>
      <c r="CH30" s="97" t="n"/>
      <c r="CI30" s="96" t="n"/>
      <c r="CJ30" s="96" t="n"/>
      <c r="CK30" s="96" t="n"/>
      <c r="CL30" s="96" t="n"/>
      <c r="CM30" s="97" t="n"/>
      <c r="CN30" s="96" t="n"/>
      <c r="CO30" s="96" t="n"/>
      <c r="CP30" s="97" t="n"/>
      <c r="CQ30" s="96" t="n"/>
      <c r="CR30" s="96" t="n"/>
      <c r="CS30" s="96" t="n"/>
      <c r="CT30" s="96" t="n"/>
      <c r="CU30" s="97" t="n"/>
      <c r="CV30" s="97" t="n"/>
      <c r="CW30" s="161" t="n"/>
      <c r="CX30" s="97" t="n"/>
      <c r="CY30" s="183" t="n"/>
    </row>
    <row r="31" ht="12" customHeight="1">
      <c r="A31" s="116" t="inlineStr">
        <is>
          <t>26</t>
        </is>
      </c>
      <c r="B31" s="96" t="inlineStr">
        <is>
          <t>49</t>
        </is>
      </c>
      <c r="C31" s="97" t="n"/>
      <c r="D31" s="97" t="n"/>
      <c r="E31" s="97" t="n"/>
      <c r="F31" s="97" t="n"/>
      <c r="G31" s="97" t="n"/>
      <c r="H31" s="97" t="n"/>
      <c r="I31" s="97" t="n"/>
      <c r="J31" s="97" t="n"/>
      <c r="K31" s="96" t="n"/>
      <c r="L31" s="96" t="n"/>
      <c r="M31" s="96" t="n"/>
      <c r="N31" s="96" t="n"/>
      <c r="O31" s="96" t="n"/>
      <c r="P31" s="96" t="n"/>
      <c r="Q31" s="96" t="n"/>
      <c r="R31" s="161" t="n"/>
      <c r="S31" s="96" t="n"/>
      <c r="T31" s="96" t="n"/>
      <c r="U31" s="96" t="n"/>
      <c r="V31" s="161" t="n"/>
      <c r="W31" s="96" t="n"/>
      <c r="X31" s="97" t="n"/>
      <c r="Y31" s="97" t="n"/>
      <c r="Z31" s="97" t="n"/>
      <c r="AA31" s="96" t="n"/>
      <c r="AB31" s="96" t="n"/>
      <c r="AC31" s="163" t="n"/>
      <c r="AD31" s="163" t="n"/>
      <c r="AE31" s="96" t="n"/>
      <c r="AF31" s="96" t="n"/>
      <c r="AG31" s="97" t="n"/>
      <c r="AH31" s="96" t="n"/>
      <c r="AI31" s="97" t="n"/>
      <c r="AJ31" s="97" t="n"/>
      <c r="AK31" s="97" t="n"/>
      <c r="AL31" s="97" t="n"/>
      <c r="AM31" s="96" t="n"/>
      <c r="AN31" s="96" t="n"/>
      <c r="AO31" s="96" t="n"/>
      <c r="AP31" s="96" t="n"/>
      <c r="AQ31" s="97" t="n"/>
      <c r="AR31" s="97" t="n"/>
      <c r="AS31" s="97" t="n"/>
      <c r="AT31" s="97" t="n"/>
      <c r="AU31" s="97" t="n"/>
      <c r="AV31" s="97" t="n"/>
      <c r="AW31" s="97" t="n"/>
      <c r="AX31" s="96" t="n"/>
      <c r="AY31" s="97" t="n"/>
      <c r="AZ31" s="96" t="n"/>
      <c r="BA31" s="97" t="n"/>
      <c r="BB31" s="96" t="n"/>
      <c r="BC31" s="161" t="n"/>
      <c r="BD31" s="161" t="n"/>
      <c r="BE31" s="96" t="n"/>
      <c r="BF31" s="96" t="n"/>
      <c r="BG31" s="96" t="n"/>
      <c r="BH31" s="96" t="n"/>
      <c r="BI31" s="97" t="n"/>
      <c r="BJ31" s="97" t="n"/>
      <c r="BK31" s="96" t="n"/>
      <c r="BL31" s="161" t="n"/>
      <c r="BM31" s="127" t="n"/>
      <c r="BN31" s="127" t="n"/>
      <c r="BO31" s="127" t="n"/>
      <c r="BP31" s="127" t="n"/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n"/>
      <c r="BZ31" s="97" t="n"/>
      <c r="CA31" s="96" t="n"/>
      <c r="CB31" s="97" t="n"/>
      <c r="CC31" s="96" t="n"/>
      <c r="CD31" s="97" t="n"/>
      <c r="CE31" s="97" t="n"/>
      <c r="CF31" s="96" t="n"/>
      <c r="CG31" s="96" t="n"/>
      <c r="CH31" s="97" t="n"/>
      <c r="CI31" s="96" t="n"/>
      <c r="CJ31" s="96" t="n"/>
      <c r="CK31" s="96" t="n"/>
      <c r="CL31" s="96" t="n"/>
      <c r="CM31" s="97" t="n"/>
      <c r="CN31" s="96" t="n"/>
      <c r="CO31" s="96" t="n"/>
      <c r="CP31" s="97" t="n"/>
      <c r="CQ31" s="96" t="n"/>
      <c r="CR31" s="96" t="n"/>
      <c r="CS31" s="96" t="n"/>
      <c r="CT31" s="96" t="n"/>
      <c r="CU31" s="97" t="n"/>
      <c r="CV31" s="97" t="n"/>
      <c r="CW31" s="161" t="n"/>
      <c r="CX31" s="97" t="n"/>
      <c r="CY31" s="183" t="n"/>
    </row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BEAU2356127</t>
        </is>
      </c>
      <c r="B2" s="108" t="inlineStr">
        <is>
          <t>LCH05</t>
        </is>
      </c>
      <c r="C2" s="108" t="inlineStr">
        <is>
          <t>IFV</t>
        </is>
      </c>
      <c r="D2" s="172" t="inlineStr">
        <is>
          <t>2026-10-01</t>
        </is>
      </c>
      <c r="E2" s="173" t="inlineStr">
        <is>
          <t>0335</t>
        </is>
      </c>
      <c r="F2" s="96" t="inlineStr">
        <is>
          <t>HASLS22260901146</t>
        </is>
      </c>
      <c r="G2" s="96" t="inlineStr">
        <is>
          <t>WHA GC LOGISTICS COMPANY LIMITED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HASLS22260901146</t>
        </is>
      </c>
      <c r="N2" s="96" t="inlineStr">
        <is>
          <t xml:space="preserve">20'x4 </t>
        </is>
      </c>
      <c r="O2" s="111" t="inlineStr">
        <is>
          <t>2014</t>
        </is>
      </c>
      <c r="P2" s="111" t="n"/>
      <c r="Q2" s="111" t="n"/>
      <c r="R2" s="96" t="inlineStr">
        <is>
          <t>SWDN</t>
        </is>
      </c>
      <c r="S2" s="96" t="inlineStr">
        <is>
          <t>2610N</t>
        </is>
      </c>
      <c r="T2" s="96" t="inlineStr">
        <is>
          <t>LCH05</t>
        </is>
      </c>
      <c r="U2" s="96" t="inlineStr">
        <is>
          <t>THLCH</t>
        </is>
      </c>
      <c r="V2" s="161" t="inlineStr">
        <is>
          <t>2026-10-08</t>
        </is>
      </c>
      <c r="W2" s="96" t="inlineStr">
        <is>
          <t>CNXMN</t>
        </is>
      </c>
      <c r="X2" s="161" t="inlineStr">
        <is>
          <t>2026-10-13</t>
        </is>
      </c>
      <c r="Y2" s="97" t="n"/>
      <c r="Z2" s="97" t="n"/>
      <c r="AA2" s="97" t="n"/>
      <c r="AB2" s="97" t="n"/>
      <c r="AC2" s="97" t="n"/>
      <c r="AD2" s="161" t="inlineStr">
        <is>
          <t>2026-10-01</t>
        </is>
      </c>
      <c r="AE2" s="174" t="inlineStr">
        <is>
          <t>0801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SINOCHEM PETROCHEMICAL</t>
        </is>
      </c>
      <c r="AK2" s="130" t="n"/>
    </row>
    <row r="3" ht="12" customHeight="1">
      <c r="A3" s="108" t="inlineStr">
        <is>
          <t>BEAU2477638</t>
        </is>
      </c>
      <c r="B3" s="108" t="inlineStr">
        <is>
          <t>LCH05</t>
        </is>
      </c>
      <c r="C3" s="108" t="inlineStr">
        <is>
          <t>IFV</t>
        </is>
      </c>
      <c r="D3" s="172" t="inlineStr">
        <is>
          <t>2026-10-04</t>
        </is>
      </c>
      <c r="E3" s="173" t="inlineStr">
        <is>
          <t>1438</t>
        </is>
      </c>
      <c r="F3" s="96" t="inlineStr">
        <is>
          <t>HASLS22260901029</t>
        </is>
      </c>
      <c r="G3" s="96" t="inlineStr">
        <is>
          <t>THAI POLYCARBONATE CO., LTD.</t>
        </is>
      </c>
      <c r="H3" s="111" t="inlineStr">
        <is>
          <t>22GP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HASLS22260901029</t>
        </is>
      </c>
      <c r="N3" s="96" t="inlineStr">
        <is>
          <t xml:space="preserve">20'x3 </t>
        </is>
      </c>
      <c r="O3" s="111" t="inlineStr">
        <is>
          <t>2015</t>
        </is>
      </c>
      <c r="P3" s="111" t="n"/>
      <c r="Q3" s="111" t="n"/>
      <c r="R3" s="96" t="inlineStr">
        <is>
          <t>SWDN</t>
        </is>
      </c>
      <c r="S3" s="96" t="inlineStr">
        <is>
          <t>2610N</t>
        </is>
      </c>
      <c r="T3" s="96" t="inlineStr">
        <is>
          <t>LCH05</t>
        </is>
      </c>
      <c r="U3" s="96" t="inlineStr">
        <is>
          <t>THLCH</t>
        </is>
      </c>
      <c r="V3" s="161" t="inlineStr">
        <is>
          <t>2026-10-08</t>
        </is>
      </c>
      <c r="W3" s="96" t="inlineStr">
        <is>
          <t>CNXMN</t>
        </is>
      </c>
      <c r="X3" s="161" t="inlineStr">
        <is>
          <t>2026-10-13</t>
        </is>
      </c>
      <c r="Y3" s="97" t="n"/>
      <c r="Z3" s="97" t="n"/>
      <c r="AA3" s="97" t="n"/>
      <c r="AB3" s="97" t="n"/>
      <c r="AC3" s="97" t="n"/>
      <c r="AD3" s="161" t="inlineStr">
        <is>
          <t>2026-10-04</t>
        </is>
      </c>
      <c r="AE3" s="174" t="inlineStr">
        <is>
          <t>2002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PLASTEL INDUSTRIES CO.,LTD.</t>
        </is>
      </c>
      <c r="AK3" s="130" t="n"/>
    </row>
    <row r="4" ht="12" customHeight="1">
      <c r="A4" s="108" t="inlineStr">
        <is>
          <t>BEAU2985449</t>
        </is>
      </c>
      <c r="B4" s="108" t="inlineStr">
        <is>
          <t>LCH05</t>
        </is>
      </c>
      <c r="C4" s="108" t="inlineStr">
        <is>
          <t>IFV</t>
        </is>
      </c>
      <c r="D4" s="172" t="inlineStr">
        <is>
          <t>2026-10-02</t>
        </is>
      </c>
      <c r="E4" s="173" t="inlineStr">
        <is>
          <t>2022</t>
        </is>
      </c>
      <c r="F4" s="96" t="inlineStr">
        <is>
          <t>HASLS22260901873</t>
        </is>
      </c>
      <c r="G4" s="96" t="inlineStr">
        <is>
          <t>DIMERCO EXPRESS (THAILAND) CO., LTD.</t>
        </is>
      </c>
      <c r="H4" s="111" t="inlineStr">
        <is>
          <t>22GP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HASLS22260901873</t>
        </is>
      </c>
      <c r="N4" s="96" t="inlineStr">
        <is>
          <t xml:space="preserve">20'x1 </t>
        </is>
      </c>
      <c r="O4" s="111" t="inlineStr">
        <is>
          <t>2017</t>
        </is>
      </c>
      <c r="P4" s="111" t="n"/>
      <c r="Q4" s="111" t="n"/>
      <c r="R4" s="96" t="inlineStr">
        <is>
          <t>SWDN</t>
        </is>
      </c>
      <c r="S4" s="96" t="inlineStr">
        <is>
          <t>2610N</t>
        </is>
      </c>
      <c r="T4" s="96" t="inlineStr">
        <is>
          <t>LCH05</t>
        </is>
      </c>
      <c r="U4" s="96" t="inlineStr">
        <is>
          <t>THLCH</t>
        </is>
      </c>
      <c r="V4" s="161" t="inlineStr">
        <is>
          <t>2026-10-08</t>
        </is>
      </c>
      <c r="W4" s="96" t="inlineStr">
        <is>
          <t>CNXMN</t>
        </is>
      </c>
      <c r="X4" s="161" t="inlineStr">
        <is>
          <t>2026-10-13</t>
        </is>
      </c>
      <c r="Y4" s="97" t="n"/>
      <c r="Z4" s="97" t="n"/>
      <c r="AA4" s="97" t="n"/>
      <c r="AB4" s="97" t="n"/>
      <c r="AC4" s="97" t="n"/>
      <c r="AD4" s="161" t="inlineStr">
        <is>
          <t>2026-10-03</t>
        </is>
      </c>
      <c r="AE4" s="174" t="inlineStr">
        <is>
          <t>0201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DIVERSIFIED INTERNATIONAL</t>
        </is>
      </c>
      <c r="AK4" s="130" t="n"/>
    </row>
    <row r="5" ht="12" customHeight="1">
      <c r="A5" s="108" t="inlineStr">
        <is>
          <t>FBIU5092414</t>
        </is>
      </c>
      <c r="B5" s="108" t="inlineStr">
        <is>
          <t>LCH05</t>
        </is>
      </c>
      <c r="C5" s="108" t="inlineStr">
        <is>
          <t>IFV</t>
        </is>
      </c>
      <c r="D5" s="172" t="inlineStr">
        <is>
          <t>2026-10-06</t>
        </is>
      </c>
      <c r="E5" s="173" t="inlineStr">
        <is>
          <t>1850</t>
        </is>
      </c>
      <c r="F5" s="96" t="inlineStr">
        <is>
          <t>HASLS22260902204</t>
        </is>
      </c>
      <c r="G5" s="96" t="inlineStr">
        <is>
          <t>STAR SHIPPING CARGO LIKES CO., LTD.</t>
        </is>
      </c>
      <c r="H5" s="111" t="inlineStr">
        <is>
          <t>45RE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HASLS22260902204</t>
        </is>
      </c>
      <c r="N5" s="96" t="inlineStr">
        <is>
          <t xml:space="preserve">R40Hx1 </t>
        </is>
      </c>
      <c r="O5" s="111" t="inlineStr">
        <is>
          <t>2021</t>
        </is>
      </c>
      <c r="P5" s="111" t="inlineStr">
        <is>
          <t>CARRIER</t>
        </is>
      </c>
      <c r="Q5" s="111" t="inlineStr">
        <is>
          <t>Primeline</t>
        </is>
      </c>
      <c r="R5" s="96" t="inlineStr">
        <is>
          <t>SWDN</t>
        </is>
      </c>
      <c r="S5" s="96" t="inlineStr">
        <is>
          <t>2610N</t>
        </is>
      </c>
      <c r="T5" s="96" t="inlineStr">
        <is>
          <t>LCH05</t>
        </is>
      </c>
      <c r="U5" s="96" t="inlineStr">
        <is>
          <t>THLCH</t>
        </is>
      </c>
      <c r="V5" s="161" t="inlineStr">
        <is>
          <t>2026-10-08</t>
        </is>
      </c>
      <c r="W5" s="96" t="inlineStr">
        <is>
          <t>HKHKG</t>
        </is>
      </c>
      <c r="X5" s="161" t="inlineStr">
        <is>
          <t>2026-10-11</t>
        </is>
      </c>
      <c r="Y5" s="97" t="n"/>
      <c r="Z5" s="97" t="n"/>
      <c r="AA5" s="97" t="n"/>
      <c r="AB5" s="97" t="n"/>
      <c r="AC5" s="97" t="n"/>
      <c r="AD5" s="161" t="inlineStr">
        <is>
          <t>2026-10-07</t>
        </is>
      </c>
      <c r="AE5" s="174" t="inlineStr">
        <is>
          <t>0201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XIN THAI XIANG IMPORTS AND EXPORTS</t>
        </is>
      </c>
      <c r="AK5" s="130" t="n"/>
    </row>
    <row r="6" ht="12" customHeight="1">
      <c r="A6" s="108" t="inlineStr">
        <is>
          <t>FBIU5103210</t>
        </is>
      </c>
      <c r="B6" s="108" t="inlineStr">
        <is>
          <t>LCH05</t>
        </is>
      </c>
      <c r="C6" s="108" t="inlineStr">
        <is>
          <t>IFV</t>
        </is>
      </c>
      <c r="D6" s="172" t="inlineStr">
        <is>
          <t>2026-10-03</t>
        </is>
      </c>
      <c r="E6" s="173" t="inlineStr">
        <is>
          <t>0652</t>
        </is>
      </c>
      <c r="F6" s="96" t="inlineStr">
        <is>
          <t>HASLS22260801601</t>
        </is>
      </c>
      <c r="G6" s="96" t="inlineStr">
        <is>
          <t>DYNAMIC INTERTRANSPORT CO., LTD.</t>
        </is>
      </c>
      <c r="H6" s="111" t="inlineStr">
        <is>
          <t>45RE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HASLS22260801601</t>
        </is>
      </c>
      <c r="N6" s="96" t="inlineStr">
        <is>
          <t xml:space="preserve">R40Hx1 </t>
        </is>
      </c>
      <c r="O6" s="111" t="inlineStr">
        <is>
          <t>2021</t>
        </is>
      </c>
      <c r="P6" s="111" t="inlineStr">
        <is>
          <t>CARRIER</t>
        </is>
      </c>
      <c r="Q6" s="111" t="inlineStr">
        <is>
          <t>69NT40-561-503</t>
        </is>
      </c>
      <c r="R6" s="96" t="inlineStr">
        <is>
          <t>SWDN</t>
        </is>
      </c>
      <c r="S6" s="96" t="inlineStr">
        <is>
          <t>2610N</t>
        </is>
      </c>
      <c r="T6" s="96" t="inlineStr">
        <is>
          <t>LCH05</t>
        </is>
      </c>
      <c r="U6" s="96" t="inlineStr">
        <is>
          <t>THLCH</t>
        </is>
      </c>
      <c r="V6" s="161" t="inlineStr">
        <is>
          <t>2026-10-08</t>
        </is>
      </c>
      <c r="W6" s="96" t="inlineStr">
        <is>
          <t>HKHKG</t>
        </is>
      </c>
      <c r="X6" s="161" t="inlineStr">
        <is>
          <t>2026-10-11</t>
        </is>
      </c>
      <c r="Y6" s="97" t="n"/>
      <c r="Z6" s="97" t="n"/>
      <c r="AA6" s="97" t="n"/>
      <c r="AB6" s="97" t="n"/>
      <c r="AC6" s="97" t="n"/>
      <c r="AD6" s="161" t="inlineStr">
        <is>
          <t>2026-10-03</t>
        </is>
      </c>
      <c r="AE6" s="174" t="inlineStr">
        <is>
          <t>1401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CPF HONG KONG COMPANY LIMITED</t>
        </is>
      </c>
      <c r="AK6" s="130" t="n"/>
    </row>
    <row r="7" ht="12" customHeight="1">
      <c r="A7" s="108" t="inlineStr">
        <is>
          <t>FBIU5103313</t>
        </is>
      </c>
      <c r="B7" s="108" t="inlineStr">
        <is>
          <t>LCH05</t>
        </is>
      </c>
      <c r="C7" s="108" t="inlineStr">
        <is>
          <t>IFV</t>
        </is>
      </c>
      <c r="D7" s="172" t="inlineStr">
        <is>
          <t>2026-10-03</t>
        </is>
      </c>
      <c r="E7" s="173" t="inlineStr">
        <is>
          <t>0725</t>
        </is>
      </c>
      <c r="F7" s="96" t="inlineStr">
        <is>
          <t>HASLS22260900917</t>
        </is>
      </c>
      <c r="G7" s="96" t="inlineStr">
        <is>
          <t>DYNAMIC INTERTRANSPORT CO., LTD.</t>
        </is>
      </c>
      <c r="H7" s="111" t="inlineStr">
        <is>
          <t>45RE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HASLS22260900917</t>
        </is>
      </c>
      <c r="N7" s="96" t="inlineStr">
        <is>
          <t xml:space="preserve">R40Hx1 </t>
        </is>
      </c>
      <c r="O7" s="111" t="inlineStr">
        <is>
          <t>2021</t>
        </is>
      </c>
      <c r="P7" s="111" t="inlineStr">
        <is>
          <t>CARRIER</t>
        </is>
      </c>
      <c r="Q7" s="111" t="inlineStr">
        <is>
          <t>69NT40-561-503</t>
        </is>
      </c>
      <c r="R7" s="96" t="inlineStr">
        <is>
          <t>SWDN</t>
        </is>
      </c>
      <c r="S7" s="96" t="inlineStr">
        <is>
          <t>2610N</t>
        </is>
      </c>
      <c r="T7" s="96" t="inlineStr">
        <is>
          <t>LCH05</t>
        </is>
      </c>
      <c r="U7" s="96" t="inlineStr">
        <is>
          <t>THLCH</t>
        </is>
      </c>
      <c r="V7" s="161" t="inlineStr">
        <is>
          <t>2026-10-08</t>
        </is>
      </c>
      <c r="W7" s="96" t="inlineStr">
        <is>
          <t>HKHKG</t>
        </is>
      </c>
      <c r="X7" s="161" t="inlineStr">
        <is>
          <t>2026-10-11</t>
        </is>
      </c>
      <c r="Y7" s="97" t="n"/>
      <c r="Z7" s="97" t="n"/>
      <c r="AA7" s="97" t="n"/>
      <c r="AB7" s="97" t="n"/>
      <c r="AC7" s="97" t="n"/>
      <c r="AD7" s="161" t="inlineStr">
        <is>
          <t>2026-10-03</t>
        </is>
      </c>
      <c r="AE7" s="174" t="inlineStr">
        <is>
          <t>1401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CPF HONG KONG COMPANY LIMITED</t>
        </is>
      </c>
      <c r="AK7" s="130" t="n"/>
    </row>
    <row r="8" ht="12" customHeight="1">
      <c r="A8" s="108" t="inlineStr">
        <is>
          <t>FSCU5893590</t>
        </is>
      </c>
      <c r="B8" s="108" t="inlineStr">
        <is>
          <t>LCH05</t>
        </is>
      </c>
      <c r="C8" s="108" t="inlineStr">
        <is>
          <t>IFV</t>
        </is>
      </c>
      <c r="D8" s="172" t="inlineStr">
        <is>
          <t>2026-10-03</t>
        </is>
      </c>
      <c r="E8" s="173" t="inlineStr">
        <is>
          <t>0727</t>
        </is>
      </c>
      <c r="F8" s="96" t="inlineStr">
        <is>
          <t>HASLS22260900918</t>
        </is>
      </c>
      <c r="G8" s="96" t="inlineStr">
        <is>
          <t>DYNAMIC INTERTRANSPORT CO., LTD.</t>
        </is>
      </c>
      <c r="H8" s="111" t="inlineStr">
        <is>
          <t>45RE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HASLS22260900918</t>
        </is>
      </c>
      <c r="N8" s="96" t="inlineStr">
        <is>
          <t xml:space="preserve">R40Hx1 </t>
        </is>
      </c>
      <c r="O8" s="111" t="inlineStr">
        <is>
          <t>2020</t>
        </is>
      </c>
      <c r="P8" s="111" t="inlineStr">
        <is>
          <t>CARRIER</t>
        </is>
      </c>
      <c r="Q8" s="111" t="inlineStr">
        <is>
          <t>69NT40-561-500</t>
        </is>
      </c>
      <c r="R8" s="96" t="inlineStr">
        <is>
          <t>SWDN</t>
        </is>
      </c>
      <c r="S8" s="96" t="inlineStr">
        <is>
          <t>2610N</t>
        </is>
      </c>
      <c r="T8" s="96" t="inlineStr">
        <is>
          <t>LCH05</t>
        </is>
      </c>
      <c r="U8" s="96" t="inlineStr">
        <is>
          <t>THLCH</t>
        </is>
      </c>
      <c r="V8" s="161" t="inlineStr">
        <is>
          <t>2026-10-08</t>
        </is>
      </c>
      <c r="W8" s="96" t="inlineStr">
        <is>
          <t>HKHKG</t>
        </is>
      </c>
      <c r="X8" s="161" t="inlineStr">
        <is>
          <t>2026-10-11</t>
        </is>
      </c>
      <c r="Y8" s="97" t="n"/>
      <c r="Z8" s="97" t="n"/>
      <c r="AA8" s="97" t="n"/>
      <c r="AB8" s="97" t="n"/>
      <c r="AC8" s="97" t="n"/>
      <c r="AD8" s="161" t="inlineStr">
        <is>
          <t>2026-10-03</t>
        </is>
      </c>
      <c r="AE8" s="174" t="inlineStr">
        <is>
          <t>1401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CPF HONG KONG COMPANY LIMITED</t>
        </is>
      </c>
      <c r="AK8" s="130" t="n"/>
    </row>
    <row r="9" ht="12" customHeight="1">
      <c r="A9" s="108" t="inlineStr">
        <is>
          <t>GCXU2429912</t>
        </is>
      </c>
      <c r="B9" s="108" t="inlineStr">
        <is>
          <t>LCH05</t>
        </is>
      </c>
      <c r="C9" s="108" t="inlineStr">
        <is>
          <t>IFV</t>
        </is>
      </c>
      <c r="D9" s="172" t="inlineStr">
        <is>
          <t>2026-10-01</t>
        </is>
      </c>
      <c r="E9" s="173" t="inlineStr">
        <is>
          <t>2219</t>
        </is>
      </c>
      <c r="F9" s="96" t="inlineStr">
        <is>
          <t>HASLS22260800649</t>
        </is>
      </c>
      <c r="G9" s="96" t="inlineStr">
        <is>
          <t>NIPPON EXPRESS LOGISTICS (THAILAND) CO., LTD.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HASLS22260800649</t>
        </is>
      </c>
      <c r="N9" s="96" t="inlineStr">
        <is>
          <t xml:space="preserve">20'x1 </t>
        </is>
      </c>
      <c r="O9" s="111" t="inlineStr">
        <is>
          <t>2024</t>
        </is>
      </c>
      <c r="P9" s="111" t="n"/>
      <c r="Q9" s="111" t="n"/>
      <c r="R9" s="96" t="inlineStr">
        <is>
          <t>SWDN</t>
        </is>
      </c>
      <c r="S9" s="96" t="inlineStr">
        <is>
          <t>2610N</t>
        </is>
      </c>
      <c r="T9" s="96" t="inlineStr">
        <is>
          <t>LCH05</t>
        </is>
      </c>
      <c r="U9" s="96" t="inlineStr">
        <is>
          <t>THLCH</t>
        </is>
      </c>
      <c r="V9" s="161" t="inlineStr">
        <is>
          <t>2026-10-08</t>
        </is>
      </c>
      <c r="W9" s="96" t="inlineStr">
        <is>
          <t>HKHKG</t>
        </is>
      </c>
      <c r="X9" s="161" t="inlineStr">
        <is>
          <t>2026-10-11</t>
        </is>
      </c>
      <c r="Y9" s="97" t="n"/>
      <c r="Z9" s="97" t="n"/>
      <c r="AA9" s="97" t="n"/>
      <c r="AB9" s="97" t="n"/>
      <c r="AC9" s="97" t="n"/>
      <c r="AD9" s="161" t="inlineStr">
        <is>
          <t>2026-10-02</t>
        </is>
      </c>
      <c r="AE9" s="174" t="inlineStr">
        <is>
          <t>0201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NIPPON EXPRESS (H.K.) CO.,LTD.</t>
        </is>
      </c>
      <c r="AK9" s="130" t="n"/>
    </row>
    <row r="10" ht="12" customHeight="1">
      <c r="A10" s="108" t="inlineStr">
        <is>
          <t>HALU2083638</t>
        </is>
      </c>
      <c r="B10" s="108" t="inlineStr">
        <is>
          <t>LCH05</t>
        </is>
      </c>
      <c r="C10" s="108" t="inlineStr">
        <is>
          <t>IFV</t>
        </is>
      </c>
      <c r="D10" s="172" t="inlineStr">
        <is>
          <t>2026-09-26</t>
        </is>
      </c>
      <c r="E10" s="173" t="inlineStr">
        <is>
          <t>0524</t>
        </is>
      </c>
      <c r="F10" s="96" t="inlineStr">
        <is>
          <t>HASLS22260901415</t>
        </is>
      </c>
      <c r="G10" s="96" t="inlineStr">
        <is>
          <t>SCGJWD LOGISTICS PUBLIC COMPANY LIMITED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HASLS22260901415</t>
        </is>
      </c>
      <c r="N10" s="96" t="inlineStr">
        <is>
          <t xml:space="preserve">20'x1 </t>
        </is>
      </c>
      <c r="O10" s="111" t="inlineStr">
        <is>
          <t>2015</t>
        </is>
      </c>
      <c r="P10" s="111" t="n"/>
      <c r="Q10" s="111" t="n"/>
      <c r="R10" s="96" t="inlineStr">
        <is>
          <t>KMGY</t>
        </is>
      </c>
      <c r="S10" s="96" t="inlineStr">
        <is>
          <t>2610N</t>
        </is>
      </c>
      <c r="T10" s="96" t="inlineStr">
        <is>
          <t>LCH05</t>
        </is>
      </c>
      <c r="U10" s="96" t="inlineStr">
        <is>
          <t>THLCH</t>
        </is>
      </c>
      <c r="V10" s="161" t="inlineStr">
        <is>
          <t>2026-10-08</t>
        </is>
      </c>
      <c r="W10" s="96" t="inlineStr">
        <is>
          <t>CNXMN</t>
        </is>
      </c>
      <c r="X10" s="161" t="inlineStr">
        <is>
          <t>2026-10-13</t>
        </is>
      </c>
      <c r="Y10" s="97" t="n"/>
      <c r="Z10" s="97" t="n"/>
      <c r="AA10" s="97" t="n"/>
      <c r="AB10" s="97" t="n"/>
      <c r="AC10" s="97" t="n"/>
      <c r="AD10" s="161" t="inlineStr">
        <is>
          <t>2026-09-26</t>
        </is>
      </c>
      <c r="AE10" s="174" t="inlineStr">
        <is>
          <t>0801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SHANGHAI JIUCHENG TRADE CO., LTD.</t>
        </is>
      </c>
      <c r="AK10" s="130" t="n"/>
    </row>
    <row r="11" ht="12" customHeight="1">
      <c r="A11" s="108" t="inlineStr">
        <is>
          <t>HALU2313129</t>
        </is>
      </c>
      <c r="B11" s="108" t="inlineStr">
        <is>
          <t>LCH05</t>
        </is>
      </c>
      <c r="C11" s="108" t="inlineStr">
        <is>
          <t>IFV</t>
        </is>
      </c>
      <c r="D11" s="172" t="inlineStr">
        <is>
          <t>2026-10-03</t>
        </is>
      </c>
      <c r="E11" s="173" t="inlineStr">
        <is>
          <t>0101</t>
        </is>
      </c>
      <c r="F11" s="96" t="inlineStr">
        <is>
          <t>HASLS22260900563</t>
        </is>
      </c>
      <c r="G11" s="96" t="inlineStr">
        <is>
          <t>WHA GC LOGISTICS COMPANY LIMITED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HASLS22260900563</t>
        </is>
      </c>
      <c r="N11" s="96" t="inlineStr">
        <is>
          <t xml:space="preserve">20'x8 </t>
        </is>
      </c>
      <c r="O11" s="111" t="inlineStr">
        <is>
          <t>2023</t>
        </is>
      </c>
      <c r="P11" s="111" t="n"/>
      <c r="Q11" s="111" t="n"/>
      <c r="R11" s="96" t="inlineStr">
        <is>
          <t>SWDN</t>
        </is>
      </c>
      <c r="S11" s="96" t="inlineStr">
        <is>
          <t>2610N</t>
        </is>
      </c>
      <c r="T11" s="96" t="inlineStr">
        <is>
          <t>LCH05</t>
        </is>
      </c>
      <c r="U11" s="96" t="inlineStr">
        <is>
          <t>THLCH</t>
        </is>
      </c>
      <c r="V11" s="161" t="inlineStr">
        <is>
          <t>2026-10-08</t>
        </is>
      </c>
      <c r="W11" s="96" t="inlineStr">
        <is>
          <t>HKHKG</t>
        </is>
      </c>
      <c r="X11" s="161" t="inlineStr">
        <is>
          <t>2026-10-11</t>
        </is>
      </c>
      <c r="Y11" s="97" t="n"/>
      <c r="Z11" s="97" t="n"/>
      <c r="AA11" s="97" t="n"/>
      <c r="AB11" s="97" t="n"/>
      <c r="AC11" s="97" t="n"/>
      <c r="AD11" s="161" t="inlineStr">
        <is>
          <t>2026-10-03</t>
        </is>
      </c>
      <c r="AE11" s="174" t="inlineStr">
        <is>
          <t>0801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GC MARKETING SOLUTIONS (SHANGHAI)</t>
        </is>
      </c>
      <c r="AK11" s="130" t="n"/>
    </row>
    <row r="12" ht="12" customHeight="1">
      <c r="A12" s="108" t="inlineStr">
        <is>
          <t>HALU2352969</t>
        </is>
      </c>
      <c r="B12" s="108" t="inlineStr">
        <is>
          <t>LCH05</t>
        </is>
      </c>
      <c r="C12" s="108" t="inlineStr">
        <is>
          <t>IFV</t>
        </is>
      </c>
      <c r="D12" s="172" t="inlineStr">
        <is>
          <t>2026-10-01</t>
        </is>
      </c>
      <c r="E12" s="173" t="inlineStr">
        <is>
          <t>0335</t>
        </is>
      </c>
      <c r="F12" s="96" t="inlineStr">
        <is>
          <t>HASLS22260901146</t>
        </is>
      </c>
      <c r="G12" s="96" t="inlineStr">
        <is>
          <t>WHA GC LOGISTICS COMPANY LIMITED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HASLS22260901146</t>
        </is>
      </c>
      <c r="N12" s="96" t="inlineStr">
        <is>
          <t xml:space="preserve">20'x4 </t>
        </is>
      </c>
      <c r="O12" s="111" t="inlineStr">
        <is>
          <t>2023</t>
        </is>
      </c>
      <c r="P12" s="111" t="n"/>
      <c r="Q12" s="111" t="n"/>
      <c r="R12" s="96" t="inlineStr">
        <is>
          <t>SWDN</t>
        </is>
      </c>
      <c r="S12" s="96" t="inlineStr">
        <is>
          <t>2610N</t>
        </is>
      </c>
      <c r="T12" s="96" t="inlineStr">
        <is>
          <t>LCH05</t>
        </is>
      </c>
      <c r="U12" s="96" t="inlineStr">
        <is>
          <t>THLCH</t>
        </is>
      </c>
      <c r="V12" s="161" t="inlineStr">
        <is>
          <t>2026-10-08</t>
        </is>
      </c>
      <c r="W12" s="96" t="inlineStr">
        <is>
          <t>CNXMN</t>
        </is>
      </c>
      <c r="X12" s="161" t="inlineStr">
        <is>
          <t>2026-10-13</t>
        </is>
      </c>
      <c r="Y12" s="97" t="n"/>
      <c r="Z12" s="97" t="n"/>
      <c r="AA12" s="97" t="n"/>
      <c r="AB12" s="97" t="n"/>
      <c r="AC12" s="97" t="n"/>
      <c r="AD12" s="161" t="inlineStr">
        <is>
          <t>2026-10-01</t>
        </is>
      </c>
      <c r="AE12" s="174" t="inlineStr">
        <is>
          <t>0801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SINOCHEM PETROCHEMICAL</t>
        </is>
      </c>
      <c r="AK12" s="130" t="n"/>
    </row>
    <row r="13" ht="12" customHeight="1">
      <c r="A13" s="108" t="inlineStr">
        <is>
          <t>HALU2400286</t>
        </is>
      </c>
      <c r="B13" s="108" t="inlineStr">
        <is>
          <t>LCH05</t>
        </is>
      </c>
      <c r="C13" s="108" t="inlineStr">
        <is>
          <t>IFV</t>
        </is>
      </c>
      <c r="D13" s="172" t="inlineStr">
        <is>
          <t>2026-10-05</t>
        </is>
      </c>
      <c r="E13" s="173" t="inlineStr">
        <is>
          <t>0928</t>
        </is>
      </c>
      <c r="F13" s="96" t="inlineStr">
        <is>
          <t>HASLS22260900563</t>
        </is>
      </c>
      <c r="G13" s="96" t="inlineStr">
        <is>
          <t>WHA GC LOGISTICS COMPANY LIMITED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HASLS22260900563</t>
        </is>
      </c>
      <c r="N13" s="96" t="inlineStr">
        <is>
          <t xml:space="preserve">20'x8 </t>
        </is>
      </c>
      <c r="O13" s="111" t="inlineStr">
        <is>
          <t>2024</t>
        </is>
      </c>
      <c r="P13" s="111" t="n"/>
      <c r="Q13" s="111" t="n"/>
      <c r="R13" s="96" t="inlineStr">
        <is>
          <t>SWDN</t>
        </is>
      </c>
      <c r="S13" s="96" t="inlineStr">
        <is>
          <t>2610N</t>
        </is>
      </c>
      <c r="T13" s="96" t="inlineStr">
        <is>
          <t>LCH05</t>
        </is>
      </c>
      <c r="U13" s="96" t="inlineStr">
        <is>
          <t>THLCH</t>
        </is>
      </c>
      <c r="V13" s="161" t="inlineStr">
        <is>
          <t>2026-10-08</t>
        </is>
      </c>
      <c r="W13" s="96" t="inlineStr">
        <is>
          <t>HKHKG</t>
        </is>
      </c>
      <c r="X13" s="161" t="inlineStr">
        <is>
          <t>2026-10-11</t>
        </is>
      </c>
      <c r="Y13" s="97" t="n"/>
      <c r="Z13" s="97" t="n"/>
      <c r="AA13" s="97" t="n"/>
      <c r="AB13" s="97" t="n"/>
      <c r="AC13" s="97" t="n"/>
      <c r="AD13" s="161" t="inlineStr">
        <is>
          <t>2026-10-05</t>
        </is>
      </c>
      <c r="AE13" s="174" t="inlineStr">
        <is>
          <t>1402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GC MARKETING SOLUTIONS (SHANGHAI)</t>
        </is>
      </c>
      <c r="AK13" s="130" t="n"/>
    </row>
    <row r="14" ht="12" customHeight="1">
      <c r="A14" s="108" t="inlineStr">
        <is>
          <t>HALU2446630</t>
        </is>
      </c>
      <c r="B14" s="108" t="inlineStr">
        <is>
          <t>LCH05</t>
        </is>
      </c>
      <c r="C14" s="108" t="inlineStr">
        <is>
          <t>IFV</t>
        </is>
      </c>
      <c r="D14" s="172" t="inlineStr">
        <is>
          <t>2026-10-03</t>
        </is>
      </c>
      <c r="E14" s="173" t="inlineStr">
        <is>
          <t>1413</t>
        </is>
      </c>
      <c r="F14" s="96" t="inlineStr">
        <is>
          <t>HASLS22260900777</t>
        </is>
      </c>
      <c r="G14" s="96" t="inlineStr">
        <is>
          <t>T.C.PHARMACEUTICAL INDUSTRIES CO., LTD.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HASLS22260900777</t>
        </is>
      </c>
      <c r="N14" s="96" t="inlineStr">
        <is>
          <t xml:space="preserve">20'x1 </t>
        </is>
      </c>
      <c r="O14" s="111" t="inlineStr">
        <is>
          <t>2024</t>
        </is>
      </c>
      <c r="P14" s="111" t="n"/>
      <c r="Q14" s="111" t="n"/>
      <c r="R14" s="96" t="inlineStr">
        <is>
          <t>SWDN</t>
        </is>
      </c>
      <c r="S14" s="96" t="inlineStr">
        <is>
          <t>2610N</t>
        </is>
      </c>
      <c r="T14" s="96" t="inlineStr">
        <is>
          <t>LCH05</t>
        </is>
      </c>
      <c r="U14" s="96" t="inlineStr">
        <is>
          <t>THLCH</t>
        </is>
      </c>
      <c r="V14" s="161" t="inlineStr">
        <is>
          <t>2026-10-08</t>
        </is>
      </c>
      <c r="W14" s="96" t="inlineStr">
        <is>
          <t>KRINC</t>
        </is>
      </c>
      <c r="X14" s="161" t="inlineStr">
        <is>
          <t>2026-10-16</t>
        </is>
      </c>
      <c r="Y14" s="97" t="n"/>
      <c r="Z14" s="97" t="n"/>
      <c r="AA14" s="97" t="n"/>
      <c r="AB14" s="97" t="n"/>
      <c r="AC14" s="97" t="n"/>
      <c r="AD14" s="161" t="inlineStr">
        <is>
          <t>2026-10-03</t>
        </is>
      </c>
      <c r="AE14" s="174" t="inlineStr">
        <is>
          <t>2002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WORL-KET COMPANY LIMITED</t>
        </is>
      </c>
      <c r="AK14" s="130" t="n"/>
    </row>
    <row r="15" ht="12" customHeight="1">
      <c r="A15" s="108" t="inlineStr">
        <is>
          <t>HALU2453943</t>
        </is>
      </c>
      <c r="B15" s="108" t="inlineStr">
        <is>
          <t>LCH05</t>
        </is>
      </c>
      <c r="C15" s="108" t="inlineStr">
        <is>
          <t>IFV</t>
        </is>
      </c>
      <c r="D15" s="172" t="inlineStr">
        <is>
          <t>2026-10-05</t>
        </is>
      </c>
      <c r="E15" s="173" t="inlineStr">
        <is>
          <t>0832</t>
        </is>
      </c>
      <c r="F15" s="96" t="inlineStr">
        <is>
          <t>HASLS22260900563</t>
        </is>
      </c>
      <c r="G15" s="96" t="inlineStr">
        <is>
          <t>WHA GC LOGISTICS COMPANY LIMITED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HASLS22260900563</t>
        </is>
      </c>
      <c r="N15" s="96" t="inlineStr">
        <is>
          <t xml:space="preserve">20'x8 </t>
        </is>
      </c>
      <c r="O15" s="111" t="inlineStr">
        <is>
          <t>2024</t>
        </is>
      </c>
      <c r="P15" s="111" t="n"/>
      <c r="Q15" s="111" t="n"/>
      <c r="R15" s="96" t="inlineStr">
        <is>
          <t>SWDN</t>
        </is>
      </c>
      <c r="S15" s="96" t="inlineStr">
        <is>
          <t>2610N</t>
        </is>
      </c>
      <c r="T15" s="96" t="inlineStr">
        <is>
          <t>LCH05</t>
        </is>
      </c>
      <c r="U15" s="96" t="inlineStr">
        <is>
          <t>THLCH</t>
        </is>
      </c>
      <c r="V15" s="161" t="inlineStr">
        <is>
          <t>2026-10-08</t>
        </is>
      </c>
      <c r="W15" s="96" t="inlineStr">
        <is>
          <t>HKHKG</t>
        </is>
      </c>
      <c r="X15" s="161" t="inlineStr">
        <is>
          <t>2026-10-11</t>
        </is>
      </c>
      <c r="Y15" s="97" t="n"/>
      <c r="Z15" s="97" t="n"/>
      <c r="AA15" s="97" t="n"/>
      <c r="AB15" s="97" t="n"/>
      <c r="AC15" s="97" t="n"/>
      <c r="AD15" s="161" t="inlineStr">
        <is>
          <t>2026-10-05</t>
        </is>
      </c>
      <c r="AE15" s="174" t="inlineStr">
        <is>
          <t>1402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GC MARKETING SOLUTIONS (SHANGHAI)</t>
        </is>
      </c>
      <c r="AK15" s="130" t="n"/>
    </row>
    <row r="16" ht="12" customHeight="1">
      <c r="A16" s="108" t="inlineStr">
        <is>
          <t>HALU2526124</t>
        </is>
      </c>
      <c r="B16" s="108" t="inlineStr">
        <is>
          <t>LCH05</t>
        </is>
      </c>
      <c r="C16" s="108" t="inlineStr">
        <is>
          <t>IFV</t>
        </is>
      </c>
      <c r="D16" s="172" t="inlineStr">
        <is>
          <t>2026-10-03</t>
        </is>
      </c>
      <c r="E16" s="173" t="inlineStr">
        <is>
          <t>0101</t>
        </is>
      </c>
      <c r="F16" s="96" t="inlineStr">
        <is>
          <t>HASLS22260900563</t>
        </is>
      </c>
      <c r="G16" s="96" t="inlineStr">
        <is>
          <t>WHA GC LOGISTICS COMPANY LIMITED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HASLS22260900563</t>
        </is>
      </c>
      <c r="N16" s="96" t="inlineStr">
        <is>
          <t xml:space="preserve">20'x8 </t>
        </is>
      </c>
      <c r="O16" s="111" t="inlineStr">
        <is>
          <t>2025</t>
        </is>
      </c>
      <c r="P16" s="111" t="n"/>
      <c r="Q16" s="111" t="n"/>
      <c r="R16" s="96" t="inlineStr">
        <is>
          <t>SWDN</t>
        </is>
      </c>
      <c r="S16" s="96" t="inlineStr">
        <is>
          <t>2610N</t>
        </is>
      </c>
      <c r="T16" s="96" t="inlineStr">
        <is>
          <t>LCH05</t>
        </is>
      </c>
      <c r="U16" s="96" t="inlineStr">
        <is>
          <t>THLCH</t>
        </is>
      </c>
      <c r="V16" s="161" t="inlineStr">
        <is>
          <t>2026-10-08</t>
        </is>
      </c>
      <c r="W16" s="96" t="inlineStr">
        <is>
          <t>HKHKG</t>
        </is>
      </c>
      <c r="X16" s="161" t="inlineStr">
        <is>
          <t>2026-10-11</t>
        </is>
      </c>
      <c r="Y16" s="97" t="n"/>
      <c r="Z16" s="97" t="n"/>
      <c r="AA16" s="97" t="n"/>
      <c r="AB16" s="97" t="n"/>
      <c r="AC16" s="97" t="n"/>
      <c r="AD16" s="161" t="inlineStr">
        <is>
          <t>2026-10-03</t>
        </is>
      </c>
      <c r="AE16" s="174" t="inlineStr">
        <is>
          <t>0801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GC MARKETING SOLUTIONS (SHANGHAI)</t>
        </is>
      </c>
      <c r="AK16" s="130" t="n"/>
    </row>
    <row r="17" ht="12" customHeight="1">
      <c r="A17" s="108" t="inlineStr">
        <is>
          <t>HALU2567648</t>
        </is>
      </c>
      <c r="B17" s="108" t="inlineStr">
        <is>
          <t>LCH05</t>
        </is>
      </c>
      <c r="C17" s="108" t="inlineStr">
        <is>
          <t>IFV</t>
        </is>
      </c>
      <c r="D17" s="172" t="inlineStr">
        <is>
          <t>2026-10-03</t>
        </is>
      </c>
      <c r="E17" s="173" t="inlineStr">
        <is>
          <t>2004</t>
        </is>
      </c>
      <c r="F17" s="96" t="inlineStr">
        <is>
          <t>HASLS22260900563</t>
        </is>
      </c>
      <c r="G17" s="96" t="inlineStr">
        <is>
          <t>WHA GC LOGISTICS COMPANY LIMITED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HASLS22260900563</t>
        </is>
      </c>
      <c r="N17" s="96" t="inlineStr">
        <is>
          <t xml:space="preserve">20'x8 </t>
        </is>
      </c>
      <c r="O17" s="111" t="inlineStr">
        <is>
          <t>2025</t>
        </is>
      </c>
      <c r="P17" s="111" t="n"/>
      <c r="Q17" s="111" t="n"/>
      <c r="R17" s="96" t="inlineStr">
        <is>
          <t>SWDN</t>
        </is>
      </c>
      <c r="S17" s="96" t="inlineStr">
        <is>
          <t>2610N</t>
        </is>
      </c>
      <c r="T17" s="96" t="inlineStr">
        <is>
          <t>LCH05</t>
        </is>
      </c>
      <c r="U17" s="96" t="inlineStr">
        <is>
          <t>THLCH</t>
        </is>
      </c>
      <c r="V17" s="161" t="inlineStr">
        <is>
          <t>2026-10-08</t>
        </is>
      </c>
      <c r="W17" s="96" t="inlineStr">
        <is>
          <t>HKHKG</t>
        </is>
      </c>
      <c r="X17" s="161" t="inlineStr">
        <is>
          <t>2026-10-11</t>
        </is>
      </c>
      <c r="Y17" s="97" t="n"/>
      <c r="Z17" s="97" t="n"/>
      <c r="AA17" s="97" t="n"/>
      <c r="AB17" s="97" t="n"/>
      <c r="AC17" s="97" t="n"/>
      <c r="AD17" s="161" t="inlineStr">
        <is>
          <t>2026-10-04</t>
        </is>
      </c>
      <c r="AE17" s="174" t="inlineStr">
        <is>
          <t>0201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GC MARKETING SOLUTIONS (SHANGHAI)</t>
        </is>
      </c>
      <c r="AK17" s="130" t="n"/>
    </row>
    <row r="18" ht="12" customHeight="1">
      <c r="A18" s="108" t="inlineStr">
        <is>
          <t>HALU2568731</t>
        </is>
      </c>
      <c r="B18" s="108" t="inlineStr">
        <is>
          <t>LCH05</t>
        </is>
      </c>
      <c r="C18" s="108" t="inlineStr">
        <is>
          <t>IFV</t>
        </is>
      </c>
      <c r="D18" s="172" t="inlineStr">
        <is>
          <t>2026-10-03</t>
        </is>
      </c>
      <c r="E18" s="173" t="inlineStr">
        <is>
          <t>2004</t>
        </is>
      </c>
      <c r="F18" s="96" t="inlineStr">
        <is>
          <t>HASLS22260900563</t>
        </is>
      </c>
      <c r="G18" s="96" t="inlineStr">
        <is>
          <t>WHA GC LOGISTICS COMPANY LIMITED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HASLS22260900563</t>
        </is>
      </c>
      <c r="N18" s="96" t="inlineStr">
        <is>
          <t xml:space="preserve">20'x8 </t>
        </is>
      </c>
      <c r="O18" s="111" t="inlineStr">
        <is>
          <t>2025</t>
        </is>
      </c>
      <c r="P18" s="111" t="n"/>
      <c r="Q18" s="111" t="n"/>
      <c r="R18" s="96" t="inlineStr">
        <is>
          <t>SWDN</t>
        </is>
      </c>
      <c r="S18" s="96" t="inlineStr">
        <is>
          <t>2610N</t>
        </is>
      </c>
      <c r="T18" s="96" t="inlineStr">
        <is>
          <t>LCH05</t>
        </is>
      </c>
      <c r="U18" s="96" t="inlineStr">
        <is>
          <t>THLCH</t>
        </is>
      </c>
      <c r="V18" s="161" t="inlineStr">
        <is>
          <t>2026-10-08</t>
        </is>
      </c>
      <c r="W18" s="96" t="inlineStr">
        <is>
          <t>HKHKG</t>
        </is>
      </c>
      <c r="X18" s="161" t="inlineStr">
        <is>
          <t>2026-10-11</t>
        </is>
      </c>
      <c r="Y18" s="97" t="n"/>
      <c r="Z18" s="97" t="n"/>
      <c r="AA18" s="97" t="n"/>
      <c r="AB18" s="97" t="n"/>
      <c r="AC18" s="97" t="n"/>
      <c r="AD18" s="161" t="inlineStr">
        <is>
          <t>2026-10-04</t>
        </is>
      </c>
      <c r="AE18" s="174" t="inlineStr">
        <is>
          <t>0201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GC MARKETING SOLUTIONS (SHANGHAI)</t>
        </is>
      </c>
      <c r="AK18" s="130" t="n"/>
    </row>
    <row r="19" ht="12" customHeight="1">
      <c r="A19" s="108" t="inlineStr">
        <is>
          <t>HLHU6407690</t>
        </is>
      </c>
      <c r="B19" s="108" t="inlineStr">
        <is>
          <t>LCH05</t>
        </is>
      </c>
      <c r="C19" s="108" t="inlineStr">
        <is>
          <t>IFV</t>
        </is>
      </c>
      <c r="D19" s="172" t="inlineStr">
        <is>
          <t>2026-10-03</t>
        </is>
      </c>
      <c r="E19" s="173" t="inlineStr">
        <is>
          <t>1131</t>
        </is>
      </c>
      <c r="F19" s="96" t="inlineStr">
        <is>
          <t>HASLS22260901600</t>
        </is>
      </c>
      <c r="G19" s="96" t="inlineStr">
        <is>
          <t>VANACHAI GROUP PUBLIC COMPANY LIMITED</t>
        </is>
      </c>
      <c r="H19" s="111" t="inlineStr">
        <is>
          <t>45GP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HASLS22260901600</t>
        </is>
      </c>
      <c r="N19" s="96" t="inlineStr">
        <is>
          <t xml:space="preserve">40Hx3 </t>
        </is>
      </c>
      <c r="O19" s="111" t="inlineStr">
        <is>
          <t>2024</t>
        </is>
      </c>
      <c r="P19" s="111" t="n"/>
      <c r="Q19" s="111" t="n"/>
      <c r="R19" s="96" t="inlineStr">
        <is>
          <t>SWDN</t>
        </is>
      </c>
      <c r="S19" s="96" t="inlineStr">
        <is>
          <t>2610N</t>
        </is>
      </c>
      <c r="T19" s="96" t="inlineStr">
        <is>
          <t>LCH05</t>
        </is>
      </c>
      <c r="U19" s="96" t="inlineStr">
        <is>
          <t>THLCH</t>
        </is>
      </c>
      <c r="V19" s="161" t="inlineStr">
        <is>
          <t>2026-10-08</t>
        </is>
      </c>
      <c r="W19" s="96" t="inlineStr">
        <is>
          <t>KRINC</t>
        </is>
      </c>
      <c r="X19" s="161" t="inlineStr">
        <is>
          <t>2026-10-16</t>
        </is>
      </c>
      <c r="Y19" s="97" t="n"/>
      <c r="Z19" s="97" t="n"/>
      <c r="AA19" s="97" t="n"/>
      <c r="AB19" s="97" t="n"/>
      <c r="AC19" s="97" t="n"/>
      <c r="AD19" s="161" t="inlineStr">
        <is>
          <t>2026-10-03</t>
        </is>
      </c>
      <c r="AE19" s="174" t="inlineStr">
        <is>
          <t>2002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TO THE ORDER OF SHINHAN BANK SEOUL</t>
        </is>
      </c>
      <c r="AK19" s="130" t="n"/>
    </row>
    <row r="20" ht="12" customHeight="1">
      <c r="A20" s="108" t="inlineStr">
        <is>
          <t>HLHU8108620</t>
        </is>
      </c>
      <c r="B20" s="108" t="inlineStr">
        <is>
          <t>LCH05</t>
        </is>
      </c>
      <c r="C20" s="108" t="inlineStr">
        <is>
          <t>IFV</t>
        </is>
      </c>
      <c r="D20" s="172" t="inlineStr">
        <is>
          <t>2026-10-03</t>
        </is>
      </c>
      <c r="E20" s="173" t="inlineStr">
        <is>
          <t>1218</t>
        </is>
      </c>
      <c r="F20" s="96" t="inlineStr">
        <is>
          <t>HASLS22260901610</t>
        </is>
      </c>
      <c r="G20" s="96" t="inlineStr">
        <is>
          <t>VANACHAI GROUP PUBLIC COMPANY LIMITED</t>
        </is>
      </c>
      <c r="H20" s="111" t="inlineStr">
        <is>
          <t>45GP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HASLS22260901610</t>
        </is>
      </c>
      <c r="N20" s="96" t="inlineStr">
        <is>
          <t xml:space="preserve">40Hx2 </t>
        </is>
      </c>
      <c r="O20" s="111" t="inlineStr">
        <is>
          <t>2021</t>
        </is>
      </c>
      <c r="P20" s="111" t="n"/>
      <c r="Q20" s="111" t="n"/>
      <c r="R20" s="96" t="inlineStr">
        <is>
          <t>SWDN</t>
        </is>
      </c>
      <c r="S20" s="96" t="inlineStr">
        <is>
          <t>2610N</t>
        </is>
      </c>
      <c r="T20" s="96" t="inlineStr">
        <is>
          <t>LCH05</t>
        </is>
      </c>
      <c r="U20" s="96" t="inlineStr">
        <is>
          <t>THLCH</t>
        </is>
      </c>
      <c r="V20" s="161" t="inlineStr">
        <is>
          <t>2026-10-08</t>
        </is>
      </c>
      <c r="W20" s="96" t="inlineStr">
        <is>
          <t>KRINC</t>
        </is>
      </c>
      <c r="X20" s="161" t="inlineStr">
        <is>
          <t>2026-10-16</t>
        </is>
      </c>
      <c r="Y20" s="97" t="n"/>
      <c r="Z20" s="97" t="n"/>
      <c r="AA20" s="97" t="n"/>
      <c r="AB20" s="97" t="n"/>
      <c r="AC20" s="97" t="n"/>
      <c r="AD20" s="161" t="inlineStr">
        <is>
          <t>2026-10-03</t>
        </is>
      </c>
      <c r="AE20" s="174" t="inlineStr">
        <is>
          <t>2002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TO THE ORDER OF INDUSTRIAL</t>
        </is>
      </c>
      <c r="AK20" s="130" t="n"/>
    </row>
    <row r="21" ht="12" customHeight="1">
      <c r="A21" s="108" t="inlineStr">
        <is>
          <t>HLHU8329473</t>
        </is>
      </c>
      <c r="B21" s="108" t="inlineStr">
        <is>
          <t>LCH05</t>
        </is>
      </c>
      <c r="C21" s="108" t="inlineStr">
        <is>
          <t>IFV</t>
        </is>
      </c>
      <c r="D21" s="172" t="inlineStr">
        <is>
          <t>2026-10-03</t>
        </is>
      </c>
      <c r="E21" s="173" t="inlineStr">
        <is>
          <t>1245</t>
        </is>
      </c>
      <c r="F21" s="96" t="inlineStr">
        <is>
          <t>HASLS22260902292</t>
        </is>
      </c>
      <c r="G21" s="96" t="inlineStr">
        <is>
          <t>MASTERICH COMPANY LIMITED.</t>
        </is>
      </c>
      <c r="H21" s="111" t="inlineStr">
        <is>
          <t>45GP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HASLS22260902292</t>
        </is>
      </c>
      <c r="N21" s="96" t="inlineStr">
        <is>
          <t xml:space="preserve">40Hx3 </t>
        </is>
      </c>
      <c r="O21" s="111" t="inlineStr">
        <is>
          <t>2023</t>
        </is>
      </c>
      <c r="P21" s="111" t="n"/>
      <c r="Q21" s="111" t="n"/>
      <c r="R21" s="96" t="inlineStr">
        <is>
          <t>SWDN</t>
        </is>
      </c>
      <c r="S21" s="96" t="inlineStr">
        <is>
          <t>2610N</t>
        </is>
      </c>
      <c r="T21" s="96" t="inlineStr">
        <is>
          <t>LCH05</t>
        </is>
      </c>
      <c r="U21" s="96" t="inlineStr">
        <is>
          <t>THLCH</t>
        </is>
      </c>
      <c r="V21" s="161" t="inlineStr">
        <is>
          <t>2026-10-08</t>
        </is>
      </c>
      <c r="W21" s="96" t="inlineStr">
        <is>
          <t>CNXMN</t>
        </is>
      </c>
      <c r="X21" s="161" t="inlineStr">
        <is>
          <t>2026-10-13</t>
        </is>
      </c>
      <c r="Y21" s="97" t="n"/>
      <c r="Z21" s="97" t="n"/>
      <c r="AA21" s="97" t="n"/>
      <c r="AB21" s="97" t="n"/>
      <c r="AC21" s="97" t="n"/>
      <c r="AD21" s="161" t="inlineStr">
        <is>
          <t>2026-10-03</t>
        </is>
      </c>
      <c r="AE21" s="174" t="inlineStr">
        <is>
          <t>2002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SHENZHEN QIANHAI ZHONGTAI YOULIAN</t>
        </is>
      </c>
      <c r="AK21" s="130" t="n"/>
    </row>
    <row r="22" ht="12" customHeight="1">
      <c r="A22" s="108" t="inlineStr">
        <is>
          <t>HLHU8388239</t>
        </is>
      </c>
      <c r="B22" s="108" t="inlineStr">
        <is>
          <t>LCH05</t>
        </is>
      </c>
      <c r="C22" s="108" t="inlineStr">
        <is>
          <t>IFV</t>
        </is>
      </c>
      <c r="D22" s="172" t="inlineStr">
        <is>
          <t>2026-10-03</t>
        </is>
      </c>
      <c r="E22" s="173" t="inlineStr">
        <is>
          <t>1142</t>
        </is>
      </c>
      <c r="F22" s="96" t="inlineStr">
        <is>
          <t>HASLS22260901610</t>
        </is>
      </c>
      <c r="G22" s="96" t="inlineStr">
        <is>
          <t>VANACHAI GROUP PUBLIC COMPANY LIMITED</t>
        </is>
      </c>
      <c r="H22" s="111" t="inlineStr">
        <is>
          <t>45GP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HASLS22260901610</t>
        </is>
      </c>
      <c r="N22" s="96" t="inlineStr">
        <is>
          <t xml:space="preserve">40Hx2 </t>
        </is>
      </c>
      <c r="O22" s="111" t="inlineStr">
        <is>
          <t>2023</t>
        </is>
      </c>
      <c r="P22" s="111" t="n"/>
      <c r="Q22" s="111" t="n"/>
      <c r="R22" s="96" t="inlineStr">
        <is>
          <t>SWDN</t>
        </is>
      </c>
      <c r="S22" s="96" t="inlineStr">
        <is>
          <t>2610N</t>
        </is>
      </c>
      <c r="T22" s="96" t="inlineStr">
        <is>
          <t>LCH05</t>
        </is>
      </c>
      <c r="U22" s="96" t="inlineStr">
        <is>
          <t>THLCH</t>
        </is>
      </c>
      <c r="V22" s="161" t="inlineStr">
        <is>
          <t>2026-10-08</t>
        </is>
      </c>
      <c r="W22" s="96" t="inlineStr">
        <is>
          <t>KRINC</t>
        </is>
      </c>
      <c r="X22" s="161" t="inlineStr">
        <is>
          <t>2026-10-16</t>
        </is>
      </c>
      <c r="Y22" s="97" t="n"/>
      <c r="Z22" s="97" t="n"/>
      <c r="AA22" s="97" t="n"/>
      <c r="AB22" s="97" t="n"/>
      <c r="AC22" s="97" t="n"/>
      <c r="AD22" s="161" t="inlineStr">
        <is>
          <t>2026-10-03</t>
        </is>
      </c>
      <c r="AE22" s="174" t="inlineStr">
        <is>
          <t>2002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TO THE ORDER OF INDUSTRIAL</t>
        </is>
      </c>
      <c r="AK22" s="130" t="n"/>
    </row>
    <row r="23" ht="12" customHeight="1">
      <c r="A23" s="108" t="inlineStr">
        <is>
          <t>HLHU8468057</t>
        </is>
      </c>
      <c r="B23" s="108" t="inlineStr">
        <is>
          <t>LCH05</t>
        </is>
      </c>
      <c r="C23" s="108" t="inlineStr">
        <is>
          <t>IFV</t>
        </is>
      </c>
      <c r="D23" s="172" t="inlineStr">
        <is>
          <t>2026-10-02</t>
        </is>
      </c>
      <c r="E23" s="173" t="inlineStr">
        <is>
          <t>0735</t>
        </is>
      </c>
      <c r="F23" s="96" t="inlineStr">
        <is>
          <t>HASLS22260902174</t>
        </is>
      </c>
      <c r="G23" s="96" t="inlineStr">
        <is>
          <t>LX PANTOS (THAILAND) CO., LTD.</t>
        </is>
      </c>
      <c r="H23" s="111" t="inlineStr">
        <is>
          <t>45GP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HASLS22260902174</t>
        </is>
      </c>
      <c r="N23" s="96" t="inlineStr">
        <is>
          <t xml:space="preserve">40Hx1 </t>
        </is>
      </c>
      <c r="O23" s="111" t="inlineStr">
        <is>
          <t>2024</t>
        </is>
      </c>
      <c r="P23" s="111" t="n"/>
      <c r="Q23" s="111" t="n"/>
      <c r="R23" s="96" t="inlineStr">
        <is>
          <t>SWDN</t>
        </is>
      </c>
      <c r="S23" s="96" t="inlineStr">
        <is>
          <t>2610N</t>
        </is>
      </c>
      <c r="T23" s="96" t="inlineStr">
        <is>
          <t>LCH05</t>
        </is>
      </c>
      <c r="U23" s="96" t="inlineStr">
        <is>
          <t>THLCH</t>
        </is>
      </c>
      <c r="V23" s="161" t="inlineStr">
        <is>
          <t>2026-10-08</t>
        </is>
      </c>
      <c r="W23" s="96" t="inlineStr">
        <is>
          <t>KRINC</t>
        </is>
      </c>
      <c r="X23" s="161" t="inlineStr">
        <is>
          <t>2026-10-16</t>
        </is>
      </c>
      <c r="Y23" s="97" t="n"/>
      <c r="Z23" s="97" t="n"/>
      <c r="AA23" s="97" t="n"/>
      <c r="AB23" s="97" t="n"/>
      <c r="AC23" s="97" t="n"/>
      <c r="AD23" s="161" t="inlineStr">
        <is>
          <t>2026-10-02</t>
        </is>
      </c>
      <c r="AE23" s="174" t="inlineStr">
        <is>
          <t>1401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LX PANTOS CO., LTD.</t>
        </is>
      </c>
      <c r="AK23" s="130" t="n"/>
    </row>
    <row r="24" ht="12" customHeight="1">
      <c r="A24" s="108" t="inlineStr">
        <is>
          <t>HLHU8483637</t>
        </is>
      </c>
      <c r="B24" s="108" t="inlineStr">
        <is>
          <t>LCH05</t>
        </is>
      </c>
      <c r="C24" s="108" t="inlineStr">
        <is>
          <t>IFV</t>
        </is>
      </c>
      <c r="D24" s="172" t="inlineStr">
        <is>
          <t>2026-10-03</t>
        </is>
      </c>
      <c r="E24" s="173" t="inlineStr">
        <is>
          <t>1546</t>
        </is>
      </c>
      <c r="F24" s="96" t="inlineStr">
        <is>
          <t>HASLS22260902292</t>
        </is>
      </c>
      <c r="G24" s="96" t="inlineStr">
        <is>
          <t>MASTERICH COMPANY LIMITED.</t>
        </is>
      </c>
      <c r="H24" s="111" t="inlineStr">
        <is>
          <t>45GP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HASLS22260902292</t>
        </is>
      </c>
      <c r="N24" s="96" t="inlineStr">
        <is>
          <t xml:space="preserve">40Hx3 </t>
        </is>
      </c>
      <c r="O24" s="111" t="inlineStr">
        <is>
          <t>2024</t>
        </is>
      </c>
      <c r="P24" s="111" t="n"/>
      <c r="Q24" s="111" t="n"/>
      <c r="R24" s="96" t="inlineStr">
        <is>
          <t>SWDN</t>
        </is>
      </c>
      <c r="S24" s="96" t="inlineStr">
        <is>
          <t>2610N</t>
        </is>
      </c>
      <c r="T24" s="96" t="inlineStr">
        <is>
          <t>LCH05</t>
        </is>
      </c>
      <c r="U24" s="96" t="inlineStr">
        <is>
          <t>THLCH</t>
        </is>
      </c>
      <c r="V24" s="161" t="inlineStr">
        <is>
          <t>2026-10-08</t>
        </is>
      </c>
      <c r="W24" s="96" t="inlineStr">
        <is>
          <t>CNXMN</t>
        </is>
      </c>
      <c r="X24" s="161" t="inlineStr">
        <is>
          <t>2026-10-13</t>
        </is>
      </c>
      <c r="Y24" s="97" t="n"/>
      <c r="Z24" s="97" t="n"/>
      <c r="AA24" s="97" t="n"/>
      <c r="AB24" s="97" t="n"/>
      <c r="AC24" s="97" t="n"/>
      <c r="AD24" s="161" t="inlineStr">
        <is>
          <t>2026-10-03</t>
        </is>
      </c>
      <c r="AE24" s="174" t="inlineStr">
        <is>
          <t>2002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SHENZHEN QIANHAI ZHONGTAI YOULIAN</t>
        </is>
      </c>
      <c r="AK24" s="130" t="n"/>
    </row>
    <row r="25" ht="12" customHeight="1">
      <c r="A25" s="108" t="inlineStr">
        <is>
          <t>HLHU8508859</t>
        </is>
      </c>
      <c r="B25" s="108" t="inlineStr">
        <is>
          <t>LCH05</t>
        </is>
      </c>
      <c r="C25" s="108" t="inlineStr">
        <is>
          <t>IFV</t>
        </is>
      </c>
      <c r="D25" s="172" t="inlineStr">
        <is>
          <t>2026-09-30</t>
        </is>
      </c>
      <c r="E25" s="173" t="inlineStr">
        <is>
          <t>1706</t>
        </is>
      </c>
      <c r="F25" s="96" t="inlineStr">
        <is>
          <t>HASLS22260902144</t>
        </is>
      </c>
      <c r="G25" s="96" t="inlineStr">
        <is>
          <t>CANVAS GLOBAL LOGISTICS (THAILAND) CO., LTD.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HASLS22260902144</t>
        </is>
      </c>
      <c r="N25" s="96" t="inlineStr">
        <is>
          <t xml:space="preserve">40Hx1 </t>
        </is>
      </c>
      <c r="O25" s="111" t="inlineStr">
        <is>
          <t>2025</t>
        </is>
      </c>
      <c r="P25" s="111" t="n"/>
      <c r="Q25" s="111" t="n"/>
      <c r="R25" s="96" t="inlineStr">
        <is>
          <t>SWDN</t>
        </is>
      </c>
      <c r="S25" s="96" t="inlineStr">
        <is>
          <t>2610N</t>
        </is>
      </c>
      <c r="T25" s="96" t="inlineStr">
        <is>
          <t>LCH05</t>
        </is>
      </c>
      <c r="U25" s="96" t="inlineStr">
        <is>
          <t>THLCH</t>
        </is>
      </c>
      <c r="V25" s="161" t="inlineStr">
        <is>
          <t>2026-10-08</t>
        </is>
      </c>
      <c r="W25" s="96" t="inlineStr">
        <is>
          <t>KRINC</t>
        </is>
      </c>
      <c r="X25" s="161" t="inlineStr">
        <is>
          <t>2026-10-16</t>
        </is>
      </c>
      <c r="Y25" s="97" t="n"/>
      <c r="Z25" s="97" t="n"/>
      <c r="AA25" s="97" t="n"/>
      <c r="AB25" s="97" t="n"/>
      <c r="AC25" s="97" t="n"/>
      <c r="AD25" s="161" t="inlineStr">
        <is>
          <t>2026-09-30</t>
        </is>
      </c>
      <c r="AE25" s="174" t="inlineStr">
        <is>
          <t>2001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SEJONG HEALTHCARE CO., LTD</t>
        </is>
      </c>
      <c r="AK25" s="130" t="n"/>
    </row>
    <row r="26" ht="12" customHeight="1">
      <c r="A26" s="108" t="inlineStr">
        <is>
          <t>KMLU2800151</t>
        </is>
      </c>
      <c r="B26" s="108" t="inlineStr">
        <is>
          <t>LCH05</t>
        </is>
      </c>
      <c r="C26" s="108" t="inlineStr">
        <is>
          <t>IFV</t>
        </is>
      </c>
      <c r="D26" s="172" t="inlineStr">
        <is>
          <t>2026-10-03</t>
        </is>
      </c>
      <c r="E26" s="173" t="inlineStr">
        <is>
          <t>0411</t>
        </is>
      </c>
      <c r="F26" s="96" t="inlineStr">
        <is>
          <t>HASLS22260902542</t>
        </is>
      </c>
      <c r="G26" s="96" t="inlineStr">
        <is>
          <t>MAXTOP LOGISTICS (THAILAND) CO., LTD.</t>
        </is>
      </c>
      <c r="H26" s="111" t="inlineStr">
        <is>
          <t>22GP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HASLS22260902542</t>
        </is>
      </c>
      <c r="N26" s="96" t="inlineStr">
        <is>
          <t xml:space="preserve">20'x1 </t>
        </is>
      </c>
      <c r="O26" s="111" t="inlineStr">
        <is>
          <t>2008</t>
        </is>
      </c>
      <c r="P26" s="111" t="n"/>
      <c r="Q26" s="111" t="n"/>
      <c r="R26" s="96" t="inlineStr">
        <is>
          <t>SWDN</t>
        </is>
      </c>
      <c r="S26" s="96" t="inlineStr">
        <is>
          <t>2610N</t>
        </is>
      </c>
      <c r="T26" s="96" t="inlineStr">
        <is>
          <t>LCH05</t>
        </is>
      </c>
      <c r="U26" s="96" t="inlineStr">
        <is>
          <t>THLCH</t>
        </is>
      </c>
      <c r="V26" s="161" t="inlineStr">
        <is>
          <t>2026-10-08</t>
        </is>
      </c>
      <c r="W26" s="96" t="inlineStr">
        <is>
          <t>KRINC</t>
        </is>
      </c>
      <c r="X26" s="161" t="inlineStr">
        <is>
          <t>2026-10-16</t>
        </is>
      </c>
      <c r="Y26" s="97" t="n"/>
      <c r="Z26" s="97" t="n"/>
      <c r="AA26" s="97" t="n"/>
      <c r="AB26" s="97" t="n"/>
      <c r="AC26" s="97" t="n"/>
      <c r="AD26" s="161" t="inlineStr">
        <is>
          <t>2026-10-03</t>
        </is>
      </c>
      <c r="AE26" s="174" t="inlineStr">
        <is>
          <t>0801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CHEONWOO NEOLOGIS CO.,LTD.</t>
        </is>
      </c>
      <c r="AK26" s="130" t="n"/>
    </row>
    <row r="27" ht="12" customHeight="1">
      <c r="A27" s="108" t="inlineStr">
        <is>
          <t>SEKU4426240</t>
        </is>
      </c>
      <c r="B27" s="108" t="inlineStr">
        <is>
          <t>LCH05</t>
        </is>
      </c>
      <c r="C27" s="108" t="inlineStr">
        <is>
          <t>IFV</t>
        </is>
      </c>
      <c r="D27" s="172" t="inlineStr">
        <is>
          <t>2026-10-03</t>
        </is>
      </c>
      <c r="E27" s="173" t="inlineStr">
        <is>
          <t>1159</t>
        </is>
      </c>
      <c r="F27" s="96" t="inlineStr">
        <is>
          <t>HASLS22260901600</t>
        </is>
      </c>
      <c r="G27" s="96" t="inlineStr">
        <is>
          <t>VANACHAI GROUP PUBLIC COMPANY LIMITED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HASLS22260901600</t>
        </is>
      </c>
      <c r="N27" s="96" t="inlineStr">
        <is>
          <t xml:space="preserve">40Hx3 </t>
        </is>
      </c>
      <c r="O27" s="111" t="inlineStr">
        <is>
          <t>2020</t>
        </is>
      </c>
      <c r="P27" s="111" t="n"/>
      <c r="Q27" s="111" t="n"/>
      <c r="R27" s="96" t="inlineStr">
        <is>
          <t>SWDN</t>
        </is>
      </c>
      <c r="S27" s="96" t="inlineStr">
        <is>
          <t>2610N</t>
        </is>
      </c>
      <c r="T27" s="96" t="inlineStr">
        <is>
          <t>LCH05</t>
        </is>
      </c>
      <c r="U27" s="96" t="inlineStr">
        <is>
          <t>THLCH</t>
        </is>
      </c>
      <c r="V27" s="161" t="inlineStr">
        <is>
          <t>2026-10-08</t>
        </is>
      </c>
      <c r="W27" s="96" t="inlineStr">
        <is>
          <t>KRINC</t>
        </is>
      </c>
      <c r="X27" s="161" t="inlineStr">
        <is>
          <t>2026-10-16</t>
        </is>
      </c>
      <c r="Y27" s="97" t="n"/>
      <c r="Z27" s="97" t="n"/>
      <c r="AA27" s="97" t="n"/>
      <c r="AB27" s="97" t="n"/>
      <c r="AC27" s="97" t="n"/>
      <c r="AD27" s="161" t="inlineStr">
        <is>
          <t>2026-10-03</t>
        </is>
      </c>
      <c r="AE27" s="174" t="inlineStr">
        <is>
          <t>2002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TO THE ORDER OF SHINHAN BANK SEOUL</t>
        </is>
      </c>
      <c r="AK27" s="130" t="n"/>
    </row>
    <row r="28" ht="12" customHeight="1">
      <c r="A28" s="108" t="inlineStr">
        <is>
          <t>SKHU6400184</t>
        </is>
      </c>
      <c r="B28" s="108" t="inlineStr">
        <is>
          <t>LCH05</t>
        </is>
      </c>
      <c r="C28" s="108" t="inlineStr">
        <is>
          <t>IFV</t>
        </is>
      </c>
      <c r="D28" s="172" t="inlineStr">
        <is>
          <t>2026-10-03</t>
        </is>
      </c>
      <c r="E28" s="173" t="inlineStr">
        <is>
          <t>1322</t>
        </is>
      </c>
      <c r="F28" s="96" t="inlineStr">
        <is>
          <t>HASLS22260901608</t>
        </is>
      </c>
      <c r="G28" s="96" t="inlineStr">
        <is>
          <t>VANACHAI GROUP PUBLIC COMPANY LIMITED</t>
        </is>
      </c>
      <c r="H28" s="111" t="inlineStr">
        <is>
          <t>45GP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HASLS22260901608</t>
        </is>
      </c>
      <c r="N28" s="96" t="inlineStr">
        <is>
          <t xml:space="preserve">40Hx3 </t>
        </is>
      </c>
      <c r="O28" s="111" t="inlineStr">
        <is>
          <t>2024</t>
        </is>
      </c>
      <c r="P28" s="111" t="n"/>
      <c r="Q28" s="111" t="n"/>
      <c r="R28" s="96" t="inlineStr">
        <is>
          <t>SWDN</t>
        </is>
      </c>
      <c r="S28" s="96" t="inlineStr">
        <is>
          <t>2610N</t>
        </is>
      </c>
      <c r="T28" s="96" t="inlineStr">
        <is>
          <t>LCH05</t>
        </is>
      </c>
      <c r="U28" s="96" t="inlineStr">
        <is>
          <t>THLCH</t>
        </is>
      </c>
      <c r="V28" s="161" t="inlineStr">
        <is>
          <t>2026-10-08</t>
        </is>
      </c>
      <c r="W28" s="96" t="inlineStr">
        <is>
          <t>KRINC</t>
        </is>
      </c>
      <c r="X28" s="161" t="inlineStr">
        <is>
          <t>2026-10-16</t>
        </is>
      </c>
      <c r="Y28" s="97" t="n"/>
      <c r="Z28" s="97" t="n"/>
      <c r="AA28" s="97" t="n"/>
      <c r="AB28" s="97" t="n"/>
      <c r="AC28" s="97" t="n"/>
      <c r="AD28" s="161" t="inlineStr">
        <is>
          <t>2026-10-03</t>
        </is>
      </c>
      <c r="AE28" s="174" t="inlineStr">
        <is>
          <t>2002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TO THE ORDER OF KOOKMIN BANK</t>
        </is>
      </c>
      <c r="AK28" s="130" t="n"/>
    </row>
    <row r="29" ht="12" customHeight="1">
      <c r="A29" s="108" t="inlineStr">
        <is>
          <t>SKHU6462756</t>
        </is>
      </c>
      <c r="B29" s="108" t="inlineStr">
        <is>
          <t>LCH05</t>
        </is>
      </c>
      <c r="C29" s="108" t="inlineStr">
        <is>
          <t>IFV</t>
        </is>
      </c>
      <c r="D29" s="172" t="inlineStr">
        <is>
          <t>2026-10-03</t>
        </is>
      </c>
      <c r="E29" s="173" t="inlineStr">
        <is>
          <t>1234</t>
        </is>
      </c>
      <c r="F29" s="96" t="inlineStr">
        <is>
          <t>HASLS22260901608</t>
        </is>
      </c>
      <c r="G29" s="96" t="inlineStr">
        <is>
          <t>VANACHAI GROUP PUBLIC COMPANY LIMITED</t>
        </is>
      </c>
      <c r="H29" s="111" t="inlineStr">
        <is>
          <t>45GP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HASLS22260901608</t>
        </is>
      </c>
      <c r="N29" s="96" t="inlineStr">
        <is>
          <t xml:space="preserve">40Hx3 </t>
        </is>
      </c>
      <c r="O29" s="111" t="inlineStr">
        <is>
          <t>2024</t>
        </is>
      </c>
      <c r="P29" s="111" t="n"/>
      <c r="Q29" s="111" t="n"/>
      <c r="R29" s="96" t="inlineStr">
        <is>
          <t>SWDN</t>
        </is>
      </c>
      <c r="S29" s="96" t="inlineStr">
        <is>
          <t>2610N</t>
        </is>
      </c>
      <c r="T29" s="96" t="inlineStr">
        <is>
          <t>LCH05</t>
        </is>
      </c>
      <c r="U29" s="96" t="inlineStr">
        <is>
          <t>THLCH</t>
        </is>
      </c>
      <c r="V29" s="161" t="inlineStr">
        <is>
          <t>2026-10-08</t>
        </is>
      </c>
      <c r="W29" s="96" t="inlineStr">
        <is>
          <t>KRINC</t>
        </is>
      </c>
      <c r="X29" s="161" t="inlineStr">
        <is>
          <t>2026-10-16</t>
        </is>
      </c>
      <c r="Y29" s="97" t="n"/>
      <c r="Z29" s="97" t="n"/>
      <c r="AA29" s="97" t="n"/>
      <c r="AB29" s="97" t="n"/>
      <c r="AC29" s="97" t="n"/>
      <c r="AD29" s="161" t="inlineStr">
        <is>
          <t>2026-10-03</t>
        </is>
      </c>
      <c r="AE29" s="174" t="inlineStr">
        <is>
          <t>2002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TO THE ORDER OF KOOKMIN BANK</t>
        </is>
      </c>
      <c r="AK29" s="130" t="n"/>
    </row>
    <row r="30" ht="12" customHeight="1">
      <c r="A30" s="108" t="inlineStr">
        <is>
          <t>SKHU6467634</t>
        </is>
      </c>
      <c r="B30" s="108" t="inlineStr">
        <is>
          <t>LCH05</t>
        </is>
      </c>
      <c r="C30" s="108" t="inlineStr">
        <is>
          <t>IFV</t>
        </is>
      </c>
      <c r="D30" s="172" t="inlineStr">
        <is>
          <t>2026-10-03</t>
        </is>
      </c>
      <c r="E30" s="173" t="inlineStr">
        <is>
          <t>1842</t>
        </is>
      </c>
      <c r="F30" s="96" t="inlineStr">
        <is>
          <t>HASLS22260902292</t>
        </is>
      </c>
      <c r="G30" s="96" t="inlineStr">
        <is>
          <t>MASTERICH COMPANY LIMITED.</t>
        </is>
      </c>
      <c r="H30" s="111" t="inlineStr">
        <is>
          <t>45GP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HASLS22260902292</t>
        </is>
      </c>
      <c r="N30" s="96" t="inlineStr">
        <is>
          <t xml:space="preserve">40Hx3 </t>
        </is>
      </c>
      <c r="O30" s="111" t="inlineStr">
        <is>
          <t>2024</t>
        </is>
      </c>
      <c r="P30" s="111" t="n"/>
      <c r="Q30" s="111" t="n"/>
      <c r="R30" s="96" t="inlineStr">
        <is>
          <t>SWDN</t>
        </is>
      </c>
      <c r="S30" s="96" t="inlineStr">
        <is>
          <t>2610N</t>
        </is>
      </c>
      <c r="T30" s="96" t="inlineStr">
        <is>
          <t>LCH05</t>
        </is>
      </c>
      <c r="U30" s="96" t="inlineStr">
        <is>
          <t>THLCH</t>
        </is>
      </c>
      <c r="V30" s="161" t="inlineStr">
        <is>
          <t>2026-10-08</t>
        </is>
      </c>
      <c r="W30" s="96" t="inlineStr">
        <is>
          <t>CNXMN</t>
        </is>
      </c>
      <c r="X30" s="161" t="inlineStr">
        <is>
          <t>2026-10-13</t>
        </is>
      </c>
      <c r="Y30" s="97" t="n"/>
      <c r="Z30" s="97" t="n"/>
      <c r="AA30" s="97" t="n"/>
      <c r="AB30" s="97" t="n"/>
      <c r="AC30" s="97" t="n"/>
      <c r="AD30" s="161" t="inlineStr">
        <is>
          <t>2026-10-04</t>
        </is>
      </c>
      <c r="AE30" s="174" t="inlineStr">
        <is>
          <t>0201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SHENZHEN QIANHAI ZHONGTAI YOULIAN</t>
        </is>
      </c>
      <c r="AK30" s="130" t="n"/>
    </row>
    <row r="31" ht="12" customHeight="1">
      <c r="A31" s="108" t="inlineStr">
        <is>
          <t>SKHU6483960</t>
        </is>
      </c>
      <c r="B31" s="108" t="inlineStr">
        <is>
          <t>LCH05</t>
        </is>
      </c>
      <c r="C31" s="108" t="inlineStr">
        <is>
          <t>IFV</t>
        </is>
      </c>
      <c r="D31" s="172" t="inlineStr">
        <is>
          <t>2026-10-03</t>
        </is>
      </c>
      <c r="E31" s="173" t="inlineStr">
        <is>
          <t>1126</t>
        </is>
      </c>
      <c r="F31" s="96" t="inlineStr">
        <is>
          <t>HASLS22260901608</t>
        </is>
      </c>
      <c r="G31" s="96" t="inlineStr">
        <is>
          <t>VANACHAI GROUP PUBLIC COMPANY LIMITED</t>
        </is>
      </c>
      <c r="H31" s="111" t="inlineStr">
        <is>
          <t>45GP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HASLS22260901608</t>
        </is>
      </c>
      <c r="N31" s="96" t="inlineStr">
        <is>
          <t xml:space="preserve">40Hx3 </t>
        </is>
      </c>
      <c r="O31" s="111" t="inlineStr">
        <is>
          <t>2024</t>
        </is>
      </c>
      <c r="P31" s="111" t="n"/>
      <c r="Q31" s="111" t="n"/>
      <c r="R31" s="96" t="inlineStr">
        <is>
          <t>SWDN</t>
        </is>
      </c>
      <c r="S31" s="96" t="inlineStr">
        <is>
          <t>2610N</t>
        </is>
      </c>
      <c r="T31" s="96" t="inlineStr">
        <is>
          <t>LCH05</t>
        </is>
      </c>
      <c r="U31" s="96" t="inlineStr">
        <is>
          <t>THLCH</t>
        </is>
      </c>
      <c r="V31" s="161" t="inlineStr">
        <is>
          <t>2026-10-08</t>
        </is>
      </c>
      <c r="W31" s="96" t="inlineStr">
        <is>
          <t>KRINC</t>
        </is>
      </c>
      <c r="X31" s="161" t="inlineStr">
        <is>
          <t>2026-10-16</t>
        </is>
      </c>
      <c r="Y31" s="97" t="n"/>
      <c r="Z31" s="97" t="n"/>
      <c r="AA31" s="97" t="n"/>
      <c r="AB31" s="97" t="n"/>
      <c r="AC31" s="97" t="n"/>
      <c r="AD31" s="161" t="inlineStr">
        <is>
          <t>2026-10-03</t>
        </is>
      </c>
      <c r="AE31" s="174" t="inlineStr">
        <is>
          <t>1401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TO THE ORDER OF KOOKMIN BANK</t>
        </is>
      </c>
      <c r="AK31" s="130" t="n"/>
    </row>
    <row r="32" ht="12" customHeight="1">
      <c r="A32" s="108" t="inlineStr">
        <is>
          <t>SKHU6558713</t>
        </is>
      </c>
      <c r="B32" s="108" t="inlineStr">
        <is>
          <t>LCH05</t>
        </is>
      </c>
      <c r="C32" s="108" t="inlineStr">
        <is>
          <t>IFV</t>
        </is>
      </c>
      <c r="D32" s="172" t="inlineStr">
        <is>
          <t>2026-10-01</t>
        </is>
      </c>
      <c r="E32" s="173" t="inlineStr">
        <is>
          <t>2219</t>
        </is>
      </c>
      <c r="F32" s="96" t="inlineStr">
        <is>
          <t>HASLS22260800648</t>
        </is>
      </c>
      <c r="G32" s="96" t="inlineStr">
        <is>
          <t>NIPPON EXPRESS LOGISTICS (THAILAND) CO., LTD.</t>
        </is>
      </c>
      <c r="H32" s="111" t="inlineStr">
        <is>
          <t>45GP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HASLS22260800648</t>
        </is>
      </c>
      <c r="N32" s="96" t="inlineStr">
        <is>
          <t xml:space="preserve">40Hx1 </t>
        </is>
      </c>
      <c r="O32" s="111" t="inlineStr">
        <is>
          <t>2024</t>
        </is>
      </c>
      <c r="P32" s="111" t="n"/>
      <c r="Q32" s="111" t="n"/>
      <c r="R32" s="96" t="inlineStr">
        <is>
          <t>SWDN</t>
        </is>
      </c>
      <c r="S32" s="96" t="inlineStr">
        <is>
          <t>2610N</t>
        </is>
      </c>
      <c r="T32" s="96" t="inlineStr">
        <is>
          <t>LCH05</t>
        </is>
      </c>
      <c r="U32" s="96" t="inlineStr">
        <is>
          <t>THLCH</t>
        </is>
      </c>
      <c r="V32" s="161" t="inlineStr">
        <is>
          <t>2026-10-08</t>
        </is>
      </c>
      <c r="W32" s="96" t="inlineStr">
        <is>
          <t>HKHKG</t>
        </is>
      </c>
      <c r="X32" s="161" t="inlineStr">
        <is>
          <t>2026-10-11</t>
        </is>
      </c>
      <c r="Y32" s="97" t="n"/>
      <c r="Z32" s="97" t="n"/>
      <c r="AA32" s="97" t="n"/>
      <c r="AB32" s="97" t="n"/>
      <c r="AC32" s="97" t="n"/>
      <c r="AD32" s="161" t="inlineStr">
        <is>
          <t>2026-10-02</t>
        </is>
      </c>
      <c r="AE32" s="174" t="inlineStr">
        <is>
          <t>0201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NIPPON EXPRESS (H.K.) CO.,LTD.</t>
        </is>
      </c>
      <c r="AK32" s="130" t="n"/>
    </row>
    <row r="33" ht="12" customHeight="1">
      <c r="A33" s="108" t="inlineStr">
        <is>
          <t>SKHU8111555</t>
        </is>
      </c>
      <c r="B33" s="108" t="inlineStr">
        <is>
          <t>LCH05</t>
        </is>
      </c>
      <c r="C33" s="108" t="inlineStr">
        <is>
          <t>IFV</t>
        </is>
      </c>
      <c r="D33" s="172" t="inlineStr">
        <is>
          <t>2026-10-03</t>
        </is>
      </c>
      <c r="E33" s="173" t="inlineStr">
        <is>
          <t>1201</t>
        </is>
      </c>
      <c r="F33" s="96" t="inlineStr">
        <is>
          <t>HASLS22260901600</t>
        </is>
      </c>
      <c r="G33" s="96" t="inlineStr">
        <is>
          <t>VANACHAI GROUP PUBLIC COMPANY LIMITED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HASLS22260901600</t>
        </is>
      </c>
      <c r="N33" s="96" t="inlineStr">
        <is>
          <t xml:space="preserve">40Hx3 </t>
        </is>
      </c>
      <c r="O33" s="111" t="inlineStr">
        <is>
          <t>2021</t>
        </is>
      </c>
      <c r="P33" s="111" t="n"/>
      <c r="Q33" s="111" t="n"/>
      <c r="R33" s="96" t="inlineStr">
        <is>
          <t>SWDN</t>
        </is>
      </c>
      <c r="S33" s="96" t="inlineStr">
        <is>
          <t>2610N</t>
        </is>
      </c>
      <c r="T33" s="96" t="inlineStr">
        <is>
          <t>LCH05</t>
        </is>
      </c>
      <c r="U33" s="96" t="inlineStr">
        <is>
          <t>THLCH</t>
        </is>
      </c>
      <c r="V33" s="161" t="inlineStr">
        <is>
          <t>2026-10-08</t>
        </is>
      </c>
      <c r="W33" s="96" t="inlineStr">
        <is>
          <t>KRINC</t>
        </is>
      </c>
      <c r="X33" s="161" t="inlineStr">
        <is>
          <t>2026-10-16</t>
        </is>
      </c>
      <c r="Y33" s="97" t="n"/>
      <c r="Z33" s="97" t="n"/>
      <c r="AA33" s="97" t="n"/>
      <c r="AB33" s="97" t="n"/>
      <c r="AC33" s="97" t="n"/>
      <c r="AD33" s="161" t="inlineStr">
        <is>
          <t>2026-10-03</t>
        </is>
      </c>
      <c r="AE33" s="174" t="inlineStr">
        <is>
          <t>2002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TO THE ORDER OF SHINHAN BANK SEOUL</t>
        </is>
      </c>
      <c r="AK33" s="130" t="n"/>
    </row>
    <row r="34" ht="12" customHeight="1">
      <c r="A34" s="108" t="inlineStr">
        <is>
          <t>SKHU8908359</t>
        </is>
      </c>
      <c r="B34" s="108" t="inlineStr">
        <is>
          <t>LCH05</t>
        </is>
      </c>
      <c r="C34" s="108" t="inlineStr">
        <is>
          <t>IFV</t>
        </is>
      </c>
      <c r="D34" s="172" t="inlineStr">
        <is>
          <t>2026-10-02</t>
        </is>
      </c>
      <c r="E34" s="173" t="inlineStr">
        <is>
          <t>1659</t>
        </is>
      </c>
      <c r="F34" s="96" t="inlineStr">
        <is>
          <t>HASLS22260902506</t>
        </is>
      </c>
      <c r="G34" s="96" t="inlineStr">
        <is>
          <t>NIPPON EXPRESS LOGISTICS (THAILAND) CO., LTD.</t>
        </is>
      </c>
      <c r="H34" s="111" t="inlineStr">
        <is>
          <t>45GP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HASLS22260902506</t>
        </is>
      </c>
      <c r="N34" s="96" t="inlineStr">
        <is>
          <t xml:space="preserve">40Hx1 </t>
        </is>
      </c>
      <c r="O34" s="111" t="inlineStr">
        <is>
          <t>2019</t>
        </is>
      </c>
      <c r="P34" s="111" t="n"/>
      <c r="Q34" s="111" t="n"/>
      <c r="R34" s="96" t="inlineStr">
        <is>
          <t>SWDN</t>
        </is>
      </c>
      <c r="S34" s="96" t="inlineStr">
        <is>
          <t>2610N</t>
        </is>
      </c>
      <c r="T34" s="96" t="inlineStr">
        <is>
          <t>LCH05</t>
        </is>
      </c>
      <c r="U34" s="96" t="inlineStr">
        <is>
          <t>THLCH</t>
        </is>
      </c>
      <c r="V34" s="161" t="inlineStr">
        <is>
          <t>2026-10-08</t>
        </is>
      </c>
      <c r="W34" s="96" t="inlineStr">
        <is>
          <t>HKHKG</t>
        </is>
      </c>
      <c r="X34" s="161" t="inlineStr">
        <is>
          <t>2026-10-11</t>
        </is>
      </c>
      <c r="Y34" s="97" t="n"/>
      <c r="Z34" s="97" t="n"/>
      <c r="AA34" s="97" t="n"/>
      <c r="AB34" s="97" t="n"/>
      <c r="AC34" s="97" t="n"/>
      <c r="AD34" s="161" t="inlineStr">
        <is>
          <t>2026-10-02</t>
        </is>
      </c>
      <c r="AE34" s="174" t="inlineStr">
        <is>
          <t>2001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NIPPON EXPRESS (H.K) CO.,LTD</t>
        </is>
      </c>
      <c r="AK34" s="130" t="n"/>
    </row>
    <row r="35" ht="12" customHeight="1">
      <c r="A35" s="108" t="inlineStr">
        <is>
          <t>SKHU9604181</t>
        </is>
      </c>
      <c r="B35" s="108" t="inlineStr">
        <is>
          <t>LCH05</t>
        </is>
      </c>
      <c r="C35" s="108" t="inlineStr">
        <is>
          <t>IFV</t>
        </is>
      </c>
      <c r="D35" s="172" t="inlineStr">
        <is>
          <t>2026-10-06</t>
        </is>
      </c>
      <c r="E35" s="173" t="inlineStr">
        <is>
          <t>2202</t>
        </is>
      </c>
      <c r="F35" s="96" t="inlineStr">
        <is>
          <t>HASLS22260901529</t>
        </is>
      </c>
      <c r="G35" s="96" t="inlineStr">
        <is>
          <t>PGS LOGISTICS (THAILAND) CO., LTD.</t>
        </is>
      </c>
      <c r="H35" s="111" t="inlineStr">
        <is>
          <t>45GP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HASLS22260901529</t>
        </is>
      </c>
      <c r="N35" s="96" t="inlineStr">
        <is>
          <t xml:space="preserve">40Hx1 </t>
        </is>
      </c>
      <c r="O35" s="111" t="inlineStr">
        <is>
          <t>2016</t>
        </is>
      </c>
      <c r="P35" s="111" t="n"/>
      <c r="Q35" s="111" t="n"/>
      <c r="R35" s="96" t="inlineStr">
        <is>
          <t>SWDN</t>
        </is>
      </c>
      <c r="S35" s="96" t="inlineStr">
        <is>
          <t>2610N</t>
        </is>
      </c>
      <c r="T35" s="96" t="inlineStr">
        <is>
          <t>LCH05</t>
        </is>
      </c>
      <c r="U35" s="96" t="inlineStr">
        <is>
          <t>THLCH</t>
        </is>
      </c>
      <c r="V35" s="161" t="inlineStr">
        <is>
          <t>2026-10-08</t>
        </is>
      </c>
      <c r="W35" s="96" t="inlineStr">
        <is>
          <t>HKHKG</t>
        </is>
      </c>
      <c r="X35" s="161" t="inlineStr">
        <is>
          <t>2026-10-11</t>
        </is>
      </c>
      <c r="Y35" s="97" t="n"/>
      <c r="Z35" s="97" t="n"/>
      <c r="AA35" s="97" t="n"/>
      <c r="AB35" s="97" t="n"/>
      <c r="AC35" s="97" t="n"/>
      <c r="AD35" s="161" t="inlineStr">
        <is>
          <t>2026-10-07</t>
        </is>
      </c>
      <c r="AE35" s="174" t="inlineStr">
        <is>
          <t>0201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PARISI GRAND SMOOTH LOGISTICS LTD</t>
        </is>
      </c>
      <c r="AK35" s="130" t="n"/>
    </row>
    <row r="36" ht="12" customHeight="1">
      <c r="A36" s="108" t="inlineStr">
        <is>
          <t>SKHU9966257</t>
        </is>
      </c>
      <c r="B36" s="108" t="inlineStr">
        <is>
          <t>LCH05</t>
        </is>
      </c>
      <c r="C36" s="108" t="inlineStr">
        <is>
          <t>IFV</t>
        </is>
      </c>
      <c r="D36" s="172" t="inlineStr">
        <is>
          <t>2026-10-01</t>
        </is>
      </c>
      <c r="E36" s="173" t="inlineStr">
        <is>
          <t>0033</t>
        </is>
      </c>
      <c r="F36" s="96" t="inlineStr">
        <is>
          <t>HASLS22260902269</t>
        </is>
      </c>
      <c r="G36" s="96" t="inlineStr">
        <is>
          <t>COMPREHENSIVE CARGO MANAGEMENT LTD.</t>
        </is>
      </c>
      <c r="H36" s="111" t="inlineStr">
        <is>
          <t>45GP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HASLS22260902269</t>
        </is>
      </c>
      <c r="N36" s="96" t="inlineStr">
        <is>
          <t xml:space="preserve">40Hx1 </t>
        </is>
      </c>
      <c r="O36" s="111" t="inlineStr">
        <is>
          <t>2019</t>
        </is>
      </c>
      <c r="P36" s="111" t="n"/>
      <c r="Q36" s="111" t="n"/>
      <c r="R36" s="96" t="inlineStr">
        <is>
          <t>SWDN</t>
        </is>
      </c>
      <c r="S36" s="96" t="inlineStr">
        <is>
          <t>2610N</t>
        </is>
      </c>
      <c r="T36" s="96" t="inlineStr">
        <is>
          <t>LCH05</t>
        </is>
      </c>
      <c r="U36" s="96" t="inlineStr">
        <is>
          <t>THLCH</t>
        </is>
      </c>
      <c r="V36" s="161" t="inlineStr">
        <is>
          <t>2026-10-08</t>
        </is>
      </c>
      <c r="W36" s="96" t="inlineStr">
        <is>
          <t>CNXMN</t>
        </is>
      </c>
      <c r="X36" s="161" t="inlineStr">
        <is>
          <t>2026-10-13</t>
        </is>
      </c>
      <c r="Y36" s="97" t="n"/>
      <c r="Z36" s="97" t="n"/>
      <c r="AA36" s="97" t="n"/>
      <c r="AB36" s="97" t="n"/>
      <c r="AC36" s="97" t="n"/>
      <c r="AD36" s="161" t="inlineStr">
        <is>
          <t>2026-10-01</t>
        </is>
      </c>
      <c r="AE36" s="174" t="inlineStr">
        <is>
          <t>0801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XIAMEN HONESTY IMPORT AND EXPORT</t>
        </is>
      </c>
      <c r="AK36" s="130" t="n"/>
    </row>
    <row r="37" ht="12" customHeight="1">
      <c r="A37" s="108" t="inlineStr">
        <is>
          <t>SKLU1308216</t>
        </is>
      </c>
      <c r="B37" s="108" t="inlineStr">
        <is>
          <t>LCH05</t>
        </is>
      </c>
      <c r="C37" s="108" t="inlineStr">
        <is>
          <t>IFV</t>
        </is>
      </c>
      <c r="D37" s="172" t="inlineStr">
        <is>
          <t>2026-10-01</t>
        </is>
      </c>
      <c r="E37" s="173" t="inlineStr">
        <is>
          <t>1909</t>
        </is>
      </c>
      <c r="F37" s="96" t="inlineStr">
        <is>
          <t>HASLS22260901029</t>
        </is>
      </c>
      <c r="G37" s="96" t="inlineStr">
        <is>
          <t>THAI POLYCARBONATE CO., LTD.</t>
        </is>
      </c>
      <c r="H37" s="111" t="inlineStr">
        <is>
          <t>22GP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HASLS22260901029</t>
        </is>
      </c>
      <c r="N37" s="96" t="inlineStr">
        <is>
          <t xml:space="preserve">20'x3 </t>
        </is>
      </c>
      <c r="O37" s="111" t="inlineStr">
        <is>
          <t>2013</t>
        </is>
      </c>
      <c r="P37" s="111" t="n"/>
      <c r="Q37" s="111" t="n"/>
      <c r="R37" s="96" t="inlineStr">
        <is>
          <t>SWDN</t>
        </is>
      </c>
      <c r="S37" s="96" t="inlineStr">
        <is>
          <t>2610N</t>
        </is>
      </c>
      <c r="T37" s="96" t="inlineStr">
        <is>
          <t>LCH05</t>
        </is>
      </c>
      <c r="U37" s="96" t="inlineStr">
        <is>
          <t>THLCH</t>
        </is>
      </c>
      <c r="V37" s="161" t="inlineStr">
        <is>
          <t>2026-10-08</t>
        </is>
      </c>
      <c r="W37" s="96" t="inlineStr">
        <is>
          <t>CNXMN</t>
        </is>
      </c>
      <c r="X37" s="161" t="inlineStr">
        <is>
          <t>2026-10-13</t>
        </is>
      </c>
      <c r="Y37" s="97" t="n"/>
      <c r="Z37" s="97" t="n"/>
      <c r="AA37" s="97" t="n"/>
      <c r="AB37" s="97" t="n"/>
      <c r="AC37" s="97" t="n"/>
      <c r="AD37" s="161" t="inlineStr">
        <is>
          <t>2026-10-02</t>
        </is>
      </c>
      <c r="AE37" s="174" t="inlineStr">
        <is>
          <t>0201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PLASTEL INDUSTRIES CO.,LTD.</t>
        </is>
      </c>
      <c r="AK37" s="130" t="n"/>
    </row>
    <row r="38" ht="12" customHeight="1">
      <c r="A38" s="108" t="inlineStr">
        <is>
          <t>SKLU1643493</t>
        </is>
      </c>
      <c r="B38" s="108" t="inlineStr">
        <is>
          <t>LCH05</t>
        </is>
      </c>
      <c r="C38" s="108" t="inlineStr">
        <is>
          <t>IFV</t>
        </is>
      </c>
      <c r="D38" s="172" t="inlineStr">
        <is>
          <t>2026-10-01</t>
        </is>
      </c>
      <c r="E38" s="173" t="inlineStr">
        <is>
          <t>0358</t>
        </is>
      </c>
      <c r="F38" s="96" t="inlineStr">
        <is>
          <t>HASLS22260901148</t>
        </is>
      </c>
      <c r="G38" s="96" t="inlineStr">
        <is>
          <t>WHA GC LOGISTICS COMPANY LIMITED</t>
        </is>
      </c>
      <c r="H38" s="111" t="inlineStr">
        <is>
          <t>22GP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HASLS22260901148</t>
        </is>
      </c>
      <c r="N38" s="96" t="inlineStr">
        <is>
          <t xml:space="preserve">20'x4 </t>
        </is>
      </c>
      <c r="O38" s="111" t="inlineStr">
        <is>
          <t>2016</t>
        </is>
      </c>
      <c r="P38" s="111" t="n"/>
      <c r="Q38" s="111" t="n"/>
      <c r="R38" s="96" t="inlineStr">
        <is>
          <t>SWDN</t>
        </is>
      </c>
      <c r="S38" s="96" t="inlineStr">
        <is>
          <t>2610N</t>
        </is>
      </c>
      <c r="T38" s="96" t="inlineStr">
        <is>
          <t>LCH05</t>
        </is>
      </c>
      <c r="U38" s="96" t="inlineStr">
        <is>
          <t>THLCH</t>
        </is>
      </c>
      <c r="V38" s="161" t="inlineStr">
        <is>
          <t>2026-10-08</t>
        </is>
      </c>
      <c r="W38" s="96" t="inlineStr">
        <is>
          <t>CNXMN</t>
        </is>
      </c>
      <c r="X38" s="161" t="inlineStr">
        <is>
          <t>2026-10-13</t>
        </is>
      </c>
      <c r="Y38" s="97" t="n"/>
      <c r="Z38" s="97" t="n"/>
      <c r="AA38" s="97" t="n"/>
      <c r="AB38" s="97" t="n"/>
      <c r="AC38" s="97" t="n"/>
      <c r="AD38" s="161" t="inlineStr">
        <is>
          <t>2026-10-01</t>
        </is>
      </c>
      <c r="AE38" s="174" t="inlineStr">
        <is>
          <t>0801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LEMIBA (QUANZHOU) NEW MATERIAL</t>
        </is>
      </c>
      <c r="AK38" s="130" t="n"/>
    </row>
    <row r="39" ht="12" customHeight="1">
      <c r="A39" s="108" t="inlineStr">
        <is>
          <t>SKLU1644231</t>
        </is>
      </c>
      <c r="B39" s="108" t="inlineStr">
        <is>
          <t>LCH05</t>
        </is>
      </c>
      <c r="C39" s="108" t="inlineStr">
        <is>
          <t>IFV</t>
        </is>
      </c>
      <c r="D39" s="172" t="inlineStr">
        <is>
          <t>2026-10-01</t>
        </is>
      </c>
      <c r="E39" s="173" t="inlineStr">
        <is>
          <t>0358</t>
        </is>
      </c>
      <c r="F39" s="96" t="inlineStr">
        <is>
          <t>HASLS22260901148</t>
        </is>
      </c>
      <c r="G39" s="96" t="inlineStr">
        <is>
          <t>WHA GC LOGISTICS COMPANY LIMITED</t>
        </is>
      </c>
      <c r="H39" s="111" t="inlineStr">
        <is>
          <t>22GP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HASLS22260901148</t>
        </is>
      </c>
      <c r="N39" s="96" t="inlineStr">
        <is>
          <t xml:space="preserve">20'x4 </t>
        </is>
      </c>
      <c r="O39" s="111" t="inlineStr">
        <is>
          <t>2016</t>
        </is>
      </c>
      <c r="P39" s="111" t="n"/>
      <c r="Q39" s="111" t="n"/>
      <c r="R39" s="96" t="inlineStr">
        <is>
          <t>SWDN</t>
        </is>
      </c>
      <c r="S39" s="96" t="inlineStr">
        <is>
          <t>2610N</t>
        </is>
      </c>
      <c r="T39" s="96" t="inlineStr">
        <is>
          <t>LCH05</t>
        </is>
      </c>
      <c r="U39" s="96" t="inlineStr">
        <is>
          <t>THLCH</t>
        </is>
      </c>
      <c r="V39" s="161" t="inlineStr">
        <is>
          <t>2026-10-08</t>
        </is>
      </c>
      <c r="W39" s="96" t="inlineStr">
        <is>
          <t>CNXMN</t>
        </is>
      </c>
      <c r="X39" s="161" t="inlineStr">
        <is>
          <t>2026-10-13</t>
        </is>
      </c>
      <c r="Y39" s="97" t="n"/>
      <c r="Z39" s="97" t="n"/>
      <c r="AA39" s="97" t="n"/>
      <c r="AB39" s="97" t="n"/>
      <c r="AC39" s="97" t="n"/>
      <c r="AD39" s="161" t="inlineStr">
        <is>
          <t>2026-10-01</t>
        </is>
      </c>
      <c r="AE39" s="174" t="inlineStr">
        <is>
          <t>0801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LEMIBA (QUANZHOU) NEW MATERIAL</t>
        </is>
      </c>
      <c r="AK39" s="130" t="n"/>
    </row>
    <row r="40" ht="12" customHeight="1">
      <c r="A40" s="108" t="inlineStr">
        <is>
          <t>SKLU1644870</t>
        </is>
      </c>
      <c r="B40" s="108" t="inlineStr">
        <is>
          <t>LCH05</t>
        </is>
      </c>
      <c r="C40" s="108" t="inlineStr">
        <is>
          <t>IFV</t>
        </is>
      </c>
      <c r="D40" s="172" t="inlineStr">
        <is>
          <t>2026-10-01</t>
        </is>
      </c>
      <c r="E40" s="173" t="inlineStr">
        <is>
          <t>0345</t>
        </is>
      </c>
      <c r="F40" s="96" t="inlineStr">
        <is>
          <t>HASLS22260901146</t>
        </is>
      </c>
      <c r="G40" s="96" t="inlineStr">
        <is>
          <t>WHA GC LOGISTICS COMPANY LIMITED</t>
        </is>
      </c>
      <c r="H40" s="111" t="inlineStr">
        <is>
          <t>22GP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HASLS22260901146</t>
        </is>
      </c>
      <c r="N40" s="96" t="inlineStr">
        <is>
          <t xml:space="preserve">20'x4 </t>
        </is>
      </c>
      <c r="O40" s="111" t="inlineStr">
        <is>
          <t>2016</t>
        </is>
      </c>
      <c r="P40" s="111" t="n"/>
      <c r="Q40" s="111" t="n"/>
      <c r="R40" s="96" t="inlineStr">
        <is>
          <t>SWDN</t>
        </is>
      </c>
      <c r="S40" s="96" t="inlineStr">
        <is>
          <t>2610N</t>
        </is>
      </c>
      <c r="T40" s="96" t="inlineStr">
        <is>
          <t>LCH05</t>
        </is>
      </c>
      <c r="U40" s="96" t="inlineStr">
        <is>
          <t>THLCH</t>
        </is>
      </c>
      <c r="V40" s="161" t="inlineStr">
        <is>
          <t>2026-10-08</t>
        </is>
      </c>
      <c r="W40" s="96" t="inlineStr">
        <is>
          <t>CNXMN</t>
        </is>
      </c>
      <c r="X40" s="161" t="inlineStr">
        <is>
          <t>2026-10-13</t>
        </is>
      </c>
      <c r="Y40" s="97" t="n"/>
      <c r="Z40" s="97" t="n"/>
      <c r="AA40" s="97" t="n"/>
      <c r="AB40" s="97" t="n"/>
      <c r="AC40" s="97" t="n"/>
      <c r="AD40" s="161" t="inlineStr">
        <is>
          <t>2026-10-01</t>
        </is>
      </c>
      <c r="AE40" s="174" t="inlineStr">
        <is>
          <t>0801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SINOCHEM PETROCHEMICAL</t>
        </is>
      </c>
      <c r="AK40" s="130" t="n"/>
    </row>
    <row r="41" ht="12" customHeight="1">
      <c r="A41" s="108" t="inlineStr">
        <is>
          <t>SKLU1661500</t>
        </is>
      </c>
      <c r="B41" s="108" t="inlineStr">
        <is>
          <t>LCH05</t>
        </is>
      </c>
      <c r="C41" s="108" t="inlineStr">
        <is>
          <t>IFV</t>
        </is>
      </c>
      <c r="D41" s="172" t="inlineStr">
        <is>
          <t>2026-10-05</t>
        </is>
      </c>
      <c r="E41" s="173" t="inlineStr">
        <is>
          <t>0928</t>
        </is>
      </c>
      <c r="F41" s="96" t="inlineStr">
        <is>
          <t>HASLS22260900563</t>
        </is>
      </c>
      <c r="G41" s="96" t="inlineStr">
        <is>
          <t>WHA GC LOGISTICS COMPANY LIMITED</t>
        </is>
      </c>
      <c r="H41" s="111" t="inlineStr">
        <is>
          <t>22GP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HASLS22260900563</t>
        </is>
      </c>
      <c r="N41" s="96" t="inlineStr">
        <is>
          <t xml:space="preserve">20'x8 </t>
        </is>
      </c>
      <c r="O41" s="111" t="inlineStr">
        <is>
          <t>2016</t>
        </is>
      </c>
      <c r="P41" s="111" t="n"/>
      <c r="Q41" s="111" t="n"/>
      <c r="R41" s="96" t="inlineStr">
        <is>
          <t>SWDN</t>
        </is>
      </c>
      <c r="S41" s="96" t="inlineStr">
        <is>
          <t>2610N</t>
        </is>
      </c>
      <c r="T41" s="96" t="inlineStr">
        <is>
          <t>LCH05</t>
        </is>
      </c>
      <c r="U41" s="96" t="inlineStr">
        <is>
          <t>THLCH</t>
        </is>
      </c>
      <c r="V41" s="161" t="inlineStr">
        <is>
          <t>2026-10-08</t>
        </is>
      </c>
      <c r="W41" s="96" t="inlineStr">
        <is>
          <t>HKHKG</t>
        </is>
      </c>
      <c r="X41" s="161" t="inlineStr">
        <is>
          <t>2026-10-11</t>
        </is>
      </c>
      <c r="Y41" s="97" t="n"/>
      <c r="Z41" s="97" t="n"/>
      <c r="AA41" s="97" t="n"/>
      <c r="AB41" s="97" t="n"/>
      <c r="AC41" s="97" t="n"/>
      <c r="AD41" s="161" t="inlineStr">
        <is>
          <t>2026-10-05</t>
        </is>
      </c>
      <c r="AE41" s="174" t="inlineStr">
        <is>
          <t>1402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GC MARKETING SOLUTIONS (SHANGHAI)</t>
        </is>
      </c>
      <c r="AK41" s="130" t="n"/>
    </row>
    <row r="42" ht="12" customHeight="1">
      <c r="A42" s="108" t="inlineStr">
        <is>
          <t>SKLU1663503</t>
        </is>
      </c>
      <c r="B42" s="108" t="inlineStr">
        <is>
          <t>LCH05</t>
        </is>
      </c>
      <c r="C42" s="108" t="inlineStr">
        <is>
          <t>IFV</t>
        </is>
      </c>
      <c r="D42" s="172" t="inlineStr">
        <is>
          <t>2026-10-01</t>
        </is>
      </c>
      <c r="E42" s="173" t="inlineStr">
        <is>
          <t>0356</t>
        </is>
      </c>
      <c r="F42" s="96" t="inlineStr">
        <is>
          <t>HASLS22260901148</t>
        </is>
      </c>
      <c r="G42" s="96" t="inlineStr">
        <is>
          <t>WHA GC LOGISTICS COMPANY LIMITED</t>
        </is>
      </c>
      <c r="H42" s="111" t="inlineStr">
        <is>
          <t>22GP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HASLS22260901148</t>
        </is>
      </c>
      <c r="N42" s="96" t="inlineStr">
        <is>
          <t xml:space="preserve">20'x4 </t>
        </is>
      </c>
      <c r="O42" s="111" t="inlineStr">
        <is>
          <t>2016</t>
        </is>
      </c>
      <c r="P42" s="111" t="n"/>
      <c r="Q42" s="111" t="n"/>
      <c r="R42" s="96" t="inlineStr">
        <is>
          <t>SWDN</t>
        </is>
      </c>
      <c r="S42" s="96" t="inlineStr">
        <is>
          <t>2610N</t>
        </is>
      </c>
      <c r="T42" s="96" t="inlineStr">
        <is>
          <t>LCH05</t>
        </is>
      </c>
      <c r="U42" s="96" t="inlineStr">
        <is>
          <t>THLCH</t>
        </is>
      </c>
      <c r="V42" s="161" t="inlineStr">
        <is>
          <t>2026-10-08</t>
        </is>
      </c>
      <c r="W42" s="96" t="inlineStr">
        <is>
          <t>CNXMN</t>
        </is>
      </c>
      <c r="X42" s="161" t="inlineStr">
        <is>
          <t>2026-10-13</t>
        </is>
      </c>
      <c r="Y42" s="97" t="n"/>
      <c r="Z42" s="97" t="n"/>
      <c r="AA42" s="97" t="n"/>
      <c r="AB42" s="97" t="n"/>
      <c r="AC42" s="97" t="n"/>
      <c r="AD42" s="161" t="inlineStr">
        <is>
          <t>2026-10-01</t>
        </is>
      </c>
      <c r="AE42" s="174" t="inlineStr">
        <is>
          <t>0801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LEMIBA (QUANZHOU) NEW MATERIAL</t>
        </is>
      </c>
      <c r="AK42" s="130" t="n"/>
    </row>
    <row r="43" ht="12" customHeight="1">
      <c r="A43" s="108" t="inlineStr">
        <is>
          <t>SKLU1669008</t>
        </is>
      </c>
      <c r="B43" s="108" t="inlineStr">
        <is>
          <t>LCH05</t>
        </is>
      </c>
      <c r="C43" s="108" t="inlineStr">
        <is>
          <t>IFV</t>
        </is>
      </c>
      <c r="D43" s="172" t="inlineStr">
        <is>
          <t>2026-10-03</t>
        </is>
      </c>
      <c r="E43" s="173" t="inlineStr">
        <is>
          <t>1651</t>
        </is>
      </c>
      <c r="F43" s="96" t="inlineStr">
        <is>
          <t>HASLS22260901015</t>
        </is>
      </c>
      <c r="G43" s="96" t="inlineStr">
        <is>
          <t>THAI POLYCARBONATE CO., LTD.</t>
        </is>
      </c>
      <c r="H43" s="111" t="inlineStr">
        <is>
          <t>22GP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HASLS22260901015</t>
        </is>
      </c>
      <c r="N43" s="96" t="inlineStr">
        <is>
          <t xml:space="preserve">20'x1 </t>
        </is>
      </c>
      <c r="O43" s="111" t="inlineStr">
        <is>
          <t>2016</t>
        </is>
      </c>
      <c r="P43" s="111" t="n"/>
      <c r="Q43" s="111" t="n"/>
      <c r="R43" s="96" t="inlineStr">
        <is>
          <t>SWDN</t>
        </is>
      </c>
      <c r="S43" s="96" t="inlineStr">
        <is>
          <t>2610N</t>
        </is>
      </c>
      <c r="T43" s="96" t="inlineStr">
        <is>
          <t>LCH05</t>
        </is>
      </c>
      <c r="U43" s="96" t="inlineStr">
        <is>
          <t>THLCH</t>
        </is>
      </c>
      <c r="V43" s="161" t="inlineStr">
        <is>
          <t>2026-10-08</t>
        </is>
      </c>
      <c r="W43" s="96" t="inlineStr">
        <is>
          <t>CNXMN</t>
        </is>
      </c>
      <c r="X43" s="161" t="inlineStr">
        <is>
          <t>2026-10-13</t>
        </is>
      </c>
      <c r="Y43" s="97" t="n"/>
      <c r="Z43" s="97" t="n"/>
      <c r="AA43" s="97" t="n"/>
      <c r="AB43" s="97" t="n"/>
      <c r="AC43" s="97" t="n"/>
      <c r="AD43" s="161" t="inlineStr">
        <is>
          <t>2026-10-03</t>
        </is>
      </c>
      <c r="AE43" s="174" t="inlineStr">
        <is>
          <t>2002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DONG GUAN HUA GANG INTERNATIONAL</t>
        </is>
      </c>
      <c r="AK43" s="130" t="n"/>
    </row>
    <row r="44" ht="12" customHeight="1">
      <c r="A44" s="108" t="inlineStr">
        <is>
          <t>SKLU1816161</t>
        </is>
      </c>
      <c r="B44" s="108" t="inlineStr">
        <is>
          <t>LCH05</t>
        </is>
      </c>
      <c r="C44" s="108" t="inlineStr">
        <is>
          <t>IFV</t>
        </is>
      </c>
      <c r="D44" s="172" t="inlineStr">
        <is>
          <t>2026-10-04</t>
        </is>
      </c>
      <c r="E44" s="173" t="inlineStr">
        <is>
          <t>1454</t>
        </is>
      </c>
      <c r="F44" s="96" t="inlineStr">
        <is>
          <t>HASLS22260901029</t>
        </is>
      </c>
      <c r="G44" s="96" t="inlineStr">
        <is>
          <t>THAI POLYCARBONATE CO., LTD.</t>
        </is>
      </c>
      <c r="H44" s="111" t="inlineStr">
        <is>
          <t>22GP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HASLS22260901029</t>
        </is>
      </c>
      <c r="N44" s="96" t="inlineStr">
        <is>
          <t xml:space="preserve">20'x3 </t>
        </is>
      </c>
      <c r="O44" s="111" t="inlineStr">
        <is>
          <t>2018</t>
        </is>
      </c>
      <c r="P44" s="111" t="n"/>
      <c r="Q44" s="111" t="n"/>
      <c r="R44" s="96" t="inlineStr">
        <is>
          <t>SWDN</t>
        </is>
      </c>
      <c r="S44" s="96" t="inlineStr">
        <is>
          <t>2610N</t>
        </is>
      </c>
      <c r="T44" s="96" t="inlineStr">
        <is>
          <t>LCH05</t>
        </is>
      </c>
      <c r="U44" s="96" t="inlineStr">
        <is>
          <t>THLCH</t>
        </is>
      </c>
      <c r="V44" s="161" t="inlineStr">
        <is>
          <t>2026-10-08</t>
        </is>
      </c>
      <c r="W44" s="96" t="inlineStr">
        <is>
          <t>CNXMN</t>
        </is>
      </c>
      <c r="X44" s="161" t="inlineStr">
        <is>
          <t>2026-10-13</t>
        </is>
      </c>
      <c r="Y44" s="97" t="n"/>
      <c r="Z44" s="97" t="n"/>
      <c r="AA44" s="97" t="n"/>
      <c r="AB44" s="97" t="n"/>
      <c r="AC44" s="97" t="n"/>
      <c r="AD44" s="161" t="inlineStr">
        <is>
          <t>2026-10-04</t>
        </is>
      </c>
      <c r="AE44" s="174" t="inlineStr">
        <is>
          <t>2002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PLASTEL INDUSTRIES CO.,LTD.</t>
        </is>
      </c>
      <c r="AK44" s="130" t="n"/>
    </row>
    <row r="45" ht="12" customHeight="1">
      <c r="A45" s="108" t="inlineStr">
        <is>
          <t>SKLU2301350</t>
        </is>
      </c>
      <c r="B45" s="108" t="inlineStr">
        <is>
          <t>LCH05</t>
        </is>
      </c>
      <c r="C45" s="108" t="inlineStr">
        <is>
          <t>IFV</t>
        </is>
      </c>
      <c r="D45" s="172" t="inlineStr">
        <is>
          <t>2026-10-05</t>
        </is>
      </c>
      <c r="E45" s="173" t="inlineStr">
        <is>
          <t>0832</t>
        </is>
      </c>
      <c r="F45" s="96" t="inlineStr">
        <is>
          <t>HASLS22260900563</t>
        </is>
      </c>
      <c r="G45" s="96" t="inlineStr">
        <is>
          <t>WHA GC LOGISTICS COMPANY LIMITED</t>
        </is>
      </c>
      <c r="H45" s="111" t="inlineStr">
        <is>
          <t>22GP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HASLS22260900563</t>
        </is>
      </c>
      <c r="N45" s="96" t="inlineStr">
        <is>
          <t xml:space="preserve">20'x8 </t>
        </is>
      </c>
      <c r="O45" s="111" t="inlineStr">
        <is>
          <t>2023</t>
        </is>
      </c>
      <c r="P45" s="111" t="n"/>
      <c r="Q45" s="111" t="n"/>
      <c r="R45" s="96" t="inlineStr">
        <is>
          <t>SWDN</t>
        </is>
      </c>
      <c r="S45" s="96" t="inlineStr">
        <is>
          <t>2610N</t>
        </is>
      </c>
      <c r="T45" s="96" t="inlineStr">
        <is>
          <t>LCH05</t>
        </is>
      </c>
      <c r="U45" s="96" t="inlineStr">
        <is>
          <t>THLCH</t>
        </is>
      </c>
      <c r="V45" s="161" t="inlineStr">
        <is>
          <t>2026-10-08</t>
        </is>
      </c>
      <c r="W45" s="96" t="inlineStr">
        <is>
          <t>HKHKG</t>
        </is>
      </c>
      <c r="X45" s="161" t="inlineStr">
        <is>
          <t>2026-10-11</t>
        </is>
      </c>
      <c r="Y45" s="97" t="n"/>
      <c r="Z45" s="97" t="n"/>
      <c r="AA45" s="97" t="n"/>
      <c r="AB45" s="97" t="n"/>
      <c r="AC45" s="97" t="n"/>
      <c r="AD45" s="161" t="inlineStr">
        <is>
          <t>2026-10-05</t>
        </is>
      </c>
      <c r="AE45" s="174" t="inlineStr">
        <is>
          <t>1402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GC MARKETING SOLUTIONS (SHANGHAI)</t>
        </is>
      </c>
      <c r="AK45" s="130" t="n"/>
    </row>
    <row r="46" ht="12" customHeight="1">
      <c r="A46" s="108" t="inlineStr">
        <is>
          <t>SKLU2312186</t>
        </is>
      </c>
      <c r="B46" s="108" t="inlineStr">
        <is>
          <t>LCH05</t>
        </is>
      </c>
      <c r="C46" s="108" t="inlineStr">
        <is>
          <t>IFV</t>
        </is>
      </c>
      <c r="D46" s="172" t="inlineStr">
        <is>
          <t>2026-10-01</t>
        </is>
      </c>
      <c r="E46" s="173" t="inlineStr">
        <is>
          <t>0356</t>
        </is>
      </c>
      <c r="F46" s="96" t="inlineStr">
        <is>
          <t>HASLS22260901148</t>
        </is>
      </c>
      <c r="G46" s="96" t="inlineStr">
        <is>
          <t>WHA GC LOGISTICS COMPANY LIMITED</t>
        </is>
      </c>
      <c r="H46" s="111" t="inlineStr">
        <is>
          <t>22GP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HASLS22260901148</t>
        </is>
      </c>
      <c r="N46" s="96" t="inlineStr">
        <is>
          <t xml:space="preserve">20'x4 </t>
        </is>
      </c>
      <c r="O46" s="111" t="inlineStr">
        <is>
          <t>2023</t>
        </is>
      </c>
      <c r="P46" s="111" t="n"/>
      <c r="Q46" s="111" t="n"/>
      <c r="R46" s="96" t="inlineStr">
        <is>
          <t>SWDN</t>
        </is>
      </c>
      <c r="S46" s="96" t="inlineStr">
        <is>
          <t>2610N</t>
        </is>
      </c>
      <c r="T46" s="96" t="inlineStr">
        <is>
          <t>LCH05</t>
        </is>
      </c>
      <c r="U46" s="96" t="inlineStr">
        <is>
          <t>THLCH</t>
        </is>
      </c>
      <c r="V46" s="161" t="inlineStr">
        <is>
          <t>2026-10-08</t>
        </is>
      </c>
      <c r="W46" s="96" t="inlineStr">
        <is>
          <t>CNXMN</t>
        </is>
      </c>
      <c r="X46" s="161" t="inlineStr">
        <is>
          <t>2026-10-13</t>
        </is>
      </c>
      <c r="Y46" s="97" t="n"/>
      <c r="Z46" s="97" t="n"/>
      <c r="AA46" s="97" t="n"/>
      <c r="AB46" s="97" t="n"/>
      <c r="AC46" s="97" t="n"/>
      <c r="AD46" s="161" t="inlineStr">
        <is>
          <t>2026-10-01</t>
        </is>
      </c>
      <c r="AE46" s="174" t="inlineStr">
        <is>
          <t>0801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LEMIBA (QUANZHOU) NEW MATERIAL</t>
        </is>
      </c>
      <c r="AK46" s="130" t="n"/>
    </row>
    <row r="47" ht="12" customHeight="1">
      <c r="A47" s="108" t="inlineStr">
        <is>
          <t>SKLU3510078</t>
        </is>
      </c>
      <c r="B47" s="108" t="inlineStr">
        <is>
          <t>LCH05</t>
        </is>
      </c>
      <c r="C47" s="108" t="inlineStr">
        <is>
          <t>IFV</t>
        </is>
      </c>
      <c r="D47" s="172" t="inlineStr">
        <is>
          <t>2026-10-01</t>
        </is>
      </c>
      <c r="E47" s="173" t="inlineStr">
        <is>
          <t>0345</t>
        </is>
      </c>
      <c r="F47" s="96" t="inlineStr">
        <is>
          <t>HASLS22260901146</t>
        </is>
      </c>
      <c r="G47" s="96" t="inlineStr">
        <is>
          <t>WHA GC LOGISTICS COMPANY LIMITED</t>
        </is>
      </c>
      <c r="H47" s="111" t="inlineStr">
        <is>
          <t>22GP</t>
        </is>
      </c>
      <c r="I47" s="96" t="inlineStr">
        <is>
          <t>EMAIL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HASLS22260901146</t>
        </is>
      </c>
      <c r="N47" s="96" t="inlineStr">
        <is>
          <t xml:space="preserve">20'x4 </t>
        </is>
      </c>
      <c r="O47" s="111" t="inlineStr">
        <is>
          <t>2015</t>
        </is>
      </c>
      <c r="P47" s="111" t="n"/>
      <c r="Q47" s="111" t="n"/>
      <c r="R47" s="96" t="inlineStr">
        <is>
          <t>SWDN</t>
        </is>
      </c>
      <c r="S47" s="96" t="inlineStr">
        <is>
          <t>2610N</t>
        </is>
      </c>
      <c r="T47" s="96" t="inlineStr">
        <is>
          <t>LCH05</t>
        </is>
      </c>
      <c r="U47" s="96" t="inlineStr">
        <is>
          <t>THLCH</t>
        </is>
      </c>
      <c r="V47" s="161" t="inlineStr">
        <is>
          <t>2026-10-08</t>
        </is>
      </c>
      <c r="W47" s="96" t="inlineStr">
        <is>
          <t>CNXMN</t>
        </is>
      </c>
      <c r="X47" s="161" t="inlineStr">
        <is>
          <t>2026-10-13</t>
        </is>
      </c>
      <c r="Y47" s="97" t="n"/>
      <c r="Z47" s="97" t="n"/>
      <c r="AA47" s="97" t="n"/>
      <c r="AB47" s="97" t="n"/>
      <c r="AC47" s="97" t="n"/>
      <c r="AD47" s="161" t="inlineStr">
        <is>
          <t>2026-10-01</t>
        </is>
      </c>
      <c r="AE47" s="174" t="inlineStr">
        <is>
          <t>0801</t>
        </is>
      </c>
      <c r="AF47" s="96" t="inlineStr">
        <is>
          <t>EDI2</t>
        </is>
      </c>
      <c r="AG47" s="97" t="n"/>
      <c r="AH47" s="97" t="n"/>
      <c r="AI47" s="97" t="n"/>
      <c r="AJ47" s="96" t="inlineStr">
        <is>
          <t>SINOCHEM PETROCHEMICAL</t>
        </is>
      </c>
      <c r="AK47" s="130" t="n"/>
    </row>
    <row r="48" ht="12" customHeight="1">
      <c r="A48" s="108" t="inlineStr">
        <is>
          <t>SKRU1900119</t>
        </is>
      </c>
      <c r="B48" s="108" t="inlineStr">
        <is>
          <t>LCH05</t>
        </is>
      </c>
      <c r="C48" s="108" t="inlineStr">
        <is>
          <t>IFV</t>
        </is>
      </c>
      <c r="D48" s="172" t="inlineStr">
        <is>
          <t>2026-10-05</t>
        </is>
      </c>
      <c r="E48" s="173" t="inlineStr">
        <is>
          <t>1414</t>
        </is>
      </c>
      <c r="F48" s="96" t="inlineStr">
        <is>
          <t>HASLS22260900990</t>
        </is>
      </c>
      <c r="G48" s="96" t="inlineStr">
        <is>
          <t>NAMYONG LOGISTICS CO., LTD.</t>
        </is>
      </c>
      <c r="H48" s="111" t="inlineStr">
        <is>
          <t>22RE</t>
        </is>
      </c>
      <c r="I48" s="96" t="inlineStr">
        <is>
          <t>EMAIL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HASLS22260900990</t>
        </is>
      </c>
      <c r="N48" s="96" t="inlineStr">
        <is>
          <t xml:space="preserve">20RFx1 </t>
        </is>
      </c>
      <c r="O48" s="111" t="inlineStr">
        <is>
          <t>2019</t>
        </is>
      </c>
      <c r="P48" s="111" t="inlineStr">
        <is>
          <t>CARRIER</t>
        </is>
      </c>
      <c r="Q48" s="111" t="inlineStr">
        <is>
          <t>PRIME LINE</t>
        </is>
      </c>
      <c r="R48" s="96" t="inlineStr">
        <is>
          <t>SWDN</t>
        </is>
      </c>
      <c r="S48" s="96" t="inlineStr">
        <is>
          <t>2610N</t>
        </is>
      </c>
      <c r="T48" s="96" t="inlineStr">
        <is>
          <t>LCH05</t>
        </is>
      </c>
      <c r="U48" s="96" t="inlineStr">
        <is>
          <t>THLCH</t>
        </is>
      </c>
      <c r="V48" s="161" t="inlineStr">
        <is>
          <t>2026-10-08</t>
        </is>
      </c>
      <c r="W48" s="96" t="inlineStr">
        <is>
          <t>HKHKG</t>
        </is>
      </c>
      <c r="X48" s="161" t="inlineStr">
        <is>
          <t>2026-10-11</t>
        </is>
      </c>
      <c r="Y48" s="97" t="n"/>
      <c r="Z48" s="97" t="n"/>
      <c r="AA48" s="97" t="n"/>
      <c r="AB48" s="97" t="n"/>
      <c r="AC48" s="97" t="n"/>
      <c r="AD48" s="161" t="inlineStr">
        <is>
          <t>2026-10-05</t>
        </is>
      </c>
      <c r="AE48" s="174" t="inlineStr">
        <is>
          <t>2001</t>
        </is>
      </c>
      <c r="AF48" s="96" t="inlineStr">
        <is>
          <t>EDI2</t>
        </is>
      </c>
      <c r="AG48" s="97" t="n"/>
      <c r="AH48" s="97" t="n"/>
      <c r="AI48" s="97" t="n"/>
      <c r="AJ48" s="96" t="inlineStr">
        <is>
          <t>FULLY WIN CORPORATION LIMITED</t>
        </is>
      </c>
      <c r="AK48" s="130" t="n"/>
    </row>
    <row r="49" ht="12" customHeight="1">
      <c r="A49" s="108" t="inlineStr">
        <is>
          <t>SKRU1900119</t>
        </is>
      </c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1" t="n"/>
      <c r="Q49" s="111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inlineStr">
        <is>
          <t>BEAU2356127</t>
        </is>
      </c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1" t="n"/>
      <c r="Q50" s="111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inlineStr">
        <is>
          <t>BEAU2477638</t>
        </is>
      </c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1" t="n"/>
      <c r="Q51" s="111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>
      <c r="A52" s="108" t="inlineStr">
        <is>
          <t>BEAU2985449</t>
        </is>
      </c>
      <c r="B52" s="108" t="n"/>
      <c r="C52" s="108" t="n"/>
      <c r="D52" s="172" t="n"/>
      <c r="E52" s="173" t="n"/>
      <c r="F52" s="96" t="n"/>
      <c r="G52" s="96" t="n"/>
      <c r="H52" s="111" t="n"/>
      <c r="I52" s="96" t="n"/>
      <c r="J52" s="96" t="n"/>
      <c r="K52" s="96" t="n"/>
      <c r="L52" s="111" t="n"/>
      <c r="M52" s="96" t="n"/>
      <c r="N52" s="96" t="n"/>
      <c r="O52" s="111" t="n"/>
      <c r="P52" s="111" t="n"/>
      <c r="Q52" s="111" t="n"/>
      <c r="R52" s="96" t="n"/>
      <c r="S52" s="96" t="n"/>
      <c r="T52" s="96" t="n"/>
      <c r="U52" s="96" t="n"/>
      <c r="V52" s="161" t="n"/>
      <c r="W52" s="96" t="n"/>
      <c r="X52" s="161" t="n"/>
      <c r="Y52" s="97" t="n"/>
      <c r="Z52" s="97" t="n"/>
      <c r="AA52" s="97" t="n"/>
      <c r="AB52" s="97" t="n"/>
      <c r="AC52" s="97" t="n"/>
      <c r="AD52" s="161" t="n"/>
      <c r="AE52" s="174" t="n"/>
      <c r="AF52" s="96" t="n"/>
      <c r="AG52" s="97" t="n"/>
      <c r="AH52" s="97" t="n"/>
      <c r="AI52" s="97" t="n"/>
      <c r="AJ52" s="96" t="n"/>
      <c r="AK52" s="130" t="n"/>
    </row>
    <row r="53" ht="12" customHeight="1">
      <c r="A53" s="108" t="inlineStr">
        <is>
          <t>FBIU5092414</t>
        </is>
      </c>
      <c r="B53" s="108" t="n"/>
      <c r="C53" s="108" t="n"/>
      <c r="D53" s="172" t="n"/>
      <c r="E53" s="173" t="n"/>
      <c r="F53" s="96" t="n"/>
      <c r="G53" s="96" t="n"/>
      <c r="H53" s="111" t="n"/>
      <c r="I53" s="96" t="n"/>
      <c r="J53" s="96" t="n"/>
      <c r="K53" s="96" t="n"/>
      <c r="L53" s="111" t="n"/>
      <c r="M53" s="96" t="n"/>
      <c r="N53" s="96" t="n"/>
      <c r="O53" s="111" t="n"/>
      <c r="P53" s="111" t="n"/>
      <c r="Q53" s="111" t="n"/>
      <c r="R53" s="96" t="n"/>
      <c r="S53" s="96" t="n"/>
      <c r="T53" s="96" t="n"/>
      <c r="U53" s="96" t="n"/>
      <c r="V53" s="161" t="n"/>
      <c r="W53" s="96" t="n"/>
      <c r="X53" s="161" t="n"/>
      <c r="Y53" s="97" t="n"/>
      <c r="Z53" s="97" t="n"/>
      <c r="AA53" s="97" t="n"/>
      <c r="AB53" s="97" t="n"/>
      <c r="AC53" s="97" t="n"/>
      <c r="AD53" s="161" t="n"/>
      <c r="AE53" s="174" t="n"/>
      <c r="AF53" s="96" t="n"/>
      <c r="AG53" s="97" t="n"/>
      <c r="AH53" s="97" t="n"/>
      <c r="AI53" s="97" t="n"/>
      <c r="AJ53" s="96" t="n"/>
      <c r="AK53" s="130" t="n"/>
    </row>
    <row r="54" ht="12" customHeight="1">
      <c r="A54" s="108" t="inlineStr">
        <is>
          <t>FBIU5103210</t>
        </is>
      </c>
      <c r="B54" s="108" t="n"/>
      <c r="C54" s="108" t="n"/>
      <c r="D54" s="172" t="n"/>
      <c r="E54" s="173" t="n"/>
      <c r="F54" s="96" t="n"/>
      <c r="G54" s="96" t="n"/>
      <c r="H54" s="111" t="n"/>
      <c r="I54" s="96" t="n"/>
      <c r="J54" s="96" t="n"/>
      <c r="K54" s="96" t="n"/>
      <c r="L54" s="111" t="n"/>
      <c r="M54" s="96" t="n"/>
      <c r="N54" s="96" t="n"/>
      <c r="O54" s="111" t="n"/>
      <c r="P54" s="111" t="n"/>
      <c r="Q54" s="111" t="n"/>
      <c r="R54" s="96" t="n"/>
      <c r="S54" s="96" t="n"/>
      <c r="T54" s="96" t="n"/>
      <c r="U54" s="96" t="n"/>
      <c r="V54" s="161" t="n"/>
      <c r="W54" s="96" t="n"/>
      <c r="X54" s="161" t="n"/>
      <c r="Y54" s="97" t="n"/>
      <c r="Z54" s="97" t="n"/>
      <c r="AA54" s="97" t="n"/>
      <c r="AB54" s="97" t="n"/>
      <c r="AC54" s="97" t="n"/>
      <c r="AD54" s="161" t="n"/>
      <c r="AE54" s="174" t="n"/>
      <c r="AF54" s="96" t="n"/>
      <c r="AG54" s="97" t="n"/>
      <c r="AH54" s="97" t="n"/>
      <c r="AI54" s="97" t="n"/>
      <c r="AJ54" s="96" t="n"/>
      <c r="AK54" s="130" t="n"/>
    </row>
    <row r="55" ht="12" customHeight="1">
      <c r="A55" s="108" t="inlineStr">
        <is>
          <t>FBIU5103313</t>
        </is>
      </c>
      <c r="B55" s="108" t="n"/>
      <c r="C55" s="108" t="n"/>
      <c r="D55" s="172" t="n"/>
      <c r="E55" s="173" t="n"/>
      <c r="F55" s="96" t="n"/>
      <c r="G55" s="96" t="n"/>
      <c r="H55" s="111" t="n"/>
      <c r="I55" s="96" t="n"/>
      <c r="J55" s="96" t="n"/>
      <c r="K55" s="96" t="n"/>
      <c r="L55" s="111" t="n"/>
      <c r="M55" s="96" t="n"/>
      <c r="N55" s="96" t="n"/>
      <c r="O55" s="111" t="n"/>
      <c r="P55" s="111" t="n"/>
      <c r="Q55" s="111" t="n"/>
      <c r="R55" s="96" t="n"/>
      <c r="S55" s="96" t="n"/>
      <c r="T55" s="96" t="n"/>
      <c r="U55" s="96" t="n"/>
      <c r="V55" s="161" t="n"/>
      <c r="W55" s="96" t="n"/>
      <c r="X55" s="161" t="n"/>
      <c r="Y55" s="97" t="n"/>
      <c r="Z55" s="97" t="n"/>
      <c r="AA55" s="97" t="n"/>
      <c r="AB55" s="97" t="n"/>
      <c r="AC55" s="97" t="n"/>
      <c r="AD55" s="161" t="n"/>
      <c r="AE55" s="174" t="n"/>
      <c r="AF55" s="96" t="n"/>
      <c r="AG55" s="97" t="n"/>
      <c r="AH55" s="97" t="n"/>
      <c r="AI55" s="97" t="n"/>
      <c r="AJ55" s="96" t="n"/>
      <c r="AK55" s="130" t="n"/>
    </row>
    <row r="56" ht="12" customHeight="1">
      <c r="A56" s="108" t="inlineStr">
        <is>
          <t>FSCU5893590</t>
        </is>
      </c>
      <c r="B56" s="108" t="n"/>
      <c r="C56" s="108" t="n"/>
      <c r="D56" s="172" t="n"/>
      <c r="E56" s="173" t="n"/>
      <c r="F56" s="96" t="n"/>
      <c r="G56" s="96" t="n"/>
      <c r="H56" s="111" t="n"/>
      <c r="I56" s="96" t="n"/>
      <c r="J56" s="96" t="n"/>
      <c r="K56" s="96" t="n"/>
      <c r="L56" s="111" t="n"/>
      <c r="M56" s="96" t="n"/>
      <c r="N56" s="96" t="n"/>
      <c r="O56" s="111" t="n"/>
      <c r="P56" s="111" t="n"/>
      <c r="Q56" s="111" t="n"/>
      <c r="R56" s="96" t="n"/>
      <c r="S56" s="96" t="n"/>
      <c r="T56" s="96" t="n"/>
      <c r="U56" s="96" t="n"/>
      <c r="V56" s="161" t="n"/>
      <c r="W56" s="96" t="n"/>
      <c r="X56" s="161" t="n"/>
      <c r="Y56" s="97" t="n"/>
      <c r="Z56" s="97" t="n"/>
      <c r="AA56" s="97" t="n"/>
      <c r="AB56" s="97" t="n"/>
      <c r="AC56" s="97" t="n"/>
      <c r="AD56" s="161" t="n"/>
      <c r="AE56" s="174" t="n"/>
      <c r="AF56" s="96" t="n"/>
      <c r="AG56" s="97" t="n"/>
      <c r="AH56" s="97" t="n"/>
      <c r="AI56" s="97" t="n"/>
      <c r="AJ56" s="96" t="n"/>
      <c r="AK56" s="130" t="n"/>
    </row>
    <row r="57" ht="12" customHeight="1">
      <c r="A57" s="108" t="inlineStr">
        <is>
          <t>GCXU2429912</t>
        </is>
      </c>
      <c r="B57" s="108" t="n"/>
      <c r="C57" s="108" t="n"/>
      <c r="D57" s="172" t="n"/>
      <c r="E57" s="173" t="n"/>
      <c r="F57" s="96" t="n"/>
      <c r="G57" s="96" t="n"/>
      <c r="H57" s="111" t="n"/>
      <c r="I57" s="96" t="n"/>
      <c r="J57" s="96" t="n"/>
      <c r="K57" s="96" t="n"/>
      <c r="L57" s="111" t="n"/>
      <c r="M57" s="96" t="n"/>
      <c r="N57" s="96" t="n"/>
      <c r="O57" s="111" t="n"/>
      <c r="P57" s="111" t="n"/>
      <c r="Q57" s="111" t="n"/>
      <c r="R57" s="96" t="n"/>
      <c r="S57" s="96" t="n"/>
      <c r="T57" s="96" t="n"/>
      <c r="U57" s="96" t="n"/>
      <c r="V57" s="161" t="n"/>
      <c r="W57" s="96" t="n"/>
      <c r="X57" s="161" t="n"/>
      <c r="Y57" s="97" t="n"/>
      <c r="Z57" s="97" t="n"/>
      <c r="AA57" s="97" t="n"/>
      <c r="AB57" s="97" t="n"/>
      <c r="AC57" s="97" t="n"/>
      <c r="AD57" s="161" t="n"/>
      <c r="AE57" s="174" t="n"/>
      <c r="AF57" s="96" t="n"/>
      <c r="AG57" s="97" t="n"/>
      <c r="AH57" s="97" t="n"/>
      <c r="AI57" s="97" t="n"/>
      <c r="AJ57" s="96" t="n"/>
      <c r="AK57" s="130" t="n"/>
    </row>
    <row r="58" ht="12" customHeight="1">
      <c r="A58" s="108" t="inlineStr">
        <is>
          <t>HALU2083638</t>
        </is>
      </c>
      <c r="B58" s="108" t="n"/>
      <c r="C58" s="108" t="n"/>
      <c r="D58" s="172" t="n"/>
      <c r="E58" s="173" t="n"/>
      <c r="F58" s="96" t="n"/>
      <c r="G58" s="96" t="n"/>
      <c r="H58" s="111" t="n"/>
      <c r="I58" s="96" t="n"/>
      <c r="J58" s="96" t="n"/>
      <c r="K58" s="96" t="n"/>
      <c r="L58" s="111" t="n"/>
      <c r="M58" s="96" t="n"/>
      <c r="N58" s="96" t="n"/>
      <c r="O58" s="111" t="n"/>
      <c r="P58" s="111" t="n"/>
      <c r="Q58" s="111" t="n"/>
      <c r="R58" s="96" t="n"/>
      <c r="S58" s="96" t="n"/>
      <c r="T58" s="96" t="n"/>
      <c r="U58" s="96" t="n"/>
      <c r="V58" s="161" t="n"/>
      <c r="W58" s="96" t="n"/>
      <c r="X58" s="161" t="n"/>
      <c r="Y58" s="97" t="n"/>
      <c r="Z58" s="97" t="n"/>
      <c r="AA58" s="97" t="n"/>
      <c r="AB58" s="97" t="n"/>
      <c r="AC58" s="97" t="n"/>
      <c r="AD58" s="161" t="n"/>
      <c r="AE58" s="174" t="n"/>
      <c r="AF58" s="96" t="n"/>
      <c r="AG58" s="97" t="n"/>
      <c r="AH58" s="97" t="n"/>
      <c r="AI58" s="97" t="n"/>
      <c r="AJ58" s="96" t="n"/>
      <c r="AK58" s="130" t="n"/>
    </row>
    <row r="59" ht="12" customHeight="1">
      <c r="A59" s="108" t="inlineStr">
        <is>
          <t>HALU2313129</t>
        </is>
      </c>
      <c r="B59" s="108" t="n"/>
      <c r="C59" s="108" t="n"/>
      <c r="D59" s="172" t="n"/>
      <c r="E59" s="173" t="n"/>
      <c r="F59" s="96" t="n"/>
      <c r="G59" s="96" t="n"/>
      <c r="H59" s="111" t="n"/>
      <c r="I59" s="96" t="n"/>
      <c r="J59" s="96" t="n"/>
      <c r="K59" s="96" t="n"/>
      <c r="L59" s="111" t="n"/>
      <c r="M59" s="96" t="n"/>
      <c r="N59" s="96" t="n"/>
      <c r="O59" s="111" t="n"/>
      <c r="P59" s="111" t="n"/>
      <c r="Q59" s="111" t="n"/>
      <c r="R59" s="96" t="n"/>
      <c r="S59" s="96" t="n"/>
      <c r="T59" s="96" t="n"/>
      <c r="U59" s="96" t="n"/>
      <c r="V59" s="161" t="n"/>
      <c r="W59" s="96" t="n"/>
      <c r="X59" s="161" t="n"/>
      <c r="Y59" s="97" t="n"/>
      <c r="Z59" s="97" t="n"/>
      <c r="AA59" s="97" t="n"/>
      <c r="AB59" s="97" t="n"/>
      <c r="AC59" s="97" t="n"/>
      <c r="AD59" s="161" t="n"/>
      <c r="AE59" s="174" t="n"/>
      <c r="AF59" s="96" t="n"/>
      <c r="AG59" s="97" t="n"/>
      <c r="AH59" s="97" t="n"/>
      <c r="AI59" s="97" t="n"/>
      <c r="AJ59" s="96" t="n"/>
      <c r="AK59" s="130" t="n"/>
    </row>
    <row r="60" ht="12" customHeight="1">
      <c r="A60" s="108" t="inlineStr">
        <is>
          <t>HALU2352969</t>
        </is>
      </c>
      <c r="B60" s="108" t="n"/>
      <c r="C60" s="108" t="n"/>
      <c r="D60" s="172" t="n"/>
      <c r="E60" s="173" t="n"/>
      <c r="F60" s="96" t="n"/>
      <c r="G60" s="96" t="n"/>
      <c r="H60" s="111" t="n"/>
      <c r="I60" s="96" t="n"/>
      <c r="J60" s="96" t="n"/>
      <c r="K60" s="96" t="n"/>
      <c r="L60" s="111" t="n"/>
      <c r="M60" s="96" t="n"/>
      <c r="N60" s="96" t="n"/>
      <c r="O60" s="111" t="n"/>
      <c r="P60" s="111" t="n"/>
      <c r="Q60" s="111" t="n"/>
      <c r="R60" s="96" t="n"/>
      <c r="S60" s="96" t="n"/>
      <c r="T60" s="96" t="n"/>
      <c r="U60" s="96" t="n"/>
      <c r="V60" s="161" t="n"/>
      <c r="W60" s="96" t="n"/>
      <c r="X60" s="161" t="n"/>
      <c r="Y60" s="97" t="n"/>
      <c r="Z60" s="97" t="n"/>
      <c r="AA60" s="97" t="n"/>
      <c r="AB60" s="97" t="n"/>
      <c r="AC60" s="97" t="n"/>
      <c r="AD60" s="161" t="n"/>
      <c r="AE60" s="174" t="n"/>
      <c r="AF60" s="96" t="n"/>
      <c r="AG60" s="97" t="n"/>
      <c r="AH60" s="97" t="n"/>
      <c r="AI60" s="97" t="n"/>
      <c r="AJ60" s="96" t="n"/>
      <c r="AK60" s="130" t="n"/>
    </row>
    <row r="61" ht="12" customHeight="1">
      <c r="A61" s="108" t="inlineStr">
        <is>
          <t>HALU2400286</t>
        </is>
      </c>
      <c r="B61" s="108" t="n"/>
      <c r="C61" s="108" t="n"/>
      <c r="D61" s="172" t="n"/>
      <c r="E61" s="173" t="n"/>
      <c r="F61" s="96" t="n"/>
      <c r="G61" s="96" t="n"/>
      <c r="H61" s="111" t="n"/>
      <c r="I61" s="96" t="n"/>
      <c r="J61" s="96" t="n"/>
      <c r="K61" s="96" t="n"/>
      <c r="L61" s="111" t="n"/>
      <c r="M61" s="96" t="n"/>
      <c r="N61" s="96" t="n"/>
      <c r="O61" s="111" t="n"/>
      <c r="P61" s="111" t="n"/>
      <c r="Q61" s="111" t="n"/>
      <c r="R61" s="96" t="n"/>
      <c r="S61" s="96" t="n"/>
      <c r="T61" s="96" t="n"/>
      <c r="U61" s="96" t="n"/>
      <c r="V61" s="161" t="n"/>
      <c r="W61" s="96" t="n"/>
      <c r="X61" s="161" t="n"/>
      <c r="Y61" s="97" t="n"/>
      <c r="Z61" s="97" t="n"/>
      <c r="AA61" s="97" t="n"/>
      <c r="AB61" s="97" t="n"/>
      <c r="AC61" s="97" t="n"/>
      <c r="AD61" s="161" t="n"/>
      <c r="AE61" s="174" t="n"/>
      <c r="AF61" s="96" t="n"/>
      <c r="AG61" s="97" t="n"/>
      <c r="AH61" s="97" t="n"/>
      <c r="AI61" s="97" t="n"/>
      <c r="AJ61" s="96" t="n"/>
      <c r="AK61" s="130" t="n"/>
    </row>
    <row r="62" ht="12" customHeight="1">
      <c r="A62" s="108" t="inlineStr">
        <is>
          <t>HALU2446630</t>
        </is>
      </c>
      <c r="B62" s="108" t="n"/>
      <c r="C62" s="108" t="n"/>
      <c r="D62" s="172" t="n"/>
      <c r="E62" s="173" t="n"/>
      <c r="F62" s="96" t="n"/>
      <c r="G62" s="96" t="n"/>
      <c r="H62" s="111" t="n"/>
      <c r="I62" s="96" t="n"/>
      <c r="J62" s="96" t="n"/>
      <c r="K62" s="96" t="n"/>
      <c r="L62" s="111" t="n"/>
      <c r="M62" s="96" t="n"/>
      <c r="N62" s="96" t="n"/>
      <c r="O62" s="111" t="n"/>
      <c r="P62" s="111" t="n"/>
      <c r="Q62" s="111" t="n"/>
      <c r="R62" s="96" t="n"/>
      <c r="S62" s="96" t="n"/>
      <c r="T62" s="96" t="n"/>
      <c r="U62" s="96" t="n"/>
      <c r="V62" s="161" t="n"/>
      <c r="W62" s="96" t="n"/>
      <c r="X62" s="161" t="n"/>
      <c r="Y62" s="97" t="n"/>
      <c r="Z62" s="97" t="n"/>
      <c r="AA62" s="97" t="n"/>
      <c r="AB62" s="97" t="n"/>
      <c r="AC62" s="97" t="n"/>
      <c r="AD62" s="161" t="n"/>
      <c r="AE62" s="174" t="n"/>
      <c r="AF62" s="96" t="n"/>
      <c r="AG62" s="97" t="n"/>
      <c r="AH62" s="97" t="n"/>
      <c r="AI62" s="97" t="n"/>
      <c r="AJ62" s="96" t="n"/>
      <c r="AK62" s="130" t="n"/>
    </row>
    <row r="63" ht="12" customHeight="1">
      <c r="A63" s="108" t="inlineStr">
        <is>
          <t>HALU2453943</t>
        </is>
      </c>
      <c r="B63" s="108" t="n"/>
      <c r="C63" s="108" t="n"/>
      <c r="D63" s="172" t="n"/>
      <c r="E63" s="173" t="n"/>
      <c r="F63" s="96" t="n"/>
      <c r="G63" s="96" t="n"/>
      <c r="H63" s="111" t="n"/>
      <c r="I63" s="96" t="n"/>
      <c r="J63" s="96" t="n"/>
      <c r="K63" s="96" t="n"/>
      <c r="L63" s="111" t="n"/>
      <c r="M63" s="96" t="n"/>
      <c r="N63" s="96" t="n"/>
      <c r="O63" s="111" t="n"/>
      <c r="P63" s="111" t="n"/>
      <c r="Q63" s="111" t="n"/>
      <c r="R63" s="96" t="n"/>
      <c r="S63" s="96" t="n"/>
      <c r="T63" s="96" t="n"/>
      <c r="U63" s="96" t="n"/>
      <c r="V63" s="161" t="n"/>
      <c r="W63" s="96" t="n"/>
      <c r="X63" s="161" t="n"/>
      <c r="Y63" s="97" t="n"/>
      <c r="Z63" s="97" t="n"/>
      <c r="AA63" s="97" t="n"/>
      <c r="AB63" s="97" t="n"/>
      <c r="AC63" s="97" t="n"/>
      <c r="AD63" s="161" t="n"/>
      <c r="AE63" s="174" t="n"/>
      <c r="AF63" s="96" t="n"/>
      <c r="AG63" s="97" t="n"/>
      <c r="AH63" s="97" t="n"/>
      <c r="AI63" s="97" t="n"/>
      <c r="AJ63" s="96" t="n"/>
      <c r="AK63" s="130" t="n"/>
    </row>
    <row r="64" ht="12" customHeight="1">
      <c r="A64" s="108" t="inlineStr">
        <is>
          <t>HALU2526124</t>
        </is>
      </c>
      <c r="B64" s="108" t="n"/>
      <c r="C64" s="108" t="n"/>
      <c r="D64" s="172" t="n"/>
      <c r="E64" s="173" t="n"/>
      <c r="F64" s="96" t="n"/>
      <c r="G64" s="96" t="n"/>
      <c r="H64" s="111" t="n"/>
      <c r="I64" s="96" t="n"/>
      <c r="J64" s="96" t="n"/>
      <c r="K64" s="96" t="n"/>
      <c r="L64" s="111" t="n"/>
      <c r="M64" s="96" t="n"/>
      <c r="N64" s="96" t="n"/>
      <c r="O64" s="111" t="n"/>
      <c r="P64" s="111" t="n"/>
      <c r="Q64" s="111" t="n"/>
      <c r="R64" s="96" t="n"/>
      <c r="S64" s="96" t="n"/>
      <c r="T64" s="96" t="n"/>
      <c r="U64" s="96" t="n"/>
      <c r="V64" s="161" t="n"/>
      <c r="W64" s="96" t="n"/>
      <c r="X64" s="161" t="n"/>
      <c r="Y64" s="97" t="n"/>
      <c r="Z64" s="97" t="n"/>
      <c r="AA64" s="97" t="n"/>
      <c r="AB64" s="97" t="n"/>
      <c r="AC64" s="97" t="n"/>
      <c r="AD64" s="161" t="n"/>
      <c r="AE64" s="174" t="n"/>
      <c r="AF64" s="96" t="n"/>
      <c r="AG64" s="97" t="n"/>
      <c r="AH64" s="97" t="n"/>
      <c r="AI64" s="97" t="n"/>
      <c r="AJ64" s="96" t="n"/>
      <c r="AK64" s="130" t="n"/>
    </row>
    <row r="65" ht="12" customHeight="1">
      <c r="A65" s="108" t="inlineStr">
        <is>
          <t>HALU2567648</t>
        </is>
      </c>
      <c r="B65" s="108" t="n"/>
      <c r="C65" s="108" t="n"/>
      <c r="D65" s="172" t="n"/>
      <c r="E65" s="173" t="n"/>
      <c r="F65" s="96" t="n"/>
      <c r="G65" s="96" t="n"/>
      <c r="H65" s="111" t="n"/>
      <c r="I65" s="96" t="n"/>
      <c r="J65" s="96" t="n"/>
      <c r="K65" s="96" t="n"/>
      <c r="L65" s="111" t="n"/>
      <c r="M65" s="96" t="n"/>
      <c r="N65" s="96" t="n"/>
      <c r="O65" s="111" t="n"/>
      <c r="P65" s="111" t="n"/>
      <c r="Q65" s="111" t="n"/>
      <c r="R65" s="96" t="n"/>
      <c r="S65" s="96" t="n"/>
      <c r="T65" s="96" t="n"/>
      <c r="U65" s="96" t="n"/>
      <c r="V65" s="161" t="n"/>
      <c r="W65" s="96" t="n"/>
      <c r="X65" s="161" t="n"/>
      <c r="Y65" s="97" t="n"/>
      <c r="Z65" s="97" t="n"/>
      <c r="AA65" s="97" t="n"/>
      <c r="AB65" s="97" t="n"/>
      <c r="AC65" s="97" t="n"/>
      <c r="AD65" s="161" t="n"/>
      <c r="AE65" s="174" t="n"/>
      <c r="AF65" s="96" t="n"/>
      <c r="AG65" s="97" t="n"/>
      <c r="AH65" s="97" t="n"/>
      <c r="AI65" s="97" t="n"/>
      <c r="AJ65" s="96" t="n"/>
      <c r="AK65" s="130" t="n"/>
    </row>
    <row r="66" ht="12" customHeight="1">
      <c r="A66" s="108" t="inlineStr">
        <is>
          <t>HALU2568731</t>
        </is>
      </c>
      <c r="B66" s="108" t="n"/>
      <c r="C66" s="108" t="n"/>
      <c r="D66" s="172" t="n"/>
      <c r="E66" s="173" t="n"/>
      <c r="F66" s="96" t="n"/>
      <c r="G66" s="96" t="n"/>
      <c r="H66" s="111" t="n"/>
      <c r="I66" s="96" t="n"/>
      <c r="J66" s="96" t="n"/>
      <c r="K66" s="96" t="n"/>
      <c r="L66" s="111" t="n"/>
      <c r="M66" s="96" t="n"/>
      <c r="N66" s="96" t="n"/>
      <c r="O66" s="111" t="n"/>
      <c r="P66" s="111" t="n"/>
      <c r="Q66" s="111" t="n"/>
      <c r="R66" s="96" t="n"/>
      <c r="S66" s="96" t="n"/>
      <c r="T66" s="96" t="n"/>
      <c r="U66" s="96" t="n"/>
      <c r="V66" s="161" t="n"/>
      <c r="W66" s="96" t="n"/>
      <c r="X66" s="161" t="n"/>
      <c r="Y66" s="97" t="n"/>
      <c r="Z66" s="97" t="n"/>
      <c r="AA66" s="97" t="n"/>
      <c r="AB66" s="97" t="n"/>
      <c r="AC66" s="97" t="n"/>
      <c r="AD66" s="161" t="n"/>
      <c r="AE66" s="174" t="n"/>
      <c r="AF66" s="96" t="n"/>
      <c r="AG66" s="97" t="n"/>
      <c r="AH66" s="97" t="n"/>
      <c r="AI66" s="97" t="n"/>
      <c r="AJ66" s="96" t="n"/>
      <c r="AK66" s="130" t="n"/>
    </row>
    <row r="67" ht="12" customHeight="1">
      <c r="A67" s="108" t="inlineStr">
        <is>
          <t>HLHU6407690</t>
        </is>
      </c>
      <c r="B67" s="108" t="n"/>
      <c r="C67" s="108" t="n"/>
      <c r="D67" s="172" t="n"/>
      <c r="E67" s="173" t="n"/>
      <c r="F67" s="96" t="n"/>
      <c r="G67" s="96" t="n"/>
      <c r="H67" s="111" t="n"/>
      <c r="I67" s="96" t="n"/>
      <c r="J67" s="96" t="n"/>
      <c r="K67" s="96" t="n"/>
      <c r="L67" s="111" t="n"/>
      <c r="M67" s="96" t="n"/>
      <c r="N67" s="96" t="n"/>
      <c r="O67" s="111" t="n"/>
      <c r="P67" s="111" t="n"/>
      <c r="Q67" s="111" t="n"/>
      <c r="R67" s="96" t="n"/>
      <c r="S67" s="96" t="n"/>
      <c r="T67" s="96" t="n"/>
      <c r="U67" s="96" t="n"/>
      <c r="V67" s="161" t="n"/>
      <c r="W67" s="96" t="n"/>
      <c r="X67" s="161" t="n"/>
      <c r="Y67" s="97" t="n"/>
      <c r="Z67" s="97" t="n"/>
      <c r="AA67" s="97" t="n"/>
      <c r="AB67" s="97" t="n"/>
      <c r="AC67" s="97" t="n"/>
      <c r="AD67" s="161" t="n"/>
      <c r="AE67" s="174" t="n"/>
      <c r="AF67" s="96" t="n"/>
      <c r="AG67" s="97" t="n"/>
      <c r="AH67" s="97" t="n"/>
      <c r="AI67" s="97" t="n"/>
      <c r="AJ67" s="96" t="n"/>
      <c r="AK67" s="130" t="n"/>
    </row>
    <row r="68" ht="12" customHeight="1">
      <c r="A68" s="108" t="inlineStr">
        <is>
          <t>HLHU8108620</t>
        </is>
      </c>
      <c r="B68" s="108" t="n"/>
      <c r="C68" s="108" t="n"/>
      <c r="D68" s="172" t="n"/>
      <c r="E68" s="173" t="n"/>
      <c r="F68" s="96" t="n"/>
      <c r="G68" s="96" t="n"/>
      <c r="H68" s="111" t="n"/>
      <c r="I68" s="96" t="n"/>
      <c r="J68" s="96" t="n"/>
      <c r="K68" s="96" t="n"/>
      <c r="L68" s="111" t="n"/>
      <c r="M68" s="96" t="n"/>
      <c r="N68" s="96" t="n"/>
      <c r="O68" s="111" t="n"/>
      <c r="P68" s="111" t="n"/>
      <c r="Q68" s="111" t="n"/>
      <c r="R68" s="96" t="n"/>
      <c r="S68" s="96" t="n"/>
      <c r="T68" s="96" t="n"/>
      <c r="U68" s="96" t="n"/>
      <c r="V68" s="161" t="n"/>
      <c r="W68" s="96" t="n"/>
      <c r="X68" s="161" t="n"/>
      <c r="Y68" s="97" t="n"/>
      <c r="Z68" s="97" t="n"/>
      <c r="AA68" s="97" t="n"/>
      <c r="AB68" s="97" t="n"/>
      <c r="AC68" s="97" t="n"/>
      <c r="AD68" s="161" t="n"/>
      <c r="AE68" s="174" t="n"/>
      <c r="AF68" s="96" t="n"/>
      <c r="AG68" s="97" t="n"/>
      <c r="AH68" s="97" t="n"/>
      <c r="AI68" s="97" t="n"/>
      <c r="AJ68" s="96" t="n"/>
      <c r="AK68" s="130" t="n"/>
    </row>
    <row r="69" ht="12" customHeight="1">
      <c r="A69" s="108" t="inlineStr">
        <is>
          <t>HLHU8329473</t>
        </is>
      </c>
      <c r="B69" s="108" t="n"/>
      <c r="C69" s="108" t="n"/>
      <c r="D69" s="172" t="n"/>
      <c r="E69" s="173" t="n"/>
      <c r="F69" s="96" t="n"/>
      <c r="G69" s="96" t="n"/>
      <c r="H69" s="111" t="n"/>
      <c r="I69" s="96" t="n"/>
      <c r="J69" s="96" t="n"/>
      <c r="K69" s="96" t="n"/>
      <c r="L69" s="111" t="n"/>
      <c r="M69" s="96" t="n"/>
      <c r="N69" s="96" t="n"/>
      <c r="O69" s="111" t="n"/>
      <c r="P69" s="111" t="n"/>
      <c r="Q69" s="111" t="n"/>
      <c r="R69" s="96" t="n"/>
      <c r="S69" s="96" t="n"/>
      <c r="T69" s="96" t="n"/>
      <c r="U69" s="96" t="n"/>
      <c r="V69" s="161" t="n"/>
      <c r="W69" s="96" t="n"/>
      <c r="X69" s="161" t="n"/>
      <c r="Y69" s="97" t="n"/>
      <c r="Z69" s="97" t="n"/>
      <c r="AA69" s="97" t="n"/>
      <c r="AB69" s="97" t="n"/>
      <c r="AC69" s="97" t="n"/>
      <c r="AD69" s="161" t="n"/>
      <c r="AE69" s="174" t="n"/>
      <c r="AF69" s="96" t="n"/>
      <c r="AG69" s="97" t="n"/>
      <c r="AH69" s="97" t="n"/>
      <c r="AI69" s="97" t="n"/>
      <c r="AJ69" s="96" t="n"/>
      <c r="AK69" s="130" t="n"/>
    </row>
    <row r="70" ht="12" customHeight="1">
      <c r="A70" s="108" t="inlineStr">
        <is>
          <t>HLHU8388239</t>
        </is>
      </c>
      <c r="B70" s="108" t="n"/>
      <c r="C70" s="108" t="n"/>
      <c r="D70" s="172" t="n"/>
      <c r="E70" s="173" t="n"/>
      <c r="F70" s="96" t="n"/>
      <c r="G70" s="96" t="n"/>
      <c r="H70" s="111" t="n"/>
      <c r="I70" s="96" t="n"/>
      <c r="J70" s="96" t="n"/>
      <c r="K70" s="96" t="n"/>
      <c r="L70" s="111" t="n"/>
      <c r="M70" s="96" t="n"/>
      <c r="N70" s="96" t="n"/>
      <c r="O70" s="111" t="n"/>
      <c r="P70" s="111" t="n"/>
      <c r="Q70" s="111" t="n"/>
      <c r="R70" s="96" t="n"/>
      <c r="S70" s="96" t="n"/>
      <c r="T70" s="96" t="n"/>
      <c r="U70" s="96" t="n"/>
      <c r="V70" s="161" t="n"/>
      <c r="W70" s="96" t="n"/>
      <c r="X70" s="161" t="n"/>
      <c r="Y70" s="97" t="n"/>
      <c r="Z70" s="97" t="n"/>
      <c r="AA70" s="97" t="n"/>
      <c r="AB70" s="97" t="n"/>
      <c r="AC70" s="97" t="n"/>
      <c r="AD70" s="161" t="n"/>
      <c r="AE70" s="174" t="n"/>
      <c r="AF70" s="96" t="n"/>
      <c r="AG70" s="97" t="n"/>
      <c r="AH70" s="97" t="n"/>
      <c r="AI70" s="97" t="n"/>
      <c r="AJ70" s="96" t="n"/>
      <c r="AK70" s="130" t="n"/>
    </row>
    <row r="71" ht="12" customHeight="1">
      <c r="A71" s="108" t="inlineStr">
        <is>
          <t>HLHU8468057</t>
        </is>
      </c>
      <c r="B71" s="108" t="n"/>
      <c r="C71" s="108" t="n"/>
      <c r="D71" s="172" t="n"/>
      <c r="E71" s="173" t="n"/>
      <c r="F71" s="96" t="n"/>
      <c r="G71" s="96" t="n"/>
      <c r="H71" s="111" t="n"/>
      <c r="I71" s="96" t="n"/>
      <c r="J71" s="96" t="n"/>
      <c r="K71" s="96" t="n"/>
      <c r="L71" s="111" t="n"/>
      <c r="M71" s="96" t="n"/>
      <c r="N71" s="96" t="n"/>
      <c r="O71" s="111" t="n"/>
      <c r="P71" s="111" t="n"/>
      <c r="Q71" s="111" t="n"/>
      <c r="R71" s="96" t="n"/>
      <c r="S71" s="96" t="n"/>
      <c r="T71" s="96" t="n"/>
      <c r="U71" s="96" t="n"/>
      <c r="V71" s="161" t="n"/>
      <c r="W71" s="96" t="n"/>
      <c r="X71" s="161" t="n"/>
      <c r="Y71" s="97" t="n"/>
      <c r="Z71" s="97" t="n"/>
      <c r="AA71" s="97" t="n"/>
      <c r="AB71" s="97" t="n"/>
      <c r="AC71" s="97" t="n"/>
      <c r="AD71" s="161" t="n"/>
      <c r="AE71" s="174" t="n"/>
      <c r="AF71" s="96" t="n"/>
      <c r="AG71" s="97" t="n"/>
      <c r="AH71" s="97" t="n"/>
      <c r="AI71" s="97" t="n"/>
      <c r="AJ71" s="96" t="n"/>
      <c r="AK71" s="130" t="n"/>
    </row>
    <row r="72" ht="12" customHeight="1">
      <c r="A72" s="108" t="inlineStr">
        <is>
          <t>HLHU8483637</t>
        </is>
      </c>
      <c r="B72" s="108" t="n"/>
      <c r="C72" s="108" t="n"/>
      <c r="D72" s="172" t="n"/>
      <c r="E72" s="173" t="n"/>
      <c r="F72" s="96" t="n"/>
      <c r="G72" s="96" t="n"/>
      <c r="H72" s="111" t="n"/>
      <c r="I72" s="96" t="n"/>
      <c r="J72" s="96" t="n"/>
      <c r="K72" s="96" t="n"/>
      <c r="L72" s="111" t="n"/>
      <c r="M72" s="96" t="n"/>
      <c r="N72" s="96" t="n"/>
      <c r="O72" s="111" t="n"/>
      <c r="P72" s="111" t="n"/>
      <c r="Q72" s="111" t="n"/>
      <c r="R72" s="96" t="n"/>
      <c r="S72" s="96" t="n"/>
      <c r="T72" s="96" t="n"/>
      <c r="U72" s="96" t="n"/>
      <c r="V72" s="161" t="n"/>
      <c r="W72" s="96" t="n"/>
      <c r="X72" s="161" t="n"/>
      <c r="Y72" s="97" t="n"/>
      <c r="Z72" s="97" t="n"/>
      <c r="AA72" s="97" t="n"/>
      <c r="AB72" s="97" t="n"/>
      <c r="AC72" s="97" t="n"/>
      <c r="AD72" s="161" t="n"/>
      <c r="AE72" s="174" t="n"/>
      <c r="AF72" s="96" t="n"/>
      <c r="AG72" s="97" t="n"/>
      <c r="AH72" s="97" t="n"/>
      <c r="AI72" s="97" t="n"/>
      <c r="AJ72" s="96" t="n"/>
      <c r="AK72" s="130" t="n"/>
    </row>
    <row r="73" ht="12" customHeight="1">
      <c r="A73" s="108" t="inlineStr">
        <is>
          <t>HLHU8508859</t>
        </is>
      </c>
      <c r="B73" s="108" t="n"/>
      <c r="C73" s="108" t="n"/>
      <c r="D73" s="172" t="n"/>
      <c r="E73" s="173" t="n"/>
      <c r="F73" s="96" t="n"/>
      <c r="G73" s="96" t="n"/>
      <c r="H73" s="111" t="n"/>
      <c r="I73" s="96" t="n"/>
      <c r="J73" s="96" t="n"/>
      <c r="K73" s="96" t="n"/>
      <c r="L73" s="111" t="n"/>
      <c r="M73" s="96" t="n"/>
      <c r="N73" s="96" t="n"/>
      <c r="O73" s="111" t="n"/>
      <c r="P73" s="111" t="n"/>
      <c r="Q73" s="111" t="n"/>
      <c r="R73" s="96" t="n"/>
      <c r="S73" s="96" t="n"/>
      <c r="T73" s="96" t="n"/>
      <c r="U73" s="96" t="n"/>
      <c r="V73" s="161" t="n"/>
      <c r="W73" s="96" t="n"/>
      <c r="X73" s="161" t="n"/>
      <c r="Y73" s="97" t="n"/>
      <c r="Z73" s="97" t="n"/>
      <c r="AA73" s="97" t="n"/>
      <c r="AB73" s="97" t="n"/>
      <c r="AC73" s="97" t="n"/>
      <c r="AD73" s="161" t="n"/>
      <c r="AE73" s="174" t="n"/>
      <c r="AF73" s="96" t="n"/>
      <c r="AG73" s="97" t="n"/>
      <c r="AH73" s="97" t="n"/>
      <c r="AI73" s="97" t="n"/>
      <c r="AJ73" s="96" t="n"/>
      <c r="AK73" s="130" t="n"/>
    </row>
    <row r="74" ht="12" customHeight="1">
      <c r="A74" s="108" t="inlineStr">
        <is>
          <t>KMLU2800151</t>
        </is>
      </c>
      <c r="B74" s="108" t="n"/>
      <c r="C74" s="108" t="n"/>
      <c r="D74" s="172" t="n"/>
      <c r="E74" s="173" t="n"/>
      <c r="F74" s="96" t="n"/>
      <c r="G74" s="96" t="n"/>
      <c r="H74" s="111" t="n"/>
      <c r="I74" s="96" t="n"/>
      <c r="J74" s="96" t="n"/>
      <c r="K74" s="96" t="n"/>
      <c r="L74" s="111" t="n"/>
      <c r="M74" s="96" t="n"/>
      <c r="N74" s="96" t="n"/>
      <c r="O74" s="111" t="n"/>
      <c r="P74" s="111" t="n"/>
      <c r="Q74" s="111" t="n"/>
      <c r="R74" s="96" t="n"/>
      <c r="S74" s="96" t="n"/>
      <c r="T74" s="96" t="n"/>
      <c r="U74" s="96" t="n"/>
      <c r="V74" s="161" t="n"/>
      <c r="W74" s="96" t="n"/>
      <c r="X74" s="161" t="n"/>
      <c r="Y74" s="97" t="n"/>
      <c r="Z74" s="97" t="n"/>
      <c r="AA74" s="97" t="n"/>
      <c r="AB74" s="97" t="n"/>
      <c r="AC74" s="97" t="n"/>
      <c r="AD74" s="161" t="n"/>
      <c r="AE74" s="174" t="n"/>
      <c r="AF74" s="96" t="n"/>
      <c r="AG74" s="97" t="n"/>
      <c r="AH74" s="97" t="n"/>
      <c r="AI74" s="97" t="n"/>
      <c r="AJ74" s="96" t="n"/>
      <c r="AK74" s="130" t="n"/>
    </row>
    <row r="75" ht="12" customHeight="1">
      <c r="A75" s="108" t="inlineStr">
        <is>
          <t>SEKU4426240</t>
        </is>
      </c>
      <c r="B75" s="108" t="n"/>
      <c r="C75" s="108" t="n"/>
      <c r="D75" s="172" t="n"/>
      <c r="E75" s="173" t="n"/>
      <c r="F75" s="96" t="n"/>
      <c r="G75" s="96" t="n"/>
      <c r="H75" s="111" t="n"/>
      <c r="I75" s="96" t="n"/>
      <c r="J75" s="96" t="n"/>
      <c r="K75" s="96" t="n"/>
      <c r="L75" s="111" t="n"/>
      <c r="M75" s="96" t="n"/>
      <c r="N75" s="96" t="n"/>
      <c r="O75" s="111" t="n"/>
      <c r="P75" s="111" t="n"/>
      <c r="Q75" s="111" t="n"/>
      <c r="R75" s="96" t="n"/>
      <c r="S75" s="96" t="n"/>
      <c r="T75" s="96" t="n"/>
      <c r="U75" s="96" t="n"/>
      <c r="V75" s="161" t="n"/>
      <c r="W75" s="96" t="n"/>
      <c r="X75" s="161" t="n"/>
      <c r="Y75" s="97" t="n"/>
      <c r="Z75" s="97" t="n"/>
      <c r="AA75" s="97" t="n"/>
      <c r="AB75" s="97" t="n"/>
      <c r="AC75" s="97" t="n"/>
      <c r="AD75" s="161" t="n"/>
      <c r="AE75" s="174" t="n"/>
      <c r="AF75" s="96" t="n"/>
      <c r="AG75" s="97" t="n"/>
      <c r="AH75" s="97" t="n"/>
      <c r="AI75" s="97" t="n"/>
      <c r="AJ75" s="96" t="n"/>
      <c r="AK75" s="130" t="n"/>
    </row>
    <row r="76" ht="12" customHeight="1">
      <c r="A76" s="108" t="inlineStr">
        <is>
          <t>SKHU6400184</t>
        </is>
      </c>
      <c r="B76" s="108" t="n"/>
      <c r="C76" s="108" t="n"/>
      <c r="D76" s="172" t="n"/>
      <c r="E76" s="173" t="n"/>
      <c r="F76" s="96" t="n"/>
      <c r="G76" s="96" t="n"/>
      <c r="H76" s="111" t="n"/>
      <c r="I76" s="96" t="n"/>
      <c r="J76" s="96" t="n"/>
      <c r="K76" s="96" t="n"/>
      <c r="L76" s="111" t="n"/>
      <c r="M76" s="96" t="n"/>
      <c r="N76" s="96" t="n"/>
      <c r="O76" s="111" t="n"/>
      <c r="P76" s="111" t="n"/>
      <c r="Q76" s="111" t="n"/>
      <c r="R76" s="96" t="n"/>
      <c r="S76" s="96" t="n"/>
      <c r="T76" s="96" t="n"/>
      <c r="U76" s="96" t="n"/>
      <c r="V76" s="161" t="n"/>
      <c r="W76" s="96" t="n"/>
      <c r="X76" s="161" t="n"/>
      <c r="Y76" s="97" t="n"/>
      <c r="Z76" s="97" t="n"/>
      <c r="AA76" s="97" t="n"/>
      <c r="AB76" s="97" t="n"/>
      <c r="AC76" s="97" t="n"/>
      <c r="AD76" s="161" t="n"/>
      <c r="AE76" s="174" t="n"/>
      <c r="AF76" s="96" t="n"/>
      <c r="AG76" s="97" t="n"/>
      <c r="AH76" s="97" t="n"/>
      <c r="AI76" s="97" t="n"/>
      <c r="AJ76" s="96" t="n"/>
      <c r="AK76" s="130" t="n"/>
    </row>
    <row r="77" ht="12" customHeight="1">
      <c r="A77" s="108" t="inlineStr">
        <is>
          <t>SKHU6462756</t>
        </is>
      </c>
      <c r="B77" s="108" t="n"/>
      <c r="C77" s="108" t="n"/>
      <c r="D77" s="172" t="n"/>
      <c r="E77" s="173" t="n"/>
      <c r="F77" s="96" t="n"/>
      <c r="G77" s="96" t="n"/>
      <c r="H77" s="111" t="n"/>
      <c r="I77" s="96" t="n"/>
      <c r="J77" s="96" t="n"/>
      <c r="K77" s="96" t="n"/>
      <c r="L77" s="111" t="n"/>
      <c r="M77" s="96" t="n"/>
      <c r="N77" s="96" t="n"/>
      <c r="O77" s="111" t="n"/>
      <c r="P77" s="111" t="n"/>
      <c r="Q77" s="111" t="n"/>
      <c r="R77" s="96" t="n"/>
      <c r="S77" s="96" t="n"/>
      <c r="T77" s="96" t="n"/>
      <c r="U77" s="96" t="n"/>
      <c r="V77" s="161" t="n"/>
      <c r="W77" s="96" t="n"/>
      <c r="X77" s="161" t="n"/>
      <c r="Y77" s="97" t="n"/>
      <c r="Z77" s="97" t="n"/>
      <c r="AA77" s="97" t="n"/>
      <c r="AB77" s="97" t="n"/>
      <c r="AC77" s="97" t="n"/>
      <c r="AD77" s="161" t="n"/>
      <c r="AE77" s="174" t="n"/>
      <c r="AF77" s="96" t="n"/>
      <c r="AG77" s="97" t="n"/>
      <c r="AH77" s="97" t="n"/>
      <c r="AI77" s="97" t="n"/>
      <c r="AJ77" s="96" t="n"/>
      <c r="AK77" s="130" t="n"/>
    </row>
    <row r="78" ht="12" customHeight="1">
      <c r="A78" s="108" t="inlineStr">
        <is>
          <t>SKHU6467634</t>
        </is>
      </c>
      <c r="B78" s="108" t="n"/>
      <c r="C78" s="108" t="n"/>
      <c r="D78" s="172" t="n"/>
      <c r="E78" s="173" t="n"/>
      <c r="F78" s="96" t="n"/>
      <c r="G78" s="96" t="n"/>
      <c r="H78" s="111" t="n"/>
      <c r="I78" s="96" t="n"/>
      <c r="J78" s="96" t="n"/>
      <c r="K78" s="96" t="n"/>
      <c r="L78" s="111" t="n"/>
      <c r="M78" s="96" t="n"/>
      <c r="N78" s="96" t="n"/>
      <c r="O78" s="111" t="n"/>
      <c r="P78" s="111" t="n"/>
      <c r="Q78" s="111" t="n"/>
      <c r="R78" s="96" t="n"/>
      <c r="S78" s="96" t="n"/>
      <c r="T78" s="96" t="n"/>
      <c r="U78" s="96" t="n"/>
      <c r="V78" s="161" t="n"/>
      <c r="W78" s="96" t="n"/>
      <c r="X78" s="161" t="n"/>
      <c r="Y78" s="97" t="n"/>
      <c r="Z78" s="97" t="n"/>
      <c r="AA78" s="97" t="n"/>
      <c r="AB78" s="97" t="n"/>
      <c r="AC78" s="97" t="n"/>
      <c r="AD78" s="161" t="n"/>
      <c r="AE78" s="174" t="n"/>
      <c r="AF78" s="96" t="n"/>
      <c r="AG78" s="97" t="n"/>
      <c r="AH78" s="97" t="n"/>
      <c r="AI78" s="97" t="n"/>
      <c r="AJ78" s="96" t="n"/>
      <c r="AK78" s="130" t="n"/>
    </row>
    <row r="79" ht="12" customHeight="1">
      <c r="A79" s="108" t="inlineStr">
        <is>
          <t>SKHU6483960</t>
        </is>
      </c>
      <c r="B79" s="108" t="n"/>
      <c r="C79" s="108" t="n"/>
      <c r="D79" s="172" t="n"/>
      <c r="E79" s="173" t="n"/>
      <c r="F79" s="96" t="n"/>
      <c r="G79" s="96" t="n"/>
      <c r="H79" s="111" t="n"/>
      <c r="I79" s="96" t="n"/>
      <c r="J79" s="96" t="n"/>
      <c r="K79" s="96" t="n"/>
      <c r="L79" s="111" t="n"/>
      <c r="M79" s="96" t="n"/>
      <c r="N79" s="96" t="n"/>
      <c r="O79" s="111" t="n"/>
      <c r="P79" s="111" t="n"/>
      <c r="Q79" s="111" t="n"/>
      <c r="R79" s="96" t="n"/>
      <c r="S79" s="96" t="n"/>
      <c r="T79" s="96" t="n"/>
      <c r="U79" s="96" t="n"/>
      <c r="V79" s="161" t="n"/>
      <c r="W79" s="96" t="n"/>
      <c r="X79" s="161" t="n"/>
      <c r="Y79" s="97" t="n"/>
      <c r="Z79" s="97" t="n"/>
      <c r="AA79" s="97" t="n"/>
      <c r="AB79" s="97" t="n"/>
      <c r="AC79" s="97" t="n"/>
      <c r="AD79" s="161" t="n"/>
      <c r="AE79" s="174" t="n"/>
      <c r="AF79" s="96" t="n"/>
      <c r="AG79" s="97" t="n"/>
      <c r="AH79" s="97" t="n"/>
      <c r="AI79" s="97" t="n"/>
      <c r="AJ79" s="96" t="n"/>
      <c r="AK79" s="130" t="n"/>
    </row>
    <row r="80" ht="12" customHeight="1">
      <c r="A80" s="108" t="inlineStr">
        <is>
          <t>SKHU6558713</t>
        </is>
      </c>
      <c r="B80" s="108" t="n"/>
      <c r="C80" s="108" t="n"/>
      <c r="D80" s="172" t="n"/>
      <c r="E80" s="173" t="n"/>
      <c r="F80" s="96" t="n"/>
      <c r="G80" s="96" t="n"/>
      <c r="H80" s="111" t="n"/>
      <c r="I80" s="96" t="n"/>
      <c r="J80" s="96" t="n"/>
      <c r="K80" s="96" t="n"/>
      <c r="L80" s="111" t="n"/>
      <c r="M80" s="96" t="n"/>
      <c r="N80" s="96" t="n"/>
      <c r="O80" s="111" t="n"/>
      <c r="P80" s="111" t="n"/>
      <c r="Q80" s="111" t="n"/>
      <c r="R80" s="96" t="n"/>
      <c r="S80" s="96" t="n"/>
      <c r="T80" s="96" t="n"/>
      <c r="U80" s="96" t="n"/>
      <c r="V80" s="161" t="n"/>
      <c r="W80" s="96" t="n"/>
      <c r="X80" s="161" t="n"/>
      <c r="Y80" s="97" t="n"/>
      <c r="Z80" s="97" t="n"/>
      <c r="AA80" s="97" t="n"/>
      <c r="AB80" s="97" t="n"/>
      <c r="AC80" s="97" t="n"/>
      <c r="AD80" s="161" t="n"/>
      <c r="AE80" s="174" t="n"/>
      <c r="AF80" s="96" t="n"/>
      <c r="AG80" s="97" t="n"/>
      <c r="AH80" s="97" t="n"/>
      <c r="AI80" s="97" t="n"/>
      <c r="AJ80" s="96" t="n"/>
      <c r="AK80" s="130" t="n"/>
    </row>
    <row r="81" ht="12" customHeight="1">
      <c r="A81" s="108" t="inlineStr">
        <is>
          <t>SKHU8111555</t>
        </is>
      </c>
      <c r="B81" s="108" t="n"/>
      <c r="C81" s="108" t="n"/>
      <c r="D81" s="172" t="n"/>
      <c r="E81" s="173" t="n"/>
      <c r="F81" s="96" t="n"/>
      <c r="G81" s="96" t="n"/>
      <c r="H81" s="111" t="n"/>
      <c r="I81" s="96" t="n"/>
      <c r="J81" s="96" t="n"/>
      <c r="K81" s="96" t="n"/>
      <c r="L81" s="111" t="n"/>
      <c r="M81" s="96" t="n"/>
      <c r="N81" s="96" t="n"/>
      <c r="O81" s="111" t="n"/>
      <c r="P81" s="111" t="n"/>
      <c r="Q81" s="111" t="n"/>
      <c r="R81" s="96" t="n"/>
      <c r="S81" s="96" t="n"/>
      <c r="T81" s="96" t="n"/>
      <c r="U81" s="96" t="n"/>
      <c r="V81" s="161" t="n"/>
      <c r="W81" s="96" t="n"/>
      <c r="X81" s="161" t="n"/>
      <c r="Y81" s="97" t="n"/>
      <c r="Z81" s="97" t="n"/>
      <c r="AA81" s="97" t="n"/>
      <c r="AB81" s="97" t="n"/>
      <c r="AC81" s="97" t="n"/>
      <c r="AD81" s="161" t="n"/>
      <c r="AE81" s="174" t="n"/>
      <c r="AF81" s="96" t="n"/>
      <c r="AG81" s="97" t="n"/>
      <c r="AH81" s="97" t="n"/>
      <c r="AI81" s="97" t="n"/>
      <c r="AJ81" s="96" t="n"/>
      <c r="AK81" s="130" t="n"/>
    </row>
    <row r="82" ht="12" customHeight="1">
      <c r="A82" s="108" t="inlineStr">
        <is>
          <t>SKHU8908359</t>
        </is>
      </c>
      <c r="B82" s="108" t="n"/>
      <c r="C82" s="108" t="n"/>
      <c r="D82" s="172" t="n"/>
      <c r="E82" s="173" t="n"/>
      <c r="F82" s="96" t="n"/>
      <c r="G82" s="96" t="n"/>
      <c r="H82" s="111" t="n"/>
      <c r="I82" s="96" t="n"/>
      <c r="J82" s="96" t="n"/>
      <c r="K82" s="96" t="n"/>
      <c r="L82" s="111" t="n"/>
      <c r="M82" s="96" t="n"/>
      <c r="N82" s="96" t="n"/>
      <c r="O82" s="111" t="n"/>
      <c r="P82" s="111" t="n"/>
      <c r="Q82" s="111" t="n"/>
      <c r="R82" s="96" t="n"/>
      <c r="S82" s="96" t="n"/>
      <c r="T82" s="96" t="n"/>
      <c r="U82" s="96" t="n"/>
      <c r="V82" s="161" t="n"/>
      <c r="W82" s="96" t="n"/>
      <c r="X82" s="161" t="n"/>
      <c r="Y82" s="97" t="n"/>
      <c r="Z82" s="97" t="n"/>
      <c r="AA82" s="97" t="n"/>
      <c r="AB82" s="97" t="n"/>
      <c r="AC82" s="97" t="n"/>
      <c r="AD82" s="161" t="n"/>
      <c r="AE82" s="174" t="n"/>
      <c r="AF82" s="96" t="n"/>
      <c r="AG82" s="97" t="n"/>
      <c r="AH82" s="97" t="n"/>
      <c r="AI82" s="97" t="n"/>
      <c r="AJ82" s="96" t="n"/>
      <c r="AK82" s="130" t="n"/>
    </row>
    <row r="83" ht="12" customHeight="1">
      <c r="A83" s="108" t="inlineStr">
        <is>
          <t>SKHU9604181</t>
        </is>
      </c>
      <c r="B83" s="108" t="n"/>
      <c r="C83" s="108" t="n"/>
      <c r="D83" s="172" t="n"/>
      <c r="E83" s="173" t="n"/>
      <c r="F83" s="96" t="n"/>
      <c r="G83" s="96" t="n"/>
      <c r="H83" s="111" t="n"/>
      <c r="I83" s="96" t="n"/>
      <c r="J83" s="96" t="n"/>
      <c r="K83" s="96" t="n"/>
      <c r="L83" s="111" t="n"/>
      <c r="M83" s="96" t="n"/>
      <c r="N83" s="96" t="n"/>
      <c r="O83" s="111" t="n"/>
      <c r="P83" s="111" t="n"/>
      <c r="Q83" s="111" t="n"/>
      <c r="R83" s="96" t="n"/>
      <c r="S83" s="96" t="n"/>
      <c r="T83" s="96" t="n"/>
      <c r="U83" s="96" t="n"/>
      <c r="V83" s="161" t="n"/>
      <c r="W83" s="96" t="n"/>
      <c r="X83" s="161" t="n"/>
      <c r="Y83" s="97" t="n"/>
      <c r="Z83" s="97" t="n"/>
      <c r="AA83" s="97" t="n"/>
      <c r="AB83" s="97" t="n"/>
      <c r="AC83" s="97" t="n"/>
      <c r="AD83" s="161" t="n"/>
      <c r="AE83" s="174" t="n"/>
      <c r="AF83" s="96" t="n"/>
      <c r="AG83" s="97" t="n"/>
      <c r="AH83" s="97" t="n"/>
      <c r="AI83" s="97" t="n"/>
      <c r="AJ83" s="96" t="n"/>
      <c r="AK83" s="130" t="n"/>
    </row>
    <row r="84" ht="12" customHeight="1">
      <c r="A84" s="108" t="inlineStr">
        <is>
          <t>SKHU9966257</t>
        </is>
      </c>
      <c r="B84" s="108" t="n"/>
      <c r="C84" s="108" t="n"/>
      <c r="D84" s="172" t="n"/>
      <c r="E84" s="173" t="n"/>
      <c r="F84" s="96" t="n"/>
      <c r="G84" s="96" t="n"/>
      <c r="H84" s="111" t="n"/>
      <c r="I84" s="96" t="n"/>
      <c r="J84" s="96" t="n"/>
      <c r="K84" s="96" t="n"/>
      <c r="L84" s="111" t="n"/>
      <c r="M84" s="96" t="n"/>
      <c r="N84" s="96" t="n"/>
      <c r="O84" s="111" t="n"/>
      <c r="P84" s="111" t="n"/>
      <c r="Q84" s="111" t="n"/>
      <c r="R84" s="96" t="n"/>
      <c r="S84" s="96" t="n"/>
      <c r="T84" s="96" t="n"/>
      <c r="U84" s="96" t="n"/>
      <c r="V84" s="161" t="n"/>
      <c r="W84" s="96" t="n"/>
      <c r="X84" s="161" t="n"/>
      <c r="Y84" s="97" t="n"/>
      <c r="Z84" s="97" t="n"/>
      <c r="AA84" s="97" t="n"/>
      <c r="AB84" s="97" t="n"/>
      <c r="AC84" s="97" t="n"/>
      <c r="AD84" s="161" t="n"/>
      <c r="AE84" s="174" t="n"/>
      <c r="AF84" s="96" t="n"/>
      <c r="AG84" s="97" t="n"/>
      <c r="AH84" s="97" t="n"/>
      <c r="AI84" s="97" t="n"/>
      <c r="AJ84" s="96" t="n"/>
      <c r="AK84" s="130" t="n"/>
    </row>
    <row r="85" ht="12" customHeight="1">
      <c r="A85" s="108" t="inlineStr">
        <is>
          <t>SKLU1308216</t>
        </is>
      </c>
      <c r="B85" s="108" t="n"/>
      <c r="C85" s="108" t="n"/>
      <c r="D85" s="172" t="n"/>
      <c r="E85" s="173" t="n"/>
      <c r="F85" s="96" t="n"/>
      <c r="G85" s="96" t="n"/>
      <c r="H85" s="111" t="n"/>
      <c r="I85" s="96" t="n"/>
      <c r="J85" s="96" t="n"/>
      <c r="K85" s="96" t="n"/>
      <c r="L85" s="111" t="n"/>
      <c r="M85" s="96" t="n"/>
      <c r="N85" s="96" t="n"/>
      <c r="O85" s="111" t="n"/>
      <c r="P85" s="111" t="n"/>
      <c r="Q85" s="111" t="n"/>
      <c r="R85" s="96" t="n"/>
      <c r="S85" s="96" t="n"/>
      <c r="T85" s="96" t="n"/>
      <c r="U85" s="96" t="n"/>
      <c r="V85" s="161" t="n"/>
      <c r="W85" s="96" t="n"/>
      <c r="X85" s="161" t="n"/>
      <c r="Y85" s="97" t="n"/>
      <c r="Z85" s="97" t="n"/>
      <c r="AA85" s="97" t="n"/>
      <c r="AB85" s="97" t="n"/>
      <c r="AC85" s="97" t="n"/>
      <c r="AD85" s="161" t="n"/>
      <c r="AE85" s="174" t="n"/>
      <c r="AF85" s="96" t="n"/>
      <c r="AG85" s="97" t="n"/>
      <c r="AH85" s="97" t="n"/>
      <c r="AI85" s="97" t="n"/>
      <c r="AJ85" s="96" t="n"/>
      <c r="AK85" s="130" t="n"/>
    </row>
    <row r="86" ht="12" customHeight="1">
      <c r="A86" s="108" t="inlineStr">
        <is>
          <t>SKLU1643493</t>
        </is>
      </c>
      <c r="B86" s="108" t="n"/>
      <c r="C86" s="108" t="n"/>
      <c r="D86" s="172" t="n"/>
      <c r="E86" s="173" t="n"/>
      <c r="F86" s="96" t="n"/>
      <c r="G86" s="96" t="n"/>
      <c r="H86" s="111" t="n"/>
      <c r="I86" s="96" t="n"/>
      <c r="J86" s="96" t="n"/>
      <c r="K86" s="96" t="n"/>
      <c r="L86" s="111" t="n"/>
      <c r="M86" s="96" t="n"/>
      <c r="N86" s="96" t="n"/>
      <c r="O86" s="111" t="n"/>
      <c r="P86" s="111" t="n"/>
      <c r="Q86" s="111" t="n"/>
      <c r="R86" s="96" t="n"/>
      <c r="S86" s="96" t="n"/>
      <c r="T86" s="96" t="n"/>
      <c r="U86" s="96" t="n"/>
      <c r="V86" s="161" t="n"/>
      <c r="W86" s="96" t="n"/>
      <c r="X86" s="161" t="n"/>
      <c r="Y86" s="97" t="n"/>
      <c r="Z86" s="97" t="n"/>
      <c r="AA86" s="97" t="n"/>
      <c r="AB86" s="97" t="n"/>
      <c r="AC86" s="97" t="n"/>
      <c r="AD86" s="161" t="n"/>
      <c r="AE86" s="174" t="n"/>
      <c r="AF86" s="96" t="n"/>
      <c r="AG86" s="97" t="n"/>
      <c r="AH86" s="97" t="n"/>
      <c r="AI86" s="97" t="n"/>
      <c r="AJ86" s="96" t="n"/>
      <c r="AK86" s="130" t="n"/>
    </row>
    <row r="87" ht="12" customHeight="1">
      <c r="A87" s="108" t="inlineStr">
        <is>
          <t>SKLU1644231</t>
        </is>
      </c>
      <c r="B87" s="108" t="n"/>
      <c r="C87" s="108" t="n"/>
      <c r="D87" s="172" t="n"/>
      <c r="E87" s="173" t="n"/>
      <c r="F87" s="96" t="n"/>
      <c r="G87" s="96" t="n"/>
      <c r="H87" s="111" t="n"/>
      <c r="I87" s="96" t="n"/>
      <c r="J87" s="96" t="n"/>
      <c r="K87" s="96" t="n"/>
      <c r="L87" s="111" t="n"/>
      <c r="M87" s="96" t="n"/>
      <c r="N87" s="96" t="n"/>
      <c r="O87" s="111" t="n"/>
      <c r="P87" s="111" t="n"/>
      <c r="Q87" s="111" t="n"/>
      <c r="R87" s="96" t="n"/>
      <c r="S87" s="96" t="n"/>
      <c r="T87" s="96" t="n"/>
      <c r="U87" s="96" t="n"/>
      <c r="V87" s="161" t="n"/>
      <c r="W87" s="96" t="n"/>
      <c r="X87" s="161" t="n"/>
      <c r="Y87" s="97" t="n"/>
      <c r="Z87" s="97" t="n"/>
      <c r="AA87" s="97" t="n"/>
      <c r="AB87" s="97" t="n"/>
      <c r="AC87" s="97" t="n"/>
      <c r="AD87" s="161" t="n"/>
      <c r="AE87" s="174" t="n"/>
      <c r="AF87" s="96" t="n"/>
      <c r="AG87" s="97" t="n"/>
      <c r="AH87" s="97" t="n"/>
      <c r="AI87" s="97" t="n"/>
      <c r="AJ87" s="96" t="n"/>
      <c r="AK87" s="130" t="n"/>
    </row>
    <row r="88" ht="12" customHeight="1">
      <c r="A88" s="108" t="inlineStr">
        <is>
          <t>SKLU1644870</t>
        </is>
      </c>
      <c r="B88" s="108" t="n"/>
      <c r="C88" s="108" t="n"/>
      <c r="D88" s="172" t="n"/>
      <c r="E88" s="173" t="n"/>
      <c r="F88" s="96" t="n"/>
      <c r="G88" s="96" t="n"/>
      <c r="H88" s="111" t="n"/>
      <c r="I88" s="96" t="n"/>
      <c r="J88" s="96" t="n"/>
      <c r="K88" s="96" t="n"/>
      <c r="L88" s="111" t="n"/>
      <c r="M88" s="96" t="n"/>
      <c r="N88" s="96" t="n"/>
      <c r="O88" s="111" t="n"/>
      <c r="P88" s="111" t="n"/>
      <c r="Q88" s="111" t="n"/>
      <c r="R88" s="96" t="n"/>
      <c r="S88" s="96" t="n"/>
      <c r="T88" s="96" t="n"/>
      <c r="U88" s="96" t="n"/>
      <c r="V88" s="161" t="n"/>
      <c r="W88" s="96" t="n"/>
      <c r="X88" s="161" t="n"/>
      <c r="Y88" s="97" t="n"/>
      <c r="Z88" s="97" t="n"/>
      <c r="AA88" s="97" t="n"/>
      <c r="AB88" s="97" t="n"/>
      <c r="AC88" s="97" t="n"/>
      <c r="AD88" s="161" t="n"/>
      <c r="AE88" s="174" t="n"/>
      <c r="AF88" s="96" t="n"/>
      <c r="AG88" s="97" t="n"/>
      <c r="AH88" s="97" t="n"/>
      <c r="AI88" s="97" t="n"/>
      <c r="AJ88" s="96" t="n"/>
      <c r="AK88" s="130" t="n"/>
    </row>
    <row r="89" ht="12" customHeight="1">
      <c r="A89" s="108" t="inlineStr">
        <is>
          <t>SKLU1661500</t>
        </is>
      </c>
      <c r="B89" s="108" t="n"/>
      <c r="C89" s="108" t="n"/>
      <c r="D89" s="172" t="n"/>
      <c r="E89" s="173" t="n"/>
      <c r="F89" s="96" t="n"/>
      <c r="G89" s="96" t="n"/>
      <c r="H89" s="111" t="n"/>
      <c r="I89" s="96" t="n"/>
      <c r="J89" s="96" t="n"/>
      <c r="K89" s="96" t="n"/>
      <c r="L89" s="111" t="n"/>
      <c r="M89" s="96" t="n"/>
      <c r="N89" s="96" t="n"/>
      <c r="O89" s="111" t="n"/>
      <c r="P89" s="111" t="n"/>
      <c r="Q89" s="111" t="n"/>
      <c r="R89" s="96" t="n"/>
      <c r="S89" s="96" t="n"/>
      <c r="T89" s="96" t="n"/>
      <c r="U89" s="96" t="n"/>
      <c r="V89" s="161" t="n"/>
      <c r="W89" s="96" t="n"/>
      <c r="X89" s="161" t="n"/>
      <c r="Y89" s="97" t="n"/>
      <c r="Z89" s="97" t="n"/>
      <c r="AA89" s="97" t="n"/>
      <c r="AB89" s="97" t="n"/>
      <c r="AC89" s="97" t="n"/>
      <c r="AD89" s="161" t="n"/>
      <c r="AE89" s="174" t="n"/>
      <c r="AF89" s="96" t="n"/>
      <c r="AG89" s="97" t="n"/>
      <c r="AH89" s="97" t="n"/>
      <c r="AI89" s="97" t="n"/>
      <c r="AJ89" s="96" t="n"/>
      <c r="AK89" s="130" t="n"/>
    </row>
    <row r="90" ht="12" customHeight="1">
      <c r="A90" s="108" t="inlineStr">
        <is>
          <t>SKLU1663503</t>
        </is>
      </c>
      <c r="B90" s="108" t="n"/>
      <c r="C90" s="108" t="n"/>
      <c r="D90" s="172" t="n"/>
      <c r="E90" s="173" t="n"/>
      <c r="F90" s="96" t="n"/>
      <c r="G90" s="96" t="n"/>
      <c r="H90" s="111" t="n"/>
      <c r="I90" s="96" t="n"/>
      <c r="J90" s="96" t="n"/>
      <c r="K90" s="96" t="n"/>
      <c r="L90" s="111" t="n"/>
      <c r="M90" s="96" t="n"/>
      <c r="N90" s="96" t="n"/>
      <c r="O90" s="111" t="n"/>
      <c r="P90" s="111" t="n"/>
      <c r="Q90" s="111" t="n"/>
      <c r="R90" s="96" t="n"/>
      <c r="S90" s="96" t="n"/>
      <c r="T90" s="96" t="n"/>
      <c r="U90" s="96" t="n"/>
      <c r="V90" s="161" t="n"/>
      <c r="W90" s="96" t="n"/>
      <c r="X90" s="161" t="n"/>
      <c r="Y90" s="97" t="n"/>
      <c r="Z90" s="97" t="n"/>
      <c r="AA90" s="97" t="n"/>
      <c r="AB90" s="97" t="n"/>
      <c r="AC90" s="97" t="n"/>
      <c r="AD90" s="161" t="n"/>
      <c r="AE90" s="174" t="n"/>
      <c r="AF90" s="96" t="n"/>
      <c r="AG90" s="97" t="n"/>
      <c r="AH90" s="97" t="n"/>
      <c r="AI90" s="97" t="n"/>
      <c r="AJ90" s="96" t="n"/>
      <c r="AK90" s="130" t="n"/>
    </row>
    <row r="91" ht="12" customHeight="1">
      <c r="A91" s="108" t="inlineStr">
        <is>
          <t>SKLU1669008</t>
        </is>
      </c>
      <c r="B91" s="108" t="n"/>
      <c r="C91" s="108" t="n"/>
      <c r="D91" s="172" t="n"/>
      <c r="E91" s="173" t="n"/>
      <c r="F91" s="96" t="n"/>
      <c r="G91" s="96" t="n"/>
      <c r="H91" s="111" t="n"/>
      <c r="I91" s="96" t="n"/>
      <c r="J91" s="96" t="n"/>
      <c r="K91" s="96" t="n"/>
      <c r="L91" s="111" t="n"/>
      <c r="M91" s="96" t="n"/>
      <c r="N91" s="96" t="n"/>
      <c r="O91" s="111" t="n"/>
      <c r="P91" s="111" t="n"/>
      <c r="Q91" s="111" t="n"/>
      <c r="R91" s="96" t="n"/>
      <c r="S91" s="96" t="n"/>
      <c r="T91" s="96" t="n"/>
      <c r="U91" s="96" t="n"/>
      <c r="V91" s="161" t="n"/>
      <c r="W91" s="96" t="n"/>
      <c r="X91" s="161" t="n"/>
      <c r="Y91" s="97" t="n"/>
      <c r="Z91" s="97" t="n"/>
      <c r="AA91" s="97" t="n"/>
      <c r="AB91" s="97" t="n"/>
      <c r="AC91" s="97" t="n"/>
      <c r="AD91" s="161" t="n"/>
      <c r="AE91" s="174" t="n"/>
      <c r="AF91" s="96" t="n"/>
      <c r="AG91" s="97" t="n"/>
      <c r="AH91" s="97" t="n"/>
      <c r="AI91" s="97" t="n"/>
      <c r="AJ91" s="96" t="n"/>
      <c r="AK91" s="130" t="n"/>
    </row>
    <row r="92" ht="12" customHeight="1">
      <c r="A92" s="108" t="inlineStr">
        <is>
          <t>SKLU1816161</t>
        </is>
      </c>
      <c r="B92" s="108" t="n"/>
      <c r="C92" s="108" t="n"/>
      <c r="D92" s="172" t="n"/>
      <c r="E92" s="173" t="n"/>
      <c r="F92" s="96" t="n"/>
      <c r="G92" s="96" t="n"/>
      <c r="H92" s="111" t="n"/>
      <c r="I92" s="96" t="n"/>
      <c r="J92" s="96" t="n"/>
      <c r="K92" s="96" t="n"/>
      <c r="L92" s="111" t="n"/>
      <c r="M92" s="96" t="n"/>
      <c r="N92" s="96" t="n"/>
      <c r="O92" s="111" t="n"/>
      <c r="P92" s="111" t="n"/>
      <c r="Q92" s="111" t="n"/>
      <c r="R92" s="96" t="n"/>
      <c r="S92" s="96" t="n"/>
      <c r="T92" s="96" t="n"/>
      <c r="U92" s="96" t="n"/>
      <c r="V92" s="161" t="n"/>
      <c r="W92" s="96" t="n"/>
      <c r="X92" s="161" t="n"/>
      <c r="Y92" s="97" t="n"/>
      <c r="Z92" s="97" t="n"/>
      <c r="AA92" s="97" t="n"/>
      <c r="AB92" s="97" t="n"/>
      <c r="AC92" s="97" t="n"/>
      <c r="AD92" s="161" t="n"/>
      <c r="AE92" s="174" t="n"/>
      <c r="AF92" s="96" t="n"/>
      <c r="AG92" s="97" t="n"/>
      <c r="AH92" s="97" t="n"/>
      <c r="AI92" s="97" t="n"/>
      <c r="AJ92" s="96" t="n"/>
      <c r="AK92" s="130" t="n"/>
    </row>
    <row r="93" ht="12" customHeight="1">
      <c r="A93" s="108" t="inlineStr">
        <is>
          <t>SKLU2301350</t>
        </is>
      </c>
      <c r="B93" s="108" t="n"/>
      <c r="C93" s="108" t="n"/>
      <c r="D93" s="172" t="n"/>
      <c r="E93" s="173" t="n"/>
      <c r="F93" s="96" t="n"/>
      <c r="G93" s="96" t="n"/>
      <c r="H93" s="111" t="n"/>
      <c r="I93" s="96" t="n"/>
      <c r="J93" s="96" t="n"/>
      <c r="K93" s="96" t="n"/>
      <c r="L93" s="111" t="n"/>
      <c r="M93" s="96" t="n"/>
      <c r="N93" s="96" t="n"/>
      <c r="O93" s="111" t="n"/>
      <c r="P93" s="111" t="n"/>
      <c r="Q93" s="111" t="n"/>
      <c r="R93" s="96" t="n"/>
      <c r="S93" s="96" t="n"/>
      <c r="T93" s="96" t="n"/>
      <c r="U93" s="96" t="n"/>
      <c r="V93" s="161" t="n"/>
      <c r="W93" s="96" t="n"/>
      <c r="X93" s="161" t="n"/>
      <c r="Y93" s="97" t="n"/>
      <c r="Z93" s="97" t="n"/>
      <c r="AA93" s="97" t="n"/>
      <c r="AB93" s="97" t="n"/>
      <c r="AC93" s="97" t="n"/>
      <c r="AD93" s="161" t="n"/>
      <c r="AE93" s="174" t="n"/>
      <c r="AF93" s="96" t="n"/>
      <c r="AG93" s="97" t="n"/>
      <c r="AH93" s="97" t="n"/>
      <c r="AI93" s="97" t="n"/>
      <c r="AJ93" s="96" t="n"/>
      <c r="AK93" s="130" t="n"/>
    </row>
    <row r="94" ht="12" customHeight="1">
      <c r="A94" s="108" t="inlineStr">
        <is>
          <t>SKLU2312186</t>
        </is>
      </c>
      <c r="B94" s="108" t="n"/>
      <c r="C94" s="108" t="n"/>
      <c r="D94" s="172" t="n"/>
      <c r="E94" s="173" t="n"/>
      <c r="F94" s="96" t="n"/>
      <c r="G94" s="96" t="n"/>
      <c r="H94" s="111" t="n"/>
      <c r="I94" s="96" t="n"/>
      <c r="J94" s="96" t="n"/>
      <c r="K94" s="96" t="n"/>
      <c r="L94" s="111" t="n"/>
      <c r="M94" s="96" t="n"/>
      <c r="N94" s="96" t="n"/>
      <c r="O94" s="111" t="n"/>
      <c r="P94" s="111" t="n"/>
      <c r="Q94" s="111" t="n"/>
      <c r="R94" s="96" t="n"/>
      <c r="S94" s="96" t="n"/>
      <c r="T94" s="96" t="n"/>
      <c r="U94" s="96" t="n"/>
      <c r="V94" s="161" t="n"/>
      <c r="W94" s="96" t="n"/>
      <c r="X94" s="161" t="n"/>
      <c r="Y94" s="97" t="n"/>
      <c r="Z94" s="97" t="n"/>
      <c r="AA94" s="97" t="n"/>
      <c r="AB94" s="97" t="n"/>
      <c r="AC94" s="97" t="n"/>
      <c r="AD94" s="161" t="n"/>
      <c r="AE94" s="174" t="n"/>
      <c r="AF94" s="96" t="n"/>
      <c r="AG94" s="97" t="n"/>
      <c r="AH94" s="97" t="n"/>
      <c r="AI94" s="97" t="n"/>
      <c r="AJ94" s="96" t="n"/>
      <c r="AK94" s="130" t="n"/>
    </row>
    <row r="95" ht="12" customHeight="1">
      <c r="A95" s="108" t="inlineStr">
        <is>
          <t>SKLU3510078</t>
        </is>
      </c>
      <c r="B95" s="108" t="n"/>
      <c r="C95" s="108" t="n"/>
      <c r="D95" s="172" t="n"/>
      <c r="E95" s="173" t="n"/>
      <c r="F95" s="96" t="n"/>
      <c r="G95" s="96" t="n"/>
      <c r="H95" s="111" t="n"/>
      <c r="I95" s="96" t="n"/>
      <c r="J95" s="96" t="n"/>
      <c r="K95" s="96" t="n"/>
      <c r="L95" s="111" t="n"/>
      <c r="M95" s="96" t="n"/>
      <c r="N95" s="96" t="n"/>
      <c r="O95" s="111" t="n"/>
      <c r="P95" s="111" t="n"/>
      <c r="Q95" s="111" t="n"/>
      <c r="R95" s="96" t="n"/>
      <c r="S95" s="96" t="n"/>
      <c r="T95" s="96" t="n"/>
      <c r="U95" s="96" t="n"/>
      <c r="V95" s="161" t="n"/>
      <c r="W95" s="96" t="n"/>
      <c r="X95" s="161" t="n"/>
      <c r="Y95" s="97" t="n"/>
      <c r="Z95" s="97" t="n"/>
      <c r="AA95" s="97" t="n"/>
      <c r="AB95" s="97" t="n"/>
      <c r="AC95" s="97" t="n"/>
      <c r="AD95" s="161" t="n"/>
      <c r="AE95" s="174" t="n"/>
      <c r="AF95" s="96" t="n"/>
      <c r="AG95" s="97" t="n"/>
      <c r="AH95" s="97" t="n"/>
      <c r="AI95" s="97" t="n"/>
      <c r="AJ95" s="96" t="n"/>
      <c r="AK95" s="130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3000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3000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BEAU2356127</t>
        </is>
      </c>
      <c r="B3" s="4" t="str">
        <f>IF(C3=Charge!$M$1,Charge!$J$1,IF(C3=Charge!$M$23,Charge!$J$23,IF(C3=Charge!$M$17,Charge!$J$17,IF(C3=Charge!$N$17,Charge!$J$17,Charge!$J$7))))</f>
        <v>G2</v>
      </c>
      <c r="C3" s="61" t="str">
        <f>VLOOKUP(A3,'1.Loading'!A:R,14,FALSE)</f>
        <v>LCH05</v>
      </c>
      <c r="D3" s="61" t="str">
        <f>VLOOKUP(A3,'1.Loading'!A:R,17,FALSE)</f>
        <v>HASLS22260901146</v>
      </c>
      <c r="E3" s="62" t="str">
        <f>VLOOKUP(D3,'2.Bookinglist'!A:CT,27,FALSE)</f>
        <v>WHA GC LOGISTICS COMPANY LIMITED</v>
      </c>
      <c r="F3" s="62" t="str">
        <f>VLOOKUP(D3,'2.Bookinglist'!A:CT,28,FALSE)</f>
        <v>PTT GLOBAL CHEMICAL PUBLIC COMPANY LIMITED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CNXMN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SWDN</v>
      </c>
      <c r="P3" s="61" t="str">
        <f>VLOOKUP(A3,'1.Loading'!A:R,4,FALSE)</f>
        <v>2610N</v>
      </c>
      <c r="Q3" s="61" t="str">
        <f>VLOOKUP(D3,'2.Bookinglist'!A:CT,12,FALSE)</f>
        <v>CHT</v>
      </c>
      <c r="R3" s="60" t="str">
        <f>IF(LEFT(K3,2)="22","20'","40'")</f>
        <v>20'</v>
      </c>
      <c r="S3" s="101" t="n"/>
      <c r="T3" s="61" t="str">
        <f>VLOOKUP(A3,'1.Loading'!A:R,2,FALSE)</f>
        <v>2026-10-08</v>
      </c>
      <c r="U3" s="63">
        <f>T3-S3</f>
        <v>46303</v>
      </c>
      <c r="V3" s="178" t="n"/>
      <c r="W3" s="61" t="str">
        <f>VLOOKUP(A3,'3.GateMove'!A:D,4,FALSE)</f>
        <v>2026-10-01</v>
      </c>
      <c r="X3" s="63">
        <f>((T3-W3)+1)</f>
        <v>8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1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125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46304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125</v>
      </c>
      <c r="AJ3" s="70" t="n"/>
      <c r="AK3" s="62" t="str">
        <f>VLOOKUP(D3,'2.Bookinglist'!A:CT,40,FALSE)</f>
        <v>Dharaporn</v>
      </c>
      <c r="AL3" s="60" t="str">
        <f>VLOOKUP(D3,'2.Bookinglist'!A:CW,101,FALSE)</f>
        <v>2026-10-01</v>
      </c>
      <c r="AM3" s="60" t="str">
        <f>VLOOKUP(D3,'2.Bookinglist'!A:BK,63,FALSE)</f>
        <v>LCHY5</v>
      </c>
      <c r="AN3" s="62" t="str">
        <f>VLOOKUP(D3,'2.Bookinglist'!A:AZ,52,FALSE)</f>
        <v>CY-RTN 21-25/09/26 *PR2610003144*
</v>
      </c>
      <c r="AO3" s="62">
        <f>VLOOKUP(D3,'2.Bookinglist'!A:CY,103,FALSE)</f>
        <v>0</v>
      </c>
    </row>
    <row r="4" ht="12.95" customHeight="1">
      <c r="A4" s="96" t="inlineStr">
        <is>
          <t>BEAU2477638</t>
        </is>
      </c>
      <c r="B4" s="184" t="str">
        <f>IF(C4=Charge!$M$1,Charge!$J$1,IF(C4=Charge!$M$23,Charge!$J$23,IF(C4=Charge!$M$17,Charge!$J$17,IF(C4=Charge!$N$17,Charge!$J$17,Charge!$J$7))))</f>
        <v>G2</v>
      </c>
      <c r="C4" s="61" t="str">
        <f>VLOOKUP(A4,'1.Loading'!A:R,14,FALSE)</f>
        <v>LCH05</v>
      </c>
      <c r="D4" s="61" t="str">
        <f>VLOOKUP(A4,'1.Loading'!A:R,17,FALSE)</f>
        <v>HASLS22260901029</v>
      </c>
      <c r="E4" s="62" t="str">
        <f>VLOOKUP(D4,'2.Bookinglist'!A:CT,27,FALSE)</f>
        <v>THAI POLYCARBONATE CO., LTD.</v>
      </c>
      <c r="F4" s="62" t="str">
        <f>VLOOKUP(D4,'2.Bookinglist'!A:CT,28,FALSE)</f>
        <v>THAI POLYCARBONATE CO., 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CNXMN</v>
      </c>
      <c r="J4" s="61">
        <f>VLOOKUP(D4,'2.Bookinglist'!A:CT,26,FALSE)</f>
        <v>0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SWDN</v>
      </c>
      <c r="P4" s="61" t="str">
        <f>VLOOKUP(A4,'1.Loading'!A:R,4,FALSE)</f>
        <v>2610N</v>
      </c>
      <c r="Q4" s="61" t="str">
        <f>VLOOKUP(D4,'2.Bookinglist'!A:CT,12,FALSE)</f>
        <v>CHT</v>
      </c>
      <c r="R4" s="60" t="str">
        <f>IF(LEFT(K4,2)="22","20'","40'")</f>
        <v>20'</v>
      </c>
      <c r="S4" s="185" t="n"/>
      <c r="T4" s="61" t="str">
        <f>VLOOKUP(A4,'1.Loading'!A:R,2,FALSE)</f>
        <v>2026-10-08</v>
      </c>
      <c r="U4" s="63">
        <f>T4-S4</f>
        <v>46303</v>
      </c>
      <c r="V4" s="186" t="n"/>
      <c r="W4" s="61" t="str">
        <f>VLOOKUP(A4,'3.GateMove'!A:D,4,FALSE)</f>
        <v>2026-10-04</v>
      </c>
      <c r="X4" s="63">
        <f>((T4-W4)+1)</f>
        <v>5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46304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Vilaiporn</v>
      </c>
      <c r="AL4" s="60" t="str">
        <f>VLOOKUP(D4,'2.Bookinglist'!A:CW,101,FALSE)</f>
        <v>2026-09-30</v>
      </c>
      <c r="AM4" s="60" t="str">
        <f>VLOOKUP(D4,'2.Bookinglist'!A:BK,63,FALSE)</f>
        <v>LCH27</v>
      </c>
      <c r="AN4" s="62" t="str">
        <f>VLOOKUP(D4,'2.Bookinglist'!A:AZ,52,FALSE)</f>
        <v>Pickup : 2026-09-23, Return : 2026-09-25 [1ST RTN 26/09/2026 W/O RENT]
** PLEASE CHECK OPEN GATE BEFORE RETURN CONTAINER **</v>
      </c>
      <c r="AO4" s="62">
        <f>VLOOKUP(D4,'2.Bookinglist'!A:CY,103,FALSE)</f>
        <v>0</v>
      </c>
    </row>
    <row r="5" ht="12.95" customHeight="1">
      <c r="A5" s="96" t="inlineStr">
        <is>
          <t>BEAU2985449</t>
        </is>
      </c>
      <c r="B5" s="184" t="str">
        <f>IF(C5=Charge!$M$1,Charge!$J$1,IF(C5=Charge!$M$23,Charge!$J$23,IF(C5=Charge!$M$17,Charge!$J$17,IF(C5=Charge!$N$17,Charge!$J$17,Charge!$J$7))))</f>
        <v>G2</v>
      </c>
      <c r="C5" s="61" t="str">
        <f>VLOOKUP(A5,'1.Loading'!A:R,14,FALSE)</f>
        <v>LCH05</v>
      </c>
      <c r="D5" s="61" t="str">
        <f>VLOOKUP(A5,'1.Loading'!A:R,17,FALSE)</f>
        <v>HASLS22260901873</v>
      </c>
      <c r="E5" s="62" t="str">
        <f>VLOOKUP(D5,'2.Bookinglist'!A:CT,27,FALSE)</f>
        <v>DIMERCO EXPRESS (THAILAND) CO., LTD.</v>
      </c>
      <c r="F5" s="62" t="str">
        <f>VLOOKUP(D5,'2.Bookinglist'!A:CT,28,FALSE)</f>
        <v>MITSUBISHI ELECTRIC THAI AUTO-PARTS CO.,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CNXMN</v>
      </c>
      <c r="J5" s="61">
        <f>VLOOKUP(D5,'2.Bookinglist'!A:CT,26,FALSE)</f>
        <v>0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SWDN</v>
      </c>
      <c r="P5" s="61" t="str">
        <f>VLOOKUP(A5,'1.Loading'!A:R,4,FALSE)</f>
        <v>2610N</v>
      </c>
      <c r="Q5" s="61" t="str">
        <f>VLOOKUP(D5,'2.Bookinglist'!A:CT,12,FALSE)</f>
        <v>CHT</v>
      </c>
      <c r="R5" s="60" t="str">
        <f>IF(LEFT(K5,2)="22","20'","40'")</f>
        <v>20'</v>
      </c>
      <c r="S5" s="185" t="n"/>
      <c r="T5" s="61" t="str">
        <f>VLOOKUP(A5,'1.Loading'!A:R,2,FALSE)</f>
        <v>2026-10-08</v>
      </c>
      <c r="U5" s="63">
        <f>T5-S5</f>
        <v>46303</v>
      </c>
      <c r="V5" s="186" t="n"/>
      <c r="W5" s="61" t="str">
        <f>VLOOKUP(A5,'3.GateMove'!A:D,4,FALSE)</f>
        <v>2026-10-02</v>
      </c>
      <c r="X5" s="63">
        <f>((T5-W5)+1)</f>
        <v>7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46304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Nustsireerach</v>
      </c>
      <c r="AL5" s="60" t="str">
        <f>VLOOKUP(D5,'2.Bookinglist'!A:CW,101,FALSE)</f>
        <v>2026-10-03</v>
      </c>
      <c r="AM5" s="60" t="str">
        <f>VLOOKUP(D5,'2.Bookinglist'!A:BK,63,FALSE)</f>
        <v>LCHY5</v>
      </c>
      <c r="AN5" s="62" t="str">
        <f>VLOOKUP(D5,'2.Bookinglist'!A:AZ,52,FALSE)</f>
        <v>Pickup : 2026-09-28, Return : 2026-09-29 (1ST RTN 29/09 W/O RENT) 
 ** PLEASE CHECK OPEN GATE BEFORE RETURN CNTR **
</v>
      </c>
      <c r="AO5" s="62">
        <f>VLOOKUP(D5,'2.Bookinglist'!A:CY,103,FALSE)</f>
        <v>0</v>
      </c>
    </row>
    <row r="6" ht="12.95" customHeight="1">
      <c r="A6" s="96" t="inlineStr">
        <is>
          <t>FBIU5092414</t>
        </is>
      </c>
      <c r="B6" s="184" t="str">
        <f>IF(C6=Charge!$M$1,Charge!$J$1,IF(C6=Charge!$M$23,Charge!$J$23,IF(C6=Charge!$M$17,Charge!$J$17,IF(C6=Charge!$N$17,Charge!$J$17,Charge!$J$7))))</f>
        <v>G2</v>
      </c>
      <c r="C6" s="61" t="str">
        <f>VLOOKUP(A6,'1.Loading'!A:R,14,FALSE)</f>
        <v>LCH05</v>
      </c>
      <c r="D6" s="61" t="str">
        <f>VLOOKUP(A6,'1.Loading'!A:R,17,FALSE)</f>
        <v>HASLS22260902204</v>
      </c>
      <c r="E6" s="62" t="str">
        <f>VLOOKUP(D6,'2.Bookinglist'!A:CT,27,FALSE)</f>
        <v>STAR SHIPPING CARGO LIKES CO., LTD.</v>
      </c>
      <c r="F6" s="62" t="str">
        <f>VLOOKUP(D6,'2.Bookinglist'!A:CT,28,FALSE)</f>
        <v>AN NAM DRAGON 2017 CO.,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HKHKG</v>
      </c>
      <c r="J6" s="61">
        <f>VLOOKUP(D6,'2.Bookinglist'!A:CT,26,FALSE)</f>
        <v>0</v>
      </c>
      <c r="K6" s="61" t="str">
        <f>VLOOKUP(A6,'1.Loading'!A:R,5,FALSE)</f>
        <v>45RE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>RF</v>
      </c>
      <c r="O6" s="61" t="str">
        <f>VLOOKUP(A6,'1.Loading'!A:R,3,FALSE)</f>
        <v>SWDN</v>
      </c>
      <c r="P6" s="61" t="str">
        <f>VLOOKUP(A6,'1.Loading'!A:R,4,FALSE)</f>
        <v>2610N</v>
      </c>
      <c r="Q6" s="61" t="str">
        <f>VLOOKUP(D6,'2.Bookinglist'!A:CT,12,FALSE)</f>
        <v>CHT</v>
      </c>
      <c r="R6" s="60" t="str">
        <f>IF(LEFT(K6,2)="22","20'","40'")</f>
        <v>40'</v>
      </c>
      <c r="S6" s="185" t="n"/>
      <c r="T6" s="61" t="str">
        <f>VLOOKUP(A6,'1.Loading'!A:R,2,FALSE)</f>
        <v>2026-10-08</v>
      </c>
      <c r="U6" s="63">
        <f>T6-S6</f>
        <v>46303</v>
      </c>
      <c r="V6" s="186" t="n"/>
      <c r="W6" s="61" t="str">
        <f>VLOOKUP(A6,'3.GateMove'!A:D,4,FALSE)</f>
        <v>2026-10-06</v>
      </c>
      <c r="X6" s="63">
        <f>((T6-W6)+1)</f>
        <v>3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3</v>
      </c>
      <c r="AE6" s="63">
        <f>(T6-V6)+1</f>
        <v>46304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Arunphat W. (Aiw)</v>
      </c>
      <c r="AL6" s="60" t="str">
        <f>VLOOKUP(D6,'2.Bookinglist'!A:CW,101,FALSE)</f>
        <v>2026-10-08</v>
      </c>
      <c r="AM6" s="60" t="str">
        <f>VLOOKUP(D6,'2.Bookinglist'!A:BK,63,FALSE)</f>
        <v>LCH27</v>
      </c>
      <c r="AN6" s="62" t="str">
        <f>VLOOKUP(D6,'2.Bookinglist'!A:AZ,52,FALSE)</f>
        <v>Pickup : 2026-10-05, Return : 2026-10-06 (Temp +4.0℃ / Vent 15% Open)
 CLS TIME 07/10 @12.00 [1ST RTN 06/10 W/O ELCTRIC] </v>
      </c>
      <c r="AO6" s="62">
        <f>VLOOKUP(D6,'2.Bookinglist'!A:CY,103,FALSE)</f>
        <v>0</v>
      </c>
    </row>
    <row r="7" ht="12.95" customHeight="1">
      <c r="A7" s="96" t="inlineStr">
        <is>
          <t>FBIU5103210</t>
        </is>
      </c>
      <c r="B7" s="184" t="str">
        <f>IF(C7=Charge!$M$1,Charge!$J$1,IF(C7=Charge!$M$23,Charge!$J$23,IF(C7=Charge!$M$17,Charge!$J$17,IF(C7=Charge!$N$17,Charge!$J$17,Charge!$J$7))))</f>
        <v>G2</v>
      </c>
      <c r="C7" s="61" t="str">
        <f>VLOOKUP(A7,'1.Loading'!A:R,14,FALSE)</f>
        <v>LCH05</v>
      </c>
      <c r="D7" s="61" t="str">
        <f>VLOOKUP(A7,'1.Loading'!A:R,17,FALSE)</f>
        <v>HASLS22260801601</v>
      </c>
      <c r="E7" s="62" t="str">
        <f>VLOOKUP(D7,'2.Bookinglist'!A:CT,27,FALSE)</f>
        <v>DYNAMIC INTERTRANSPORT CO., LTD.</v>
      </c>
      <c r="F7" s="62" t="str">
        <f>VLOOKUP(D7,'2.Bookinglist'!A:CT,28,FALSE)</f>
        <v>CP-MEIJI CO., LTD.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HKHKG</v>
      </c>
      <c r="J7" s="61">
        <f>VLOOKUP(D7,'2.Bookinglist'!A:CT,26,FALSE)</f>
        <v>0</v>
      </c>
      <c r="K7" s="61" t="str">
        <f>VLOOKUP(A7,'1.Loading'!A:R,5,FALSE)</f>
        <v>45RE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>RF</v>
      </c>
      <c r="O7" s="61" t="str">
        <f>VLOOKUP(A7,'1.Loading'!A:R,3,FALSE)</f>
        <v>SWDN</v>
      </c>
      <c r="P7" s="61" t="str">
        <f>VLOOKUP(A7,'1.Loading'!A:R,4,FALSE)</f>
        <v>2610N</v>
      </c>
      <c r="Q7" s="61" t="str">
        <f>VLOOKUP(D7,'2.Bookinglist'!A:CT,12,FALSE)</f>
        <v>CHT</v>
      </c>
      <c r="R7" s="60" t="str">
        <f>IF(LEFT(K7,2)="22","20'","40'")</f>
        <v>40'</v>
      </c>
      <c r="S7" s="185" t="n"/>
      <c r="T7" s="61" t="str">
        <f>VLOOKUP(A7,'1.Loading'!A:R,2,FALSE)</f>
        <v>2026-10-08</v>
      </c>
      <c r="U7" s="63">
        <f>T7-S7</f>
        <v>46303</v>
      </c>
      <c r="V7" s="186" t="n"/>
      <c r="W7" s="61" t="str">
        <f>VLOOKUP(A7,'3.GateMove'!A:D,4,FALSE)</f>
        <v>2026-10-03</v>
      </c>
      <c r="X7" s="63">
        <f>((T7-W7)+1)</f>
        <v>6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3</v>
      </c>
      <c r="AE7" s="63">
        <f>(T7-V7)+1</f>
        <v>46304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Vilaiporn</v>
      </c>
      <c r="AL7" s="60" t="str">
        <f>VLOOKUP(D7,'2.Bookinglist'!A:CW,101,FALSE)</f>
        <v>2026-10-07</v>
      </c>
      <c r="AM7" s="60" t="str">
        <f>VLOOKUP(D7,'2.Bookinglist'!A:BK,63,FALSE)</f>
        <v>LCH27</v>
      </c>
      <c r="AN7" s="62" t="str">
        <f>VLOOKUP(D7,'2.Bookinglist'!A:AZ,52,FALSE)</f>
        <v>Pickup : 2026-10-02, Return : 2026-10-03 RF45REx1 (Temp +0.0 / Vent Close) 
CLS TIME : 06/10/2026 @10.00  [1ST RTN 05/10 W/O ELECTRIC] 
 </v>
      </c>
      <c r="AO7" s="62">
        <f>VLOOKUP(D7,'2.Bookinglist'!A:CY,103,FALSE)</f>
        <v>0</v>
      </c>
    </row>
    <row r="8" ht="12.95" customHeight="1">
      <c r="A8" s="96" t="inlineStr">
        <is>
          <t>FBIU5103313</t>
        </is>
      </c>
      <c r="B8" s="184" t="str">
        <f>IF(C8=Charge!$M$1,Charge!$J$1,IF(C8=Charge!$M$23,Charge!$J$23,IF(C8=Charge!$M$17,Charge!$J$17,IF(C8=Charge!$N$17,Charge!$J$17,Charge!$J$7))))</f>
        <v>G2</v>
      </c>
      <c r="C8" s="61" t="str">
        <f>VLOOKUP(A8,'1.Loading'!A:R,14,FALSE)</f>
        <v>LCH05</v>
      </c>
      <c r="D8" s="61" t="str">
        <f>VLOOKUP(A8,'1.Loading'!A:R,17,FALSE)</f>
        <v>HASLS22260900917</v>
      </c>
      <c r="E8" s="62" t="str">
        <f>VLOOKUP(D8,'2.Bookinglist'!A:CT,27,FALSE)</f>
        <v>DYNAMIC INTERTRANSPORT CO., LTD.</v>
      </c>
      <c r="F8" s="62" t="str">
        <f>VLOOKUP(D8,'2.Bookinglist'!A:CT,28,FALSE)</f>
        <v>CP-MEIJI CO., LTD.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HKHKG</v>
      </c>
      <c r="J8" s="61">
        <f>VLOOKUP(D8,'2.Bookinglist'!A:CT,26,FALSE)</f>
        <v>0</v>
      </c>
      <c r="K8" s="61" t="str">
        <f>VLOOKUP(A8,'1.Loading'!A:R,5,FALSE)</f>
        <v>45RE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>RF</v>
      </c>
      <c r="O8" s="61" t="str">
        <f>VLOOKUP(A8,'1.Loading'!A:R,3,FALSE)</f>
        <v>SWDN</v>
      </c>
      <c r="P8" s="61" t="str">
        <f>VLOOKUP(A8,'1.Loading'!A:R,4,FALSE)</f>
        <v>2610N</v>
      </c>
      <c r="Q8" s="61" t="str">
        <f>VLOOKUP(D8,'2.Bookinglist'!A:CT,12,FALSE)</f>
        <v>CHT</v>
      </c>
      <c r="R8" s="60" t="str">
        <f>IF(LEFT(K8,2)="22","20'","40'")</f>
        <v>40'</v>
      </c>
      <c r="S8" s="185" t="n"/>
      <c r="T8" s="61" t="str">
        <f>VLOOKUP(A8,'1.Loading'!A:R,2,FALSE)</f>
        <v>2026-10-08</v>
      </c>
      <c r="U8" s="63">
        <f>T8-S8</f>
        <v>46303</v>
      </c>
      <c r="V8" s="186" t="n"/>
      <c r="W8" s="61" t="str">
        <f>VLOOKUP(A8,'3.GateMove'!A:D,4,FALSE)</f>
        <v>2026-10-03</v>
      </c>
      <c r="X8" s="63">
        <f>((T8-W8)+1)</f>
        <v>6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3</v>
      </c>
      <c r="AE8" s="63">
        <f>(T8-V8)+1</f>
        <v>46304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Vilaiporn</v>
      </c>
      <c r="AL8" s="60" t="str">
        <f>VLOOKUP(D8,'2.Bookinglist'!A:CW,101,FALSE)</f>
        <v>2026-10-07</v>
      </c>
      <c r="AM8" s="60" t="str">
        <f>VLOOKUP(D8,'2.Bookinglist'!A:BK,63,FALSE)</f>
        <v>LCH27</v>
      </c>
      <c r="AN8" s="62" t="str">
        <f>VLOOKUP(D8,'2.Bookinglist'!A:AZ,52,FALSE)</f>
        <v>Pickup : 2026-10-02, Return : 2026-10-03 (Temp +0.0 / Vent Close) 
CLS TIME : 06/10/2026 @10.00  [1ST RTN 05/10 W/O ELECTRIC] </v>
      </c>
      <c r="AO8" s="62">
        <f>VLOOKUP(D8,'2.Bookinglist'!A:CY,103,FALSE)</f>
        <v>0</v>
      </c>
    </row>
    <row r="9" ht="12.95" customHeight="1">
      <c r="A9" s="96" t="inlineStr">
        <is>
          <t>FSCU5893590</t>
        </is>
      </c>
      <c r="B9" s="184" t="str">
        <f>IF(C9=Charge!$M$1,Charge!$J$1,IF(C9=Charge!$M$23,Charge!$J$23,IF(C9=Charge!$M$17,Charge!$J$17,IF(C9=Charge!$N$17,Charge!$J$17,Charge!$J$7))))</f>
        <v>G2</v>
      </c>
      <c r="C9" s="61" t="str">
        <f>VLOOKUP(A9,'1.Loading'!A:R,14,FALSE)</f>
        <v>LCH05</v>
      </c>
      <c r="D9" s="61" t="str">
        <f>VLOOKUP(A9,'1.Loading'!A:R,17,FALSE)</f>
        <v>HASLS22260900918</v>
      </c>
      <c r="E9" s="62" t="str">
        <f>VLOOKUP(D9,'2.Bookinglist'!A:CT,27,FALSE)</f>
        <v>DYNAMIC INTERTRANSPORT CO., LTD.</v>
      </c>
      <c r="F9" s="62" t="str">
        <f>VLOOKUP(D9,'2.Bookinglist'!A:CT,28,FALSE)</f>
        <v>CP-MEIJI CO., LTD.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HKHKG</v>
      </c>
      <c r="J9" s="61">
        <f>VLOOKUP(D9,'2.Bookinglist'!A:CT,26,FALSE)</f>
        <v>0</v>
      </c>
      <c r="K9" s="61" t="str">
        <f>VLOOKUP(A9,'1.Loading'!A:R,5,FALSE)</f>
        <v>45RE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>RF</v>
      </c>
      <c r="O9" s="61" t="str">
        <f>VLOOKUP(A9,'1.Loading'!A:R,3,FALSE)</f>
        <v>SWDN</v>
      </c>
      <c r="P9" s="61" t="str">
        <f>VLOOKUP(A9,'1.Loading'!A:R,4,FALSE)</f>
        <v>2610N</v>
      </c>
      <c r="Q9" s="61" t="str">
        <f>VLOOKUP(D9,'2.Bookinglist'!A:CT,12,FALSE)</f>
        <v>CHT</v>
      </c>
      <c r="R9" s="60" t="str">
        <f>IF(LEFT(K9,2)="22","20'","40'")</f>
        <v>40'</v>
      </c>
      <c r="S9" s="185" t="n"/>
      <c r="T9" s="61" t="str">
        <f>VLOOKUP(A9,'1.Loading'!A:R,2,FALSE)</f>
        <v>2026-10-08</v>
      </c>
      <c r="U9" s="63">
        <f>T9-S9</f>
        <v>46303</v>
      </c>
      <c r="V9" s="186" t="n"/>
      <c r="W9" s="61" t="str">
        <f>VLOOKUP(A9,'3.GateMove'!A:D,4,FALSE)</f>
        <v>2026-10-03</v>
      </c>
      <c r="X9" s="63">
        <f>((T9-W9)+1)</f>
        <v>6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3</v>
      </c>
      <c r="AE9" s="63">
        <f>(T9-V9)+1</f>
        <v>46304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Vilaiporn</v>
      </c>
      <c r="AL9" s="60" t="str">
        <f>VLOOKUP(D9,'2.Bookinglist'!A:CW,101,FALSE)</f>
        <v>2026-10-07</v>
      </c>
      <c r="AM9" s="60" t="str">
        <f>VLOOKUP(D9,'2.Bookinglist'!A:BK,63,FALSE)</f>
        <v>LCH27</v>
      </c>
      <c r="AN9" s="62" t="str">
        <f>VLOOKUP(D9,'2.Bookinglist'!A:AZ,52,FALSE)</f>
        <v>Pickup : 2026-10-02, Return : 2026-10-03 (Temp +0.0 / Vent Close) 
CLS TIME : 06/10/2026 @10.00  [1ST RTN 05/10 W/O ELECTRIC] </v>
      </c>
      <c r="AO9" s="62">
        <f>VLOOKUP(D9,'2.Bookinglist'!A:CY,103,FALSE)</f>
        <v>0</v>
      </c>
    </row>
    <row r="10" ht="12.95" customHeight="1">
      <c r="A10" s="96" t="inlineStr">
        <is>
          <t>GCXU2429912</t>
        </is>
      </c>
      <c r="B10" s="184" t="str">
        <f>IF(C10=Charge!$M$1,Charge!$J$1,IF(C10=Charge!$M$23,Charge!$J$23,IF(C10=Charge!$M$17,Charge!$J$17,IF(C10=Charge!$N$17,Charge!$J$17,Charge!$J$7))))</f>
        <v>G2</v>
      </c>
      <c r="C10" s="61" t="str">
        <f>VLOOKUP(A10,'1.Loading'!A:R,14,FALSE)</f>
        <v>LCH05</v>
      </c>
      <c r="D10" s="61" t="str">
        <f>VLOOKUP(A10,'1.Loading'!A:R,17,FALSE)</f>
        <v>HASLS22260800649</v>
      </c>
      <c r="E10" s="62" t="str">
        <f>VLOOKUP(D10,'2.Bookinglist'!A:CT,27,FALSE)</f>
        <v>NIPPON EXPRESS LOGISTICS (THAILAND) CO., LTD.</v>
      </c>
      <c r="F10" s="62" t="str">
        <f>VLOOKUP(D10,'2.Bookinglist'!A:CT,28,FALSE)</f>
        <v>OLYMPUS(THAILAND) CO., LTD.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SWDN</v>
      </c>
      <c r="P10" s="61" t="str">
        <f>VLOOKUP(A10,'1.Loading'!A:R,4,FALSE)</f>
        <v>2610N</v>
      </c>
      <c r="Q10" s="61" t="str">
        <f>VLOOKUP(D10,'2.Bookinglist'!A:CT,12,FALSE)</f>
        <v>CHT</v>
      </c>
      <c r="R10" s="60" t="str">
        <f>IF(LEFT(K10,2)="22","20'","40'")</f>
        <v>20'</v>
      </c>
      <c r="S10" s="185" t="n"/>
      <c r="T10" s="61" t="str">
        <f>VLOOKUP(A10,'1.Loading'!A:R,2,FALSE)</f>
        <v>2026-10-08</v>
      </c>
      <c r="U10" s="63">
        <f>T10-S10</f>
        <v>46303</v>
      </c>
      <c r="V10" s="186" t="n"/>
      <c r="W10" s="61" t="str">
        <f>VLOOKUP(A10,'3.GateMove'!A:D,4,FALSE)</f>
        <v>2026-10-01</v>
      </c>
      <c r="X10" s="63">
        <f>((T10-W10)+1)</f>
        <v>8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1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125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46304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125</v>
      </c>
      <c r="AJ10" s="188" t="n"/>
      <c r="AK10" s="62" t="str">
        <f>VLOOKUP(D10,'2.Bookinglist'!A:CT,40,FALSE)</f>
        <v>AHN SOON BO</v>
      </c>
      <c r="AL10" s="60" t="str">
        <f>VLOOKUP(D10,'2.Bookinglist'!A:CW,101,FALSE)</f>
        <v>2026-10-03</v>
      </c>
      <c r="AM10" s="60" t="str">
        <f>VLOOKUP(D10,'2.Bookinglist'!A:BK,63,FALSE)</f>
        <v>LCHY5</v>
      </c>
      <c r="AN10" s="62" t="str">
        <f>VLOOKUP(D10,'2.Bookinglist'!A:AZ,52,FALSE)</f>
        <v>Pickup : 2026-09-24, Return : 2026-09-25 [1ST RTN 29/09/2026 W/O RENT]
** PLEASE CHECK OPEN GATE BEFORE RETURN CONTAINER **
 ADD DEM COST 4 DAYS = 1,500 BAHT</v>
      </c>
      <c r="AO10" s="62">
        <f>VLOOKUP(D10,'2.Bookinglist'!A:CY,103,FALSE)</f>
        <v>0</v>
      </c>
    </row>
    <row r="11" ht="12.95" customHeight="1">
      <c r="A11" s="96" t="inlineStr">
        <is>
          <t>HALU2083638</t>
        </is>
      </c>
      <c r="B11" s="184" t="str">
        <f>IF(C11=Charge!$M$1,Charge!$J$1,IF(C11=Charge!$M$23,Charge!$J$23,IF(C11=Charge!$M$17,Charge!$J$17,IF(C11=Charge!$N$17,Charge!$J$17,Charge!$J$7))))</f>
        <v>G2</v>
      </c>
      <c r="C11" s="61" t="str">
        <f>VLOOKUP(A11,'1.Loading'!A:R,14,FALSE)</f>
        <v>LCH05</v>
      </c>
      <c r="D11" s="61" t="str">
        <f>VLOOKUP(A11,'1.Loading'!A:R,17,FALSE)</f>
        <v>HASLS22260901415</v>
      </c>
      <c r="E11" s="62" t="str">
        <f>VLOOKUP(D11,'2.Bookinglist'!A:CT,27,FALSE)</f>
        <v>SCGJWD LOGISTICS PUBLIC COMPANY LIMITED</v>
      </c>
      <c r="F11" s="62" t="str">
        <f>VLOOKUP(D11,'2.Bookinglist'!A:CT,28,FALSE)</f>
        <v>THAI POLYETHYLENE CO., LTD.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CNXMN</v>
      </c>
      <c r="J11" s="61">
        <f>VLOOKUP(D11,'2.Bookinglist'!A:CT,26,FALSE)</f>
        <v>0</v>
      </c>
      <c r="K11" s="61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SWDN</v>
      </c>
      <c r="P11" s="61" t="str">
        <f>VLOOKUP(A11,'1.Loading'!A:R,4,FALSE)</f>
        <v>2610N</v>
      </c>
      <c r="Q11" s="61" t="str">
        <f>VLOOKUP(D11,'2.Bookinglist'!A:CT,12,FALSE)</f>
        <v>CHT</v>
      </c>
      <c r="R11" s="60" t="str">
        <f>IF(LEFT(K11,2)="22","20'","40'")</f>
        <v>20'</v>
      </c>
      <c r="S11" s="185" t="n"/>
      <c r="T11" s="61" t="str">
        <f>VLOOKUP(A11,'1.Loading'!A:R,2,FALSE)</f>
        <v>2026-10-08</v>
      </c>
      <c r="U11" s="63">
        <f>T11-S11</f>
        <v>46303</v>
      </c>
      <c r="V11" s="186" t="n"/>
      <c r="W11" s="61" t="str">
        <f>VLOOKUP(A11,'3.GateMove'!A:D,4,FALSE)</f>
        <v>2026-09-26</v>
      </c>
      <c r="X11" s="63">
        <f>((T11-W11)+1)</f>
        <v>13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6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750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46304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750</v>
      </c>
      <c r="AJ11" s="188" t="n"/>
      <c r="AK11" s="62" t="str">
        <f>VLOOKUP(D11,'2.Bookinglist'!A:CT,40,FALSE)</f>
        <v>Kanokporn</v>
      </c>
      <c r="AL11" s="60" t="str">
        <f>VLOOKUP(D11,'2.Bookinglist'!A:CW,101,FALSE)</f>
        <v>2026-10-07</v>
      </c>
      <c r="AM11" s="60" t="str">
        <f>VLOOKUP(D11,'2.Bookinglist'!A:BK,63,FALSE)</f>
        <v>LCHY5</v>
      </c>
      <c r="AN11" s="62" t="str">
        <f>VLOOKUP(D11,'2.Bookinglist'!A:AZ,52,FALSE)</f>
        <v>CY-RTN : 21-22/09/2026 **INV : 3231006655
REQ GOOD AND CLEAN CONT., NO OIL, NO RUSTY</v>
      </c>
      <c r="AO11" s="62" t="str">
        <f>VLOOKUP(D11,'2.Bookinglist'!A:CY,103,FALSE)</f>
        <v>ROLL OVER FROM PREVIOUS VSL KMGY 2610N BY ALLOCATION TEAM MS.TARN APPROVED COST IS UNDER HAL DD.28/09</v>
      </c>
    </row>
    <row r="12" ht="12.95" customHeight="1">
      <c r="A12" s="96" t="inlineStr">
        <is>
          <t>HALU2313129</t>
        </is>
      </c>
      <c r="B12" s="184" t="str">
        <f>IF(C12=Charge!$M$1,Charge!$J$1,IF(C12=Charge!$M$23,Charge!$J$23,IF(C12=Charge!$M$17,Charge!$J$17,IF(C12=Charge!$N$17,Charge!$J$17,Charge!$J$7))))</f>
        <v>G2</v>
      </c>
      <c r="C12" s="61" t="str">
        <f>VLOOKUP(A12,'1.Loading'!A:R,14,FALSE)</f>
        <v>LCH05</v>
      </c>
      <c r="D12" s="61" t="str">
        <f>VLOOKUP(A12,'1.Loading'!A:R,17,FALSE)</f>
        <v>HASLS22260900563</v>
      </c>
      <c r="E12" s="62" t="str">
        <f>VLOOKUP(D12,'2.Bookinglist'!A:CT,27,FALSE)</f>
        <v>WHA GC LOGISTICS COMPANY LIMITED</v>
      </c>
      <c r="F12" s="62" t="str">
        <f>VLOOKUP(D12,'2.Bookinglist'!A:CT,28,FALSE)</f>
        <v>PTT GLOBAL CHEMICAL PUBLIC COMPANY LIMITED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SWDN</v>
      </c>
      <c r="P12" s="61" t="str">
        <f>VLOOKUP(A12,'1.Loading'!A:R,4,FALSE)</f>
        <v>2610N</v>
      </c>
      <c r="Q12" s="61" t="str">
        <f>VLOOKUP(D12,'2.Bookinglist'!A:CT,12,FALSE)</f>
        <v>CHT</v>
      </c>
      <c r="R12" s="60" t="str">
        <f>IF(LEFT(K12,2)="22","20'","40'")</f>
        <v>20'</v>
      </c>
      <c r="S12" s="185" t="n"/>
      <c r="T12" s="61" t="str">
        <f>VLOOKUP(A12,'1.Loading'!A:R,2,FALSE)</f>
        <v>2026-10-08</v>
      </c>
      <c r="U12" s="63">
        <f>T12-S12</f>
        <v>46303</v>
      </c>
      <c r="V12" s="186" t="n"/>
      <c r="W12" s="61" t="str">
        <f>VLOOKUP(A12,'3.GateMove'!A:D,4,FALSE)</f>
        <v>2026-10-03</v>
      </c>
      <c r="X12" s="63">
        <f>((T12-W12)+1)</f>
        <v>6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46304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Dharaporn</v>
      </c>
      <c r="AL12" s="60" t="str">
        <f>VLOOKUP(D12,'2.Bookinglist'!A:CW,101,FALSE)</f>
        <v>2026-09-30</v>
      </c>
      <c r="AM12" s="60" t="str">
        <f>VLOOKUP(D12,'2.Bookinglist'!A:BK,63,FALSE)</f>
        <v>LCH27</v>
      </c>
      <c r="AN12" s="62" t="str">
        <f>VLOOKUP(D12,'2.Bookinglist'!A:AZ,52,FALSE)</f>
        <v>CY-RTN 21-25/09/26 (CIVET TERMINAL)
*PLS CHECK OPEN GATE BEFORE RETURN CTNR*</v>
      </c>
      <c r="AO12" s="62">
        <f>VLOOKUP(D12,'2.Bookinglist'!A:CY,103,FALSE)</f>
        <v>0</v>
      </c>
    </row>
    <row r="13" ht="12.95" customHeight="1">
      <c r="A13" s="96" t="inlineStr">
        <is>
          <t>HALU2352969</t>
        </is>
      </c>
      <c r="B13" s="184" t="str">
        <f>IF(C13=Charge!$M$1,Charge!$J$1,IF(C13=Charge!$M$23,Charge!$J$23,IF(C13=Charge!$M$17,Charge!$J$17,IF(C13=Charge!$N$17,Charge!$J$17,Charge!$J$7))))</f>
        <v>G2</v>
      </c>
      <c r="C13" s="61" t="str">
        <f>VLOOKUP(A13,'1.Loading'!A:R,14,FALSE)</f>
        <v>LCH05</v>
      </c>
      <c r="D13" s="61" t="str">
        <f>VLOOKUP(A13,'1.Loading'!A:R,17,FALSE)</f>
        <v>HASLS22260901146</v>
      </c>
      <c r="E13" s="62" t="str">
        <f>VLOOKUP(D13,'2.Bookinglist'!A:CT,27,FALSE)</f>
        <v>WHA GC LOGISTICS COMPANY LIMITED</v>
      </c>
      <c r="F13" s="62" t="str">
        <f>VLOOKUP(D13,'2.Bookinglist'!A:CT,28,FALSE)</f>
        <v>PTT GLOBAL CHEMICAL PUBLIC COMPANY LIMITED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CNXMN</v>
      </c>
      <c r="J13" s="61">
        <f>VLOOKUP(D13,'2.Bookinglist'!A:CT,26,FALSE)</f>
        <v>0</v>
      </c>
      <c r="K13" s="61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SWDN</v>
      </c>
      <c r="P13" s="61" t="str">
        <f>VLOOKUP(A13,'1.Loading'!A:R,4,FALSE)</f>
        <v>2610N</v>
      </c>
      <c r="Q13" s="61" t="str">
        <f>VLOOKUP(D13,'2.Bookinglist'!A:CT,12,FALSE)</f>
        <v>CHT</v>
      </c>
      <c r="R13" s="60" t="str">
        <f>IF(LEFT(K13,2)="22","20'","40'")</f>
        <v>20'</v>
      </c>
      <c r="S13" s="185" t="n"/>
      <c r="T13" s="61" t="str">
        <f>VLOOKUP(A13,'1.Loading'!A:R,2,FALSE)</f>
        <v>2026-10-08</v>
      </c>
      <c r="U13" s="63">
        <f>T13-S13</f>
        <v>46303</v>
      </c>
      <c r="V13" s="186" t="n"/>
      <c r="W13" s="61" t="str">
        <f>VLOOKUP(A13,'3.GateMove'!A:D,4,FALSE)</f>
        <v>2026-10-01</v>
      </c>
      <c r="X13" s="63">
        <f>((T13-W13)+1)</f>
        <v>8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1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125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46304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125</v>
      </c>
      <c r="AJ13" s="188" t="n"/>
      <c r="AK13" s="62" t="str">
        <f>VLOOKUP(D13,'2.Bookinglist'!A:CT,40,FALSE)</f>
        <v>Dharaporn</v>
      </c>
      <c r="AL13" s="60" t="str">
        <f>VLOOKUP(D13,'2.Bookinglist'!A:CW,101,FALSE)</f>
        <v>2026-10-01</v>
      </c>
      <c r="AM13" s="60" t="str">
        <f>VLOOKUP(D13,'2.Bookinglist'!A:BK,63,FALSE)</f>
        <v>LCHY5</v>
      </c>
      <c r="AN13" s="62" t="str">
        <f>VLOOKUP(D13,'2.Bookinglist'!A:AZ,52,FALSE)</f>
        <v>CY-RTN 21-25/09/26 *PR2610003144*
</v>
      </c>
      <c r="AO13" s="62">
        <f>VLOOKUP(D13,'2.Bookinglist'!A:CY,103,FALSE)</f>
        <v>0</v>
      </c>
    </row>
    <row r="14" ht="12.95" customHeight="1">
      <c r="A14" s="96" t="inlineStr">
        <is>
          <t>HALU2400286</t>
        </is>
      </c>
      <c r="B14" s="184" t="str">
        <f>IF(C14=Charge!$M$1,Charge!$J$1,IF(C14=Charge!$M$23,Charge!$J$23,IF(C14=Charge!$M$17,Charge!$J$17,IF(C14=Charge!$N$17,Charge!$J$17,Charge!$J$7))))</f>
        <v>G2</v>
      </c>
      <c r="C14" s="61" t="str">
        <f>VLOOKUP(A14,'1.Loading'!A:R,14,FALSE)</f>
        <v>LCH05</v>
      </c>
      <c r="D14" s="61" t="str">
        <f>VLOOKUP(A14,'1.Loading'!A:R,17,FALSE)</f>
        <v>HASLS22260900563</v>
      </c>
      <c r="E14" s="62" t="str">
        <f>VLOOKUP(D14,'2.Bookinglist'!A:CT,27,FALSE)</f>
        <v>WHA GC LOGISTICS COMPANY LIMITED</v>
      </c>
      <c r="F14" s="62" t="str">
        <f>VLOOKUP(D14,'2.Bookinglist'!A:CT,28,FALSE)</f>
        <v>PTT GLOBAL CHEMICAL PUBLIC COMPANY LIMITED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SWDN</v>
      </c>
      <c r="P14" s="61" t="str">
        <f>VLOOKUP(A14,'1.Loading'!A:R,4,FALSE)</f>
        <v>2610N</v>
      </c>
      <c r="Q14" s="61" t="str">
        <f>VLOOKUP(D14,'2.Bookinglist'!A:CT,12,FALSE)</f>
        <v>CHT</v>
      </c>
      <c r="R14" s="60" t="str">
        <f>IF(LEFT(K14,2)="22","20'","40'")</f>
        <v>20'</v>
      </c>
      <c r="S14" s="185" t="n"/>
      <c r="T14" s="61" t="str">
        <f>VLOOKUP(A14,'1.Loading'!A:R,2,FALSE)</f>
        <v>2026-10-08</v>
      </c>
      <c r="U14" s="63">
        <f>T14-S14</f>
        <v>46303</v>
      </c>
      <c r="V14" s="186" t="n"/>
      <c r="W14" s="61" t="str">
        <f>VLOOKUP(A14,'3.GateMove'!A:D,4,FALSE)</f>
        <v>2026-10-05</v>
      </c>
      <c r="X14" s="63">
        <f>((T14-W14)+1)</f>
        <v>4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46304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Dharaporn</v>
      </c>
      <c r="AL14" s="60" t="str">
        <f>VLOOKUP(D14,'2.Bookinglist'!A:CW,101,FALSE)</f>
        <v>2026-09-30</v>
      </c>
      <c r="AM14" s="60" t="str">
        <f>VLOOKUP(D14,'2.Bookinglist'!A:BK,63,FALSE)</f>
        <v>LCH27</v>
      </c>
      <c r="AN14" s="62" t="str">
        <f>VLOOKUP(D14,'2.Bookinglist'!A:AZ,52,FALSE)</f>
        <v>CY-RTN 21-25/09/26 (CIVET TERMINAL)
*PLS CHECK OPEN GATE BEFORE RETURN CTNR*</v>
      </c>
      <c r="AO14" s="62">
        <f>VLOOKUP(D14,'2.Bookinglist'!A:CY,103,FALSE)</f>
        <v>0</v>
      </c>
    </row>
    <row r="15" ht="12.95" customHeight="1">
      <c r="A15" s="96" t="inlineStr">
        <is>
          <t>HALU2446630</t>
        </is>
      </c>
      <c r="B15" s="184" t="str">
        <f>IF(C15=Charge!$M$1,Charge!$J$1,IF(C15=Charge!$M$23,Charge!$J$23,IF(C15=Charge!$M$17,Charge!$J$17,IF(C15=Charge!$N$17,Charge!$J$17,Charge!$J$7))))</f>
        <v>G2</v>
      </c>
      <c r="C15" s="61" t="str">
        <f>VLOOKUP(A15,'1.Loading'!A:R,14,FALSE)</f>
        <v>LCH05</v>
      </c>
      <c r="D15" s="61" t="str">
        <f>VLOOKUP(A15,'1.Loading'!A:R,17,FALSE)</f>
        <v>HASLS22260900777</v>
      </c>
      <c r="E15" s="62" t="str">
        <f>VLOOKUP(D15,'2.Bookinglist'!A:CT,27,FALSE)</f>
        <v>T.C.PHARMACEUTICAL INDUSTRIES CO., LTD.</v>
      </c>
      <c r="F15" s="62" t="str">
        <f>VLOOKUP(D15,'2.Bookinglist'!A:CT,28,FALSE)</f>
        <v>T.C.PHARMACEUTICAL INDUSTRIES CO., LTD.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KRINC</v>
      </c>
      <c r="J15" s="61">
        <f>VLOOKUP(D15,'2.Bookinglist'!A:CT,26,FALSE)</f>
        <v>0</v>
      </c>
      <c r="K15" s="61" t="str">
        <f>VLOOKUP(A15,'1.Loading'!A:R,5,FALSE)</f>
        <v>22GP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SWDN</v>
      </c>
      <c r="P15" s="61" t="str">
        <f>VLOOKUP(A15,'1.Loading'!A:R,4,FALSE)</f>
        <v>2610N</v>
      </c>
      <c r="Q15" s="61" t="str">
        <f>VLOOKUP(D15,'2.Bookinglist'!A:CT,12,FALSE)</f>
        <v>CHT</v>
      </c>
      <c r="R15" s="60" t="str">
        <f>IF(LEFT(K15,2)="22","20'","40'")</f>
        <v>20'</v>
      </c>
      <c r="S15" s="185" t="n"/>
      <c r="T15" s="61" t="str">
        <f>VLOOKUP(A15,'1.Loading'!A:R,2,FALSE)</f>
        <v>2026-10-08</v>
      </c>
      <c r="U15" s="63">
        <f>T15-S15</f>
        <v>46303</v>
      </c>
      <c r="V15" s="186" t="n"/>
      <c r="W15" s="61" t="str">
        <f>VLOOKUP(A15,'3.GateMove'!A:D,4,FALSE)</f>
        <v>2026-10-03</v>
      </c>
      <c r="X15" s="63">
        <f>((T15-W15)+1)</f>
        <v>6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46304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Lee suk hyun</v>
      </c>
      <c r="AL15" s="60" t="str">
        <f>VLOOKUP(D15,'2.Bookinglist'!A:CW,101,FALSE)</f>
        <v>2026-10-03</v>
      </c>
      <c r="AM15" s="60" t="str">
        <f>VLOOKUP(D15,'2.Bookinglist'!A:BK,63,FALSE)</f>
        <v>LCHY5</v>
      </c>
      <c r="AN15" s="62" t="str">
        <f>VLOOKUP(D15,'2.Bookinglist'!A:AZ,52,FALSE)</f>
        <v>CY-RTN : 02-03/10/2026
PO : 20260824WKTCP05</v>
      </c>
      <c r="AO15" s="62">
        <f>VLOOKUP(D15,'2.Bookinglist'!A:CY,103,FALSE)</f>
        <v>0</v>
      </c>
    </row>
    <row r="16" ht="12.95" customHeight="1">
      <c r="A16" s="96" t="inlineStr">
        <is>
          <t>HALU2453943</t>
        </is>
      </c>
      <c r="B16" s="184" t="str">
        <f>IF(C16=Charge!$M$1,Charge!$J$1,IF(C16=Charge!$M$23,Charge!$J$23,IF(C16=Charge!$M$17,Charge!$J$17,IF(C16=Charge!$N$17,Charge!$J$17,Charge!$J$7))))</f>
        <v>G2</v>
      </c>
      <c r="C16" s="61" t="str">
        <f>VLOOKUP(A16,'1.Loading'!A:R,14,FALSE)</f>
        <v>LCH05</v>
      </c>
      <c r="D16" s="61" t="str">
        <f>VLOOKUP(A16,'1.Loading'!A:R,17,FALSE)</f>
        <v>HASLS22260900563</v>
      </c>
      <c r="E16" s="62" t="str">
        <f>VLOOKUP(D16,'2.Bookinglist'!A:CT,27,FALSE)</f>
        <v>WHA GC LOGISTICS COMPANY LIMITED</v>
      </c>
      <c r="F16" s="62" t="str">
        <f>VLOOKUP(D16,'2.Bookinglist'!A:CT,28,FALSE)</f>
        <v>PTT GLOBAL CHEMICAL PUBLIC COMPANY LIMITED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HKHKG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SWDN</v>
      </c>
      <c r="P16" s="61" t="str">
        <f>VLOOKUP(A16,'1.Loading'!A:R,4,FALSE)</f>
        <v>2610N</v>
      </c>
      <c r="Q16" s="61" t="str">
        <f>VLOOKUP(D16,'2.Bookinglist'!A:CT,12,FALSE)</f>
        <v>CHT</v>
      </c>
      <c r="R16" s="60" t="str">
        <f>IF(LEFT(K16,2)="22","20'","40'")</f>
        <v>20'</v>
      </c>
      <c r="S16" s="185" t="n"/>
      <c r="T16" s="61" t="str">
        <f>VLOOKUP(A16,'1.Loading'!A:R,2,FALSE)</f>
        <v>2026-10-08</v>
      </c>
      <c r="U16" s="63">
        <f>T16-S16</f>
        <v>46303</v>
      </c>
      <c r="V16" s="186" t="n"/>
      <c r="W16" s="61" t="str">
        <f>VLOOKUP(A16,'3.GateMove'!A:D,4,FALSE)</f>
        <v>2026-10-05</v>
      </c>
      <c r="X16" s="63">
        <f>((T16-W16)+1)</f>
        <v>4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46304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Dharaporn</v>
      </c>
      <c r="AL16" s="60" t="str">
        <f>VLOOKUP(D16,'2.Bookinglist'!A:CW,101,FALSE)</f>
        <v>2026-09-30</v>
      </c>
      <c r="AM16" s="60" t="str">
        <f>VLOOKUP(D16,'2.Bookinglist'!A:BK,63,FALSE)</f>
        <v>LCH27</v>
      </c>
      <c r="AN16" s="62" t="str">
        <f>VLOOKUP(D16,'2.Bookinglist'!A:AZ,52,FALSE)</f>
        <v>CY-RTN 21-25/09/26 (CIVET TERMINAL)
*PLS CHECK OPEN GATE BEFORE RETURN CTNR*</v>
      </c>
      <c r="AO16" s="62">
        <f>VLOOKUP(D16,'2.Bookinglist'!A:CY,103,FALSE)</f>
        <v>0</v>
      </c>
    </row>
    <row r="17" ht="12.95" customHeight="1">
      <c r="A17" s="96" t="inlineStr">
        <is>
          <t>HALU2526124</t>
        </is>
      </c>
      <c r="B17" s="184" t="str">
        <f>IF(C17=Charge!$M$1,Charge!$J$1,IF(C17=Charge!$M$23,Charge!$J$23,IF(C17=Charge!$M$17,Charge!$J$17,IF(C17=Charge!$N$17,Charge!$J$17,Charge!$J$7))))</f>
        <v>G2</v>
      </c>
      <c r="C17" s="61" t="str">
        <f>VLOOKUP(A17,'1.Loading'!A:R,14,FALSE)</f>
        <v>LCH05</v>
      </c>
      <c r="D17" s="61" t="str">
        <f>VLOOKUP(A17,'1.Loading'!A:R,17,FALSE)</f>
        <v>HASLS22260900563</v>
      </c>
      <c r="E17" s="62" t="str">
        <f>VLOOKUP(D17,'2.Bookinglist'!A:CT,27,FALSE)</f>
        <v>WHA GC LOGISTICS COMPANY LIMITED</v>
      </c>
      <c r="F17" s="62" t="str">
        <f>VLOOKUP(D17,'2.Bookinglist'!A:CT,28,FALSE)</f>
        <v>PTT GLOBAL CHEMICAL PUBLIC COMPANY LIMITED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HKHKG</v>
      </c>
      <c r="J17" s="61">
        <f>VLOOKUP(D17,'2.Bookinglist'!A:CT,26,FALSE)</f>
        <v>0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SWDN</v>
      </c>
      <c r="P17" s="61" t="str">
        <f>VLOOKUP(A17,'1.Loading'!A:R,4,FALSE)</f>
        <v>2610N</v>
      </c>
      <c r="Q17" s="61" t="str">
        <f>VLOOKUP(D17,'2.Bookinglist'!A:CT,12,FALSE)</f>
        <v>CHT</v>
      </c>
      <c r="R17" s="60" t="str">
        <f>IF(LEFT(K17,2)="22","20'","40'")</f>
        <v>20'</v>
      </c>
      <c r="S17" s="185" t="n"/>
      <c r="T17" s="61" t="str">
        <f>VLOOKUP(A17,'1.Loading'!A:R,2,FALSE)</f>
        <v>2026-10-08</v>
      </c>
      <c r="U17" s="63">
        <f>T17-S17</f>
        <v>46303</v>
      </c>
      <c r="V17" s="186" t="n"/>
      <c r="W17" s="61" t="str">
        <f>VLOOKUP(A17,'3.GateMove'!A:D,4,FALSE)</f>
        <v>2026-10-03</v>
      </c>
      <c r="X17" s="63">
        <f>((T17-W17)+1)</f>
        <v>6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46304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Dharaporn</v>
      </c>
      <c r="AL17" s="60" t="str">
        <f>VLOOKUP(D17,'2.Bookinglist'!A:CW,101,FALSE)</f>
        <v>2026-09-30</v>
      </c>
      <c r="AM17" s="60" t="str">
        <f>VLOOKUP(D17,'2.Bookinglist'!A:BK,63,FALSE)</f>
        <v>LCH27</v>
      </c>
      <c r="AN17" s="62" t="str">
        <f>VLOOKUP(D17,'2.Bookinglist'!A:AZ,52,FALSE)</f>
        <v>CY-RTN 21-25/09/26 (CIVET TERMINAL)
*PLS CHECK OPEN GATE BEFORE RETURN CTNR*</v>
      </c>
      <c r="AO17" s="62">
        <f>VLOOKUP(D17,'2.Bookinglist'!A:CY,103,FALSE)</f>
        <v>0</v>
      </c>
    </row>
    <row r="18" ht="12.95" customHeight="1">
      <c r="A18" s="96" t="inlineStr">
        <is>
          <t>HALU2567648</t>
        </is>
      </c>
      <c r="B18" s="184" t="str">
        <f>IF(C18=Charge!$M$1,Charge!$J$1,IF(C18=Charge!$M$23,Charge!$J$23,IF(C18=Charge!$M$17,Charge!$J$17,IF(C18=Charge!$N$17,Charge!$J$17,Charge!$J$7))))</f>
        <v>G2</v>
      </c>
      <c r="C18" s="61" t="str">
        <f>VLOOKUP(A18,'1.Loading'!A:R,14,FALSE)</f>
        <v>LCH05</v>
      </c>
      <c r="D18" s="61" t="str">
        <f>VLOOKUP(A18,'1.Loading'!A:R,17,FALSE)</f>
        <v>HASLS22260900563</v>
      </c>
      <c r="E18" s="62" t="str">
        <f>VLOOKUP(D18,'2.Bookinglist'!A:CT,27,FALSE)</f>
        <v>WHA GC LOGISTICS COMPANY LIMITED</v>
      </c>
      <c r="F18" s="62" t="str">
        <f>VLOOKUP(D18,'2.Bookinglist'!A:CT,28,FALSE)</f>
        <v>PTT GLOBAL CHEMICAL PUBLIC COMPANY LIMITED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HKHKG</v>
      </c>
      <c r="J18" s="61">
        <f>VLOOKUP(D18,'2.Bookinglist'!A:CT,26,FALSE)</f>
        <v>0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SWDN</v>
      </c>
      <c r="P18" s="61" t="str">
        <f>VLOOKUP(A18,'1.Loading'!A:R,4,FALSE)</f>
        <v>2610N</v>
      </c>
      <c r="Q18" s="61" t="str">
        <f>VLOOKUP(D18,'2.Bookinglist'!A:CT,12,FALSE)</f>
        <v>CHT</v>
      </c>
      <c r="R18" s="60" t="str">
        <f>IF(LEFT(K18,2)="22","20'","40'")</f>
        <v>20'</v>
      </c>
      <c r="S18" s="185" t="n"/>
      <c r="T18" s="61" t="str">
        <f>VLOOKUP(A18,'1.Loading'!A:R,2,FALSE)</f>
        <v>2026-10-08</v>
      </c>
      <c r="U18" s="63">
        <f>T18-S18</f>
        <v>46303</v>
      </c>
      <c r="V18" s="186" t="n"/>
      <c r="W18" s="61" t="str">
        <f>VLOOKUP(A18,'3.GateMove'!A:D,4,FALSE)</f>
        <v>2026-10-03</v>
      </c>
      <c r="X18" s="63">
        <f>((T18-W18)+1)</f>
        <v>6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46304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Dharaporn</v>
      </c>
      <c r="AL18" s="60" t="str">
        <f>VLOOKUP(D18,'2.Bookinglist'!A:CW,101,FALSE)</f>
        <v>2026-09-30</v>
      </c>
      <c r="AM18" s="60" t="str">
        <f>VLOOKUP(D18,'2.Bookinglist'!A:BK,63,FALSE)</f>
        <v>LCH27</v>
      </c>
      <c r="AN18" s="62" t="str">
        <f>VLOOKUP(D18,'2.Bookinglist'!A:AZ,52,FALSE)</f>
        <v>CY-RTN 21-25/09/26 (CIVET TERMINAL)
*PLS CHECK OPEN GATE BEFORE RETURN CTNR*</v>
      </c>
      <c r="AO18" s="62">
        <f>VLOOKUP(D18,'2.Bookinglist'!A:CY,103,FALSE)</f>
        <v>0</v>
      </c>
    </row>
    <row r="19" ht="12.95" customHeight="1">
      <c r="A19" s="96" t="inlineStr">
        <is>
          <t>HALU2568731</t>
        </is>
      </c>
      <c r="B19" s="184" t="str">
        <f>IF(C19=Charge!$M$1,Charge!$J$1,IF(C19=Charge!$M$23,Charge!$J$23,IF(C19=Charge!$M$17,Charge!$J$17,IF(C19=Charge!$N$17,Charge!$J$17,Charge!$J$7))))</f>
        <v>G2</v>
      </c>
      <c r="C19" s="61" t="str">
        <f>VLOOKUP(A19,'1.Loading'!A:R,14,FALSE)</f>
        <v>LCH05</v>
      </c>
      <c r="D19" s="61" t="str">
        <f>VLOOKUP(A19,'1.Loading'!A:R,17,FALSE)</f>
        <v>HASLS22260900563</v>
      </c>
      <c r="E19" s="62" t="str">
        <f>VLOOKUP(D19,'2.Bookinglist'!A:CT,27,FALSE)</f>
        <v>WHA GC LOGISTICS COMPANY LIMITED</v>
      </c>
      <c r="F19" s="62" t="str">
        <f>VLOOKUP(D19,'2.Bookinglist'!A:CT,28,FALSE)</f>
        <v>PTT GLOBAL CHEMICAL PUBLIC COMPANY LIMITED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HKHKG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SWDN</v>
      </c>
      <c r="P19" s="61" t="str">
        <f>VLOOKUP(A19,'1.Loading'!A:R,4,FALSE)</f>
        <v>2610N</v>
      </c>
      <c r="Q19" s="61" t="str">
        <f>VLOOKUP(D19,'2.Bookinglist'!A:CT,12,FALSE)</f>
        <v>CHT</v>
      </c>
      <c r="R19" s="60" t="str">
        <f>IF(LEFT(K19,2)="22","20'","40'")</f>
        <v>20'</v>
      </c>
      <c r="S19" s="185" t="n"/>
      <c r="T19" s="61" t="str">
        <f>VLOOKUP(A19,'1.Loading'!A:R,2,FALSE)</f>
        <v>2026-10-08</v>
      </c>
      <c r="U19" s="63">
        <f>T19-S19</f>
        <v>46303</v>
      </c>
      <c r="V19" s="186" t="n"/>
      <c r="W19" s="61" t="str">
        <f>VLOOKUP(A19,'3.GateMove'!A:D,4,FALSE)</f>
        <v>2026-10-03</v>
      </c>
      <c r="X19" s="63">
        <f>((T19-W19)+1)</f>
        <v>6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46304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Dharaporn</v>
      </c>
      <c r="AL19" s="60" t="str">
        <f>VLOOKUP(D19,'2.Bookinglist'!A:CW,101,FALSE)</f>
        <v>2026-09-30</v>
      </c>
      <c r="AM19" s="60" t="str">
        <f>VLOOKUP(D19,'2.Bookinglist'!A:BK,63,FALSE)</f>
        <v>LCH27</v>
      </c>
      <c r="AN19" s="62" t="str">
        <f>VLOOKUP(D19,'2.Bookinglist'!A:AZ,52,FALSE)</f>
        <v>CY-RTN 21-25/09/26 (CIVET TERMINAL)
*PLS CHECK OPEN GATE BEFORE RETURN CTNR*</v>
      </c>
      <c r="AO19" s="62">
        <f>VLOOKUP(D19,'2.Bookinglist'!A:CY,103,FALSE)</f>
        <v>0</v>
      </c>
    </row>
    <row r="20" ht="12.95" customHeight="1">
      <c r="A20" s="96" t="inlineStr">
        <is>
          <t>HLHU6407690</t>
        </is>
      </c>
      <c r="B20" s="184" t="str">
        <f>IF(C20=Charge!$M$1,Charge!$J$1,IF(C20=Charge!$M$23,Charge!$J$23,IF(C20=Charge!$M$17,Charge!$J$17,IF(C20=Charge!$N$17,Charge!$J$17,Charge!$J$7))))</f>
        <v>G2</v>
      </c>
      <c r="C20" s="61" t="str">
        <f>VLOOKUP(A20,'1.Loading'!A:R,14,FALSE)</f>
        <v>LCH05</v>
      </c>
      <c r="D20" s="61" t="str">
        <f>VLOOKUP(A20,'1.Loading'!A:R,17,FALSE)</f>
        <v>HASLS22260901600</v>
      </c>
      <c r="E20" s="62" t="str">
        <f>VLOOKUP(D20,'2.Bookinglist'!A:CT,27,FALSE)</f>
        <v>VANACHAI GROUP PUBLIC COMPANY LIMITED</v>
      </c>
      <c r="F20" s="62" t="str">
        <f>VLOOKUP(D20,'2.Bookinglist'!A:CT,28,FALSE)</f>
        <v>VANACHAI GROUP PUBLIC COMPANY LIMITED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KRINC</v>
      </c>
      <c r="J20" s="61">
        <f>VLOOKUP(D20,'2.Bookinglist'!A:CT,26,FALSE)</f>
        <v>0</v>
      </c>
      <c r="K20" s="61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SWDN</v>
      </c>
      <c r="P20" s="61" t="str">
        <f>VLOOKUP(A20,'1.Loading'!A:R,4,FALSE)</f>
        <v>2610N</v>
      </c>
      <c r="Q20" s="61" t="str">
        <f>VLOOKUP(D20,'2.Bookinglist'!A:CT,12,FALSE)</f>
        <v>CHT</v>
      </c>
      <c r="R20" s="60" t="str">
        <f>IF(LEFT(K20,2)="22","20'","40'")</f>
        <v>40'</v>
      </c>
      <c r="S20" s="185" t="n"/>
      <c r="T20" s="61" t="str">
        <f>VLOOKUP(A20,'1.Loading'!A:R,2,FALSE)</f>
        <v>2026-10-08</v>
      </c>
      <c r="U20" s="63">
        <f>T20-S20</f>
        <v>46303</v>
      </c>
      <c r="V20" s="186" t="n"/>
      <c r="W20" s="61" t="str">
        <f>VLOOKUP(A20,'3.GateMove'!A:D,4,FALSE)</f>
        <v>2026-10-03</v>
      </c>
      <c r="X20" s="63">
        <f>((T20-W20)+1)</f>
        <v>6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46304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Arunphat W. (Aiw)</v>
      </c>
      <c r="AL20" s="60" t="str">
        <f>VLOOKUP(D20,'2.Bookinglist'!A:CW,101,FALSE)</f>
        <v>2026-10-01</v>
      </c>
      <c r="AM20" s="60" t="str">
        <f>VLOOKUP(D20,'2.Bookinglist'!A:BK,63,FALSE)</f>
        <v>LCH27</v>
      </c>
      <c r="AN20" s="62" t="str">
        <f>VLOOKUP(D20,'2.Bookinglist'!A:AZ,52,FALSE)</f>
        <v>CY 02/10/2026 - RTN 03/10/2026  (VI(MDF) – 2026/272(Z)
 ** PLEASE CHECK OPEN GATE BEFORE RETURN CNTR **
</v>
      </c>
      <c r="AO20" s="62">
        <f>VLOOKUP(D20,'2.Bookinglist'!A:CY,103,FALSE)</f>
        <v>0</v>
      </c>
    </row>
    <row r="21" ht="12.95" customHeight="1">
      <c r="A21" s="96" t="inlineStr">
        <is>
          <t>HLHU8108620</t>
        </is>
      </c>
      <c r="B21" s="184" t="str">
        <f>IF(C21=Charge!$M$1,Charge!$J$1,IF(C21=Charge!$M$23,Charge!$J$23,IF(C21=Charge!$M$17,Charge!$J$17,IF(C21=Charge!$N$17,Charge!$J$17,Charge!$J$7))))</f>
        <v>G2</v>
      </c>
      <c r="C21" s="61" t="str">
        <f>VLOOKUP(A21,'1.Loading'!A:R,14,FALSE)</f>
        <v>LCH05</v>
      </c>
      <c r="D21" s="61" t="str">
        <f>VLOOKUP(A21,'1.Loading'!A:R,17,FALSE)</f>
        <v>HASLS22260901610</v>
      </c>
      <c r="E21" s="62" t="str">
        <f>VLOOKUP(D21,'2.Bookinglist'!A:CT,27,FALSE)</f>
        <v>VANACHAI GROUP PUBLIC COMPANY LIMITED</v>
      </c>
      <c r="F21" s="62" t="str">
        <f>VLOOKUP(D21,'2.Bookinglist'!A:CT,28,FALSE)</f>
        <v>VANACHAI PANEL INDUSTRIES CO., LTD.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KRINC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SWDN</v>
      </c>
      <c r="P21" s="61" t="str">
        <f>VLOOKUP(A21,'1.Loading'!A:R,4,FALSE)</f>
        <v>2610N</v>
      </c>
      <c r="Q21" s="61" t="str">
        <f>VLOOKUP(D21,'2.Bookinglist'!A:CT,12,FALSE)</f>
        <v>CHT</v>
      </c>
      <c r="R21" s="60" t="str">
        <f>IF(LEFT(K21,2)="22","20'","40'")</f>
        <v>40'</v>
      </c>
      <c r="S21" s="185" t="n"/>
      <c r="T21" s="61" t="str">
        <f>VLOOKUP(A21,'1.Loading'!A:R,2,FALSE)</f>
        <v>2026-10-08</v>
      </c>
      <c r="U21" s="63">
        <f>T21-S21</f>
        <v>46303</v>
      </c>
      <c r="V21" s="186" t="n"/>
      <c r="W21" s="61" t="str">
        <f>VLOOKUP(A21,'3.GateMove'!A:D,4,FALSE)</f>
        <v>2026-10-03</v>
      </c>
      <c r="X21" s="63">
        <f>((T21-W21)+1)</f>
        <v>6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46304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Arunphat W. (Aiw)</v>
      </c>
      <c r="AL21" s="60" t="str">
        <f>VLOOKUP(D21,'2.Bookinglist'!A:CW,101,FALSE)</f>
        <v>2026-10-07</v>
      </c>
      <c r="AM21" s="60" t="str">
        <f>VLOOKUP(D21,'2.Bookinglist'!A:BK,63,FALSE)</f>
        <v>LCH27</v>
      </c>
      <c r="AN21" s="62" t="str">
        <f>VLOOKUP(D21,'2.Bookinglist'!A:AZ,52,FALSE)</f>
        <v>CY-RTN : 02-03/10/2026 *VGM CUT OFF DD.05/10/2026 @ 12.00
REF : (VI(MDF) – 2026/274(Z)
 ** PLEASE CHECK OPEN GATE BEFORE RETURN CNTR **
</v>
      </c>
      <c r="AO21" s="62">
        <f>VLOOKUP(D21,'2.Bookinglist'!A:CY,103,FALSE)</f>
        <v>0</v>
      </c>
    </row>
    <row r="22" ht="12.95" customHeight="1">
      <c r="A22" s="96" t="inlineStr">
        <is>
          <t>HLHU8329473</t>
        </is>
      </c>
      <c r="B22" s="184" t="str">
        <f>IF(C22=Charge!$M$1,Charge!$J$1,IF(C22=Charge!$M$23,Charge!$J$23,IF(C22=Charge!$M$17,Charge!$J$17,IF(C22=Charge!$N$17,Charge!$J$17,Charge!$J$7))))</f>
        <v>G2</v>
      </c>
      <c r="C22" s="61" t="str">
        <f>VLOOKUP(A22,'1.Loading'!A:R,14,FALSE)</f>
        <v>LCH05</v>
      </c>
      <c r="D22" s="61" t="str">
        <f>VLOOKUP(A22,'1.Loading'!A:R,17,FALSE)</f>
        <v>HASLS22260902292</v>
      </c>
      <c r="E22" s="62" t="str">
        <f>VLOOKUP(D22,'2.Bookinglist'!A:CT,27,FALSE)</f>
        <v>MASTERICH COMPANY LIMITED.</v>
      </c>
      <c r="F22" s="62" t="str">
        <f>VLOOKUP(D22,'2.Bookinglist'!A:CT,28,FALSE)</f>
        <v>NATURAL RUBBER THREAD CO., LTD.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CNXMN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SWDN</v>
      </c>
      <c r="P22" s="61" t="str">
        <f>VLOOKUP(A22,'1.Loading'!A:R,4,FALSE)</f>
        <v>2610N</v>
      </c>
      <c r="Q22" s="61" t="str">
        <f>VLOOKUP(D22,'2.Bookinglist'!A:CT,12,FALSE)</f>
        <v>CHT</v>
      </c>
      <c r="R22" s="60" t="str">
        <f>IF(LEFT(K22,2)="22","20'","40'")</f>
        <v>40'</v>
      </c>
      <c r="S22" s="185" t="n"/>
      <c r="T22" s="61" t="str">
        <f>VLOOKUP(A22,'1.Loading'!A:R,2,FALSE)</f>
        <v>2026-10-08</v>
      </c>
      <c r="U22" s="63">
        <f>T22-S22</f>
        <v>46303</v>
      </c>
      <c r="V22" s="186" t="n"/>
      <c r="W22" s="61" t="str">
        <f>VLOOKUP(A22,'3.GateMove'!A:D,4,FALSE)</f>
        <v>2026-10-03</v>
      </c>
      <c r="X22" s="63">
        <f>((T22-W22)+1)</f>
        <v>6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0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46304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0</v>
      </c>
      <c r="AJ22" s="188" t="n"/>
      <c r="AK22" s="62" t="str">
        <f>VLOOKUP(D22,'2.Bookinglist'!A:CT,40,FALSE)</f>
        <v>Kanokporn</v>
      </c>
      <c r="AL22" s="60" t="str">
        <f>VLOOKUP(D22,'2.Bookinglist'!A:CW,101,FALSE)</f>
        <v>2026-10-03</v>
      </c>
      <c r="AM22" s="60" t="str">
        <f>VLOOKUP(D22,'2.Bookinglist'!A:BK,63,FALSE)</f>
        <v>LCHY5</v>
      </c>
      <c r="AN22" s="62" t="str">
        <f>VLOOKUP(D22,'2.Bookinglist'!A:AZ,52,FALSE)</f>
        <v>Pickup : 2026-09-30, Return : 2026-10-02 // EXTEND CLS TIME 02/10 @12.00 
 ** PLEASE CHECK OPEN GATE BEFORE RETURN CNTR **
 </v>
      </c>
      <c r="AO22" s="62">
        <f>VLOOKUP(D22,'2.Bookinglist'!A:CY,103,FALSE)</f>
        <v>0</v>
      </c>
    </row>
    <row r="23" ht="12.95" customHeight="1">
      <c r="A23" s="96" t="inlineStr">
        <is>
          <t>HLHU8388239</t>
        </is>
      </c>
      <c r="B23" s="184" t="str">
        <f>IF(C23=Charge!$M$1,Charge!$J$1,IF(C23=Charge!$M$23,Charge!$J$23,IF(C23=Charge!$M$17,Charge!$J$17,IF(C23=Charge!$N$17,Charge!$J$17,Charge!$J$7))))</f>
        <v>G2</v>
      </c>
      <c r="C23" s="61" t="str">
        <f>VLOOKUP(A23,'1.Loading'!A:R,14,FALSE)</f>
        <v>LCH05</v>
      </c>
      <c r="D23" s="61" t="str">
        <f>VLOOKUP(A23,'1.Loading'!A:R,17,FALSE)</f>
        <v>HASLS22260901610</v>
      </c>
      <c r="E23" s="62" t="str">
        <f>VLOOKUP(D23,'2.Bookinglist'!A:CT,27,FALSE)</f>
        <v>VANACHAI GROUP PUBLIC COMPANY LIMITED</v>
      </c>
      <c r="F23" s="62" t="str">
        <f>VLOOKUP(D23,'2.Bookinglist'!A:CT,28,FALSE)</f>
        <v>VANACHAI PANEL INDUSTRIES CO., LTD.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KRINC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SWDN</v>
      </c>
      <c r="P23" s="61" t="str">
        <f>VLOOKUP(A23,'1.Loading'!A:R,4,FALSE)</f>
        <v>2610N</v>
      </c>
      <c r="Q23" s="61" t="str">
        <f>VLOOKUP(D23,'2.Bookinglist'!A:CT,12,FALSE)</f>
        <v>CHT</v>
      </c>
      <c r="R23" s="60" t="str">
        <f>IF(LEFT(K23,2)="22","20'","40'")</f>
        <v>40'</v>
      </c>
      <c r="S23" s="185" t="n"/>
      <c r="T23" s="61" t="str">
        <f>VLOOKUP(A23,'1.Loading'!A:R,2,FALSE)</f>
        <v>2026-10-08</v>
      </c>
      <c r="U23" s="63">
        <f>T23-S23</f>
        <v>46303</v>
      </c>
      <c r="V23" s="186" t="n"/>
      <c r="W23" s="61" t="str">
        <f>VLOOKUP(A23,'3.GateMove'!A:D,4,FALSE)</f>
        <v>2026-10-03</v>
      </c>
      <c r="X23" s="63">
        <f>((T23-W23)+1)</f>
        <v>6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46304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Arunphat W. (Aiw)</v>
      </c>
      <c r="AL23" s="60" t="str">
        <f>VLOOKUP(D23,'2.Bookinglist'!A:CW,101,FALSE)</f>
        <v>2026-10-07</v>
      </c>
      <c r="AM23" s="60" t="str">
        <f>VLOOKUP(D23,'2.Bookinglist'!A:BK,63,FALSE)</f>
        <v>LCH27</v>
      </c>
      <c r="AN23" s="62" t="str">
        <f>VLOOKUP(D23,'2.Bookinglist'!A:AZ,52,FALSE)</f>
        <v>CY-RTN : 02-03/10/2026 *VGM CUT OFF DD.05/10/2026 @ 12.00
REF : (VI(MDF) – 2026/274(Z)
 ** PLEASE CHECK OPEN GATE BEFORE RETURN CNTR **
</v>
      </c>
      <c r="AO23" s="62">
        <f>VLOOKUP(D23,'2.Bookinglist'!A:CY,103,FALSE)</f>
        <v>0</v>
      </c>
    </row>
    <row r="24" ht="12.95" customHeight="1">
      <c r="A24" s="96" t="inlineStr">
        <is>
          <t>HLHU8468057</t>
        </is>
      </c>
      <c r="B24" s="184" t="str">
        <f>IF(C24=Charge!$M$1,Charge!$J$1,IF(C24=Charge!$M$23,Charge!$J$23,IF(C24=Charge!$M$17,Charge!$J$17,IF(C24=Charge!$N$17,Charge!$J$17,Charge!$J$7))))</f>
        <v>G2</v>
      </c>
      <c r="C24" s="61" t="str">
        <f>VLOOKUP(A24,'1.Loading'!A:R,14,FALSE)</f>
        <v>LCH05</v>
      </c>
      <c r="D24" s="61" t="str">
        <f>VLOOKUP(A24,'1.Loading'!A:R,17,FALSE)</f>
        <v>HASLS22260902174</v>
      </c>
      <c r="E24" s="62" t="str">
        <f>VLOOKUP(D24,'2.Bookinglist'!A:CT,27,FALSE)</f>
        <v>LX PANTOS (THAILAND) CO., LTD.</v>
      </c>
      <c r="F24" s="62" t="str">
        <f>VLOOKUP(D24,'2.Bookinglist'!A:CT,28,FALSE)</f>
        <v>ROFU (THAILAND) LTD.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KRINC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SWDN</v>
      </c>
      <c r="P24" s="61" t="str">
        <f>VLOOKUP(A24,'1.Loading'!A:R,4,FALSE)</f>
        <v>2610N</v>
      </c>
      <c r="Q24" s="61" t="str">
        <f>VLOOKUP(D24,'2.Bookinglist'!A:CT,12,FALSE)</f>
        <v>CHT</v>
      </c>
      <c r="R24" s="60" t="str">
        <f>IF(LEFT(K24,2)="22","20'","40'")</f>
        <v>40'</v>
      </c>
      <c r="S24" s="185" t="n"/>
      <c r="T24" s="61" t="str">
        <f>VLOOKUP(A24,'1.Loading'!A:R,2,FALSE)</f>
        <v>2026-10-08</v>
      </c>
      <c r="U24" s="63">
        <f>T24-S24</f>
        <v>46303</v>
      </c>
      <c r="V24" s="186" t="n"/>
      <c r="W24" s="61" t="str">
        <f>VLOOKUP(A24,'3.GateMove'!A:D,4,FALSE)</f>
        <v>2026-10-02</v>
      </c>
      <c r="X24" s="63">
        <f>((T24-W24)+1)</f>
        <v>7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0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46304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0</v>
      </c>
      <c r="AJ24" s="188" t="n"/>
      <c r="AK24" s="62" t="str">
        <f>VLOOKUP(D24,'2.Bookinglist'!A:CT,40,FALSE)</f>
        <v>Kim jaewon</v>
      </c>
      <c r="AL24" s="60" t="str">
        <f>VLOOKUP(D24,'2.Bookinglist'!A:CW,101,FALSE)</f>
        <v>2026-10-03</v>
      </c>
      <c r="AM24" s="60" t="str">
        <f>VLOOKUP(D24,'2.Bookinglist'!A:BK,63,FALSE)</f>
        <v>LCHY5</v>
      </c>
      <c r="AN24" s="62" t="str">
        <f>VLOOKUP(D24,'2.Bookinglist'!A:AZ,52,FALSE)</f>
        <v>Pickup : 2026-09-28, Return : 2026-09-29</v>
      </c>
      <c r="AO24" s="62">
        <f>VLOOKUP(D24,'2.Bookinglist'!A:CY,103,FALSE)</f>
        <v>0</v>
      </c>
    </row>
    <row r="25" ht="12.95" customHeight="1">
      <c r="A25" s="96" t="inlineStr">
        <is>
          <t>HLHU8483637</t>
        </is>
      </c>
      <c r="B25" s="184" t="str">
        <f>IF(C25=Charge!$M$1,Charge!$J$1,IF(C25=Charge!$M$23,Charge!$J$23,IF(C25=Charge!$M$17,Charge!$J$17,IF(C25=Charge!$N$17,Charge!$J$17,Charge!$J$7))))</f>
        <v>G2</v>
      </c>
      <c r="C25" s="61" t="str">
        <f>VLOOKUP(A25,'1.Loading'!A:R,14,FALSE)</f>
        <v>LCH05</v>
      </c>
      <c r="D25" s="61" t="str">
        <f>VLOOKUP(A25,'1.Loading'!A:R,17,FALSE)</f>
        <v>HASLS22260902292</v>
      </c>
      <c r="E25" s="62" t="str">
        <f>VLOOKUP(D25,'2.Bookinglist'!A:CT,27,FALSE)</f>
        <v>MASTERICH COMPANY LIMITED.</v>
      </c>
      <c r="F25" s="62" t="str">
        <f>VLOOKUP(D25,'2.Bookinglist'!A:CT,28,FALSE)</f>
        <v>NATURAL RUBBER THREAD CO., LTD.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CNXMN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SWDN</v>
      </c>
      <c r="P25" s="61" t="str">
        <f>VLOOKUP(A25,'1.Loading'!A:R,4,FALSE)</f>
        <v>2610N</v>
      </c>
      <c r="Q25" s="61" t="str">
        <f>VLOOKUP(D25,'2.Bookinglist'!A:CT,12,FALSE)</f>
        <v>CHT</v>
      </c>
      <c r="R25" s="60" t="str">
        <f>IF(LEFT(K25,2)="22","20'","40'")</f>
        <v>40'</v>
      </c>
      <c r="S25" s="185" t="n"/>
      <c r="T25" s="61" t="str">
        <f>VLOOKUP(A25,'1.Loading'!A:R,2,FALSE)</f>
        <v>2026-10-08</v>
      </c>
      <c r="U25" s="63">
        <f>T25-S25</f>
        <v>46303</v>
      </c>
      <c r="V25" s="186" t="n"/>
      <c r="W25" s="61" t="str">
        <f>VLOOKUP(A25,'3.GateMove'!A:D,4,FALSE)</f>
        <v>2026-10-03</v>
      </c>
      <c r="X25" s="63">
        <f>((T25-W25)+1)</f>
        <v>6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46304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Kanokporn</v>
      </c>
      <c r="AL25" s="60" t="str">
        <f>VLOOKUP(D25,'2.Bookinglist'!A:CW,101,FALSE)</f>
        <v>2026-10-03</v>
      </c>
      <c r="AM25" s="60" t="str">
        <f>VLOOKUP(D25,'2.Bookinglist'!A:BK,63,FALSE)</f>
        <v>LCHY5</v>
      </c>
      <c r="AN25" s="62" t="str">
        <f>VLOOKUP(D25,'2.Bookinglist'!A:AZ,52,FALSE)</f>
        <v>Pickup : 2026-09-30, Return : 2026-10-02 // EXTEND CLS TIME 02/10 @12.00 
 ** PLEASE CHECK OPEN GATE BEFORE RETURN CNTR **
 </v>
      </c>
      <c r="AO25" s="62">
        <f>VLOOKUP(D25,'2.Bookinglist'!A:CY,103,FALSE)</f>
        <v>0</v>
      </c>
    </row>
    <row r="26" ht="12.95" customHeight="1">
      <c r="A26" s="96" t="inlineStr">
        <is>
          <t>HLHU8508859</t>
        </is>
      </c>
      <c r="B26" s="184" t="str">
        <f>IF(C26=Charge!$M$1,Charge!$J$1,IF(C26=Charge!$M$23,Charge!$J$23,IF(C26=Charge!$M$17,Charge!$J$17,IF(C26=Charge!$N$17,Charge!$J$17,Charge!$J$7))))</f>
        <v>G2</v>
      </c>
      <c r="C26" s="61" t="str">
        <f>VLOOKUP(A26,'1.Loading'!A:R,14,FALSE)</f>
        <v>LCH05</v>
      </c>
      <c r="D26" s="61" t="str">
        <f>VLOOKUP(A26,'1.Loading'!A:R,17,FALSE)</f>
        <v>HASLS22260902144</v>
      </c>
      <c r="E26" s="62" t="str">
        <f>VLOOKUP(D26,'2.Bookinglist'!A:CT,27,FALSE)</f>
        <v>CANVAS GLOBAL LOGISTICS (THAILAND) CO., LTD.</v>
      </c>
      <c r="F26" s="62" t="str">
        <f>VLOOKUP(D26,'2.Bookinglist'!A:CT,28,FALSE)</f>
        <v>SRI TRANG GLOVES (THAILAND) PUBLIC COMPANY LIMITED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KRINC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SWDN</v>
      </c>
      <c r="P26" s="61" t="str">
        <f>VLOOKUP(A26,'1.Loading'!A:R,4,FALSE)</f>
        <v>2610N</v>
      </c>
      <c r="Q26" s="61" t="str">
        <f>VLOOKUP(D26,'2.Bookinglist'!A:CT,12,FALSE)</f>
        <v>CHT</v>
      </c>
      <c r="R26" s="60" t="str">
        <f>IF(LEFT(K26,2)="22","20'","40'")</f>
        <v>40'</v>
      </c>
      <c r="S26" s="185" t="n"/>
      <c r="T26" s="61" t="str">
        <f>VLOOKUP(A26,'1.Loading'!A:R,2,FALSE)</f>
        <v>2026-10-08</v>
      </c>
      <c r="U26" s="63">
        <f>T26-S26</f>
        <v>46303</v>
      </c>
      <c r="V26" s="186" t="n"/>
      <c r="W26" s="61" t="str">
        <f>VLOOKUP(A26,'3.GateMove'!A:D,4,FALSE)</f>
        <v>2026-09-30</v>
      </c>
      <c r="X26" s="63">
        <f>((T26-W26)+1)</f>
        <v>9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2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500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46304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500</v>
      </c>
      <c r="AJ26" s="188" t="n"/>
      <c r="AK26" s="62" t="str">
        <f>VLOOKUP(D26,'2.Bookinglist'!A:CT,40,FALSE)</f>
        <v>Arunphat W. (Aiw)</v>
      </c>
      <c r="AL26" s="60" t="str">
        <f>VLOOKUP(D26,'2.Bookinglist'!A:CW,101,FALSE)</f>
        <v>2026-10-03</v>
      </c>
      <c r="AM26" s="60" t="str">
        <f>VLOOKUP(D26,'2.Bookinglist'!A:BK,63,FALSE)</f>
        <v>LCHY5</v>
      </c>
      <c r="AN26" s="62" t="str">
        <f>VLOOKUP(D26,'2.Bookinglist'!A:AZ,52,FALSE)</f>
        <v>Pickup : 2026-09-26, Return : 2026-09-28 [1ST RTN 29/09/2026 W/O RENT]
** PLEASE CHECK OPEN GATE BEFORE RETURN CONTAINER ** </v>
      </c>
      <c r="AO26" s="62">
        <f>VLOOKUP(D26,'2.Bookinglist'!A:CY,103,FALSE)</f>
        <v>0</v>
      </c>
    </row>
    <row r="27" ht="12.95" customHeight="1">
      <c r="A27" s="96" t="inlineStr">
        <is>
          <t>KMLU2800151</t>
        </is>
      </c>
      <c r="B27" s="184" t="str">
        <f>IF(C27=Charge!$M$1,Charge!$J$1,IF(C27=Charge!$M$23,Charge!$J$23,IF(C27=Charge!$M$17,Charge!$J$17,IF(C27=Charge!$N$17,Charge!$J$17,Charge!$J$7))))</f>
        <v>G2</v>
      </c>
      <c r="C27" s="61" t="str">
        <f>VLOOKUP(A27,'1.Loading'!A:R,14,FALSE)</f>
        <v>LCH05</v>
      </c>
      <c r="D27" s="61" t="str">
        <f>VLOOKUP(A27,'1.Loading'!A:R,17,FALSE)</f>
        <v>HASLS22260902542</v>
      </c>
      <c r="E27" s="62" t="str">
        <f>VLOOKUP(D27,'2.Bookinglist'!A:CT,27,FALSE)</f>
        <v>MAXTOP LOGISTICS (THAILAND) CO., LTD.</v>
      </c>
      <c r="F27" s="62" t="str">
        <f>VLOOKUP(D27,'2.Bookinglist'!A:CT,28,FALSE)</f>
        <v>ALLIANCE LAUNDRY (THAILAND) CO., LTD.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KRINC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SWDN</v>
      </c>
      <c r="P27" s="61" t="str">
        <f>VLOOKUP(A27,'1.Loading'!A:R,4,FALSE)</f>
        <v>2610N</v>
      </c>
      <c r="Q27" s="61" t="str">
        <f>VLOOKUP(D27,'2.Bookinglist'!A:CT,12,FALSE)</f>
        <v>CHT</v>
      </c>
      <c r="R27" s="60" t="str">
        <f>IF(LEFT(K27,2)="22","20'","40'")</f>
        <v>20'</v>
      </c>
      <c r="S27" s="185" t="n"/>
      <c r="T27" s="61" t="str">
        <f>VLOOKUP(A27,'1.Loading'!A:R,2,FALSE)</f>
        <v>2026-10-08</v>
      </c>
      <c r="U27" s="63">
        <f>T27-S27</f>
        <v>46303</v>
      </c>
      <c r="V27" s="186" t="n"/>
      <c r="W27" s="61" t="str">
        <f>VLOOKUP(A27,'3.GateMove'!A:D,4,FALSE)</f>
        <v>2026-10-03</v>
      </c>
      <c r="X27" s="63">
        <f>((T27-W27)+1)</f>
        <v>6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46304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Arunphat W. (Aiw)</v>
      </c>
      <c r="AL27" s="60" t="str">
        <f>VLOOKUP(D27,'2.Bookinglist'!A:CW,101,FALSE)</f>
        <v>2026-10-07</v>
      </c>
      <c r="AM27" s="60" t="str">
        <f>VLOOKUP(D27,'2.Bookinglist'!A:BK,63,FALSE)</f>
        <v>LCHY5</v>
      </c>
      <c r="AN27" s="62" t="str">
        <f>VLOOKUP(D27,'2.Bookinglist'!A:AZ,52,FALSE)</f>
        <v>Pickup : 2026-10-01, Return : 2026-10-03 *1ST RETURN CNTR DD.03/10/2026*
 ** PLEASE CHECK OPEN GATE BEFORE RETURN CNTR ** 
</v>
      </c>
      <c r="AO27" s="62">
        <f>VLOOKUP(D27,'2.Bookinglist'!A:CY,103,FALSE)</f>
        <v>0</v>
      </c>
    </row>
    <row r="28" ht="12.95" customHeight="1">
      <c r="A28" s="96" t="inlineStr">
        <is>
          <t>SEKU4426240</t>
        </is>
      </c>
      <c r="B28" s="184" t="str">
        <f>IF(C28=Charge!$M$1,Charge!$J$1,IF(C28=Charge!$M$23,Charge!$J$23,IF(C28=Charge!$M$17,Charge!$J$17,IF(C28=Charge!$N$17,Charge!$J$17,Charge!$J$7))))</f>
        <v>G2</v>
      </c>
      <c r="C28" s="61" t="str">
        <f>VLOOKUP(A28,'1.Loading'!A:R,14,FALSE)</f>
        <v>LCH05</v>
      </c>
      <c r="D28" s="61" t="str">
        <f>VLOOKUP(A28,'1.Loading'!A:R,17,FALSE)</f>
        <v>HASLS22260901600</v>
      </c>
      <c r="E28" s="62" t="str">
        <f>VLOOKUP(D28,'2.Bookinglist'!A:CT,27,FALSE)</f>
        <v>VANACHAI GROUP PUBLIC COMPANY LIMITED</v>
      </c>
      <c r="F28" s="62" t="str">
        <f>VLOOKUP(D28,'2.Bookinglist'!A:CT,28,FALSE)</f>
        <v>VANACHAI GROUP PUBLIC COMPANY LIMITED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KRINC</v>
      </c>
      <c r="J28" s="61">
        <f>VLOOKUP(D28,'2.Bookinglist'!A:CT,26,FALSE)</f>
        <v>0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SWDN</v>
      </c>
      <c r="P28" s="61" t="str">
        <f>VLOOKUP(A28,'1.Loading'!A:R,4,FALSE)</f>
        <v>2610N</v>
      </c>
      <c r="Q28" s="61" t="str">
        <f>VLOOKUP(D28,'2.Bookinglist'!A:CT,12,FALSE)</f>
        <v>CHT</v>
      </c>
      <c r="R28" s="60" t="str">
        <f>IF(LEFT(K28,2)="22","20'","40'")</f>
        <v>40'</v>
      </c>
      <c r="S28" s="185" t="n"/>
      <c r="T28" s="61" t="str">
        <f>VLOOKUP(A28,'1.Loading'!A:R,2,FALSE)</f>
        <v>2026-10-08</v>
      </c>
      <c r="U28" s="63">
        <f>T28-S28</f>
        <v>46303</v>
      </c>
      <c r="V28" s="186" t="n"/>
      <c r="W28" s="61" t="str">
        <f>VLOOKUP(A28,'3.GateMove'!A:D,4,FALSE)</f>
        <v>2026-10-03</v>
      </c>
      <c r="X28" s="63">
        <f>((T28-W28)+1)</f>
        <v>6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0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46304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0</v>
      </c>
      <c r="AJ28" s="188" t="n"/>
      <c r="AK28" s="62" t="str">
        <f>VLOOKUP(D28,'2.Bookinglist'!A:CT,40,FALSE)</f>
        <v>Arunphat W. (Aiw)</v>
      </c>
      <c r="AL28" s="60" t="str">
        <f>VLOOKUP(D28,'2.Bookinglist'!A:CW,101,FALSE)</f>
        <v>2026-10-01</v>
      </c>
      <c r="AM28" s="60" t="str">
        <f>VLOOKUP(D28,'2.Bookinglist'!A:BK,63,FALSE)</f>
        <v>LCH27</v>
      </c>
      <c r="AN28" s="62" t="str">
        <f>VLOOKUP(D28,'2.Bookinglist'!A:AZ,52,FALSE)</f>
        <v>CY 02/10/2026 - RTN 03/10/2026  (VI(MDF) – 2026/272(Z)
 ** PLEASE CHECK OPEN GATE BEFORE RETURN CNTR **
</v>
      </c>
      <c r="AO28" s="62">
        <f>VLOOKUP(D28,'2.Bookinglist'!A:CY,103,FALSE)</f>
        <v>0</v>
      </c>
    </row>
    <row r="29" ht="12.95" customHeight="1">
      <c r="A29" s="96" t="inlineStr">
        <is>
          <t>SKHU6400184</t>
        </is>
      </c>
      <c r="B29" s="184" t="str">
        <f>IF(C29=Charge!$M$1,Charge!$J$1,IF(C29=Charge!$M$23,Charge!$J$23,IF(C29=Charge!$M$17,Charge!$J$17,IF(C29=Charge!$N$17,Charge!$J$17,Charge!$J$7))))</f>
        <v>G2</v>
      </c>
      <c r="C29" s="61" t="str">
        <f>VLOOKUP(A29,'1.Loading'!A:R,14,FALSE)</f>
        <v>LCH05</v>
      </c>
      <c r="D29" s="61" t="str">
        <f>VLOOKUP(A29,'1.Loading'!A:R,17,FALSE)</f>
        <v>HASLS22260901608</v>
      </c>
      <c r="E29" s="62" t="str">
        <f>VLOOKUP(D29,'2.Bookinglist'!A:CT,27,FALSE)</f>
        <v>VANACHAI GROUP PUBLIC COMPANY LIMITED</v>
      </c>
      <c r="F29" s="62" t="str">
        <f>VLOOKUP(D29,'2.Bookinglist'!A:CT,28,FALSE)</f>
        <v>VANACHAI PANEL INDUSTRIES CO., LTD.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KRINC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SWDN</v>
      </c>
      <c r="P29" s="61" t="str">
        <f>VLOOKUP(A29,'1.Loading'!A:R,4,FALSE)</f>
        <v>2610N</v>
      </c>
      <c r="Q29" s="61" t="str">
        <f>VLOOKUP(D29,'2.Bookinglist'!A:CT,12,FALSE)</f>
        <v>CHT</v>
      </c>
      <c r="R29" s="60" t="str">
        <f>IF(LEFT(K29,2)="22","20'","40'")</f>
        <v>40'</v>
      </c>
      <c r="S29" s="185" t="n"/>
      <c r="T29" s="61" t="str">
        <f>VLOOKUP(A29,'1.Loading'!A:R,2,FALSE)</f>
        <v>2026-10-08</v>
      </c>
      <c r="U29" s="63">
        <f>T29-S29</f>
        <v>46303</v>
      </c>
      <c r="V29" s="186" t="n"/>
      <c r="W29" s="61" t="str">
        <f>VLOOKUP(A29,'3.GateMove'!A:D,4,FALSE)</f>
        <v>2026-10-03</v>
      </c>
      <c r="X29" s="63">
        <f>((T29-W29)+1)</f>
        <v>6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46304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Arunphat W. (Aiw)</v>
      </c>
      <c r="AL29" s="60" t="str">
        <f>VLOOKUP(D29,'2.Bookinglist'!A:CW,101,FALSE)</f>
        <v>2026-10-07</v>
      </c>
      <c r="AM29" s="60" t="str">
        <f>VLOOKUP(D29,'2.Bookinglist'!A:BK,63,FALSE)</f>
        <v>LCH27</v>
      </c>
      <c r="AN29" s="62" t="str">
        <f>VLOOKUP(D29,'2.Bookinglist'!A:AZ,52,FALSE)</f>
        <v>CY 02/10/2026 - RTN 03/10/2026  (VI(MDF) – 2026/273(Z)
 ** PLEASE CHECK OPEN GATE BEFORE RETURN CNTR **
</v>
      </c>
      <c r="AO29" s="62">
        <f>VLOOKUP(D29,'2.Bookinglist'!A:CY,103,FALSE)</f>
        <v>0</v>
      </c>
    </row>
    <row r="30" ht="12.95" customHeight="1">
      <c r="A30" s="96" t="inlineStr">
        <is>
          <t>SKHU6462756</t>
        </is>
      </c>
      <c r="B30" s="184" t="str">
        <f>IF(C30=Charge!$M$1,Charge!$J$1,IF(C30=Charge!$M$23,Charge!$J$23,IF(C30=Charge!$M$17,Charge!$J$17,IF(C30=Charge!$N$17,Charge!$J$17,Charge!$J$7))))</f>
        <v>G2</v>
      </c>
      <c r="C30" s="61" t="str">
        <f>VLOOKUP(A30,'1.Loading'!A:R,14,FALSE)</f>
        <v>LCH05</v>
      </c>
      <c r="D30" s="61" t="str">
        <f>VLOOKUP(A30,'1.Loading'!A:R,17,FALSE)</f>
        <v>HASLS22260901608</v>
      </c>
      <c r="E30" s="62" t="str">
        <f>VLOOKUP(D30,'2.Bookinglist'!A:CT,27,FALSE)</f>
        <v>VANACHAI GROUP PUBLIC COMPANY LIMITED</v>
      </c>
      <c r="F30" s="62" t="str">
        <f>VLOOKUP(D30,'2.Bookinglist'!A:CT,28,FALSE)</f>
        <v>VANACHAI PANEL INDUSTRIES CO., LTD.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KRINC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SWDN</v>
      </c>
      <c r="P30" s="61" t="str">
        <f>VLOOKUP(A30,'1.Loading'!A:R,4,FALSE)</f>
        <v>2610N</v>
      </c>
      <c r="Q30" s="61" t="str">
        <f>VLOOKUP(D30,'2.Bookinglist'!A:CT,12,FALSE)</f>
        <v>CHT</v>
      </c>
      <c r="R30" s="60" t="str">
        <f>IF(LEFT(K30,2)="22","20'","40'")</f>
        <v>40'</v>
      </c>
      <c r="S30" s="185" t="n"/>
      <c r="T30" s="61" t="str">
        <f>VLOOKUP(A30,'1.Loading'!A:R,2,FALSE)</f>
        <v>2026-10-08</v>
      </c>
      <c r="U30" s="63">
        <f>T30-S30</f>
        <v>46303</v>
      </c>
      <c r="V30" s="186" t="n"/>
      <c r="W30" s="61" t="str">
        <f>VLOOKUP(A30,'3.GateMove'!A:D,4,FALSE)</f>
        <v>2026-10-03</v>
      </c>
      <c r="X30" s="63">
        <f>((T30-W30)+1)</f>
        <v>6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46304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Arunphat W. (Aiw)</v>
      </c>
      <c r="AL30" s="60" t="str">
        <f>VLOOKUP(D30,'2.Bookinglist'!A:CW,101,FALSE)</f>
        <v>2026-10-07</v>
      </c>
      <c r="AM30" s="60" t="str">
        <f>VLOOKUP(D30,'2.Bookinglist'!A:BK,63,FALSE)</f>
        <v>LCH27</v>
      </c>
      <c r="AN30" s="62" t="str">
        <f>VLOOKUP(D30,'2.Bookinglist'!A:AZ,52,FALSE)</f>
        <v>CY 02/10/2026 - RTN 03/10/2026  (VI(MDF) – 2026/273(Z)
 ** PLEASE CHECK OPEN GATE BEFORE RETURN CNTR **
</v>
      </c>
      <c r="AO30" s="62">
        <f>VLOOKUP(D30,'2.Bookinglist'!A:CY,103,FALSE)</f>
        <v>0</v>
      </c>
    </row>
    <row r="31" ht="12.95" customHeight="1">
      <c r="A31" s="96" t="inlineStr">
        <is>
          <t>SKHU6467634</t>
        </is>
      </c>
      <c r="B31" s="184" t="str">
        <f>IF(C31=Charge!$M$1,Charge!$J$1,IF(C31=Charge!$M$23,Charge!$J$23,IF(C31=Charge!$M$17,Charge!$J$17,IF(C31=Charge!$N$17,Charge!$J$17,Charge!$J$7))))</f>
        <v>G2</v>
      </c>
      <c r="C31" s="61" t="str">
        <f>VLOOKUP(A31,'1.Loading'!A:R,14,FALSE)</f>
        <v>LCH05</v>
      </c>
      <c r="D31" s="61" t="str">
        <f>VLOOKUP(A31,'1.Loading'!A:R,17,FALSE)</f>
        <v>HASLS22260902292</v>
      </c>
      <c r="E31" s="62" t="str">
        <f>VLOOKUP(D31,'2.Bookinglist'!A:CT,27,FALSE)</f>
        <v>MASTERICH COMPANY LIMITED.</v>
      </c>
      <c r="F31" s="62" t="str">
        <f>VLOOKUP(D31,'2.Bookinglist'!A:CT,28,FALSE)</f>
        <v>NATURAL RUBBER THREAD CO., LTD.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CNXMN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SWDN</v>
      </c>
      <c r="P31" s="61" t="str">
        <f>VLOOKUP(A31,'1.Loading'!A:R,4,FALSE)</f>
        <v>2610N</v>
      </c>
      <c r="Q31" s="61" t="str">
        <f>VLOOKUP(D31,'2.Bookinglist'!A:CT,12,FALSE)</f>
        <v>CHT</v>
      </c>
      <c r="R31" s="60" t="str">
        <f>IF(LEFT(K31,2)="22","20'","40'")</f>
        <v>40'</v>
      </c>
      <c r="S31" s="185" t="n"/>
      <c r="T31" s="61" t="str">
        <f>VLOOKUP(A31,'1.Loading'!A:R,2,FALSE)</f>
        <v>2026-10-08</v>
      </c>
      <c r="U31" s="63">
        <f>T31-S31</f>
        <v>46303</v>
      </c>
      <c r="V31" s="186" t="n"/>
      <c r="W31" s="61" t="str">
        <f>VLOOKUP(A31,'3.GateMove'!A:D,4,FALSE)</f>
        <v>2026-10-03</v>
      </c>
      <c r="X31" s="63">
        <f>((T31-W31)+1)</f>
        <v>6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46304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Kanokporn</v>
      </c>
      <c r="AL31" s="60" t="str">
        <f>VLOOKUP(D31,'2.Bookinglist'!A:CW,101,FALSE)</f>
        <v>2026-10-03</v>
      </c>
      <c r="AM31" s="60" t="str">
        <f>VLOOKUP(D31,'2.Bookinglist'!A:BK,63,FALSE)</f>
        <v>LCHY5</v>
      </c>
      <c r="AN31" s="62" t="str">
        <f>VLOOKUP(D31,'2.Bookinglist'!A:AZ,52,FALSE)</f>
        <v>Pickup : 2026-09-30, Return : 2026-10-02 // EXTEND CLS TIME 02/10 @12.00 
 ** PLEASE CHECK OPEN GATE BEFORE RETURN CNTR **
 </v>
      </c>
      <c r="AO31" s="62">
        <f>VLOOKUP(D31,'2.Bookinglist'!A:CY,103,FALSE)</f>
        <v>0</v>
      </c>
    </row>
    <row r="32" ht="12.95" customHeight="1">
      <c r="A32" s="96" t="inlineStr">
        <is>
          <t>SKHU6483960</t>
        </is>
      </c>
      <c r="B32" s="184" t="str">
        <f>IF(C32=Charge!$M$1,Charge!$J$1,IF(C32=Charge!$M$23,Charge!$J$23,IF(C32=Charge!$M$17,Charge!$J$17,IF(C32=Charge!$N$17,Charge!$J$17,Charge!$J$7))))</f>
        <v>G2</v>
      </c>
      <c r="C32" s="61" t="str">
        <f>VLOOKUP(A32,'1.Loading'!A:R,14,FALSE)</f>
        <v>LCH05</v>
      </c>
      <c r="D32" s="61" t="str">
        <f>VLOOKUP(A32,'1.Loading'!A:R,17,FALSE)</f>
        <v>HASLS22260901608</v>
      </c>
      <c r="E32" s="62" t="str">
        <f>VLOOKUP(D32,'2.Bookinglist'!A:CT,27,FALSE)</f>
        <v>VANACHAI GROUP PUBLIC COMPANY LIMITED</v>
      </c>
      <c r="F32" s="62" t="str">
        <f>VLOOKUP(D32,'2.Bookinglist'!A:CT,28,FALSE)</f>
        <v>VANACHAI PANEL INDUSTRIES CO., LTD.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KRINC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SWDN</v>
      </c>
      <c r="P32" s="61" t="str">
        <f>VLOOKUP(A32,'1.Loading'!A:R,4,FALSE)</f>
        <v>2610N</v>
      </c>
      <c r="Q32" s="61" t="str">
        <f>VLOOKUP(D32,'2.Bookinglist'!A:CT,12,FALSE)</f>
        <v>CHT</v>
      </c>
      <c r="R32" s="60" t="str">
        <f>IF(LEFT(K32,2)="22","20'","40'")</f>
        <v>40'</v>
      </c>
      <c r="S32" s="185" t="n"/>
      <c r="T32" s="61" t="str">
        <f>VLOOKUP(A32,'1.Loading'!A:R,2,FALSE)</f>
        <v>2026-10-08</v>
      </c>
      <c r="U32" s="63">
        <f>T32-S32</f>
        <v>46303</v>
      </c>
      <c r="V32" s="186" t="n"/>
      <c r="W32" s="61" t="str">
        <f>VLOOKUP(A32,'3.GateMove'!A:D,4,FALSE)</f>
        <v>2026-10-03</v>
      </c>
      <c r="X32" s="63">
        <f>((T32-W32)+1)</f>
        <v>6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0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46304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0</v>
      </c>
      <c r="AJ32" s="188" t="n"/>
      <c r="AK32" s="62" t="str">
        <f>VLOOKUP(D32,'2.Bookinglist'!A:CT,40,FALSE)</f>
        <v>Arunphat W. (Aiw)</v>
      </c>
      <c r="AL32" s="60" t="str">
        <f>VLOOKUP(D32,'2.Bookinglist'!A:CW,101,FALSE)</f>
        <v>2026-10-07</v>
      </c>
      <c r="AM32" s="60" t="str">
        <f>VLOOKUP(D32,'2.Bookinglist'!A:BK,63,FALSE)</f>
        <v>LCH27</v>
      </c>
      <c r="AN32" s="62" t="str">
        <f>VLOOKUP(D32,'2.Bookinglist'!A:AZ,52,FALSE)</f>
        <v>CY 02/10/2026 - RTN 03/10/2026  (VI(MDF) – 2026/273(Z)
 ** PLEASE CHECK OPEN GATE BEFORE RETURN CNTR **
</v>
      </c>
      <c r="AO32" s="62">
        <f>VLOOKUP(D32,'2.Bookinglist'!A:CY,103,FALSE)</f>
        <v>0</v>
      </c>
    </row>
    <row r="33" ht="12.95" customHeight="1">
      <c r="A33" s="96" t="inlineStr">
        <is>
          <t>SKHU6558713</t>
        </is>
      </c>
      <c r="B33" s="184" t="str">
        <f>IF(C33=Charge!$M$1,Charge!$J$1,IF(C33=Charge!$M$23,Charge!$J$23,IF(C33=Charge!$M$17,Charge!$J$17,IF(C33=Charge!$N$17,Charge!$J$17,Charge!$J$7))))</f>
        <v>G2</v>
      </c>
      <c r="C33" s="61" t="str">
        <f>VLOOKUP(A33,'1.Loading'!A:R,14,FALSE)</f>
        <v>LCH05</v>
      </c>
      <c r="D33" s="61" t="str">
        <f>VLOOKUP(A33,'1.Loading'!A:R,17,FALSE)</f>
        <v>HASLS22260800648</v>
      </c>
      <c r="E33" s="62" t="str">
        <f>VLOOKUP(D33,'2.Bookinglist'!A:CT,27,FALSE)</f>
        <v>NIPPON EXPRESS LOGISTICS (THAILAND) CO., LTD.</v>
      </c>
      <c r="F33" s="62" t="str">
        <f>VLOOKUP(D33,'2.Bookinglist'!A:CT,28,FALSE)</f>
        <v>OLYMPUS(THAILAND) CO., LTD.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HKHKG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SWDN</v>
      </c>
      <c r="P33" s="61" t="str">
        <f>VLOOKUP(A33,'1.Loading'!A:R,4,FALSE)</f>
        <v>2610N</v>
      </c>
      <c r="Q33" s="61" t="str">
        <f>VLOOKUP(D33,'2.Bookinglist'!A:CT,12,FALSE)</f>
        <v>CHT</v>
      </c>
      <c r="R33" s="60" t="str">
        <f>IF(LEFT(K33,2)="22","20'","40'")</f>
        <v>40'</v>
      </c>
      <c r="S33" s="185" t="n"/>
      <c r="T33" s="61" t="str">
        <f>VLOOKUP(A33,'1.Loading'!A:R,2,FALSE)</f>
        <v>2026-10-08</v>
      </c>
      <c r="U33" s="63">
        <f>T33-S33</f>
        <v>46303</v>
      </c>
      <c r="V33" s="186" t="n"/>
      <c r="W33" s="61" t="str">
        <f>VLOOKUP(A33,'3.GateMove'!A:D,4,FALSE)</f>
        <v>2026-10-01</v>
      </c>
      <c r="X33" s="63">
        <f>((T33-W33)+1)</f>
        <v>8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1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250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46304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250</v>
      </c>
      <c r="AJ33" s="188" t="n"/>
      <c r="AK33" s="62" t="str">
        <f>VLOOKUP(D33,'2.Bookinglist'!A:CT,40,FALSE)</f>
        <v>AHN SOON BO</v>
      </c>
      <c r="AL33" s="60" t="str">
        <f>VLOOKUP(D33,'2.Bookinglist'!A:CW,101,FALSE)</f>
        <v>2026-10-03</v>
      </c>
      <c r="AM33" s="60" t="str">
        <f>VLOOKUP(D33,'2.Bookinglist'!A:BK,63,FALSE)</f>
        <v>LCHY5</v>
      </c>
      <c r="AN33" s="62" t="str">
        <f>VLOOKUP(D33,'2.Bookinglist'!A:AZ,52,FALSE)</f>
        <v>Pickup : 2026-09-25, Return : 2026-09-25 (1ST RTN 29/09 W/O RENT) 
 ** PLEASE CHECK OPEN GATE BEFORE RETURN CNTR **
 ADD DEM COST 4 DAYS = 3,000 BAHT</v>
      </c>
      <c r="AO33" s="62">
        <f>VLOOKUP(D33,'2.Bookinglist'!A:CY,103,FALSE)</f>
        <v>0</v>
      </c>
    </row>
    <row r="34" ht="12.95" customHeight="1">
      <c r="A34" s="96" t="inlineStr">
        <is>
          <t>SKHU8111555</t>
        </is>
      </c>
      <c r="B34" s="184" t="str">
        <f>IF(C34=Charge!$M$1,Charge!$J$1,IF(C34=Charge!$M$23,Charge!$J$23,IF(C34=Charge!$M$17,Charge!$J$17,IF(C34=Charge!$N$17,Charge!$J$17,Charge!$J$7))))</f>
        <v>G2</v>
      </c>
      <c r="C34" s="61" t="str">
        <f>VLOOKUP(A34,'1.Loading'!A:R,14,FALSE)</f>
        <v>LCH05</v>
      </c>
      <c r="D34" s="61" t="str">
        <f>VLOOKUP(A34,'1.Loading'!A:R,17,FALSE)</f>
        <v>HASLS22260901600</v>
      </c>
      <c r="E34" s="62" t="str">
        <f>VLOOKUP(D34,'2.Bookinglist'!A:CT,27,FALSE)</f>
        <v>VANACHAI GROUP PUBLIC COMPANY LIMITED</v>
      </c>
      <c r="F34" s="62" t="str">
        <f>VLOOKUP(D34,'2.Bookinglist'!A:CT,28,FALSE)</f>
        <v>VANACHAI GROUP PUBLIC COMPANY LIMITED</v>
      </c>
      <c r="G34" s="60">
        <f>VLOOKUP(D34,'2.Bookinglist'!A:E,5,FALSE)</f>
        <v>0</v>
      </c>
      <c r="H34" s="61" t="str">
        <f>VLOOKUP(D34,'2.Bookinglist'!A:CT,15,FALSE)</f>
        <v>THLCH</v>
      </c>
      <c r="I34" s="61" t="str">
        <f>VLOOKUP(D34,'2.Bookinglist'!A:CT,19,FALSE)</f>
        <v>KRINC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SWDN</v>
      </c>
      <c r="P34" s="61" t="str">
        <f>VLOOKUP(A34,'1.Loading'!A:R,4,FALSE)</f>
        <v>2610N</v>
      </c>
      <c r="Q34" s="61" t="str">
        <f>VLOOKUP(D34,'2.Bookinglist'!A:CT,12,FALSE)</f>
        <v>CHT</v>
      </c>
      <c r="R34" s="60" t="str">
        <f>IF(LEFT(K34,2)="22","20'","40'")</f>
        <v>40'</v>
      </c>
      <c r="S34" s="185" t="n"/>
      <c r="T34" s="61" t="str">
        <f>VLOOKUP(A34,'1.Loading'!A:R,2,FALSE)</f>
        <v>2026-10-08</v>
      </c>
      <c r="U34" s="63">
        <f>T34-S34</f>
        <v>46303</v>
      </c>
      <c r="V34" s="186" t="n"/>
      <c r="W34" s="61" t="str">
        <f>VLOOKUP(A34,'3.GateMove'!A:D,4,FALSE)</f>
        <v>2026-10-03</v>
      </c>
      <c r="X34" s="63">
        <f>((T34-W34)+1)</f>
        <v>6</v>
      </c>
      <c r="Y34" s="64">
        <f>IF(AND(OR(C34="BKK01",C34="BKK04"),L34="CFS/CY"),0,IF(M34="DG",1,IF(LEFT(C34,3)="LCH",7,IF(C34="BKK02",5,3))))</f>
        <v>7</v>
      </c>
      <c r="Z34" s="63">
        <f>IF(IF(AND(AC34="TML",AB34&gt;0),((T34-W34)+1)-AB34,((T34-W34)+1)-Y34)&gt;0,IF(AND(AC34="TML",AB34&gt;0),((T34-W34)+1)-AB34,((T34-W34)+1)-Y34),0)</f>
        <v>0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46304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0</v>
      </c>
      <c r="AJ34" s="188" t="n"/>
      <c r="AK34" s="62" t="str">
        <f>VLOOKUP(D34,'2.Bookinglist'!A:CT,40,FALSE)</f>
        <v>Arunphat W. (Aiw)</v>
      </c>
      <c r="AL34" s="60" t="str">
        <f>VLOOKUP(D34,'2.Bookinglist'!A:CW,101,FALSE)</f>
        <v>2026-10-01</v>
      </c>
      <c r="AM34" s="60" t="str">
        <f>VLOOKUP(D34,'2.Bookinglist'!A:BK,63,FALSE)</f>
        <v>LCH27</v>
      </c>
      <c r="AN34" s="62" t="str">
        <f>VLOOKUP(D34,'2.Bookinglist'!A:AZ,52,FALSE)</f>
        <v>CY 02/10/2026 - RTN 03/10/2026  (VI(MDF) – 2026/272(Z)
 ** PLEASE CHECK OPEN GATE BEFORE RETURN CNTR **
</v>
      </c>
      <c r="AO34" s="62">
        <f>VLOOKUP(D34,'2.Bookinglist'!A:CY,103,FALSE)</f>
        <v>0</v>
      </c>
    </row>
    <row r="35" ht="12.95" customHeight="1">
      <c r="A35" s="96" t="inlineStr">
        <is>
          <t>SKHU8908359</t>
        </is>
      </c>
      <c r="B35" s="184" t="str">
        <f>IF(C35=Charge!$M$1,Charge!$J$1,IF(C35=Charge!$M$23,Charge!$J$23,IF(C35=Charge!$M$17,Charge!$J$17,IF(C35=Charge!$N$17,Charge!$J$17,Charge!$J$7))))</f>
        <v>G2</v>
      </c>
      <c r="C35" s="61" t="str">
        <f>VLOOKUP(A35,'1.Loading'!A:R,14,FALSE)</f>
        <v>LCH05</v>
      </c>
      <c r="D35" s="61" t="str">
        <f>VLOOKUP(A35,'1.Loading'!A:R,17,FALSE)</f>
        <v>HASLS22260902506</v>
      </c>
      <c r="E35" s="62" t="str">
        <f>VLOOKUP(D35,'2.Bookinglist'!A:CT,27,FALSE)</f>
        <v>NIPPON EXPRESS LOGISTICS (THAILAND) CO., LTD.</v>
      </c>
      <c r="F35" s="62" t="str">
        <f>VLOOKUP(D35,'2.Bookinglist'!A:CT,28,FALSE)</f>
        <v>SLING AUTOMOBILE BEARING (THAILAND) CO.,LTD.</v>
      </c>
      <c r="G35" s="60">
        <f>VLOOKUP(D35,'2.Bookinglist'!A:E,5,FALSE)</f>
        <v>0</v>
      </c>
      <c r="H35" s="61" t="str">
        <f>VLOOKUP(D35,'2.Bookinglist'!A:CT,15,FALSE)</f>
        <v>THLCH</v>
      </c>
      <c r="I35" s="61" t="str">
        <f>VLOOKUP(D35,'2.Bookinglist'!A:CT,19,FALSE)</f>
        <v>HKHKG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SWDN</v>
      </c>
      <c r="P35" s="61" t="str">
        <f>VLOOKUP(A35,'1.Loading'!A:R,4,FALSE)</f>
        <v>2610N</v>
      </c>
      <c r="Q35" s="61" t="str">
        <f>VLOOKUP(D35,'2.Bookinglist'!A:CT,12,FALSE)</f>
        <v>CHT</v>
      </c>
      <c r="R35" s="60" t="str">
        <f>IF(LEFT(K35,2)="22","20'","40'")</f>
        <v>40'</v>
      </c>
      <c r="S35" s="185" t="n"/>
      <c r="T35" s="61" t="str">
        <f>VLOOKUP(A35,'1.Loading'!A:R,2,FALSE)</f>
        <v>2026-10-08</v>
      </c>
      <c r="U35" s="63">
        <f>T35-S35</f>
        <v>46303</v>
      </c>
      <c r="V35" s="186" t="n"/>
      <c r="W35" s="61" t="str">
        <f>VLOOKUP(A35,'3.GateMove'!A:D,4,FALSE)</f>
        <v>2026-10-02</v>
      </c>
      <c r="X35" s="63">
        <f>((T35-W35)+1)</f>
        <v>7</v>
      </c>
      <c r="Y35" s="64">
        <f>IF(AND(OR(C35="BKK01",C35="BKK04"),L35="CFS/CY"),0,IF(M35="DG",1,IF(LEFT(C35,3)="LCH",7,IF(C35="BKK02",5,3))))</f>
        <v>7</v>
      </c>
      <c r="Z35" s="63">
        <f>IF(IF(AND(AC35="TML",AB35&gt;0),((T35-W35)+1)-AB35,((T35-W35)+1)-Y35)&gt;0,IF(AND(AC35="TML",AB35&gt;0),((T35-W35)+1)-AB35,((T35-W35)+1)-Y35),0)</f>
        <v>0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46304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0</v>
      </c>
      <c r="AJ35" s="188" t="n"/>
      <c r="AK35" s="62" t="str">
        <f>VLOOKUP(D35,'2.Bookinglist'!A:CT,40,FALSE)</f>
        <v>Vilaiporn</v>
      </c>
      <c r="AL35" s="60" t="str">
        <f>VLOOKUP(D35,'2.Bookinglist'!A:CW,101,FALSE)</f>
        <v>2026-10-07</v>
      </c>
      <c r="AM35" s="60" t="str">
        <f>VLOOKUP(D35,'2.Bookinglist'!A:BK,63,FALSE)</f>
        <v>LCH27</v>
      </c>
      <c r="AN35" s="62" t="str">
        <f>VLOOKUP(D35,'2.Bookinglist'!A:AZ,52,FALSE)</f>
        <v>Pickup : 2026-10-02, Return : 2026-10-02</v>
      </c>
      <c r="AO35" s="62">
        <f>VLOOKUP(D35,'2.Bookinglist'!A:CY,103,FALSE)</f>
        <v>0</v>
      </c>
    </row>
    <row r="36" ht="12.95" customHeight="1">
      <c r="A36" s="96" t="inlineStr">
        <is>
          <t>SKHU9604181</t>
        </is>
      </c>
      <c r="B36" s="184" t="str">
        <f>IF(C36=Charge!$M$1,Charge!$J$1,IF(C36=Charge!$M$23,Charge!$J$23,IF(C36=Charge!$M$17,Charge!$J$17,IF(C36=Charge!$N$17,Charge!$J$17,Charge!$J$7))))</f>
        <v>G2</v>
      </c>
      <c r="C36" s="61" t="str">
        <f>VLOOKUP(A36,'1.Loading'!A:R,14,FALSE)</f>
        <v>LCH05</v>
      </c>
      <c r="D36" s="61" t="str">
        <f>VLOOKUP(A36,'1.Loading'!A:R,17,FALSE)</f>
        <v>HASLS22260901529</v>
      </c>
      <c r="E36" s="62" t="str">
        <f>VLOOKUP(D36,'2.Bookinglist'!A:CT,27,FALSE)</f>
        <v>PGS LOGISTICS (THAILAND) CO., LTD.</v>
      </c>
      <c r="F36" s="62" t="str">
        <f>VLOOKUP(D36,'2.Bookinglist'!A:CT,28,FALSE)</f>
        <v>ROFU (THAILAND) LTD.</v>
      </c>
      <c r="G36" s="60">
        <f>VLOOKUP(D36,'2.Bookinglist'!A:E,5,FALSE)</f>
        <v>0</v>
      </c>
      <c r="H36" s="61" t="str">
        <f>VLOOKUP(D36,'2.Bookinglist'!A:CT,15,FALSE)</f>
        <v>THLCH</v>
      </c>
      <c r="I36" s="61" t="str">
        <f>VLOOKUP(D36,'2.Bookinglist'!A:CT,19,FALSE)</f>
        <v>HKHKG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SWDN</v>
      </c>
      <c r="P36" s="61" t="str">
        <f>VLOOKUP(A36,'1.Loading'!A:R,4,FALSE)</f>
        <v>2610N</v>
      </c>
      <c r="Q36" s="61" t="str">
        <f>VLOOKUP(D36,'2.Bookinglist'!A:CT,12,FALSE)</f>
        <v>CHT</v>
      </c>
      <c r="R36" s="60" t="str">
        <f>IF(LEFT(K36,2)="22","20'","40'")</f>
        <v>40'</v>
      </c>
      <c r="S36" s="185" t="n"/>
      <c r="T36" s="61" t="str">
        <f>VLOOKUP(A36,'1.Loading'!A:R,2,FALSE)</f>
        <v>2026-10-08</v>
      </c>
      <c r="U36" s="63">
        <f>T36-S36</f>
        <v>46303</v>
      </c>
      <c r="V36" s="186" t="n"/>
      <c r="W36" s="61" t="str">
        <f>VLOOKUP(A36,'3.GateMove'!A:D,4,FALSE)</f>
        <v>2026-10-06</v>
      </c>
      <c r="X36" s="63">
        <f>((T36-W36)+1)</f>
        <v>3</v>
      </c>
      <c r="Y36" s="64">
        <f>IF(AND(OR(C36="BKK01",C36="BKK04"),L36="CFS/CY"),0,IF(M36="DG",1,IF(LEFT(C36,3)="LCH",7,IF(C36="BKK02",5,3))))</f>
        <v>7</v>
      </c>
      <c r="Z36" s="63">
        <f>IF(IF(AND(AC36="TML",AB36&gt;0),((T36-W36)+1)-AB36,((T36-W36)+1)-Y36)&gt;0,IF(AND(AC36="TML",AB36&gt;0),((T36-W36)+1)-AB36,((T36-W36)+1)-Y36),0)</f>
        <v>0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46304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0</v>
      </c>
      <c r="AJ36" s="188" t="n"/>
      <c r="AK36" s="62" t="str">
        <f>VLOOKUP(D36,'2.Bookinglist'!A:CT,40,FALSE)</f>
        <v>Arunphat W. (Aiw)</v>
      </c>
      <c r="AL36" s="60" t="str">
        <f>VLOOKUP(D36,'2.Bookinglist'!A:CW,101,FALSE)</f>
        <v>2026-10-08</v>
      </c>
      <c r="AM36" s="60" t="str">
        <f>VLOOKUP(D36,'2.Bookinglist'!A:BK,63,FALSE)</f>
        <v>LCHY5</v>
      </c>
      <c r="AN36" s="62" t="str">
        <f>VLOOKUP(D36,'2.Bookinglist'!A:AZ,52,FALSE)</f>
        <v>Pickup : 2026-09-29, Return : 2026-09-30 (1ST 01/10 RETURN W/O RENT)</v>
      </c>
      <c r="AO36" s="62" t="str">
        <f>VLOOKUP(D36,'2.Bookinglist'!A:CY,103,FALSE)</f>
        <v>ROLL OVER FROM PREVIOUS VSL SWAT 2610N BY ALLOCATION TEAM MS.TARN APPROVED COST IS UNDER HAL DD.05/10</v>
      </c>
    </row>
    <row r="37" ht="12.95" customHeight="1">
      <c r="A37" s="96" t="inlineStr">
        <is>
          <t>SKHU9966257</t>
        </is>
      </c>
      <c r="B37" s="184" t="str">
        <f>IF(C37=Charge!$M$1,Charge!$J$1,IF(C37=Charge!$M$23,Charge!$J$23,IF(C37=Charge!$M$17,Charge!$J$17,IF(C37=Charge!$N$17,Charge!$J$17,Charge!$J$7))))</f>
        <v>G2</v>
      </c>
      <c r="C37" s="61" t="str">
        <f>VLOOKUP(A37,'1.Loading'!A:R,14,FALSE)</f>
        <v>LCH05</v>
      </c>
      <c r="D37" s="61" t="str">
        <f>VLOOKUP(A37,'1.Loading'!A:R,17,FALSE)</f>
        <v>HASLS22260902269</v>
      </c>
      <c r="E37" s="62" t="str">
        <f>VLOOKUP(D37,'2.Bookinglist'!A:CT,27,FALSE)</f>
        <v>COMPREHENSIVE CARGO MANAGEMENT LTD.</v>
      </c>
      <c r="F37" s="62" t="str">
        <f>VLOOKUP(D37,'2.Bookinglist'!A:CT,28,FALSE)</f>
        <v>CHAIYA SUWANNABHUM CO.,LTD.</v>
      </c>
      <c r="G37" s="60">
        <f>VLOOKUP(D37,'2.Bookinglist'!A:E,5,FALSE)</f>
        <v>0</v>
      </c>
      <c r="H37" s="61" t="str">
        <f>VLOOKUP(D37,'2.Bookinglist'!A:CT,15,FALSE)</f>
        <v>THLCH</v>
      </c>
      <c r="I37" s="61" t="str">
        <f>VLOOKUP(D37,'2.Bookinglist'!A:CT,19,FALSE)</f>
        <v>CNXMN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SWDN</v>
      </c>
      <c r="P37" s="61" t="str">
        <f>VLOOKUP(A37,'1.Loading'!A:R,4,FALSE)</f>
        <v>2610N</v>
      </c>
      <c r="Q37" s="61" t="str">
        <f>VLOOKUP(D37,'2.Bookinglist'!A:CT,12,FALSE)</f>
        <v>CHT</v>
      </c>
      <c r="R37" s="60" t="str">
        <f>IF(LEFT(K37,2)="22","20'","40'")</f>
        <v>40'</v>
      </c>
      <c r="S37" s="185" t="n"/>
      <c r="T37" s="61" t="str">
        <f>VLOOKUP(A37,'1.Loading'!A:R,2,FALSE)</f>
        <v>2026-10-08</v>
      </c>
      <c r="U37" s="63">
        <f>T37-S37</f>
        <v>46303</v>
      </c>
      <c r="V37" s="186" t="n"/>
      <c r="W37" s="61" t="str">
        <f>VLOOKUP(A37,'3.GateMove'!A:D,4,FALSE)</f>
        <v>2026-10-01</v>
      </c>
      <c r="X37" s="63">
        <f>((T37-W37)+1)</f>
        <v>8</v>
      </c>
      <c r="Y37" s="64">
        <f>IF(AND(OR(C37="BKK01",C37="BKK04"),L37="CFS/CY"),0,IF(M37="DG",1,IF(LEFT(C37,3)="LCH",7,IF(C37="BKK02",5,3))))</f>
        <v>7</v>
      </c>
      <c r="Z37" s="63">
        <f>IF(IF(AND(AC37="TML",AB37&gt;0),((T37-W37)+1)-AB37,((T37-W37)+1)-Y37)&gt;0,IF(AND(AC37="TML",AB37&gt;0),((T37-W37)+1)-AB37,((T37-W37)+1)-Y37),0)</f>
        <v>1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250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46304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250</v>
      </c>
      <c r="AJ37" s="188" t="n"/>
      <c r="AK37" s="62" t="str">
        <f>VLOOKUP(D37,'2.Bookinglist'!A:CT,40,FALSE)</f>
        <v>Arunphat W. (Aiw)</v>
      </c>
      <c r="AL37" s="60" t="str">
        <f>VLOOKUP(D37,'2.Bookinglist'!A:CW,101,FALSE)</f>
        <v>2026-10-03</v>
      </c>
      <c r="AM37" s="60" t="str">
        <f>VLOOKUP(D37,'2.Bookinglist'!A:BK,63,FALSE)</f>
        <v>LCHY5</v>
      </c>
      <c r="AN37" s="62" t="str">
        <f>VLOOKUP(D37,'2.Bookinglist'!A:AZ,52,FALSE)</f>
        <v>Pickup : 2026-09-29, Return : 2026-09-30 
 ** PLEASE CHECK OPEN GATE BEFORE RETURN CNTR **
</v>
      </c>
      <c r="AO37" s="62">
        <f>VLOOKUP(D37,'2.Bookinglist'!A:CY,103,FALSE)</f>
        <v>0</v>
      </c>
    </row>
    <row r="38" ht="12.95" customHeight="1">
      <c r="A38" s="96" t="inlineStr">
        <is>
          <t>SKLU1308216</t>
        </is>
      </c>
      <c r="B38" s="184" t="str">
        <f>IF(C38=Charge!$M$1,Charge!$J$1,IF(C38=Charge!$M$23,Charge!$J$23,IF(C38=Charge!$M$17,Charge!$J$17,IF(C38=Charge!$N$17,Charge!$J$17,Charge!$J$7))))</f>
        <v>G2</v>
      </c>
      <c r="C38" s="61" t="str">
        <f>VLOOKUP(A38,'1.Loading'!A:R,14,FALSE)</f>
        <v>LCH05</v>
      </c>
      <c r="D38" s="61" t="str">
        <f>VLOOKUP(A38,'1.Loading'!A:R,17,FALSE)</f>
        <v>HASLS22260901029</v>
      </c>
      <c r="E38" s="62" t="str">
        <f>VLOOKUP(D38,'2.Bookinglist'!A:CT,27,FALSE)</f>
        <v>THAI POLYCARBONATE CO., LTD.</v>
      </c>
      <c r="F38" s="62" t="str">
        <f>VLOOKUP(D38,'2.Bookinglist'!A:CT,28,FALSE)</f>
        <v>THAI POLYCARBONATE CO., LTD.</v>
      </c>
      <c r="G38" s="60">
        <f>VLOOKUP(D38,'2.Bookinglist'!A:E,5,FALSE)</f>
        <v>0</v>
      </c>
      <c r="H38" s="61" t="str">
        <f>VLOOKUP(D38,'2.Bookinglist'!A:CT,15,FALSE)</f>
        <v>THLCH</v>
      </c>
      <c r="I38" s="61" t="str">
        <f>VLOOKUP(D38,'2.Bookinglist'!A:CT,19,FALSE)</f>
        <v>CNXMN</v>
      </c>
      <c r="J38" s="61">
        <f>VLOOKUP(D38,'2.Bookinglist'!A:CT,26,FALSE)</f>
        <v>0</v>
      </c>
      <c r="K38" s="61" t="str">
        <f>VLOOKUP(A38,'1.Loading'!A:R,5,FALSE)</f>
        <v>22GP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SWDN</v>
      </c>
      <c r="P38" s="61" t="str">
        <f>VLOOKUP(A38,'1.Loading'!A:R,4,FALSE)</f>
        <v>2610N</v>
      </c>
      <c r="Q38" s="61" t="str">
        <f>VLOOKUP(D38,'2.Bookinglist'!A:CT,12,FALSE)</f>
        <v>CHT</v>
      </c>
      <c r="R38" s="60" t="str">
        <f>IF(LEFT(K38,2)="22","20'","40'")</f>
        <v>20'</v>
      </c>
      <c r="S38" s="185" t="n"/>
      <c r="T38" s="61" t="str">
        <f>VLOOKUP(A38,'1.Loading'!A:R,2,FALSE)</f>
        <v>2026-10-08</v>
      </c>
      <c r="U38" s="63">
        <f>T38-S38</f>
        <v>46303</v>
      </c>
      <c r="V38" s="186" t="n"/>
      <c r="W38" s="61" t="str">
        <f>VLOOKUP(A38,'3.GateMove'!A:D,4,FALSE)</f>
        <v>2026-10-01</v>
      </c>
      <c r="X38" s="63">
        <f>((T38-W38)+1)</f>
        <v>8</v>
      </c>
      <c r="Y38" s="64">
        <f>IF(AND(OR(C38="BKK01",C38="BKK04"),L38="CFS/CY"),0,IF(M38="DG",1,IF(LEFT(C38,3)="LCH",7,IF(C38="BKK02",5,3))))</f>
        <v>7</v>
      </c>
      <c r="Z38" s="63">
        <f>IF(IF(AND(AC38="TML",AB38&gt;0),((T38-W38)+1)-AB38,((T38-W38)+1)-Y38)&gt;0,IF(AND(AC38="TML",AB38&gt;0),((T38-W38)+1)-AB38,((T38-W38)+1)-Y38),0)</f>
        <v>1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125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46304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125</v>
      </c>
      <c r="AJ38" s="188" t="n"/>
      <c r="AK38" s="62" t="str">
        <f>VLOOKUP(D38,'2.Bookinglist'!A:CT,40,FALSE)</f>
        <v>Vilaiporn</v>
      </c>
      <c r="AL38" s="60" t="str">
        <f>VLOOKUP(D38,'2.Bookinglist'!A:CW,101,FALSE)</f>
        <v>2026-09-30</v>
      </c>
      <c r="AM38" s="60" t="str">
        <f>VLOOKUP(D38,'2.Bookinglist'!A:BK,63,FALSE)</f>
        <v>LCH27</v>
      </c>
      <c r="AN38" s="62" t="str">
        <f>VLOOKUP(D38,'2.Bookinglist'!A:AZ,52,FALSE)</f>
        <v>Pickup : 2026-09-23, Return : 2026-09-25 [1ST RTN 26/09/2026 W/O RENT]
** PLEASE CHECK OPEN GATE BEFORE RETURN CONTAINER **</v>
      </c>
      <c r="AO38" s="62">
        <f>VLOOKUP(D38,'2.Bookinglist'!A:CY,103,FALSE)</f>
        <v>0</v>
      </c>
    </row>
    <row r="39" ht="12.95" customHeight="1">
      <c r="A39" s="96" t="inlineStr">
        <is>
          <t>SKLU1643493</t>
        </is>
      </c>
      <c r="B39" s="184" t="str">
        <f>IF(C39=Charge!$M$1,Charge!$J$1,IF(C39=Charge!$M$23,Charge!$J$23,IF(C39=Charge!$M$17,Charge!$J$17,IF(C39=Charge!$N$17,Charge!$J$17,Charge!$J$7))))</f>
        <v>G2</v>
      </c>
      <c r="C39" s="61" t="str">
        <f>VLOOKUP(A39,'1.Loading'!A:R,14,FALSE)</f>
        <v>LCH05</v>
      </c>
      <c r="D39" s="61" t="str">
        <f>VLOOKUP(A39,'1.Loading'!A:R,17,FALSE)</f>
        <v>HASLS22260901148</v>
      </c>
      <c r="E39" s="62" t="str">
        <f>VLOOKUP(D39,'2.Bookinglist'!A:CT,27,FALSE)</f>
        <v>WHA GC LOGISTICS COMPANY LIMITED</v>
      </c>
      <c r="F39" s="62" t="str">
        <f>VLOOKUP(D39,'2.Bookinglist'!A:CT,28,FALSE)</f>
        <v>PTT GLOBAL CHEMICAL PUBLIC COMPANY LIMITED</v>
      </c>
      <c r="G39" s="60">
        <f>VLOOKUP(D39,'2.Bookinglist'!A:E,5,FALSE)</f>
        <v>0</v>
      </c>
      <c r="H39" s="61" t="str">
        <f>VLOOKUP(D39,'2.Bookinglist'!A:CT,15,FALSE)</f>
        <v>THLCH</v>
      </c>
      <c r="I39" s="61" t="str">
        <f>VLOOKUP(D39,'2.Bookinglist'!A:CT,19,FALSE)</f>
        <v>CNXMN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SWDN</v>
      </c>
      <c r="P39" s="61" t="str">
        <f>VLOOKUP(A39,'1.Loading'!A:R,4,FALSE)</f>
        <v>2610N</v>
      </c>
      <c r="Q39" s="61" t="str">
        <f>VLOOKUP(D39,'2.Bookinglist'!A:CT,12,FALSE)</f>
        <v>CHT</v>
      </c>
      <c r="R39" s="60" t="str">
        <f>IF(LEFT(K39,2)="22","20'","40'")</f>
        <v>20'</v>
      </c>
      <c r="S39" s="185" t="n"/>
      <c r="T39" s="61" t="str">
        <f>VLOOKUP(A39,'1.Loading'!A:R,2,FALSE)</f>
        <v>2026-10-08</v>
      </c>
      <c r="U39" s="63">
        <f>T39-S39</f>
        <v>46303</v>
      </c>
      <c r="V39" s="186" t="n"/>
      <c r="W39" s="61" t="str">
        <f>VLOOKUP(A39,'3.GateMove'!A:D,4,FALSE)</f>
        <v>2026-10-01</v>
      </c>
      <c r="X39" s="63">
        <f>((T39-W39)+1)</f>
        <v>8</v>
      </c>
      <c r="Y39" s="64">
        <f>IF(AND(OR(C39="BKK01",C39="BKK04"),L39="CFS/CY"),0,IF(M39="DG",1,IF(LEFT(C39,3)="LCH",7,IF(C39="BKK02",5,3))))</f>
        <v>7</v>
      </c>
      <c r="Z39" s="63">
        <f>IF(IF(AND(AC39="TML",AB39&gt;0),((T39-W39)+1)-AB39,((T39-W39)+1)-Y39)&gt;0,IF(AND(AC39="TML",AB39&gt;0),((T39-W39)+1)-AB39,((T39-W39)+1)-Y39),0)</f>
        <v>1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125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46304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125</v>
      </c>
      <c r="AJ39" s="188" t="n"/>
      <c r="AK39" s="62" t="str">
        <f>VLOOKUP(D39,'2.Bookinglist'!A:CT,40,FALSE)</f>
        <v>Dharaporn</v>
      </c>
      <c r="AL39" s="60" t="str">
        <f>VLOOKUP(D39,'2.Bookinglist'!A:CW,101,FALSE)</f>
        <v>2026-10-01</v>
      </c>
      <c r="AM39" s="60" t="str">
        <f>VLOOKUP(D39,'2.Bookinglist'!A:BK,63,FALSE)</f>
        <v>LCHY5</v>
      </c>
      <c r="AN39" s="62" t="str">
        <f>VLOOKUP(D39,'2.Bookinglist'!A:AZ,52,FALSE)</f>
        <v>CY-RTN 21-25/09/26 *PR2610003148*
</v>
      </c>
      <c r="AO39" s="62">
        <f>VLOOKUP(D39,'2.Bookinglist'!A:CY,103,FALSE)</f>
        <v>0</v>
      </c>
    </row>
    <row r="40" ht="12.95" customHeight="1">
      <c r="A40" s="96" t="inlineStr">
        <is>
          <t>SKLU1644231</t>
        </is>
      </c>
      <c r="B40" s="184" t="str">
        <f>IF(C40=Charge!$M$1,Charge!$J$1,IF(C40=Charge!$M$23,Charge!$J$23,IF(C40=Charge!$M$17,Charge!$J$17,IF(C40=Charge!$N$17,Charge!$J$17,Charge!$J$7))))</f>
        <v>G2</v>
      </c>
      <c r="C40" s="61" t="str">
        <f>VLOOKUP(A40,'1.Loading'!A:R,14,FALSE)</f>
        <v>LCH05</v>
      </c>
      <c r="D40" s="61" t="str">
        <f>VLOOKUP(A40,'1.Loading'!A:R,17,FALSE)</f>
        <v>HASLS22260901148</v>
      </c>
      <c r="E40" s="62" t="str">
        <f>VLOOKUP(D40,'2.Bookinglist'!A:CT,27,FALSE)</f>
        <v>WHA GC LOGISTICS COMPANY LIMITED</v>
      </c>
      <c r="F40" s="62" t="str">
        <f>VLOOKUP(D40,'2.Bookinglist'!A:CT,28,FALSE)</f>
        <v>PTT GLOBAL CHEMICAL PUBLIC COMPANY LIMITED</v>
      </c>
      <c r="G40" s="60">
        <f>VLOOKUP(D40,'2.Bookinglist'!A:E,5,FALSE)</f>
        <v>0</v>
      </c>
      <c r="H40" s="61" t="str">
        <f>VLOOKUP(D40,'2.Bookinglist'!A:CT,15,FALSE)</f>
        <v>THLCH</v>
      </c>
      <c r="I40" s="61" t="str">
        <f>VLOOKUP(D40,'2.Bookinglist'!A:CT,19,FALSE)</f>
        <v>CNXMN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SWDN</v>
      </c>
      <c r="P40" s="61" t="str">
        <f>VLOOKUP(A40,'1.Loading'!A:R,4,FALSE)</f>
        <v>2610N</v>
      </c>
      <c r="Q40" s="61" t="str">
        <f>VLOOKUP(D40,'2.Bookinglist'!A:CT,12,FALSE)</f>
        <v>CHT</v>
      </c>
      <c r="R40" s="60" t="str">
        <f>IF(LEFT(K40,2)="22","20'","40'")</f>
        <v>20'</v>
      </c>
      <c r="S40" s="185" t="n"/>
      <c r="T40" s="61" t="str">
        <f>VLOOKUP(A40,'1.Loading'!A:R,2,FALSE)</f>
        <v>2026-10-08</v>
      </c>
      <c r="U40" s="63">
        <f>T40-S40</f>
        <v>46303</v>
      </c>
      <c r="V40" s="186" t="n"/>
      <c r="W40" s="61" t="str">
        <f>VLOOKUP(A40,'3.GateMove'!A:D,4,FALSE)</f>
        <v>2026-10-01</v>
      </c>
      <c r="X40" s="63">
        <f>((T40-W40)+1)</f>
        <v>8</v>
      </c>
      <c r="Y40" s="64">
        <f>IF(AND(OR(C40="BKK01",C40="BKK04"),L40="CFS/CY"),0,IF(M40="DG",1,IF(LEFT(C40,3)="LCH",7,IF(C40="BKK02",5,3))))</f>
        <v>7</v>
      </c>
      <c r="Z40" s="63">
        <f>IF(IF(AND(AC40="TML",AB40&gt;0),((T40-W40)+1)-AB40,((T40-W40)+1)-Y40)&gt;0,IF(AND(AC40="TML",AB40&gt;0),((T40-W40)+1)-AB40,((T40-W40)+1)-Y40),0)</f>
        <v>1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125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46304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125</v>
      </c>
      <c r="AJ40" s="188" t="n"/>
      <c r="AK40" s="62" t="str">
        <f>VLOOKUP(D40,'2.Bookinglist'!A:CT,40,FALSE)</f>
        <v>Dharaporn</v>
      </c>
      <c r="AL40" s="60" t="str">
        <f>VLOOKUP(D40,'2.Bookinglist'!A:CW,101,FALSE)</f>
        <v>2026-10-01</v>
      </c>
      <c r="AM40" s="60" t="str">
        <f>VLOOKUP(D40,'2.Bookinglist'!A:BK,63,FALSE)</f>
        <v>LCHY5</v>
      </c>
      <c r="AN40" s="62" t="str">
        <f>VLOOKUP(D40,'2.Bookinglist'!A:AZ,52,FALSE)</f>
        <v>CY-RTN 21-25/09/26 *PR2610003148*
</v>
      </c>
      <c r="AO40" s="62">
        <f>VLOOKUP(D40,'2.Bookinglist'!A:CY,103,FALSE)</f>
        <v>0</v>
      </c>
    </row>
    <row r="41" ht="12.95" customHeight="1">
      <c r="A41" s="96" t="inlineStr">
        <is>
          <t>SKLU1644870</t>
        </is>
      </c>
      <c r="B41" s="184" t="str">
        <f>IF(C41=Charge!$M$1,Charge!$J$1,IF(C41=Charge!$M$23,Charge!$J$23,IF(C41=Charge!$M$17,Charge!$J$17,IF(C41=Charge!$N$17,Charge!$J$17,Charge!$J$7))))</f>
        <v>G2</v>
      </c>
      <c r="C41" s="61" t="str">
        <f>VLOOKUP(A41,'1.Loading'!A:R,14,FALSE)</f>
        <v>LCH05</v>
      </c>
      <c r="D41" s="61" t="str">
        <f>VLOOKUP(A41,'1.Loading'!A:R,17,FALSE)</f>
        <v>HASLS22260901146</v>
      </c>
      <c r="E41" s="62" t="str">
        <f>VLOOKUP(D41,'2.Bookinglist'!A:CT,27,FALSE)</f>
        <v>WHA GC LOGISTICS COMPANY LIMITED</v>
      </c>
      <c r="F41" s="62" t="str">
        <f>VLOOKUP(D41,'2.Bookinglist'!A:CT,28,FALSE)</f>
        <v>PTT GLOBAL CHEMICAL PUBLIC COMPANY LIMITED</v>
      </c>
      <c r="G41" s="60">
        <f>VLOOKUP(D41,'2.Bookinglist'!A:E,5,FALSE)</f>
        <v>0</v>
      </c>
      <c r="H41" s="61" t="str">
        <f>VLOOKUP(D41,'2.Bookinglist'!A:CT,15,FALSE)</f>
        <v>THLCH</v>
      </c>
      <c r="I41" s="61" t="str">
        <f>VLOOKUP(D41,'2.Bookinglist'!A:CT,19,FALSE)</f>
        <v>CNXMN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SWDN</v>
      </c>
      <c r="P41" s="61" t="str">
        <f>VLOOKUP(A41,'1.Loading'!A:R,4,FALSE)</f>
        <v>2610N</v>
      </c>
      <c r="Q41" s="61" t="str">
        <f>VLOOKUP(D41,'2.Bookinglist'!A:CT,12,FALSE)</f>
        <v>CHT</v>
      </c>
      <c r="R41" s="60" t="str">
        <f>IF(LEFT(K41,2)="22","20'","40'")</f>
        <v>20'</v>
      </c>
      <c r="S41" s="185" t="n"/>
      <c r="T41" s="61" t="str">
        <f>VLOOKUP(A41,'1.Loading'!A:R,2,FALSE)</f>
        <v>2026-10-08</v>
      </c>
      <c r="U41" s="63">
        <f>T41-S41</f>
        <v>46303</v>
      </c>
      <c r="V41" s="186" t="n"/>
      <c r="W41" s="61" t="str">
        <f>VLOOKUP(A41,'3.GateMove'!A:D,4,FALSE)</f>
        <v>2026-10-01</v>
      </c>
      <c r="X41" s="63">
        <f>((T41-W41)+1)</f>
        <v>8</v>
      </c>
      <c r="Y41" s="64">
        <f>IF(AND(OR(C41="BKK01",C41="BKK04"),L41="CFS/CY"),0,IF(M41="DG",1,IF(LEFT(C41,3)="LCH",7,IF(C41="BKK02",5,3))))</f>
        <v>7</v>
      </c>
      <c r="Z41" s="63">
        <f>IF(IF(AND(AC41="TML",AB41&gt;0),((T41-W41)+1)-AB41,((T41-W41)+1)-Y41)&gt;0,IF(AND(AC41="TML",AB41&gt;0),((T41-W41)+1)-AB41,((T41-W41)+1)-Y41),0)</f>
        <v>1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125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46304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125</v>
      </c>
      <c r="AJ41" s="188" t="n"/>
      <c r="AK41" s="62" t="str">
        <f>VLOOKUP(D41,'2.Bookinglist'!A:CT,40,FALSE)</f>
        <v>Dharaporn</v>
      </c>
      <c r="AL41" s="60" t="str">
        <f>VLOOKUP(D41,'2.Bookinglist'!A:CW,101,FALSE)</f>
        <v>2026-10-01</v>
      </c>
      <c r="AM41" s="60" t="str">
        <f>VLOOKUP(D41,'2.Bookinglist'!A:BK,63,FALSE)</f>
        <v>LCHY5</v>
      </c>
      <c r="AN41" s="62" t="str">
        <f>VLOOKUP(D41,'2.Bookinglist'!A:AZ,52,FALSE)</f>
        <v>CY-RTN 21-25/09/26 *PR2610003144*
</v>
      </c>
      <c r="AO41" s="62">
        <f>VLOOKUP(D41,'2.Bookinglist'!A:CY,103,FALSE)</f>
        <v>0</v>
      </c>
    </row>
    <row r="42" ht="12.95" customHeight="1">
      <c r="A42" s="96" t="inlineStr">
        <is>
          <t>SKLU1661500</t>
        </is>
      </c>
      <c r="B42" s="184" t="str">
        <f>IF(C42=Charge!$M$1,Charge!$J$1,IF(C42=Charge!$M$23,Charge!$J$23,IF(C42=Charge!$M$17,Charge!$J$17,IF(C42=Charge!$N$17,Charge!$J$17,Charge!$J$7))))</f>
        <v>G2</v>
      </c>
      <c r="C42" s="61" t="str">
        <f>VLOOKUP(A42,'1.Loading'!A:R,14,FALSE)</f>
        <v>LCH05</v>
      </c>
      <c r="D42" s="61" t="str">
        <f>VLOOKUP(A42,'1.Loading'!A:R,17,FALSE)</f>
        <v>HASLS22260900563</v>
      </c>
      <c r="E42" s="62" t="str">
        <f>VLOOKUP(D42,'2.Bookinglist'!A:CT,27,FALSE)</f>
        <v>WHA GC LOGISTICS COMPANY LIMITED</v>
      </c>
      <c r="F42" s="62" t="str">
        <f>VLOOKUP(D42,'2.Bookinglist'!A:CT,28,FALSE)</f>
        <v>PTT GLOBAL CHEMICAL PUBLIC COMPANY LIMITED</v>
      </c>
      <c r="G42" s="60">
        <f>VLOOKUP(D42,'2.Bookinglist'!A:E,5,FALSE)</f>
        <v>0</v>
      </c>
      <c r="H42" s="61" t="str">
        <f>VLOOKUP(D42,'2.Bookinglist'!A:CT,15,FALSE)</f>
        <v>THLCH</v>
      </c>
      <c r="I42" s="61" t="str">
        <f>VLOOKUP(D42,'2.Bookinglist'!A:CT,19,FALSE)</f>
        <v>HKHKG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SWDN</v>
      </c>
      <c r="P42" s="61" t="str">
        <f>VLOOKUP(A42,'1.Loading'!A:R,4,FALSE)</f>
        <v>2610N</v>
      </c>
      <c r="Q42" s="61" t="str">
        <f>VLOOKUP(D42,'2.Bookinglist'!A:CT,12,FALSE)</f>
        <v>CHT</v>
      </c>
      <c r="R42" s="60" t="str">
        <f>IF(LEFT(K42,2)="22","20'","40'")</f>
        <v>20'</v>
      </c>
      <c r="S42" s="185" t="n"/>
      <c r="T42" s="61" t="str">
        <f>VLOOKUP(A42,'1.Loading'!A:R,2,FALSE)</f>
        <v>2026-10-08</v>
      </c>
      <c r="U42" s="63">
        <f>T42-S42</f>
        <v>46303</v>
      </c>
      <c r="V42" s="186" t="n"/>
      <c r="W42" s="61" t="str">
        <f>VLOOKUP(A42,'3.GateMove'!A:D,4,FALSE)</f>
        <v>2026-10-05</v>
      </c>
      <c r="X42" s="63">
        <f>((T42-W42)+1)</f>
        <v>4</v>
      </c>
      <c r="Y42" s="64">
        <f>IF(AND(OR(C42="BKK01",C42="BKK04"),L42="CFS/CY"),0,IF(M42="DG",1,IF(LEFT(C42,3)="LCH",7,IF(C42="BKK02",5,3))))</f>
        <v>7</v>
      </c>
      <c r="Z42" s="63">
        <f>IF(IF(AND(AC42="TML",AB42&gt;0),((T42-W42)+1)-AB42,((T42-W42)+1)-Y42)&gt;0,IF(AND(AC42="TML",AB42&gt;0),((T42-W42)+1)-AB42,((T42-W42)+1)-Y42),0)</f>
        <v>0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46304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0</v>
      </c>
      <c r="AJ42" s="188" t="n"/>
      <c r="AK42" s="62" t="str">
        <f>VLOOKUP(D42,'2.Bookinglist'!A:CT,40,FALSE)</f>
        <v>Dharaporn</v>
      </c>
      <c r="AL42" s="60" t="str">
        <f>VLOOKUP(D42,'2.Bookinglist'!A:CW,101,FALSE)</f>
        <v>2026-09-30</v>
      </c>
      <c r="AM42" s="60" t="str">
        <f>VLOOKUP(D42,'2.Bookinglist'!A:BK,63,FALSE)</f>
        <v>LCH27</v>
      </c>
      <c r="AN42" s="62" t="str">
        <f>VLOOKUP(D42,'2.Bookinglist'!A:AZ,52,FALSE)</f>
        <v>CY-RTN 21-25/09/26 (CIVET TERMINAL)
*PLS CHECK OPEN GATE BEFORE RETURN CTNR*</v>
      </c>
      <c r="AO42" s="62">
        <f>VLOOKUP(D42,'2.Bookinglist'!A:CY,103,FALSE)</f>
        <v>0</v>
      </c>
    </row>
    <row r="43" ht="12.95" customHeight="1">
      <c r="A43" s="96" t="inlineStr">
        <is>
          <t>SKLU1663503</t>
        </is>
      </c>
      <c r="B43" s="184" t="str">
        <f>IF(C43=Charge!$M$1,Charge!$J$1,IF(C43=Charge!$M$23,Charge!$J$23,IF(C43=Charge!$M$17,Charge!$J$17,IF(C43=Charge!$N$17,Charge!$J$17,Charge!$J$7))))</f>
        <v>G2</v>
      </c>
      <c r="C43" s="61" t="str">
        <f>VLOOKUP(A43,'1.Loading'!A:R,14,FALSE)</f>
        <v>LCH05</v>
      </c>
      <c r="D43" s="61" t="str">
        <f>VLOOKUP(A43,'1.Loading'!A:R,17,FALSE)</f>
        <v>HASLS22260901148</v>
      </c>
      <c r="E43" s="62" t="str">
        <f>VLOOKUP(D43,'2.Bookinglist'!A:CT,27,FALSE)</f>
        <v>WHA GC LOGISTICS COMPANY LIMITED</v>
      </c>
      <c r="F43" s="62" t="str">
        <f>VLOOKUP(D43,'2.Bookinglist'!A:CT,28,FALSE)</f>
        <v>PTT GLOBAL CHEMICAL PUBLIC COMPANY LIMITED</v>
      </c>
      <c r="G43" s="60">
        <f>VLOOKUP(D43,'2.Bookinglist'!A:E,5,FALSE)</f>
        <v>0</v>
      </c>
      <c r="H43" s="61" t="str">
        <f>VLOOKUP(D43,'2.Bookinglist'!A:CT,15,FALSE)</f>
        <v>THLCH</v>
      </c>
      <c r="I43" s="61" t="str">
        <f>VLOOKUP(D43,'2.Bookinglist'!A:CT,19,FALSE)</f>
        <v>CNXMN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SWDN</v>
      </c>
      <c r="P43" s="61" t="str">
        <f>VLOOKUP(A43,'1.Loading'!A:R,4,FALSE)</f>
        <v>2610N</v>
      </c>
      <c r="Q43" s="61" t="str">
        <f>VLOOKUP(D43,'2.Bookinglist'!A:CT,12,FALSE)</f>
        <v>CHT</v>
      </c>
      <c r="R43" s="60" t="str">
        <f>IF(LEFT(K43,2)="22","20'","40'")</f>
        <v>20'</v>
      </c>
      <c r="S43" s="185" t="n"/>
      <c r="T43" s="61" t="str">
        <f>VLOOKUP(A43,'1.Loading'!A:R,2,FALSE)</f>
        <v>2026-10-08</v>
      </c>
      <c r="U43" s="63">
        <f>T43-S43</f>
        <v>46303</v>
      </c>
      <c r="V43" s="186" t="n"/>
      <c r="W43" s="61" t="str">
        <f>VLOOKUP(A43,'3.GateMove'!A:D,4,FALSE)</f>
        <v>2026-10-01</v>
      </c>
      <c r="X43" s="63">
        <f>((T43-W43)+1)</f>
        <v>8</v>
      </c>
      <c r="Y43" s="64">
        <f>IF(AND(OR(C43="BKK01",C43="BKK04"),L43="CFS/CY"),0,IF(M43="DG",1,IF(LEFT(C43,3)="LCH",7,IF(C43="BKK02",5,3))))</f>
        <v>7</v>
      </c>
      <c r="Z43" s="63">
        <f>IF(IF(AND(AC43="TML",AB43&gt;0),((T43-W43)+1)-AB43,((T43-W43)+1)-Y43)&gt;0,IF(AND(AC43="TML",AB43&gt;0),((T43-W43)+1)-AB43,((T43-W43)+1)-Y43),0)</f>
        <v>1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125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46304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125</v>
      </c>
      <c r="AJ43" s="188" t="n"/>
      <c r="AK43" s="62" t="str">
        <f>VLOOKUP(D43,'2.Bookinglist'!A:CT,40,FALSE)</f>
        <v>Dharaporn</v>
      </c>
      <c r="AL43" s="60" t="str">
        <f>VLOOKUP(D43,'2.Bookinglist'!A:CW,101,FALSE)</f>
        <v>2026-10-01</v>
      </c>
      <c r="AM43" s="60" t="str">
        <f>VLOOKUP(D43,'2.Bookinglist'!A:BK,63,FALSE)</f>
        <v>LCHY5</v>
      </c>
      <c r="AN43" s="62" t="str">
        <f>VLOOKUP(D43,'2.Bookinglist'!A:AZ,52,FALSE)</f>
        <v>CY-RTN 21-25/09/26 *PR2610003148*
</v>
      </c>
      <c r="AO43" s="62">
        <f>VLOOKUP(D43,'2.Bookinglist'!A:CY,103,FALSE)</f>
        <v>0</v>
      </c>
    </row>
    <row r="44" ht="12.95" customHeight="1">
      <c r="A44" s="96" t="inlineStr">
        <is>
          <t>SKLU1669008</t>
        </is>
      </c>
      <c r="B44" s="184" t="str">
        <f>IF(C44=Charge!$M$1,Charge!$J$1,IF(C44=Charge!$M$23,Charge!$J$23,IF(C44=Charge!$M$17,Charge!$J$17,IF(C44=Charge!$N$17,Charge!$J$17,Charge!$J$7))))</f>
        <v>G2</v>
      </c>
      <c r="C44" s="61" t="str">
        <f>VLOOKUP(A44,'1.Loading'!A:R,14,FALSE)</f>
        <v>LCH05</v>
      </c>
      <c r="D44" s="61" t="str">
        <f>VLOOKUP(A44,'1.Loading'!A:R,17,FALSE)</f>
        <v>HASLS22260901015</v>
      </c>
      <c r="E44" s="62" t="str">
        <f>VLOOKUP(D44,'2.Bookinglist'!A:CT,27,FALSE)</f>
        <v>THAI POLYCARBONATE CO., LTD.</v>
      </c>
      <c r="F44" s="62" t="str">
        <f>VLOOKUP(D44,'2.Bookinglist'!A:CT,28,FALSE)</f>
        <v>THAI POLYCARBONATE CO., LTD.</v>
      </c>
      <c r="G44" s="60">
        <f>VLOOKUP(D44,'2.Bookinglist'!A:E,5,FALSE)</f>
        <v>0</v>
      </c>
      <c r="H44" s="61" t="str">
        <f>VLOOKUP(D44,'2.Bookinglist'!A:CT,15,FALSE)</f>
        <v>THLCH</v>
      </c>
      <c r="I44" s="61" t="str">
        <f>VLOOKUP(D44,'2.Bookinglist'!A:CT,19,FALSE)</f>
        <v>CNXMN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SWDN</v>
      </c>
      <c r="P44" s="61" t="str">
        <f>VLOOKUP(A44,'1.Loading'!A:R,4,FALSE)</f>
        <v>2610N</v>
      </c>
      <c r="Q44" s="61" t="str">
        <f>VLOOKUP(D44,'2.Bookinglist'!A:CT,12,FALSE)</f>
        <v>CHT</v>
      </c>
      <c r="R44" s="60" t="str">
        <f>IF(LEFT(K44,2)="22","20'","40'")</f>
        <v>20'</v>
      </c>
      <c r="S44" s="185" t="n"/>
      <c r="T44" s="61" t="str">
        <f>VLOOKUP(A44,'1.Loading'!A:R,2,FALSE)</f>
        <v>2026-10-08</v>
      </c>
      <c r="U44" s="63">
        <f>T44-S44</f>
        <v>46303</v>
      </c>
      <c r="V44" s="186" t="n"/>
      <c r="W44" s="61" t="str">
        <f>VLOOKUP(A44,'3.GateMove'!A:D,4,FALSE)</f>
        <v>2026-10-03</v>
      </c>
      <c r="X44" s="63">
        <f>((T44-W44)+1)</f>
        <v>6</v>
      </c>
      <c r="Y44" s="64">
        <f>IF(AND(OR(C44="BKK01",C44="BKK04"),L44="CFS/CY"),0,IF(M44="DG",1,IF(LEFT(C44,3)="LCH",7,IF(C44="BKK02",5,3))))</f>
        <v>7</v>
      </c>
      <c r="Z44" s="63">
        <f>IF(IF(AND(AC44="TML",AB44&gt;0),((T44-W44)+1)-AB44,((T44-W44)+1)-Y44)&gt;0,IF(AND(AC44="TML",AB44&gt;0),((T44-W44)+1)-AB44,((T44-W44)+1)-Y44),0)</f>
        <v>0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46304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0</v>
      </c>
      <c r="AJ44" s="188" t="n"/>
      <c r="AK44" s="62" t="str">
        <f>VLOOKUP(D44,'2.Bookinglist'!A:CT,40,FALSE)</f>
        <v>Vilaiporn</v>
      </c>
      <c r="AL44" s="60" t="str">
        <f>VLOOKUP(D44,'2.Bookinglist'!A:CW,101,FALSE)</f>
        <v>2026-09-30</v>
      </c>
      <c r="AM44" s="60" t="str">
        <f>VLOOKUP(D44,'2.Bookinglist'!A:BK,63,FALSE)</f>
        <v>LCH27</v>
      </c>
      <c r="AN44" s="62" t="str">
        <f>VLOOKUP(D44,'2.Bookinglist'!A:AZ,52,FALSE)</f>
        <v>Pickup : 2026-09-24, Return : 2026-09-25 (1ST RTN 26/09 W/O RENT) 
 ** PLEASE CHECK OPEN GATE BEFORE RETURN CNTR **
</v>
      </c>
      <c r="AO44" s="62">
        <f>VLOOKUP(D44,'2.Bookinglist'!A:CY,103,FALSE)</f>
        <v>0</v>
      </c>
    </row>
    <row r="45" ht="12.95" customHeight="1">
      <c r="A45" s="96" t="inlineStr">
        <is>
          <t>SKLU1816161</t>
        </is>
      </c>
      <c r="B45" s="184" t="str">
        <f>IF(C45=Charge!$M$1,Charge!$J$1,IF(C45=Charge!$M$23,Charge!$J$23,IF(C45=Charge!$M$17,Charge!$J$17,IF(C45=Charge!$N$17,Charge!$J$17,Charge!$J$7))))</f>
        <v>G2</v>
      </c>
      <c r="C45" s="61" t="str">
        <f>VLOOKUP(A45,'1.Loading'!A:R,14,FALSE)</f>
        <v>LCH05</v>
      </c>
      <c r="D45" s="61" t="str">
        <f>VLOOKUP(A45,'1.Loading'!A:R,17,FALSE)</f>
        <v>HASLS22260901029</v>
      </c>
      <c r="E45" s="62" t="str">
        <f>VLOOKUP(D45,'2.Bookinglist'!A:CT,27,FALSE)</f>
        <v>THAI POLYCARBONATE CO., LTD.</v>
      </c>
      <c r="F45" s="62" t="str">
        <f>VLOOKUP(D45,'2.Bookinglist'!A:CT,28,FALSE)</f>
        <v>THAI POLYCARBONATE CO., LTD.</v>
      </c>
      <c r="G45" s="60">
        <f>VLOOKUP(D45,'2.Bookinglist'!A:E,5,FALSE)</f>
        <v>0</v>
      </c>
      <c r="H45" s="61" t="str">
        <f>VLOOKUP(D45,'2.Bookinglist'!A:CT,15,FALSE)</f>
        <v>THLCH</v>
      </c>
      <c r="I45" s="61" t="str">
        <f>VLOOKUP(D45,'2.Bookinglist'!A:CT,19,FALSE)</f>
        <v>CNXMN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SWDN</v>
      </c>
      <c r="P45" s="61" t="str">
        <f>VLOOKUP(A45,'1.Loading'!A:R,4,FALSE)</f>
        <v>2610N</v>
      </c>
      <c r="Q45" s="61" t="str">
        <f>VLOOKUP(D45,'2.Bookinglist'!A:CT,12,FALSE)</f>
        <v>CHT</v>
      </c>
      <c r="R45" s="60" t="str">
        <f>IF(LEFT(K45,2)="22","20'","40'")</f>
        <v>20'</v>
      </c>
      <c r="S45" s="185" t="n"/>
      <c r="T45" s="61" t="str">
        <f>VLOOKUP(A45,'1.Loading'!A:R,2,FALSE)</f>
        <v>2026-10-08</v>
      </c>
      <c r="U45" s="63">
        <f>T45-S45</f>
        <v>46303</v>
      </c>
      <c r="V45" s="186" t="n"/>
      <c r="W45" s="61" t="str">
        <f>VLOOKUP(A45,'3.GateMove'!A:D,4,FALSE)</f>
        <v>2026-10-04</v>
      </c>
      <c r="X45" s="63">
        <f>((T45-W45)+1)</f>
        <v>5</v>
      </c>
      <c r="Y45" s="64">
        <f>IF(AND(OR(C45="BKK01",C45="BKK04"),L45="CFS/CY"),0,IF(M45="DG",1,IF(LEFT(C45,3)="LCH",7,IF(C45="BKK02",5,3))))</f>
        <v>7</v>
      </c>
      <c r="Z45" s="63">
        <f>IF(IF(AND(AC45="TML",AB45&gt;0),((T45-W45)+1)-AB45,((T45-W45)+1)-Y45)&gt;0,IF(AND(AC45="TML",AB45&gt;0),((T45-W45)+1)-AB45,((T45-W45)+1)-Y45),0)</f>
        <v>0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46304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0</v>
      </c>
      <c r="AJ45" s="188" t="n"/>
      <c r="AK45" s="62" t="str">
        <f>VLOOKUP(D45,'2.Bookinglist'!A:CT,40,FALSE)</f>
        <v>Vilaiporn</v>
      </c>
      <c r="AL45" s="60" t="str">
        <f>VLOOKUP(D45,'2.Bookinglist'!A:CW,101,FALSE)</f>
        <v>2026-09-30</v>
      </c>
      <c r="AM45" s="60" t="str">
        <f>VLOOKUP(D45,'2.Bookinglist'!A:BK,63,FALSE)</f>
        <v>LCH27</v>
      </c>
      <c r="AN45" s="62" t="str">
        <f>VLOOKUP(D45,'2.Bookinglist'!A:AZ,52,FALSE)</f>
        <v>Pickup : 2026-09-23, Return : 2026-09-25 [1ST RTN 26/09/2026 W/O RENT]
** PLEASE CHECK OPEN GATE BEFORE RETURN CONTAINER **</v>
      </c>
      <c r="AO45" s="62">
        <f>VLOOKUP(D45,'2.Bookinglist'!A:CY,103,FALSE)</f>
        <v>0</v>
      </c>
    </row>
    <row r="46" ht="12.95" customHeight="1">
      <c r="A46" s="96" t="inlineStr">
        <is>
          <t>SKLU2301350</t>
        </is>
      </c>
      <c r="B46" s="184" t="str">
        <f>IF(C46=Charge!$M$1,Charge!$J$1,IF(C46=Charge!$M$23,Charge!$J$23,IF(C46=Charge!$M$17,Charge!$J$17,IF(C46=Charge!$N$17,Charge!$J$17,Charge!$J$7))))</f>
        <v>G2</v>
      </c>
      <c r="C46" s="61" t="str">
        <f>VLOOKUP(A46,'1.Loading'!A:R,14,FALSE)</f>
        <v>LCH05</v>
      </c>
      <c r="D46" s="61" t="str">
        <f>VLOOKUP(A46,'1.Loading'!A:R,17,FALSE)</f>
        <v>HASLS22260900563</v>
      </c>
      <c r="E46" s="62" t="str">
        <f>VLOOKUP(D46,'2.Bookinglist'!A:CT,27,FALSE)</f>
        <v>WHA GC LOGISTICS COMPANY LIMITED</v>
      </c>
      <c r="F46" s="62" t="str">
        <f>VLOOKUP(D46,'2.Bookinglist'!A:CT,28,FALSE)</f>
        <v>PTT GLOBAL CHEMICAL PUBLIC COMPANY LIMITED</v>
      </c>
      <c r="G46" s="60">
        <f>VLOOKUP(D46,'2.Bookinglist'!A:E,5,FALSE)</f>
        <v>0</v>
      </c>
      <c r="H46" s="61" t="str">
        <f>VLOOKUP(D46,'2.Bookinglist'!A:CT,15,FALSE)</f>
        <v>THLCH</v>
      </c>
      <c r="I46" s="61" t="str">
        <f>VLOOKUP(D46,'2.Bookinglist'!A:CT,19,FALSE)</f>
        <v>HKHKG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SWDN</v>
      </c>
      <c r="P46" s="61" t="str">
        <f>VLOOKUP(A46,'1.Loading'!A:R,4,FALSE)</f>
        <v>2610N</v>
      </c>
      <c r="Q46" s="61" t="str">
        <f>VLOOKUP(D46,'2.Bookinglist'!A:CT,12,FALSE)</f>
        <v>CHT</v>
      </c>
      <c r="R46" s="60" t="str">
        <f>IF(LEFT(K46,2)="22","20'","40'")</f>
        <v>20'</v>
      </c>
      <c r="S46" s="185" t="n"/>
      <c r="T46" s="61" t="str">
        <f>VLOOKUP(A46,'1.Loading'!A:R,2,FALSE)</f>
        <v>2026-10-08</v>
      </c>
      <c r="U46" s="63">
        <f>T46-S46</f>
        <v>46303</v>
      </c>
      <c r="V46" s="186" t="n"/>
      <c r="W46" s="61" t="str">
        <f>VLOOKUP(A46,'3.GateMove'!A:D,4,FALSE)</f>
        <v>2026-10-05</v>
      </c>
      <c r="X46" s="63">
        <f>((T46-W46)+1)</f>
        <v>4</v>
      </c>
      <c r="Y46" s="64">
        <f>IF(AND(OR(C46="BKK01",C46="BKK04"),L46="CFS/CY"),0,IF(M46="DG",1,IF(LEFT(C46,3)="LCH",7,IF(C46="BKK02",5,3))))</f>
        <v>7</v>
      </c>
      <c r="Z46" s="63">
        <f>IF(IF(AND(AC46="TML",AB46&gt;0),((T46-W46)+1)-AB46,((T46-W46)+1)-Y46)&gt;0,IF(AND(AC46="TML",AB46&gt;0),((T46-W46)+1)-AB46,((T46-W46)+1)-Y46),0)</f>
        <v>0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46304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0</v>
      </c>
      <c r="AJ46" s="188" t="n"/>
      <c r="AK46" s="62" t="str">
        <f>VLOOKUP(D46,'2.Bookinglist'!A:CT,40,FALSE)</f>
        <v>Dharaporn</v>
      </c>
      <c r="AL46" s="60" t="str">
        <f>VLOOKUP(D46,'2.Bookinglist'!A:CW,101,FALSE)</f>
        <v>2026-09-30</v>
      </c>
      <c r="AM46" s="60" t="str">
        <f>VLOOKUP(D46,'2.Bookinglist'!A:BK,63,FALSE)</f>
        <v>LCH27</v>
      </c>
      <c r="AN46" s="62" t="str">
        <f>VLOOKUP(D46,'2.Bookinglist'!A:AZ,52,FALSE)</f>
        <v>CY-RTN 21-25/09/26 (CIVET TERMINAL)
*PLS CHECK OPEN GATE BEFORE RETURN CTNR*</v>
      </c>
      <c r="AO46" s="62">
        <f>VLOOKUP(D46,'2.Bookinglist'!A:CY,103,FALSE)</f>
        <v>0</v>
      </c>
    </row>
    <row r="47" ht="12.95" customHeight="1">
      <c r="A47" s="96" t="inlineStr">
        <is>
          <t>SKLU2312186</t>
        </is>
      </c>
      <c r="B47" s="184" t="str">
        <f>IF(C47=Charge!$M$1,Charge!$J$1,IF(C47=Charge!$M$23,Charge!$J$23,IF(C47=Charge!$M$17,Charge!$J$17,IF(C47=Charge!$N$17,Charge!$J$17,Charge!$J$7))))</f>
        <v>G2</v>
      </c>
      <c r="C47" s="61" t="str">
        <f>VLOOKUP(A47,'1.Loading'!A:R,14,FALSE)</f>
        <v>LCH05</v>
      </c>
      <c r="D47" s="61" t="str">
        <f>VLOOKUP(A47,'1.Loading'!A:R,17,FALSE)</f>
        <v>HASLS22260901148</v>
      </c>
      <c r="E47" s="62" t="str">
        <f>VLOOKUP(D47,'2.Bookinglist'!A:CT,27,FALSE)</f>
        <v>WHA GC LOGISTICS COMPANY LIMITED</v>
      </c>
      <c r="F47" s="62" t="str">
        <f>VLOOKUP(D47,'2.Bookinglist'!A:CT,28,FALSE)</f>
        <v>PTT GLOBAL CHEMICAL PUBLIC COMPANY LIMITED</v>
      </c>
      <c r="G47" s="60">
        <f>VLOOKUP(D47,'2.Bookinglist'!A:E,5,FALSE)</f>
        <v>0</v>
      </c>
      <c r="H47" s="61" t="str">
        <f>VLOOKUP(D47,'2.Bookinglist'!A:CT,15,FALSE)</f>
        <v>THLCH</v>
      </c>
      <c r="I47" s="61" t="str">
        <f>VLOOKUP(D47,'2.Bookinglist'!A:CT,19,FALSE)</f>
        <v>CNXMN</v>
      </c>
      <c r="J47" s="61">
        <f>VLOOKUP(D47,'2.Bookinglist'!A:CT,26,FALSE)</f>
        <v>0</v>
      </c>
      <c r="K47" s="61" t="str">
        <f>VLOOKUP(A47,'1.Loading'!A:R,5,FALSE)</f>
        <v>22GP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SWDN</v>
      </c>
      <c r="P47" s="61" t="str">
        <f>VLOOKUP(A47,'1.Loading'!A:R,4,FALSE)</f>
        <v>2610N</v>
      </c>
      <c r="Q47" s="61" t="str">
        <f>VLOOKUP(D47,'2.Bookinglist'!A:CT,12,FALSE)</f>
        <v>CHT</v>
      </c>
      <c r="R47" s="60" t="str">
        <f>IF(LEFT(K47,2)="22","20'","40'")</f>
        <v>20'</v>
      </c>
      <c r="S47" s="185" t="n"/>
      <c r="T47" s="61" t="str">
        <f>VLOOKUP(A47,'1.Loading'!A:R,2,FALSE)</f>
        <v>2026-10-08</v>
      </c>
      <c r="U47" s="63">
        <f>T47-S47</f>
        <v>46303</v>
      </c>
      <c r="V47" s="186" t="n"/>
      <c r="W47" s="61" t="str">
        <f>VLOOKUP(A47,'3.GateMove'!A:D,4,FALSE)</f>
        <v>2026-10-01</v>
      </c>
      <c r="X47" s="63">
        <f>((T47-W47)+1)</f>
        <v>8</v>
      </c>
      <c r="Y47" s="64">
        <f>IF(AND(OR(C47="BKK01",C47="BKK04"),L47="CFS/CY"),0,IF(M47="DG",1,IF(LEFT(C47,3)="LCH",7,IF(C47="BKK02",5,3))))</f>
        <v>7</v>
      </c>
      <c r="Z47" s="63">
        <f>IF(IF(AND(AC47="TML",AB47&gt;0),((T47-W47)+1)-AB47,((T47-W47)+1)-Y47)&gt;0,IF(AND(AC47="TML",AB47&gt;0),((T47-W47)+1)-AB47,((T47-W47)+1)-Y47),0)</f>
        <v>1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125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46304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125</v>
      </c>
      <c r="AJ47" s="188" t="n"/>
      <c r="AK47" s="62" t="str">
        <f>VLOOKUP(D47,'2.Bookinglist'!A:CT,40,FALSE)</f>
        <v>Dharaporn</v>
      </c>
      <c r="AL47" s="60" t="str">
        <f>VLOOKUP(D47,'2.Bookinglist'!A:CW,101,FALSE)</f>
        <v>2026-10-01</v>
      </c>
      <c r="AM47" s="60" t="str">
        <f>VLOOKUP(D47,'2.Bookinglist'!A:BK,63,FALSE)</f>
        <v>LCHY5</v>
      </c>
      <c r="AN47" s="62" t="str">
        <f>VLOOKUP(D47,'2.Bookinglist'!A:AZ,52,FALSE)</f>
        <v>CY-RTN 21-25/09/26 *PR2610003148*
</v>
      </c>
      <c r="AO47" s="62">
        <f>VLOOKUP(D47,'2.Bookinglist'!A:CY,103,FALSE)</f>
        <v>0</v>
      </c>
    </row>
    <row r="48" ht="12.95" customHeight="1">
      <c r="A48" s="96" t="inlineStr">
        <is>
          <t>SKLU3510078</t>
        </is>
      </c>
      <c r="B48" s="184" t="str">
        <f>IF(C48=Charge!$M$1,Charge!$J$1,IF(C48=Charge!$M$23,Charge!$J$23,IF(C48=Charge!$M$17,Charge!$J$17,IF(C48=Charge!$N$17,Charge!$J$17,Charge!$J$7))))</f>
        <v>G2</v>
      </c>
      <c r="C48" s="61" t="str">
        <f>VLOOKUP(A48,'1.Loading'!A:R,14,FALSE)</f>
        <v>LCH05</v>
      </c>
      <c r="D48" s="61" t="str">
        <f>VLOOKUP(A48,'1.Loading'!A:R,17,FALSE)</f>
        <v>HASLS22260901146</v>
      </c>
      <c r="E48" s="62" t="str">
        <f>VLOOKUP(D48,'2.Bookinglist'!A:CT,27,FALSE)</f>
        <v>WHA GC LOGISTICS COMPANY LIMITED</v>
      </c>
      <c r="F48" s="62" t="str">
        <f>VLOOKUP(D48,'2.Bookinglist'!A:CT,28,FALSE)</f>
        <v>PTT GLOBAL CHEMICAL PUBLIC COMPANY LIMITED</v>
      </c>
      <c r="G48" s="60">
        <f>VLOOKUP(D48,'2.Bookinglist'!A:E,5,FALSE)</f>
        <v>0</v>
      </c>
      <c r="H48" s="61" t="str">
        <f>VLOOKUP(D48,'2.Bookinglist'!A:CT,15,FALSE)</f>
        <v>THLCH</v>
      </c>
      <c r="I48" s="61" t="str">
        <f>VLOOKUP(D48,'2.Bookinglist'!A:CT,19,FALSE)</f>
        <v>CNXMN</v>
      </c>
      <c r="J48" s="61">
        <f>VLOOKUP(D48,'2.Bookinglist'!A:CT,26,FALSE)</f>
        <v>0</v>
      </c>
      <c r="K48" s="61" t="str">
        <f>VLOOKUP(A48,'1.Loading'!A:R,5,FALSE)</f>
        <v>22GP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SWDN</v>
      </c>
      <c r="P48" s="61" t="str">
        <f>VLOOKUP(A48,'1.Loading'!A:R,4,FALSE)</f>
        <v>2610N</v>
      </c>
      <c r="Q48" s="61" t="str">
        <f>VLOOKUP(D48,'2.Bookinglist'!A:CT,12,FALSE)</f>
        <v>CHT</v>
      </c>
      <c r="R48" s="60" t="str">
        <f>IF(LEFT(K48,2)="22","20'","40'")</f>
        <v>20'</v>
      </c>
      <c r="S48" s="185" t="n"/>
      <c r="T48" s="61" t="str">
        <f>VLOOKUP(A48,'1.Loading'!A:R,2,FALSE)</f>
        <v>2026-10-08</v>
      </c>
      <c r="U48" s="63">
        <f>T48-S48</f>
        <v>46303</v>
      </c>
      <c r="V48" s="186" t="n"/>
      <c r="W48" s="61" t="str">
        <f>VLOOKUP(A48,'3.GateMove'!A:D,4,FALSE)</f>
        <v>2026-10-01</v>
      </c>
      <c r="X48" s="63">
        <f>((T48-W48)+1)</f>
        <v>8</v>
      </c>
      <c r="Y48" s="64">
        <f>IF(AND(OR(C48="BKK01",C48="BKK04"),L48="CFS/CY"),0,IF(M48="DG",1,IF(LEFT(C48,3)="LCH",7,IF(C48="BKK02",5,3))))</f>
        <v>7</v>
      </c>
      <c r="Z48" s="63">
        <f>IF(IF(AND(AC48="TML",AB48&gt;0),((T48-W48)+1)-AB48,((T48-W48)+1)-Y48)&gt;0,IF(AND(AC48="TML",AB48&gt;0),((T48-W48)+1)-AB48,((T48-W48)+1)-Y48),0)</f>
        <v>1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125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46304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125</v>
      </c>
      <c r="AJ48" s="188" t="n"/>
      <c r="AK48" s="62" t="str">
        <f>VLOOKUP(D48,'2.Bookinglist'!A:CT,40,FALSE)</f>
        <v>Dharaporn</v>
      </c>
      <c r="AL48" s="60" t="str">
        <f>VLOOKUP(D48,'2.Bookinglist'!A:CW,101,FALSE)</f>
        <v>2026-10-01</v>
      </c>
      <c r="AM48" s="60" t="str">
        <f>VLOOKUP(D48,'2.Bookinglist'!A:BK,63,FALSE)</f>
        <v>LCHY5</v>
      </c>
      <c r="AN48" s="62" t="str">
        <f>VLOOKUP(D48,'2.Bookinglist'!A:AZ,52,FALSE)</f>
        <v>CY-RTN 21-25/09/26 *PR2610003144*
</v>
      </c>
      <c r="AO48" s="62">
        <f>VLOOKUP(D48,'2.Bookinglist'!A:CY,103,FALSE)</f>
        <v>0</v>
      </c>
    </row>
    <row r="49" ht="12.95" customHeight="1">
      <c r="A49" s="96" t="inlineStr">
        <is>
          <t>SKRU1900119</t>
        </is>
      </c>
      <c r="B49" s="184" t="str">
        <f>IF(C49=Charge!$M$1,Charge!$J$1,IF(C49=Charge!$M$23,Charge!$J$23,IF(C49=Charge!$M$17,Charge!$J$17,IF(C49=Charge!$N$17,Charge!$J$17,Charge!$J$7))))</f>
        <v>G2</v>
      </c>
      <c r="C49" s="61" t="str">
        <f>VLOOKUP(A49,'1.Loading'!A:R,14,FALSE)</f>
        <v>LCH05</v>
      </c>
      <c r="D49" s="61" t="str">
        <f>VLOOKUP(A49,'1.Loading'!A:R,17,FALSE)</f>
        <v>HASLS22260900990</v>
      </c>
      <c r="E49" s="62" t="str">
        <f>VLOOKUP(D49,'2.Bookinglist'!A:CT,27,FALSE)</f>
        <v>NAMYONG LOGISTICS CO., LTD.</v>
      </c>
      <c r="F49" s="62" t="str">
        <f>VLOOKUP(D49,'2.Bookinglist'!A:CT,28,FALSE)</f>
        <v>THAI SUMMIT MARKETING CO., LTD.</v>
      </c>
      <c r="G49" s="60" t="str">
        <f>VLOOKUP(D49,'2.Bookinglist'!A:E,5,FALSE)</f>
        <v>THLKR</v>
      </c>
      <c r="H49" s="61" t="str">
        <f>VLOOKUP(D49,'2.Bookinglist'!A:CT,15,FALSE)</f>
        <v>THLCH</v>
      </c>
      <c r="I49" s="61" t="str">
        <f>VLOOKUP(D49,'2.Bookinglist'!A:CT,19,FALSE)</f>
        <v>HKHKG</v>
      </c>
      <c r="J49" s="61">
        <f>VLOOKUP(D49,'2.Bookinglist'!A:CT,26,FALSE)</f>
        <v>0</v>
      </c>
      <c r="K49" s="61" t="str">
        <f>VLOOKUP(A49,'1.Loading'!A:R,5,FALSE)</f>
        <v>22RE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>RF</v>
      </c>
      <c r="O49" s="61" t="str">
        <f>VLOOKUP(A49,'1.Loading'!A:R,3,FALSE)</f>
        <v>SWDN</v>
      </c>
      <c r="P49" s="61" t="str">
        <f>VLOOKUP(A49,'1.Loading'!A:R,4,FALSE)</f>
        <v>2610N</v>
      </c>
      <c r="Q49" s="61" t="str">
        <f>VLOOKUP(D49,'2.Bookinglist'!A:CT,12,FALSE)</f>
        <v>CHT</v>
      </c>
      <c r="R49" s="60" t="str">
        <f>IF(LEFT(K49,2)="22","20'","40'")</f>
        <v>20'</v>
      </c>
      <c r="S49" s="185" t="n"/>
      <c r="T49" s="61" t="str">
        <f>VLOOKUP(A49,'1.Loading'!A:R,2,FALSE)</f>
        <v>2026-10-08</v>
      </c>
      <c r="U49" s="63">
        <f>T49-S49</f>
        <v>46303</v>
      </c>
      <c r="V49" s="186" t="n"/>
      <c r="W49" s="61" t="str">
        <f>VLOOKUP(A49,'3.GateMove'!A:D,4,FALSE)</f>
        <v>2026-10-05</v>
      </c>
      <c r="X49" s="63">
        <f>((T49-W49)+1)</f>
        <v>4</v>
      </c>
      <c r="Y49" s="64">
        <f>IF(AND(OR(C49="BKK01",C49="BKK04"),L49="CFS/CY"),0,IF(M49="DG",1,IF(LEFT(C49,3)="LCH",7,IF(C49="BKK02",5,3))))</f>
        <v>7</v>
      </c>
      <c r="Z49" s="63">
        <f>IF(IF(AND(AC49="TML",AB49&gt;0),((T49-W49)+1)-AB49,((T49-W49)+1)-Y49)&gt;0,IF(AND(AC49="TML",AB49&gt;0),((T49-W49)+1)-AB49,((T49-W49)+1)-Y49),0)</f>
        <v>0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0</v>
      </c>
      <c r="AB49" s="184" t="n"/>
      <c r="AC49" s="184" t="n"/>
      <c r="AD49" s="60">
        <f>IF(M49="DG",3,IF(N49="RF",3,5))+IF(AND(LEFT(C49,3)="BKK",N49="RF",Q49="KTS"),1,0)+IF(Q49="KHS",1,0)</f>
        <v>3</v>
      </c>
      <c r="AE49" s="63">
        <f>(T49-V49)+1</f>
        <v>46304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0</v>
      </c>
      <c r="AJ49" s="188" t="n"/>
      <c r="AK49" s="62" t="str">
        <f>VLOOKUP(D49,'2.Bookinglist'!A:CT,40,FALSE)</f>
        <v>Tarn(Supaporn)</v>
      </c>
      <c r="AL49" s="60" t="str">
        <f>VLOOKUP(D49,'2.Bookinglist'!A:CW,101,FALSE)</f>
        <v>2026-10-03</v>
      </c>
      <c r="AM49" s="60" t="str">
        <f>VLOOKUP(D49,'2.Bookinglist'!A:BK,63,FALSE)</f>
        <v>BKK27</v>
      </c>
      <c r="AN49" s="62" t="str">
        <f>VLOOKUP(D49,'2.Bookinglist'!A:AZ,52,FALSE)</f>
        <v>Pickup : 2026-09-28, Return LKR  : 2026-09-30 (Temp -20.0 / Vent Close) [PAPERLESS CODE 2815]
CLS TIME 01/10/26 @23.59 (1ST DATE RTN 30/09/2026 W/O RENT,ELECTRIC)</v>
      </c>
      <c r="AO49" s="62">
        <f>VLOOKUP(D49,'2.Bookinglist'!A:CY,103,FALSE)</f>
        <v>0</v>
      </c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2026-10-14T07:18:11Z</dcterms:modified>
  <cp:lastModifiedBy>office4</cp:lastModifiedBy>
  <cp:lastPrinted>2019-11-19T03:03:39Z</cp:lastPrinted>
</cp:coreProperties>
</file>